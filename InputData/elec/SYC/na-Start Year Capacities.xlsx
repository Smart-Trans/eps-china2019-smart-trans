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file\EPS China 3.3.1\InputData\elec\SYC\"/>
    </mc:Choice>
  </mc:AlternateContent>
  <xr:revisionPtr revIDLastSave="0" documentId="13_ncr:1_{13F0A5FB-80E5-4A4E-A67A-DC607824C91F}" xr6:coauthVersionLast="47" xr6:coauthVersionMax="47" xr10:uidLastSave="{00000000-0000-0000-0000-000000000000}"/>
  <bookViews>
    <workbookView xWindow="585" yWindow="630" windowWidth="24960" windowHeight="14325" tabRatio="816" xr2:uid="{00000000-000D-0000-FFFF-FFFF00000000}"/>
  </bookViews>
  <sheets>
    <sheet name="地热2020年累计“十三五新增”" sheetId="31" r:id="rId1"/>
    <sheet name="2000" sheetId="24" r:id="rId2"/>
    <sheet name="2001" sheetId="23" r:id="rId3"/>
    <sheet name="2002" sheetId="22" r:id="rId4"/>
    <sheet name="2003" sheetId="21" r:id="rId5"/>
    <sheet name="2004" sheetId="20" r:id="rId6"/>
    <sheet name="2005" sheetId="19" r:id="rId7"/>
    <sheet name="2006" sheetId="18" r:id="rId8"/>
    <sheet name="2007" sheetId="11" r:id="rId9"/>
    <sheet name="2008" sheetId="9" r:id="rId10"/>
    <sheet name="2009" sheetId="8" r:id="rId11"/>
    <sheet name="2010" sheetId="7" r:id="rId12"/>
    <sheet name="2011" sheetId="6" r:id="rId13"/>
    <sheet name="2012" sheetId="5" r:id="rId14"/>
    <sheet name="2013" sheetId="4" r:id="rId15"/>
    <sheet name="2014" sheetId="3" r:id="rId16"/>
    <sheet name="2015" sheetId="2" r:id="rId17"/>
    <sheet name="2016" sheetId="1" r:id="rId18"/>
    <sheet name="2017" sheetId="25" r:id="rId19"/>
    <sheet name="2018" sheetId="17" r:id="rId20"/>
    <sheet name="2019" sheetId="16" r:id="rId21"/>
    <sheet name="2020" sheetId="10" r:id="rId22"/>
    <sheet name="National Summary" sheetId="28" r:id="rId23"/>
    <sheet name="Oil Generation Breakdown" sheetId="30" r:id="rId24"/>
    <sheet name="SYC-SYEGC" sheetId="26" r:id="rId25"/>
    <sheet name="SYC-FoPtPFP" sheetId="27" r:id="rId26"/>
  </sheets>
  <externalReferences>
    <externalReference r:id="rId2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6" l="1"/>
  <c r="B15" i="26"/>
  <c r="B11" i="26"/>
  <c r="I18" i="30"/>
  <c r="H18" i="30"/>
  <c r="G18" i="30"/>
  <c r="F18" i="30"/>
  <c r="O19" i="30" s="1"/>
  <c r="E18" i="30"/>
  <c r="D18" i="30"/>
  <c r="C18" i="30"/>
  <c r="N19" i="30" s="1"/>
  <c r="B18" i="30"/>
  <c r="M19" i="30" s="1"/>
  <c r="I17" i="30"/>
  <c r="H17" i="30"/>
  <c r="O18" i="30" s="1"/>
  <c r="G17" i="30"/>
  <c r="F17" i="30"/>
  <c r="E17" i="30"/>
  <c r="D17" i="30"/>
  <c r="C17" i="30"/>
  <c r="N18" i="30" s="1"/>
  <c r="B17" i="30"/>
  <c r="M18" i="30" s="1"/>
  <c r="I16" i="30"/>
  <c r="O17" i="30" s="1"/>
  <c r="H16" i="30"/>
  <c r="G16" i="30"/>
  <c r="F16" i="30"/>
  <c r="E16" i="30"/>
  <c r="D16" i="30"/>
  <c r="C16" i="30"/>
  <c r="N17" i="30" s="1"/>
  <c r="B16" i="30"/>
  <c r="M17" i="30" s="1"/>
  <c r="O15" i="30"/>
  <c r="I15" i="30"/>
  <c r="H15" i="30"/>
  <c r="O16" i="30" s="1"/>
  <c r="G15" i="30"/>
  <c r="F15" i="30"/>
  <c r="E15" i="30"/>
  <c r="D15" i="30"/>
  <c r="C15" i="30"/>
  <c r="N16" i="30" s="1"/>
  <c r="B15" i="30"/>
  <c r="M16" i="30" s="1"/>
  <c r="O14" i="30"/>
  <c r="N14" i="30"/>
  <c r="M14" i="30"/>
  <c r="I14" i="30"/>
  <c r="H14" i="30"/>
  <c r="G14" i="30"/>
  <c r="N15" i="30" s="1"/>
  <c r="F14" i="30"/>
  <c r="E14" i="30"/>
  <c r="D14" i="30"/>
  <c r="C14" i="30"/>
  <c r="B14" i="30"/>
  <c r="M15" i="30" s="1"/>
  <c r="O13" i="30"/>
  <c r="N13" i="30"/>
  <c r="M13" i="30"/>
  <c r="I13" i="30"/>
  <c r="H13" i="30"/>
  <c r="G13" i="30"/>
  <c r="F13" i="30"/>
  <c r="E13" i="30"/>
  <c r="D13" i="30"/>
  <c r="C13" i="30"/>
  <c r="B13" i="30"/>
  <c r="I12" i="30"/>
  <c r="H12" i="30"/>
  <c r="G12" i="30"/>
  <c r="F12" i="30"/>
  <c r="E12" i="30"/>
  <c r="D12" i="30"/>
  <c r="C12" i="30"/>
  <c r="B12" i="30"/>
  <c r="N12" i="30" l="1"/>
  <c r="O12" i="30"/>
  <c r="M12" i="30"/>
  <c r="B12" i="26" l="1"/>
  <c r="B3" i="26"/>
  <c r="B2" i="26" l="1"/>
  <c r="B13" i="26"/>
  <c r="B6" i="26" l="1"/>
  <c r="B4" i="26"/>
  <c r="B7" i="26"/>
  <c r="B9" i="26"/>
  <c r="B5" i="26"/>
  <c r="B18" i="26"/>
  <c r="B17" i="26"/>
  <c r="J2" i="28"/>
  <c r="J16" i="28" s="1"/>
  <c r="K2" i="28"/>
  <c r="L2" i="28"/>
  <c r="M2" i="28"/>
  <c r="J3" i="28"/>
  <c r="K3" i="28"/>
  <c r="L3" i="28"/>
  <c r="M3" i="28"/>
  <c r="J4" i="28"/>
  <c r="K4" i="28"/>
  <c r="L4" i="28"/>
  <c r="M4" i="28"/>
  <c r="M18" i="28" s="1"/>
  <c r="J5" i="28"/>
  <c r="K5" i="28"/>
  <c r="L5" i="28"/>
  <c r="M5" i="28"/>
  <c r="J6" i="28"/>
  <c r="K6" i="28"/>
  <c r="L6" i="28"/>
  <c r="M6" i="28"/>
  <c r="J7" i="28"/>
  <c r="K7" i="28"/>
  <c r="L7" i="28"/>
  <c r="M7" i="28"/>
  <c r="M23" i="28" s="1"/>
  <c r="J8" i="28"/>
  <c r="K8" i="28"/>
  <c r="L8" i="28"/>
  <c r="M8" i="28"/>
  <c r="J9" i="28"/>
  <c r="K9" i="28"/>
  <c r="L9" i="28"/>
  <c r="M9" i="28"/>
  <c r="J10" i="28"/>
  <c r="J26" i="28" s="1"/>
  <c r="K10" i="28"/>
  <c r="K26" i="28" s="1"/>
  <c r="L10" i="28"/>
  <c r="L26" i="28" s="1"/>
  <c r="M10" i="28"/>
  <c r="M26" i="28" s="1"/>
  <c r="J11" i="28"/>
  <c r="K11" i="28"/>
  <c r="L11" i="28"/>
  <c r="M11" i="28"/>
  <c r="J12" i="28"/>
  <c r="K12" i="28"/>
  <c r="L12" i="28"/>
  <c r="M12" i="28"/>
  <c r="M28" i="28" s="1"/>
  <c r="J13" i="28"/>
  <c r="J29" i="28" s="1"/>
  <c r="K13" i="28"/>
  <c r="K29" i="28" s="1"/>
  <c r="L13" i="28"/>
  <c r="L29" i="28" s="1"/>
  <c r="M13" i="28"/>
  <c r="M29" i="28" s="1"/>
  <c r="F14" i="28"/>
  <c r="K16" i="28"/>
  <c r="L16" i="28"/>
  <c r="M16" i="28"/>
  <c r="J17" i="28"/>
  <c r="K17" i="28"/>
  <c r="L17" i="28"/>
  <c r="M17" i="28"/>
  <c r="J18" i="28"/>
  <c r="K18" i="28"/>
  <c r="L18" i="28"/>
  <c r="J19" i="28"/>
  <c r="K19" i="28"/>
  <c r="L19" i="28"/>
  <c r="M19" i="28"/>
  <c r="J20" i="28"/>
  <c r="K20" i="28"/>
  <c r="L20" i="28"/>
  <c r="M20" i="28"/>
  <c r="J23" i="28"/>
  <c r="K23" i="28"/>
  <c r="L23" i="28"/>
  <c r="J24" i="28"/>
  <c r="K24" i="28"/>
  <c r="L24" i="28"/>
  <c r="M24" i="28"/>
  <c r="J27" i="28"/>
  <c r="K27" i="28"/>
  <c r="L27" i="28"/>
  <c r="M27" i="28"/>
  <c r="J28" i="28"/>
  <c r="K28" i="28"/>
  <c r="L28" i="28"/>
  <c r="J37" i="28"/>
  <c r="K37" i="28"/>
  <c r="L37" i="28"/>
  <c r="M37" i="28"/>
  <c r="J38" i="28"/>
  <c r="K38" i="28"/>
  <c r="L38" i="28"/>
  <c r="M38" i="28"/>
  <c r="J39" i="28"/>
  <c r="K39" i="28"/>
  <c r="L39" i="28"/>
  <c r="M39" i="28"/>
  <c r="J40" i="28"/>
  <c r="K40" i="28"/>
  <c r="L40" i="28"/>
  <c r="M40" i="28"/>
  <c r="J41" i="28"/>
  <c r="K41" i="28"/>
  <c r="L41" i="28"/>
  <c r="M41" i="28"/>
  <c r="J42" i="28"/>
  <c r="K42" i="28"/>
  <c r="L42" i="28"/>
  <c r="M42" i="28"/>
  <c r="J43" i="28"/>
  <c r="K43" i="28"/>
  <c r="L43" i="28"/>
  <c r="M43" i="28"/>
  <c r="J44" i="28"/>
  <c r="K44" i="28"/>
  <c r="L44" i="28"/>
  <c r="M44" i="28"/>
  <c r="J45" i="28"/>
  <c r="K45" i="28"/>
  <c r="L45" i="28"/>
  <c r="M45" i="28"/>
  <c r="J46" i="28"/>
  <c r="K46" i="28"/>
  <c r="L46" i="28"/>
  <c r="M46" i="28"/>
  <c r="J47" i="28"/>
  <c r="K47" i="28"/>
  <c r="L47" i="28"/>
  <c r="M47" i="28"/>
  <c r="J48" i="28"/>
  <c r="K48" i="28"/>
  <c r="L48" i="28"/>
  <c r="M48" i="28"/>
  <c r="Y5" i="1"/>
  <c r="Z6" i="1"/>
  <c r="V38" i="25" l="1"/>
  <c r="U38" i="25"/>
  <c r="T38" i="25"/>
  <c r="S38" i="25"/>
  <c r="P38" i="25"/>
  <c r="O38" i="25"/>
  <c r="N38" i="25"/>
  <c r="M38" i="25"/>
  <c r="L38" i="25"/>
  <c r="J38" i="25"/>
  <c r="I38" i="25"/>
  <c r="H38" i="25"/>
  <c r="F38" i="25"/>
  <c r="E38" i="25"/>
  <c r="D38" i="25"/>
  <c r="C38" i="25"/>
  <c r="B38" i="25"/>
  <c r="V38" i="24"/>
  <c r="U38" i="24"/>
  <c r="T38" i="24"/>
  <c r="S38" i="24"/>
  <c r="P38" i="24"/>
  <c r="O38" i="24"/>
  <c r="N38" i="24"/>
  <c r="M38" i="24"/>
  <c r="L38" i="24"/>
  <c r="K38" i="24"/>
  <c r="J38" i="24"/>
  <c r="I38" i="24"/>
  <c r="H38" i="24"/>
  <c r="F38" i="24"/>
  <c r="E38" i="24"/>
  <c r="D38" i="24"/>
  <c r="C38" i="24"/>
  <c r="B38" i="24"/>
  <c r="Z36" i="24"/>
  <c r="Y36" i="24"/>
  <c r="X36" i="24"/>
  <c r="Z35" i="24"/>
  <c r="Y35" i="24"/>
  <c r="X35" i="24"/>
  <c r="Z34" i="24"/>
  <c r="Y34" i="24"/>
  <c r="X34" i="24"/>
  <c r="Z33" i="24"/>
  <c r="Y33" i="24"/>
  <c r="X33" i="24"/>
  <c r="Z32" i="24"/>
  <c r="Y32" i="24"/>
  <c r="X32" i="24"/>
  <c r="Z31" i="24"/>
  <c r="Y31" i="24"/>
  <c r="X31" i="24"/>
  <c r="Z30" i="24"/>
  <c r="Y30" i="24"/>
  <c r="X30" i="24"/>
  <c r="Z29" i="24"/>
  <c r="Y29" i="24"/>
  <c r="X29" i="24"/>
  <c r="Z28" i="24"/>
  <c r="Y28" i="24"/>
  <c r="X28" i="24"/>
  <c r="Z27" i="24"/>
  <c r="Y27" i="24"/>
  <c r="X27" i="24"/>
  <c r="Z26" i="24"/>
  <c r="Y26" i="24"/>
  <c r="X26" i="24"/>
  <c r="Z25" i="24"/>
  <c r="Y25" i="24"/>
  <c r="X25" i="24"/>
  <c r="Z24" i="24"/>
  <c r="Y24" i="24"/>
  <c r="X24" i="24"/>
  <c r="Z23" i="24"/>
  <c r="Y23" i="24"/>
  <c r="X23" i="24"/>
  <c r="Z22" i="24"/>
  <c r="Y22" i="24"/>
  <c r="X22" i="24"/>
  <c r="Z21" i="24"/>
  <c r="Y21" i="24"/>
  <c r="X21" i="24"/>
  <c r="Z20" i="24"/>
  <c r="Y20" i="24"/>
  <c r="X20" i="24"/>
  <c r="Z19" i="24"/>
  <c r="Y19" i="24"/>
  <c r="X19" i="24"/>
  <c r="Z18" i="24"/>
  <c r="Y18" i="24"/>
  <c r="X18" i="24"/>
  <c r="Z17" i="24"/>
  <c r="Y17" i="24"/>
  <c r="X17" i="24"/>
  <c r="Z16" i="24"/>
  <c r="Y16" i="24"/>
  <c r="X16" i="24"/>
  <c r="Z15" i="24"/>
  <c r="Y15" i="24"/>
  <c r="X15" i="24"/>
  <c r="Z14" i="24"/>
  <c r="Y14" i="24"/>
  <c r="X14" i="24"/>
  <c r="Z13" i="24"/>
  <c r="Y13" i="24"/>
  <c r="X13" i="24"/>
  <c r="Z12" i="24"/>
  <c r="Y12" i="24"/>
  <c r="X12" i="24"/>
  <c r="Z11" i="24"/>
  <c r="Y11" i="24"/>
  <c r="X11" i="24"/>
  <c r="Z10" i="24"/>
  <c r="Y10" i="24"/>
  <c r="X10" i="24"/>
  <c r="Z9" i="24"/>
  <c r="Y9" i="24"/>
  <c r="X9" i="24"/>
  <c r="Z8" i="24"/>
  <c r="Y8" i="24"/>
  <c r="X8" i="24"/>
  <c r="Z7" i="24"/>
  <c r="Y7" i="24"/>
  <c r="X7" i="24"/>
  <c r="Z6" i="24"/>
  <c r="Y6" i="24"/>
  <c r="X6" i="24"/>
  <c r="Z5" i="24"/>
  <c r="Y5" i="24"/>
  <c r="X5" i="24"/>
  <c r="V38" i="23"/>
  <c r="U38" i="23"/>
  <c r="T38" i="23"/>
  <c r="S38" i="23"/>
  <c r="P38" i="23"/>
  <c r="O38" i="23"/>
  <c r="N38" i="23"/>
  <c r="M38" i="23"/>
  <c r="L38" i="23"/>
  <c r="K38" i="23"/>
  <c r="J38" i="23"/>
  <c r="I38" i="23"/>
  <c r="H38" i="23"/>
  <c r="F38" i="23"/>
  <c r="E38" i="23"/>
  <c r="D38" i="23"/>
  <c r="C38" i="23"/>
  <c r="B38" i="23"/>
  <c r="Z36" i="23"/>
  <c r="Y36" i="23"/>
  <c r="X36" i="23"/>
  <c r="Z35" i="23"/>
  <c r="Y35" i="23"/>
  <c r="X35" i="23"/>
  <c r="Z34" i="23"/>
  <c r="Y34" i="23"/>
  <c r="X34" i="23"/>
  <c r="Z33" i="23"/>
  <c r="Y33" i="23"/>
  <c r="X33" i="23"/>
  <c r="Z32" i="23"/>
  <c r="Y32" i="23"/>
  <c r="X32" i="23"/>
  <c r="Z31" i="23"/>
  <c r="Y31" i="23"/>
  <c r="X31" i="23"/>
  <c r="Z30" i="23"/>
  <c r="Y30" i="23"/>
  <c r="X30" i="23"/>
  <c r="Z29" i="23"/>
  <c r="Y29" i="23"/>
  <c r="X29" i="23"/>
  <c r="Z28" i="23"/>
  <c r="Y28" i="23"/>
  <c r="X28" i="23"/>
  <c r="Z27" i="23"/>
  <c r="Y27" i="23"/>
  <c r="X27" i="23"/>
  <c r="Z26" i="23"/>
  <c r="Y26" i="23"/>
  <c r="X26" i="23"/>
  <c r="Z25" i="23"/>
  <c r="Y25" i="23"/>
  <c r="X25" i="23"/>
  <c r="Z24" i="23"/>
  <c r="Y24" i="23"/>
  <c r="X24" i="23"/>
  <c r="Z23" i="23"/>
  <c r="Y23" i="23"/>
  <c r="X23" i="23"/>
  <c r="Z22" i="23"/>
  <c r="Y22" i="23"/>
  <c r="X22" i="23"/>
  <c r="Z21" i="23"/>
  <c r="Y21" i="23"/>
  <c r="X21" i="23"/>
  <c r="Z20" i="23"/>
  <c r="Y20" i="23"/>
  <c r="X20" i="23"/>
  <c r="Z19" i="23"/>
  <c r="Y19" i="23"/>
  <c r="X19" i="23"/>
  <c r="Z18" i="23"/>
  <c r="Y18" i="23"/>
  <c r="X18" i="23"/>
  <c r="Z17" i="23"/>
  <c r="Y17" i="23"/>
  <c r="X17" i="23"/>
  <c r="Z16" i="23"/>
  <c r="Y16" i="23"/>
  <c r="X16" i="23"/>
  <c r="Z15" i="23"/>
  <c r="Y15" i="23"/>
  <c r="X15" i="23"/>
  <c r="Z14" i="23"/>
  <c r="Y14" i="23"/>
  <c r="X14" i="23"/>
  <c r="Z13" i="23"/>
  <c r="Y13" i="23"/>
  <c r="X13" i="23"/>
  <c r="Z12" i="23"/>
  <c r="Y12" i="23"/>
  <c r="X12" i="23"/>
  <c r="Z11" i="23"/>
  <c r="Y11" i="23"/>
  <c r="X11" i="23"/>
  <c r="Z10" i="23"/>
  <c r="Y10" i="23"/>
  <c r="X10" i="23"/>
  <c r="Z9" i="23"/>
  <c r="Y9" i="23"/>
  <c r="X9" i="23"/>
  <c r="Z8" i="23"/>
  <c r="Y8" i="23"/>
  <c r="X8" i="23"/>
  <c r="Z7" i="23"/>
  <c r="Y7" i="23"/>
  <c r="X7" i="23"/>
  <c r="Z6" i="23"/>
  <c r="Y6" i="23"/>
  <c r="X6" i="23"/>
  <c r="Z5" i="23"/>
  <c r="Y5" i="23"/>
  <c r="X5" i="23"/>
  <c r="V38" i="22"/>
  <c r="U38" i="22"/>
  <c r="T38" i="22"/>
  <c r="S38" i="22"/>
  <c r="P38" i="22"/>
  <c r="O38" i="22"/>
  <c r="N38" i="22"/>
  <c r="M38" i="22"/>
  <c r="L38" i="22"/>
  <c r="K38" i="22"/>
  <c r="J38" i="22"/>
  <c r="I38" i="22"/>
  <c r="H38" i="22"/>
  <c r="F38" i="22"/>
  <c r="E38" i="22"/>
  <c r="D38" i="22"/>
  <c r="C38" i="22"/>
  <c r="B38" i="22"/>
  <c r="Z36" i="22"/>
  <c r="Y36" i="22"/>
  <c r="X36" i="22"/>
  <c r="Z35" i="22"/>
  <c r="Y35" i="22"/>
  <c r="X35" i="22"/>
  <c r="Z34" i="22"/>
  <c r="Y34" i="22"/>
  <c r="X34" i="22"/>
  <c r="Z33" i="22"/>
  <c r="Y33" i="22"/>
  <c r="X33" i="22"/>
  <c r="Z32" i="22"/>
  <c r="Y32" i="22"/>
  <c r="X32" i="22"/>
  <c r="Z31" i="22"/>
  <c r="Y31" i="22"/>
  <c r="X31" i="22"/>
  <c r="Z30" i="22"/>
  <c r="Y30" i="22"/>
  <c r="X30" i="22"/>
  <c r="Z29" i="22"/>
  <c r="Y29" i="22"/>
  <c r="X29" i="22"/>
  <c r="Z28" i="22"/>
  <c r="Y28" i="22"/>
  <c r="X28" i="22"/>
  <c r="Z27" i="22"/>
  <c r="Y27" i="22"/>
  <c r="X27" i="22"/>
  <c r="Z26" i="22"/>
  <c r="Y26" i="22"/>
  <c r="X26" i="22"/>
  <c r="Z25" i="22"/>
  <c r="Y25" i="22"/>
  <c r="X25" i="22"/>
  <c r="Z24" i="22"/>
  <c r="Y24" i="22"/>
  <c r="X24" i="22"/>
  <c r="Z23" i="22"/>
  <c r="Y23" i="22"/>
  <c r="X23" i="22"/>
  <c r="Z22" i="22"/>
  <c r="Y22" i="22"/>
  <c r="X22" i="22"/>
  <c r="Z21" i="22"/>
  <c r="Y21" i="22"/>
  <c r="X21" i="22"/>
  <c r="Z20" i="22"/>
  <c r="Y20" i="22"/>
  <c r="X20" i="22"/>
  <c r="Z19" i="22"/>
  <c r="Y19" i="22"/>
  <c r="X19" i="22"/>
  <c r="Z18" i="22"/>
  <c r="Y18" i="22"/>
  <c r="X18" i="22"/>
  <c r="Z17" i="22"/>
  <c r="Y17" i="22"/>
  <c r="X17" i="22"/>
  <c r="Z16" i="22"/>
  <c r="Y16" i="22"/>
  <c r="X16" i="22"/>
  <c r="Z15" i="22"/>
  <c r="Y15" i="22"/>
  <c r="X15" i="22"/>
  <c r="Z14" i="22"/>
  <c r="Y14" i="22"/>
  <c r="X14" i="22"/>
  <c r="Z13" i="22"/>
  <c r="Y13" i="22"/>
  <c r="X13" i="22"/>
  <c r="Z12" i="22"/>
  <c r="Y12" i="22"/>
  <c r="X12" i="22"/>
  <c r="Z11" i="22"/>
  <c r="Y11" i="22"/>
  <c r="X11" i="22"/>
  <c r="Z10" i="22"/>
  <c r="Y10" i="22"/>
  <c r="X10" i="22"/>
  <c r="Z9" i="22"/>
  <c r="Y9" i="22"/>
  <c r="X9" i="22"/>
  <c r="Z8" i="22"/>
  <c r="Y8" i="22"/>
  <c r="X8" i="22"/>
  <c r="Z7" i="22"/>
  <c r="Y7" i="22"/>
  <c r="X7" i="22"/>
  <c r="Z6" i="22"/>
  <c r="Y6" i="22"/>
  <c r="X6" i="22"/>
  <c r="Z5" i="22"/>
  <c r="Y5" i="22"/>
  <c r="X5" i="22"/>
  <c r="V38" i="21"/>
  <c r="U38" i="21"/>
  <c r="T38" i="21"/>
  <c r="S38" i="21"/>
  <c r="P38" i="21"/>
  <c r="O38" i="21"/>
  <c r="N38" i="21"/>
  <c r="M38" i="21"/>
  <c r="L38" i="21"/>
  <c r="K38" i="21"/>
  <c r="J38" i="21"/>
  <c r="I38" i="21"/>
  <c r="H38" i="21"/>
  <c r="F38" i="21"/>
  <c r="E38" i="21"/>
  <c r="D38" i="21"/>
  <c r="C38" i="21"/>
  <c r="B38" i="21"/>
  <c r="Z36" i="21"/>
  <c r="Y36" i="21"/>
  <c r="X36" i="21"/>
  <c r="Z35" i="21"/>
  <c r="Y35" i="21"/>
  <c r="X35" i="21"/>
  <c r="Z34" i="21"/>
  <c r="Y34" i="21"/>
  <c r="X34" i="21"/>
  <c r="Z33" i="21"/>
  <c r="Y33" i="21"/>
  <c r="X33" i="21"/>
  <c r="Z32" i="21"/>
  <c r="Y32" i="21"/>
  <c r="X32" i="21"/>
  <c r="Z31" i="21"/>
  <c r="Y31" i="21"/>
  <c r="X31" i="21"/>
  <c r="Z30" i="21"/>
  <c r="Y30" i="21"/>
  <c r="X30" i="21"/>
  <c r="Z29" i="21"/>
  <c r="Y29" i="21"/>
  <c r="X29" i="21"/>
  <c r="Z28" i="21"/>
  <c r="Y28" i="21"/>
  <c r="X28" i="21"/>
  <c r="Z27" i="21"/>
  <c r="Y27" i="21"/>
  <c r="X27" i="21"/>
  <c r="Z26" i="21"/>
  <c r="Y26" i="21"/>
  <c r="X26" i="21"/>
  <c r="Z25" i="21"/>
  <c r="Y25" i="21"/>
  <c r="X25" i="21"/>
  <c r="Z24" i="21"/>
  <c r="Y24" i="21"/>
  <c r="X24" i="21"/>
  <c r="Z23" i="21"/>
  <c r="Y23" i="21"/>
  <c r="X23" i="21"/>
  <c r="Z22" i="21"/>
  <c r="Y22" i="21"/>
  <c r="X22" i="21"/>
  <c r="Z21" i="21"/>
  <c r="Y21" i="21"/>
  <c r="X21" i="21"/>
  <c r="Z20" i="21"/>
  <c r="Y20" i="21"/>
  <c r="X20" i="21"/>
  <c r="Z19" i="21"/>
  <c r="Y19" i="21"/>
  <c r="X19" i="21"/>
  <c r="Z18" i="21"/>
  <c r="Y18" i="21"/>
  <c r="X18" i="21"/>
  <c r="Z17" i="21"/>
  <c r="Y17" i="21"/>
  <c r="X17" i="21"/>
  <c r="Z16" i="21"/>
  <c r="Y16" i="21"/>
  <c r="X16" i="21"/>
  <c r="Z15" i="21"/>
  <c r="Y15" i="21"/>
  <c r="X15" i="21"/>
  <c r="Z14" i="21"/>
  <c r="Y14" i="21"/>
  <c r="X14" i="21"/>
  <c r="Z13" i="21"/>
  <c r="Y13" i="21"/>
  <c r="X13" i="21"/>
  <c r="Z12" i="21"/>
  <c r="Y12" i="21"/>
  <c r="X12" i="21"/>
  <c r="Z11" i="21"/>
  <c r="Y11" i="21"/>
  <c r="X11" i="21"/>
  <c r="Z10" i="21"/>
  <c r="Y10" i="21"/>
  <c r="X10" i="21"/>
  <c r="Z9" i="21"/>
  <c r="Y9" i="21"/>
  <c r="X9" i="21"/>
  <c r="Z8" i="21"/>
  <c r="Y8" i="21"/>
  <c r="X8" i="21"/>
  <c r="Z7" i="21"/>
  <c r="Y7" i="21"/>
  <c r="X7" i="21"/>
  <c r="Z6" i="21"/>
  <c r="Y6" i="21"/>
  <c r="X6" i="21"/>
  <c r="Z5" i="21"/>
  <c r="Y5" i="21"/>
  <c r="X5" i="21"/>
  <c r="V38" i="20"/>
  <c r="U38" i="20"/>
  <c r="T38" i="20"/>
  <c r="S38" i="20"/>
  <c r="P38" i="20"/>
  <c r="O38" i="20"/>
  <c r="N38" i="20"/>
  <c r="M38" i="20"/>
  <c r="L38" i="20"/>
  <c r="K38" i="20"/>
  <c r="J38" i="20"/>
  <c r="I38" i="20"/>
  <c r="H38" i="20"/>
  <c r="F38" i="20"/>
  <c r="E38" i="20"/>
  <c r="D38" i="20"/>
  <c r="C38" i="20"/>
  <c r="B38" i="20"/>
  <c r="Z36" i="20"/>
  <c r="Y36" i="20"/>
  <c r="X36" i="20"/>
  <c r="Z35" i="20"/>
  <c r="Y35" i="20"/>
  <c r="X35" i="20"/>
  <c r="Z34" i="20"/>
  <c r="Y34" i="20"/>
  <c r="X34" i="20"/>
  <c r="Z33" i="20"/>
  <c r="Y33" i="20"/>
  <c r="X33" i="20"/>
  <c r="Z32" i="20"/>
  <c r="Y32" i="20"/>
  <c r="X32" i="20"/>
  <c r="Z31" i="20"/>
  <c r="Y31" i="20"/>
  <c r="X31" i="20"/>
  <c r="Z30" i="20"/>
  <c r="Y30" i="20"/>
  <c r="X30" i="20"/>
  <c r="Z29" i="20"/>
  <c r="Y29" i="20"/>
  <c r="X29" i="20"/>
  <c r="Z28" i="20"/>
  <c r="Y28" i="20"/>
  <c r="X28" i="20"/>
  <c r="Z27" i="20"/>
  <c r="Y27" i="20"/>
  <c r="X27" i="20"/>
  <c r="Z26" i="20"/>
  <c r="Y26" i="20"/>
  <c r="X26" i="20"/>
  <c r="Z25" i="20"/>
  <c r="Y25" i="20"/>
  <c r="X25" i="20"/>
  <c r="Z24" i="20"/>
  <c r="Y24" i="20"/>
  <c r="X24" i="20"/>
  <c r="Z23" i="20"/>
  <c r="Y23" i="20"/>
  <c r="X23" i="20"/>
  <c r="Z22" i="20"/>
  <c r="Y22" i="20"/>
  <c r="X22" i="20"/>
  <c r="Z21" i="20"/>
  <c r="Y21" i="20"/>
  <c r="X21" i="20"/>
  <c r="Z20" i="20"/>
  <c r="Y20" i="20"/>
  <c r="X20" i="20"/>
  <c r="Z19" i="20"/>
  <c r="Y19" i="20"/>
  <c r="X19" i="20"/>
  <c r="Z18" i="20"/>
  <c r="Y18" i="20"/>
  <c r="X18" i="20"/>
  <c r="Z17" i="20"/>
  <c r="Y17" i="20"/>
  <c r="X17" i="20"/>
  <c r="Z16" i="20"/>
  <c r="Y16" i="20"/>
  <c r="X16" i="20"/>
  <c r="Z15" i="20"/>
  <c r="Y15" i="20"/>
  <c r="X15" i="20"/>
  <c r="Z14" i="20"/>
  <c r="Y14" i="20"/>
  <c r="X14" i="20"/>
  <c r="Z13" i="20"/>
  <c r="Y13" i="20"/>
  <c r="X13" i="20"/>
  <c r="Z12" i="20"/>
  <c r="Y12" i="20"/>
  <c r="X12" i="20"/>
  <c r="Z11" i="20"/>
  <c r="Y11" i="20"/>
  <c r="X11" i="20"/>
  <c r="Z10" i="20"/>
  <c r="Y10" i="20"/>
  <c r="X10" i="20"/>
  <c r="Z9" i="20"/>
  <c r="Y9" i="20"/>
  <c r="X9" i="20"/>
  <c r="Z8" i="20"/>
  <c r="Y8" i="20"/>
  <c r="X8" i="20"/>
  <c r="Z7" i="20"/>
  <c r="Y7" i="20"/>
  <c r="X7" i="20"/>
  <c r="Z6" i="20"/>
  <c r="Y6" i="20"/>
  <c r="X6" i="20"/>
  <c r="Z5" i="20"/>
  <c r="Y5" i="20"/>
  <c r="X5" i="20"/>
  <c r="V38" i="19"/>
  <c r="U38" i="19"/>
  <c r="T38" i="19"/>
  <c r="S38" i="19"/>
  <c r="P38" i="19"/>
  <c r="O38" i="19"/>
  <c r="N38" i="19"/>
  <c r="M38" i="19"/>
  <c r="L38" i="19"/>
  <c r="K38" i="19"/>
  <c r="J38" i="19"/>
  <c r="I38" i="19"/>
  <c r="H38" i="19"/>
  <c r="F38" i="19"/>
  <c r="E38" i="19"/>
  <c r="D38" i="19"/>
  <c r="C38" i="19"/>
  <c r="B38" i="19"/>
  <c r="Z36" i="19"/>
  <c r="Y36" i="19"/>
  <c r="X36" i="19"/>
  <c r="Z35" i="19"/>
  <c r="Y35" i="19"/>
  <c r="X35" i="19"/>
  <c r="Z34" i="19"/>
  <c r="Y34" i="19"/>
  <c r="X34" i="19"/>
  <c r="Z33" i="19"/>
  <c r="Y33" i="19"/>
  <c r="X33" i="19"/>
  <c r="Z32" i="19"/>
  <c r="Y32" i="19"/>
  <c r="X32" i="19"/>
  <c r="Z31" i="19"/>
  <c r="Y31" i="19"/>
  <c r="X31" i="19"/>
  <c r="Z30" i="19"/>
  <c r="Y30" i="19"/>
  <c r="X30" i="19"/>
  <c r="Z29" i="19"/>
  <c r="Y29" i="19"/>
  <c r="X29" i="19"/>
  <c r="Z28" i="19"/>
  <c r="Y28" i="19"/>
  <c r="X28" i="19"/>
  <c r="Z27" i="19"/>
  <c r="Y27" i="19"/>
  <c r="X27" i="19"/>
  <c r="Z26" i="19"/>
  <c r="Y26" i="19"/>
  <c r="X26" i="19"/>
  <c r="Z25" i="19"/>
  <c r="Y25" i="19"/>
  <c r="X25" i="19"/>
  <c r="Z24" i="19"/>
  <c r="Y24" i="19"/>
  <c r="X24" i="19"/>
  <c r="Z23" i="19"/>
  <c r="Y23" i="19"/>
  <c r="X23" i="19"/>
  <c r="Z22" i="19"/>
  <c r="Y22" i="19"/>
  <c r="X22" i="19"/>
  <c r="Z21" i="19"/>
  <c r="Y21" i="19"/>
  <c r="X21" i="19"/>
  <c r="Z20" i="19"/>
  <c r="Y20" i="19"/>
  <c r="X20" i="19"/>
  <c r="Z19" i="19"/>
  <c r="Y19" i="19"/>
  <c r="X19" i="19"/>
  <c r="Z18" i="19"/>
  <c r="Y18" i="19"/>
  <c r="X18" i="19"/>
  <c r="Z17" i="19"/>
  <c r="Y17" i="19"/>
  <c r="X17" i="19"/>
  <c r="Z16" i="19"/>
  <c r="Y16" i="19"/>
  <c r="X16" i="19"/>
  <c r="Z15" i="19"/>
  <c r="Y15" i="19"/>
  <c r="X15" i="19"/>
  <c r="Z14" i="19"/>
  <c r="Y14" i="19"/>
  <c r="X14" i="19"/>
  <c r="Z13" i="19"/>
  <c r="Y13" i="19"/>
  <c r="X13" i="19"/>
  <c r="Z12" i="19"/>
  <c r="Y12" i="19"/>
  <c r="X12" i="19"/>
  <c r="Z11" i="19"/>
  <c r="Y11" i="19"/>
  <c r="X11" i="19"/>
  <c r="Z10" i="19"/>
  <c r="Y10" i="19"/>
  <c r="X10" i="19"/>
  <c r="Z9" i="19"/>
  <c r="Y9" i="19"/>
  <c r="X9" i="19"/>
  <c r="Z8" i="19"/>
  <c r="Y8" i="19"/>
  <c r="X8" i="19"/>
  <c r="Z7" i="19"/>
  <c r="Y7" i="19"/>
  <c r="X7" i="19"/>
  <c r="Z6" i="19"/>
  <c r="Y6" i="19"/>
  <c r="X6" i="19"/>
  <c r="Z5" i="19"/>
  <c r="Y5" i="19"/>
  <c r="X5" i="19"/>
  <c r="V38" i="18"/>
  <c r="U38" i="18"/>
  <c r="T38" i="18"/>
  <c r="S38" i="18"/>
  <c r="P38" i="18"/>
  <c r="O38" i="18"/>
  <c r="N38" i="18"/>
  <c r="M38" i="18"/>
  <c r="L38" i="18"/>
  <c r="K38" i="18"/>
  <c r="J38" i="18"/>
  <c r="I38" i="18"/>
  <c r="H38" i="18"/>
  <c r="F38" i="18"/>
  <c r="E38" i="18"/>
  <c r="D38" i="18"/>
  <c r="C38" i="18"/>
  <c r="B38" i="18"/>
  <c r="Z36" i="18"/>
  <c r="Y36" i="18"/>
  <c r="X36" i="18"/>
  <c r="Z35" i="18"/>
  <c r="Y35" i="18"/>
  <c r="X35" i="18"/>
  <c r="Z34" i="18"/>
  <c r="Y34" i="18"/>
  <c r="X34" i="18"/>
  <c r="Z33" i="18"/>
  <c r="Y33" i="18"/>
  <c r="X33" i="18"/>
  <c r="Z32" i="18"/>
  <c r="Y32" i="18"/>
  <c r="X32" i="18"/>
  <c r="Z31" i="18"/>
  <c r="Y31" i="18"/>
  <c r="X31" i="18"/>
  <c r="Z30" i="18"/>
  <c r="Y30" i="18"/>
  <c r="X30" i="18"/>
  <c r="Z29" i="18"/>
  <c r="Y29" i="18"/>
  <c r="X29" i="18"/>
  <c r="Z28" i="18"/>
  <c r="Y28" i="18"/>
  <c r="X28" i="18"/>
  <c r="Z27" i="18"/>
  <c r="Y27" i="18"/>
  <c r="X27" i="18"/>
  <c r="Z26" i="18"/>
  <c r="Y26" i="18"/>
  <c r="X26" i="18"/>
  <c r="Z25" i="18"/>
  <c r="Y25" i="18"/>
  <c r="X25" i="18"/>
  <c r="Z24" i="18"/>
  <c r="Y24" i="18"/>
  <c r="X24" i="18"/>
  <c r="Z23" i="18"/>
  <c r="Y23" i="18"/>
  <c r="X23" i="18"/>
  <c r="Z22" i="18"/>
  <c r="Y22" i="18"/>
  <c r="X22" i="18"/>
  <c r="Z21" i="18"/>
  <c r="Y21" i="18"/>
  <c r="X21" i="18"/>
  <c r="Z20" i="18"/>
  <c r="Y20" i="18"/>
  <c r="X20" i="18"/>
  <c r="Z19" i="18"/>
  <c r="Y19" i="18"/>
  <c r="X19" i="18"/>
  <c r="Z18" i="18"/>
  <c r="Y18" i="18"/>
  <c r="X18" i="18"/>
  <c r="Z17" i="18"/>
  <c r="Y17" i="18"/>
  <c r="X17" i="18"/>
  <c r="Z16" i="18"/>
  <c r="Y16" i="18"/>
  <c r="X16" i="18"/>
  <c r="Z15" i="18"/>
  <c r="Y15" i="18"/>
  <c r="X15" i="18"/>
  <c r="Z14" i="18"/>
  <c r="Y14" i="18"/>
  <c r="X14" i="18"/>
  <c r="Z13" i="18"/>
  <c r="Y13" i="18"/>
  <c r="X13" i="18"/>
  <c r="Z12" i="18"/>
  <c r="Y12" i="18"/>
  <c r="X12" i="18"/>
  <c r="Z11" i="18"/>
  <c r="Y11" i="18"/>
  <c r="X11" i="18"/>
  <c r="Z10" i="18"/>
  <c r="Y10" i="18"/>
  <c r="X10" i="18"/>
  <c r="Z9" i="18"/>
  <c r="Y9" i="18"/>
  <c r="X9" i="18"/>
  <c r="Z8" i="18"/>
  <c r="Y8" i="18"/>
  <c r="X8" i="18"/>
  <c r="Z7" i="18"/>
  <c r="Y7" i="18"/>
  <c r="X7" i="18"/>
  <c r="Z6" i="18"/>
  <c r="Y6" i="18"/>
  <c r="X6" i="18"/>
  <c r="Z5" i="18"/>
  <c r="Y5" i="18"/>
  <c r="X5" i="18"/>
  <c r="Y5" i="11"/>
  <c r="J38" i="11"/>
  <c r="J38" i="9"/>
  <c r="J38" i="8"/>
  <c r="J38" i="7"/>
  <c r="J38" i="6"/>
  <c r="J38" i="5"/>
  <c r="Y25" i="1"/>
  <c r="V38" i="17"/>
  <c r="U38" i="17"/>
  <c r="T38" i="17"/>
  <c r="S38" i="17"/>
  <c r="P38" i="17"/>
  <c r="O38" i="17"/>
  <c r="N38" i="17"/>
  <c r="M38" i="17"/>
  <c r="L38" i="17"/>
  <c r="J38" i="17"/>
  <c r="I38" i="17"/>
  <c r="H38" i="17"/>
  <c r="F38" i="17"/>
  <c r="E38" i="17"/>
  <c r="D38" i="17"/>
  <c r="C38" i="17"/>
  <c r="B38" i="17"/>
  <c r="V38" i="16"/>
  <c r="U38" i="16"/>
  <c r="T38" i="16"/>
  <c r="S38" i="16"/>
  <c r="P38" i="16"/>
  <c r="O38" i="16"/>
  <c r="N38" i="16"/>
  <c r="M38" i="16"/>
  <c r="L38" i="16"/>
  <c r="J38" i="16"/>
  <c r="I38" i="16"/>
  <c r="H38" i="16"/>
  <c r="F38" i="16"/>
  <c r="E38" i="16"/>
  <c r="D38" i="16"/>
  <c r="C38" i="16"/>
  <c r="B38" i="16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5" i="1"/>
  <c r="X25" i="11"/>
  <c r="V38" i="11"/>
  <c r="U38" i="11"/>
  <c r="T38" i="11"/>
  <c r="S38" i="11"/>
  <c r="P38" i="11"/>
  <c r="O38" i="11"/>
  <c r="N38" i="11"/>
  <c r="M38" i="11"/>
  <c r="L38" i="11"/>
  <c r="K38" i="11"/>
  <c r="I38" i="11"/>
  <c r="H38" i="11"/>
  <c r="F38" i="11"/>
  <c r="E38" i="11"/>
  <c r="D38" i="11"/>
  <c r="C38" i="11"/>
  <c r="B38" i="11"/>
  <c r="Z36" i="11"/>
  <c r="Y36" i="11"/>
  <c r="X36" i="11"/>
  <c r="Z35" i="11"/>
  <c r="Y35" i="11"/>
  <c r="X35" i="11"/>
  <c r="Z34" i="11"/>
  <c r="Y34" i="11"/>
  <c r="X34" i="11"/>
  <c r="Z33" i="11"/>
  <c r="Y33" i="11"/>
  <c r="X33" i="11"/>
  <c r="Z32" i="11"/>
  <c r="Y32" i="11"/>
  <c r="X32" i="11"/>
  <c r="Z31" i="11"/>
  <c r="Y31" i="11"/>
  <c r="X31" i="11"/>
  <c r="Z30" i="11"/>
  <c r="Y30" i="11"/>
  <c r="X30" i="11"/>
  <c r="Z29" i="11"/>
  <c r="Y29" i="11"/>
  <c r="X29" i="11"/>
  <c r="Z28" i="11"/>
  <c r="Y28" i="11"/>
  <c r="X28" i="11"/>
  <c r="Z27" i="11"/>
  <c r="Y27" i="11"/>
  <c r="X27" i="11"/>
  <c r="Z26" i="11"/>
  <c r="Y26" i="11"/>
  <c r="X26" i="11"/>
  <c r="Z25" i="11"/>
  <c r="Y25" i="11"/>
  <c r="Z24" i="11"/>
  <c r="Y24" i="11"/>
  <c r="X24" i="11"/>
  <c r="Z23" i="11"/>
  <c r="Y23" i="11"/>
  <c r="X23" i="11"/>
  <c r="Z22" i="11"/>
  <c r="Y22" i="11"/>
  <c r="X22" i="11"/>
  <c r="Z21" i="11"/>
  <c r="Y21" i="11"/>
  <c r="X21" i="11"/>
  <c r="Z20" i="11"/>
  <c r="Y20" i="11"/>
  <c r="X20" i="11"/>
  <c r="Z19" i="11"/>
  <c r="Y19" i="11"/>
  <c r="X19" i="11"/>
  <c r="Z18" i="11"/>
  <c r="Y18" i="11"/>
  <c r="X18" i="11"/>
  <c r="Z17" i="11"/>
  <c r="Y17" i="11"/>
  <c r="X17" i="11"/>
  <c r="Z16" i="11"/>
  <c r="Y16" i="11"/>
  <c r="X16" i="11"/>
  <c r="Z15" i="11"/>
  <c r="Y15" i="11"/>
  <c r="X15" i="11"/>
  <c r="Z14" i="11"/>
  <c r="Y14" i="11"/>
  <c r="X14" i="11"/>
  <c r="Z13" i="11"/>
  <c r="Y13" i="11"/>
  <c r="X13" i="11"/>
  <c r="Z12" i="11"/>
  <c r="Y12" i="11"/>
  <c r="X12" i="11"/>
  <c r="Z11" i="11"/>
  <c r="Y11" i="11"/>
  <c r="X11" i="11"/>
  <c r="Z10" i="11"/>
  <c r="Y10" i="11"/>
  <c r="X10" i="11"/>
  <c r="Z9" i="11"/>
  <c r="Y9" i="11"/>
  <c r="X9" i="11"/>
  <c r="Z8" i="11"/>
  <c r="Y8" i="11"/>
  <c r="X8" i="11"/>
  <c r="Z7" i="11"/>
  <c r="Y7" i="11"/>
  <c r="X7" i="11"/>
  <c r="Z6" i="11"/>
  <c r="Y6" i="11"/>
  <c r="X6" i="11"/>
  <c r="Z5" i="11"/>
  <c r="X5" i="11"/>
  <c r="B38" i="9"/>
  <c r="C38" i="9"/>
  <c r="V38" i="10"/>
  <c r="U38" i="10"/>
  <c r="T38" i="10"/>
  <c r="S38" i="10"/>
  <c r="P38" i="10"/>
  <c r="O38" i="10"/>
  <c r="N38" i="10"/>
  <c r="M38" i="10"/>
  <c r="L38" i="10"/>
  <c r="J38" i="10"/>
  <c r="I38" i="10"/>
  <c r="H38" i="10"/>
  <c r="F38" i="10"/>
  <c r="E38" i="10"/>
  <c r="D38" i="10"/>
  <c r="C38" i="10"/>
  <c r="B38" i="10"/>
  <c r="Z15" i="8"/>
  <c r="Z31" i="8"/>
  <c r="Z5" i="8"/>
  <c r="Z5" i="9"/>
  <c r="X10" i="9"/>
  <c r="V38" i="9"/>
  <c r="U38" i="9"/>
  <c r="T38" i="9"/>
  <c r="S38" i="9"/>
  <c r="P38" i="9"/>
  <c r="O38" i="9"/>
  <c r="N38" i="9"/>
  <c r="L38" i="9"/>
  <c r="K38" i="9"/>
  <c r="I38" i="9"/>
  <c r="H38" i="9"/>
  <c r="E38" i="9"/>
  <c r="D38" i="9"/>
  <c r="Z36" i="9"/>
  <c r="Y36" i="9"/>
  <c r="X36" i="9"/>
  <c r="X35" i="9"/>
  <c r="Z35" i="9"/>
  <c r="Y34" i="9"/>
  <c r="X34" i="9"/>
  <c r="Z34" i="9"/>
  <c r="Z33" i="9"/>
  <c r="Y33" i="9"/>
  <c r="X33" i="9"/>
  <c r="Z32" i="9"/>
  <c r="Y32" i="9"/>
  <c r="X32" i="9"/>
  <c r="Z31" i="9"/>
  <c r="X31" i="9"/>
  <c r="Y31" i="9"/>
  <c r="Y30" i="9"/>
  <c r="X30" i="9"/>
  <c r="Z30" i="9"/>
  <c r="Z29" i="9"/>
  <c r="Y29" i="9"/>
  <c r="X29" i="9"/>
  <c r="Z28" i="9"/>
  <c r="Y28" i="9"/>
  <c r="X28" i="9"/>
  <c r="Z27" i="9"/>
  <c r="X27" i="9"/>
  <c r="Y27" i="9"/>
  <c r="Y26" i="9"/>
  <c r="X26" i="9"/>
  <c r="Z26" i="9"/>
  <c r="Z25" i="9"/>
  <c r="Y25" i="9"/>
  <c r="X25" i="9"/>
  <c r="Z24" i="9"/>
  <c r="Y24" i="9"/>
  <c r="X24" i="9"/>
  <c r="Z23" i="9"/>
  <c r="X23" i="9"/>
  <c r="Y23" i="9"/>
  <c r="X22" i="9"/>
  <c r="Y22" i="9"/>
  <c r="Z21" i="9"/>
  <c r="Y21" i="9"/>
  <c r="X21" i="9"/>
  <c r="Y20" i="9"/>
  <c r="X20" i="9"/>
  <c r="Z20" i="9"/>
  <c r="Y19" i="9"/>
  <c r="X19" i="9"/>
  <c r="Z19" i="9"/>
  <c r="X18" i="9"/>
  <c r="Z18" i="9"/>
  <c r="Z17" i="9"/>
  <c r="Y17" i="9"/>
  <c r="X17" i="9"/>
  <c r="Y16" i="9"/>
  <c r="X16" i="9"/>
  <c r="Z16" i="9"/>
  <c r="Y15" i="9"/>
  <c r="X15" i="9"/>
  <c r="Z15" i="9"/>
  <c r="X14" i="9"/>
  <c r="Y14" i="9"/>
  <c r="Z13" i="9"/>
  <c r="Y13" i="9"/>
  <c r="X13" i="9"/>
  <c r="Y12" i="9"/>
  <c r="X12" i="9"/>
  <c r="Z12" i="9"/>
  <c r="X11" i="9"/>
  <c r="Z11" i="9"/>
  <c r="Y11" i="9"/>
  <c r="Z10" i="9"/>
  <c r="Y10" i="9"/>
  <c r="X9" i="9"/>
  <c r="Z9" i="9"/>
  <c r="Z8" i="9"/>
  <c r="X8" i="9"/>
  <c r="Y8" i="9"/>
  <c r="X7" i="9"/>
  <c r="Y7" i="9"/>
  <c r="Z6" i="9"/>
  <c r="Y6" i="9"/>
  <c r="X6" i="9"/>
  <c r="Y5" i="9"/>
  <c r="X5" i="9"/>
  <c r="F38" i="9"/>
  <c r="Z6" i="8"/>
  <c r="Y7" i="8"/>
  <c r="Z8" i="8"/>
  <c r="Z9" i="8"/>
  <c r="Z10" i="8"/>
  <c r="Z11" i="8"/>
  <c r="Z12" i="8"/>
  <c r="Z13" i="8"/>
  <c r="Z14" i="8"/>
  <c r="Y16" i="8"/>
  <c r="Z17" i="8"/>
  <c r="Z18" i="8"/>
  <c r="Z19" i="8"/>
  <c r="Y20" i="8"/>
  <c r="Z21" i="8"/>
  <c r="Z22" i="8"/>
  <c r="Z23" i="8"/>
  <c r="Z24" i="8"/>
  <c r="Z25" i="8"/>
  <c r="Z26" i="8"/>
  <c r="Z27" i="8"/>
  <c r="Z28" i="8"/>
  <c r="Z29" i="8"/>
  <c r="Z30" i="8"/>
  <c r="Y31" i="8"/>
  <c r="Y32" i="8"/>
  <c r="Z33" i="8"/>
  <c r="Z34" i="8"/>
  <c r="Z35" i="8"/>
  <c r="Z36" i="8"/>
  <c r="X30" i="8"/>
  <c r="Y22" i="8"/>
  <c r="V38" i="8"/>
  <c r="U38" i="8"/>
  <c r="T38" i="8"/>
  <c r="S38" i="8"/>
  <c r="P38" i="8"/>
  <c r="O38" i="8"/>
  <c r="N38" i="8"/>
  <c r="L38" i="8"/>
  <c r="K38" i="8"/>
  <c r="I38" i="8"/>
  <c r="H38" i="8"/>
  <c r="E38" i="8"/>
  <c r="D38" i="8"/>
  <c r="C38" i="8"/>
  <c r="B38" i="8"/>
  <c r="X36" i="8"/>
  <c r="X35" i="8"/>
  <c r="X34" i="8"/>
  <c r="X33" i="8"/>
  <c r="X32" i="8"/>
  <c r="X31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Y15" i="8"/>
  <c r="X15" i="8"/>
  <c r="X14" i="8"/>
  <c r="X13" i="8"/>
  <c r="X12" i="8"/>
  <c r="X11" i="8"/>
  <c r="X10" i="8"/>
  <c r="X9" i="8"/>
  <c r="X8" i="8"/>
  <c r="X7" i="8"/>
  <c r="X6" i="8"/>
  <c r="X5" i="8"/>
  <c r="U38" i="7"/>
  <c r="V38" i="7"/>
  <c r="X20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5" i="7"/>
  <c r="Y6" i="7"/>
  <c r="Z7" i="7"/>
  <c r="Z8" i="7"/>
  <c r="Z9" i="7"/>
  <c r="Z10" i="7"/>
  <c r="Y11" i="7"/>
  <c r="Y13" i="7"/>
  <c r="Z14" i="7"/>
  <c r="Z15" i="7"/>
  <c r="Y16" i="7"/>
  <c r="Z17" i="7"/>
  <c r="Z18" i="7"/>
  <c r="Z19" i="7"/>
  <c r="Y20" i="7"/>
  <c r="Z21" i="7"/>
  <c r="Z22" i="7"/>
  <c r="Z23" i="7"/>
  <c r="Z24" i="7"/>
  <c r="Z25" i="7"/>
  <c r="Z26" i="7"/>
  <c r="Z27" i="7"/>
  <c r="Z28" i="7"/>
  <c r="Y29" i="7"/>
  <c r="Z30" i="7"/>
  <c r="Z31" i="7"/>
  <c r="Z32" i="7"/>
  <c r="Z33" i="7"/>
  <c r="Z34" i="7"/>
  <c r="Z35" i="7"/>
  <c r="Y36" i="7"/>
  <c r="Y5" i="7"/>
  <c r="T38" i="7"/>
  <c r="S38" i="7"/>
  <c r="P38" i="7"/>
  <c r="O38" i="7"/>
  <c r="N38" i="7"/>
  <c r="L38" i="7"/>
  <c r="K38" i="7"/>
  <c r="I38" i="7"/>
  <c r="H38" i="7"/>
  <c r="F38" i="7"/>
  <c r="E38" i="7"/>
  <c r="D38" i="7"/>
  <c r="C38" i="7"/>
  <c r="B38" i="7"/>
  <c r="Z36" i="7"/>
  <c r="Z20" i="7"/>
  <c r="Y14" i="7"/>
  <c r="Z12" i="7"/>
  <c r="Y12" i="7"/>
  <c r="V38" i="6"/>
  <c r="U38" i="6"/>
  <c r="T38" i="6"/>
  <c r="S38" i="6"/>
  <c r="P38" i="6"/>
  <c r="O38" i="6"/>
  <c r="N38" i="6"/>
  <c r="M38" i="6"/>
  <c r="L38" i="6"/>
  <c r="K38" i="6"/>
  <c r="I38" i="6"/>
  <c r="H38" i="6"/>
  <c r="F38" i="6"/>
  <c r="E38" i="6"/>
  <c r="D38" i="6"/>
  <c r="C38" i="6"/>
  <c r="B38" i="6"/>
  <c r="Z36" i="6"/>
  <c r="Y36" i="6"/>
  <c r="X36" i="6"/>
  <c r="Z35" i="6"/>
  <c r="Y35" i="6"/>
  <c r="X35" i="6"/>
  <c r="Z34" i="6"/>
  <c r="Y34" i="6"/>
  <c r="X34" i="6"/>
  <c r="Z33" i="6"/>
  <c r="Y33" i="6"/>
  <c r="X33" i="6"/>
  <c r="Z32" i="6"/>
  <c r="Y32" i="6"/>
  <c r="X32" i="6"/>
  <c r="Z31" i="6"/>
  <c r="Y31" i="6"/>
  <c r="X31" i="6"/>
  <c r="Z30" i="6"/>
  <c r="Y30" i="6"/>
  <c r="X30" i="6"/>
  <c r="Z29" i="6"/>
  <c r="Y29" i="6"/>
  <c r="X29" i="6"/>
  <c r="Z28" i="6"/>
  <c r="Y28" i="6"/>
  <c r="X28" i="6"/>
  <c r="Z27" i="6"/>
  <c r="Y27" i="6"/>
  <c r="X27" i="6"/>
  <c r="Z26" i="6"/>
  <c r="Y26" i="6"/>
  <c r="X26" i="6"/>
  <c r="Z25" i="6"/>
  <c r="Y25" i="6"/>
  <c r="X25" i="6"/>
  <c r="Z24" i="6"/>
  <c r="Y24" i="6"/>
  <c r="X24" i="6"/>
  <c r="Z23" i="6"/>
  <c r="Y23" i="6"/>
  <c r="X23" i="6"/>
  <c r="Z22" i="6"/>
  <c r="Y22" i="6"/>
  <c r="X22" i="6"/>
  <c r="Z21" i="6"/>
  <c r="Y21" i="6"/>
  <c r="X21" i="6"/>
  <c r="Z20" i="6"/>
  <c r="Y20" i="6"/>
  <c r="X20" i="6"/>
  <c r="Z19" i="6"/>
  <c r="Y19" i="6"/>
  <c r="X19" i="6"/>
  <c r="Z18" i="6"/>
  <c r="Y18" i="6"/>
  <c r="X18" i="6"/>
  <c r="Z17" i="6"/>
  <c r="Y17" i="6"/>
  <c r="X17" i="6"/>
  <c r="Z16" i="6"/>
  <c r="Y16" i="6"/>
  <c r="X16" i="6"/>
  <c r="Z15" i="6"/>
  <c r="Y15" i="6"/>
  <c r="X15" i="6"/>
  <c r="Z14" i="6"/>
  <c r="Y14" i="6"/>
  <c r="X14" i="6"/>
  <c r="Z13" i="6"/>
  <c r="Y13" i="6"/>
  <c r="X13" i="6"/>
  <c r="Z12" i="6"/>
  <c r="Y12" i="6"/>
  <c r="X12" i="6"/>
  <c r="Z11" i="6"/>
  <c r="Y11" i="6"/>
  <c r="X11" i="6"/>
  <c r="Z10" i="6"/>
  <c r="Y10" i="6"/>
  <c r="X10" i="6"/>
  <c r="Z9" i="6"/>
  <c r="Y9" i="6"/>
  <c r="X9" i="6"/>
  <c r="Z8" i="6"/>
  <c r="Y8" i="6"/>
  <c r="X8" i="6"/>
  <c r="Z7" i="6"/>
  <c r="Y7" i="6"/>
  <c r="X7" i="6"/>
  <c r="Z6" i="6"/>
  <c r="Y6" i="6"/>
  <c r="X6" i="6"/>
  <c r="Z5" i="6"/>
  <c r="Y5" i="6"/>
  <c r="X5" i="6"/>
  <c r="V38" i="5"/>
  <c r="U38" i="5"/>
  <c r="T38" i="5"/>
  <c r="S38" i="5"/>
  <c r="P38" i="5"/>
  <c r="O38" i="5"/>
  <c r="N38" i="5"/>
  <c r="M38" i="5"/>
  <c r="L38" i="5"/>
  <c r="K38" i="5"/>
  <c r="I38" i="5"/>
  <c r="H38" i="5"/>
  <c r="F38" i="5"/>
  <c r="E38" i="5"/>
  <c r="D38" i="5"/>
  <c r="C38" i="5"/>
  <c r="B38" i="5"/>
  <c r="Z36" i="5"/>
  <c r="Y36" i="5"/>
  <c r="X36" i="5"/>
  <c r="Z35" i="5"/>
  <c r="Y35" i="5"/>
  <c r="X35" i="5"/>
  <c r="Z34" i="5"/>
  <c r="Y34" i="5"/>
  <c r="X34" i="5"/>
  <c r="Z33" i="5"/>
  <c r="Y33" i="5"/>
  <c r="X33" i="5"/>
  <c r="Z32" i="5"/>
  <c r="Y32" i="5"/>
  <c r="X32" i="5"/>
  <c r="Z31" i="5"/>
  <c r="Y31" i="5"/>
  <c r="X31" i="5"/>
  <c r="Z30" i="5"/>
  <c r="Y30" i="5"/>
  <c r="X30" i="5"/>
  <c r="Z29" i="5"/>
  <c r="Y29" i="5"/>
  <c r="X29" i="5"/>
  <c r="Z28" i="5"/>
  <c r="Y28" i="5"/>
  <c r="X28" i="5"/>
  <c r="Z27" i="5"/>
  <c r="Y27" i="5"/>
  <c r="X27" i="5"/>
  <c r="Z26" i="5"/>
  <c r="Y26" i="5"/>
  <c r="X26" i="5"/>
  <c r="Z25" i="5"/>
  <c r="Y25" i="5"/>
  <c r="X25" i="5"/>
  <c r="Z24" i="5"/>
  <c r="Y24" i="5"/>
  <c r="X24" i="5"/>
  <c r="Z23" i="5"/>
  <c r="Y23" i="5"/>
  <c r="X23" i="5"/>
  <c r="Z22" i="5"/>
  <c r="Y22" i="5"/>
  <c r="X22" i="5"/>
  <c r="Z21" i="5"/>
  <c r="Y21" i="5"/>
  <c r="X21" i="5"/>
  <c r="Z20" i="5"/>
  <c r="Y20" i="5"/>
  <c r="X20" i="5"/>
  <c r="Z19" i="5"/>
  <c r="Y19" i="5"/>
  <c r="X19" i="5"/>
  <c r="Z18" i="5"/>
  <c r="Y18" i="5"/>
  <c r="X18" i="5"/>
  <c r="Z17" i="5"/>
  <c r="Y17" i="5"/>
  <c r="X17" i="5"/>
  <c r="Z16" i="5"/>
  <c r="Y16" i="5"/>
  <c r="X16" i="5"/>
  <c r="Z15" i="5"/>
  <c r="Y15" i="5"/>
  <c r="X15" i="5"/>
  <c r="Z14" i="5"/>
  <c r="Y14" i="5"/>
  <c r="X14" i="5"/>
  <c r="Z13" i="5"/>
  <c r="Y13" i="5"/>
  <c r="X13" i="5"/>
  <c r="Z12" i="5"/>
  <c r="Y12" i="5"/>
  <c r="X12" i="5"/>
  <c r="Z11" i="5"/>
  <c r="Y11" i="5"/>
  <c r="X11" i="5"/>
  <c r="Z10" i="5"/>
  <c r="Y10" i="5"/>
  <c r="X10" i="5"/>
  <c r="Z9" i="5"/>
  <c r="Y9" i="5"/>
  <c r="X9" i="5"/>
  <c r="Z8" i="5"/>
  <c r="Y8" i="5"/>
  <c r="X8" i="5"/>
  <c r="Z7" i="5"/>
  <c r="Y7" i="5"/>
  <c r="X7" i="5"/>
  <c r="Z6" i="5"/>
  <c r="Y6" i="5"/>
  <c r="X6" i="5"/>
  <c r="Z5" i="5"/>
  <c r="Y5" i="5"/>
  <c r="X5" i="5"/>
  <c r="X8" i="4"/>
  <c r="Y8" i="4"/>
  <c r="Z8" i="4"/>
  <c r="X9" i="4"/>
  <c r="Y9" i="4"/>
  <c r="Z9" i="4"/>
  <c r="X10" i="4"/>
  <c r="Y10" i="4"/>
  <c r="Z10" i="4"/>
  <c r="X11" i="4"/>
  <c r="Y11" i="4"/>
  <c r="Z11" i="4"/>
  <c r="X12" i="4"/>
  <c r="Y12" i="4"/>
  <c r="Z12" i="4"/>
  <c r="X13" i="4"/>
  <c r="Y13" i="4"/>
  <c r="Z13" i="4"/>
  <c r="X14" i="4"/>
  <c r="Y14" i="4"/>
  <c r="Z14" i="4"/>
  <c r="X15" i="4"/>
  <c r="Y15" i="4"/>
  <c r="Z15" i="4"/>
  <c r="X16" i="4"/>
  <c r="Y16" i="4"/>
  <c r="Z16" i="4"/>
  <c r="X17" i="4"/>
  <c r="Y17" i="4"/>
  <c r="Z17" i="4"/>
  <c r="X18" i="4"/>
  <c r="Y18" i="4"/>
  <c r="Z18" i="4"/>
  <c r="X19" i="4"/>
  <c r="Y19" i="4"/>
  <c r="Z19" i="4"/>
  <c r="X20" i="4"/>
  <c r="Y20" i="4"/>
  <c r="Z20" i="4"/>
  <c r="X21" i="4"/>
  <c r="Y21" i="4"/>
  <c r="Z21" i="4"/>
  <c r="X22" i="4"/>
  <c r="Y22" i="4"/>
  <c r="Z22" i="4"/>
  <c r="X23" i="4"/>
  <c r="Y23" i="4"/>
  <c r="Z23" i="4"/>
  <c r="X24" i="4"/>
  <c r="Y24" i="4"/>
  <c r="Z24" i="4"/>
  <c r="X25" i="4"/>
  <c r="Y25" i="4"/>
  <c r="Z25" i="4"/>
  <c r="X26" i="4"/>
  <c r="Y26" i="4"/>
  <c r="Z26" i="4"/>
  <c r="X27" i="4"/>
  <c r="Y27" i="4"/>
  <c r="Z27" i="4"/>
  <c r="X28" i="4"/>
  <c r="Y28" i="4"/>
  <c r="Z28" i="4"/>
  <c r="X29" i="4"/>
  <c r="Y29" i="4"/>
  <c r="Z29" i="4"/>
  <c r="X30" i="4"/>
  <c r="Y30" i="4"/>
  <c r="Z30" i="4"/>
  <c r="X31" i="4"/>
  <c r="Y31" i="4"/>
  <c r="Z31" i="4"/>
  <c r="X32" i="4"/>
  <c r="Y32" i="4"/>
  <c r="Z32" i="4"/>
  <c r="X33" i="4"/>
  <c r="Y33" i="4"/>
  <c r="Z33" i="4"/>
  <c r="X34" i="4"/>
  <c r="Y34" i="4"/>
  <c r="Z34" i="4"/>
  <c r="X35" i="4"/>
  <c r="Y35" i="4"/>
  <c r="Z35" i="4"/>
  <c r="X36" i="4"/>
  <c r="Y36" i="4"/>
  <c r="Z36" i="4"/>
  <c r="V38" i="4"/>
  <c r="U38" i="4"/>
  <c r="T38" i="4"/>
  <c r="S38" i="4"/>
  <c r="P38" i="4"/>
  <c r="O38" i="4"/>
  <c r="N38" i="4"/>
  <c r="M38" i="4"/>
  <c r="L38" i="4"/>
  <c r="J38" i="4"/>
  <c r="I38" i="4"/>
  <c r="H38" i="4"/>
  <c r="F38" i="4"/>
  <c r="E38" i="4"/>
  <c r="D38" i="4"/>
  <c r="C38" i="4"/>
  <c r="B38" i="4"/>
  <c r="Z7" i="4"/>
  <c r="Y7" i="4"/>
  <c r="X7" i="4"/>
  <c r="Z6" i="4"/>
  <c r="Y6" i="4"/>
  <c r="X6" i="4"/>
  <c r="Z5" i="4"/>
  <c r="Y5" i="4"/>
  <c r="X5" i="4"/>
  <c r="V38" i="3"/>
  <c r="U38" i="3"/>
  <c r="T38" i="3"/>
  <c r="S38" i="3"/>
  <c r="P38" i="3"/>
  <c r="O38" i="3"/>
  <c r="N38" i="3"/>
  <c r="M38" i="3"/>
  <c r="L38" i="3"/>
  <c r="J38" i="3"/>
  <c r="I38" i="3"/>
  <c r="H38" i="3"/>
  <c r="F38" i="3"/>
  <c r="E38" i="3"/>
  <c r="D38" i="3"/>
  <c r="C38" i="3"/>
  <c r="B38" i="3"/>
  <c r="Z36" i="3"/>
  <c r="Y36" i="3"/>
  <c r="X36" i="3"/>
  <c r="Z35" i="3"/>
  <c r="Y35" i="3"/>
  <c r="X35" i="3"/>
  <c r="Z34" i="3"/>
  <c r="Y34" i="3"/>
  <c r="X34" i="3"/>
  <c r="Z33" i="3"/>
  <c r="Y33" i="3"/>
  <c r="X33" i="3"/>
  <c r="Z32" i="3"/>
  <c r="Y32" i="3"/>
  <c r="X32" i="3"/>
  <c r="Z31" i="3"/>
  <c r="Y31" i="3"/>
  <c r="X31" i="3"/>
  <c r="Z30" i="3"/>
  <c r="Y30" i="3"/>
  <c r="X30" i="3"/>
  <c r="Z29" i="3"/>
  <c r="Y29" i="3"/>
  <c r="X29" i="3"/>
  <c r="Z28" i="3"/>
  <c r="Y28" i="3"/>
  <c r="X28" i="3"/>
  <c r="Z27" i="3"/>
  <c r="Y27" i="3"/>
  <c r="X27" i="3"/>
  <c r="Z26" i="3"/>
  <c r="Y26" i="3"/>
  <c r="X26" i="3"/>
  <c r="Z25" i="3"/>
  <c r="Y25" i="3"/>
  <c r="X25" i="3"/>
  <c r="Z24" i="3"/>
  <c r="Y24" i="3"/>
  <c r="X24" i="3"/>
  <c r="Z23" i="3"/>
  <c r="Y23" i="3"/>
  <c r="X23" i="3"/>
  <c r="Z22" i="3"/>
  <c r="Y22" i="3"/>
  <c r="X22" i="3"/>
  <c r="Z21" i="3"/>
  <c r="Y21" i="3"/>
  <c r="X21" i="3"/>
  <c r="Z20" i="3"/>
  <c r="Y20" i="3"/>
  <c r="X20" i="3"/>
  <c r="Z19" i="3"/>
  <c r="Y19" i="3"/>
  <c r="X19" i="3"/>
  <c r="Z18" i="3"/>
  <c r="Y18" i="3"/>
  <c r="X18" i="3"/>
  <c r="Z17" i="3"/>
  <c r="Y17" i="3"/>
  <c r="X17" i="3"/>
  <c r="Z16" i="3"/>
  <c r="Y16" i="3"/>
  <c r="X16" i="3"/>
  <c r="Z15" i="3"/>
  <c r="Y15" i="3"/>
  <c r="X15" i="3"/>
  <c r="Z14" i="3"/>
  <c r="Y14" i="3"/>
  <c r="X14" i="3"/>
  <c r="Z13" i="3"/>
  <c r="Y13" i="3"/>
  <c r="X13" i="3"/>
  <c r="Z12" i="3"/>
  <c r="Y12" i="3"/>
  <c r="X12" i="3"/>
  <c r="Z11" i="3"/>
  <c r="Y11" i="3"/>
  <c r="X11" i="3"/>
  <c r="Z10" i="3"/>
  <c r="Y10" i="3"/>
  <c r="X10" i="3"/>
  <c r="Z9" i="3"/>
  <c r="Y9" i="3"/>
  <c r="X9" i="3"/>
  <c r="Z8" i="3"/>
  <c r="Y8" i="3"/>
  <c r="X8" i="3"/>
  <c r="Z7" i="3"/>
  <c r="Y7" i="3"/>
  <c r="X7" i="3"/>
  <c r="Z6" i="3"/>
  <c r="Y6" i="3"/>
  <c r="X6" i="3"/>
  <c r="Z5" i="3"/>
  <c r="Y5" i="3"/>
  <c r="X5" i="3"/>
  <c r="Y30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1" i="2"/>
  <c r="Y32" i="2"/>
  <c r="Y33" i="2"/>
  <c r="Y34" i="2"/>
  <c r="Y35" i="2"/>
  <c r="Y36" i="2"/>
  <c r="V38" i="2"/>
  <c r="U38" i="2"/>
  <c r="T38" i="2"/>
  <c r="S38" i="2"/>
  <c r="P38" i="2"/>
  <c r="O38" i="2"/>
  <c r="N38" i="2"/>
  <c r="M38" i="2"/>
  <c r="L38" i="2"/>
  <c r="J38" i="2"/>
  <c r="I38" i="2"/>
  <c r="H38" i="2"/>
  <c r="F38" i="2"/>
  <c r="E38" i="2"/>
  <c r="D38" i="2"/>
  <c r="C38" i="2"/>
  <c r="B38" i="2"/>
  <c r="Z36" i="2"/>
  <c r="X36" i="2"/>
  <c r="Z35" i="2"/>
  <c r="X35" i="2"/>
  <c r="Z34" i="2"/>
  <c r="X34" i="2"/>
  <c r="Z33" i="2"/>
  <c r="X33" i="2"/>
  <c r="Z32" i="2"/>
  <c r="X32" i="2"/>
  <c r="Z31" i="2"/>
  <c r="X31" i="2"/>
  <c r="Z30" i="2"/>
  <c r="X30" i="2"/>
  <c r="Z29" i="2"/>
  <c r="X29" i="2"/>
  <c r="Z28" i="2"/>
  <c r="X28" i="2"/>
  <c r="Z27" i="2"/>
  <c r="X27" i="2"/>
  <c r="Z26" i="2"/>
  <c r="X26" i="2"/>
  <c r="Z25" i="2"/>
  <c r="X25" i="2"/>
  <c r="Z24" i="2"/>
  <c r="X24" i="2"/>
  <c r="Z23" i="2"/>
  <c r="X23" i="2"/>
  <c r="Z22" i="2"/>
  <c r="X22" i="2"/>
  <c r="Z21" i="2"/>
  <c r="X21" i="2"/>
  <c r="Z20" i="2"/>
  <c r="X20" i="2"/>
  <c r="Z19" i="2"/>
  <c r="X19" i="2"/>
  <c r="Z18" i="2"/>
  <c r="X18" i="2"/>
  <c r="Z17" i="2"/>
  <c r="X17" i="2"/>
  <c r="Z16" i="2"/>
  <c r="X16" i="2"/>
  <c r="Z15" i="2"/>
  <c r="X15" i="2"/>
  <c r="Z14" i="2"/>
  <c r="X14" i="2"/>
  <c r="Z13" i="2"/>
  <c r="Y13" i="2"/>
  <c r="X13" i="2"/>
  <c r="Z12" i="2"/>
  <c r="Y12" i="2"/>
  <c r="X12" i="2"/>
  <c r="Z11" i="2"/>
  <c r="Y11" i="2"/>
  <c r="X11" i="2"/>
  <c r="Z10" i="2"/>
  <c r="Y10" i="2"/>
  <c r="X10" i="2"/>
  <c r="Z9" i="2"/>
  <c r="Y9" i="2"/>
  <c r="X9" i="2"/>
  <c r="Z8" i="2"/>
  <c r="Y8" i="2"/>
  <c r="X8" i="2"/>
  <c r="Z7" i="2"/>
  <c r="Y7" i="2"/>
  <c r="X7" i="2"/>
  <c r="Z6" i="2"/>
  <c r="Y6" i="2"/>
  <c r="X6" i="2"/>
  <c r="Z5" i="2"/>
  <c r="Y5" i="2"/>
  <c r="X5" i="2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6" i="1"/>
  <c r="Y27" i="1"/>
  <c r="Y28" i="1"/>
  <c r="Y29" i="1"/>
  <c r="Y30" i="1"/>
  <c r="Y31" i="1"/>
  <c r="Y32" i="1"/>
  <c r="Y33" i="1"/>
  <c r="Y34" i="1"/>
  <c r="Y35" i="1"/>
  <c r="Y36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5" i="1"/>
  <c r="C38" i="1"/>
  <c r="D38" i="1"/>
  <c r="E38" i="1"/>
  <c r="F38" i="1"/>
  <c r="H38" i="1"/>
  <c r="I38" i="1"/>
  <c r="J38" i="1"/>
  <c r="L38" i="1"/>
  <c r="M38" i="1"/>
  <c r="N38" i="1"/>
  <c r="O38" i="1"/>
  <c r="P38" i="1"/>
  <c r="S38" i="1"/>
  <c r="T38" i="1"/>
  <c r="U38" i="1"/>
  <c r="V38" i="1"/>
  <c r="B38" i="1"/>
  <c r="Y26" i="8" l="1"/>
  <c r="Y28" i="8"/>
  <c r="Y12" i="8"/>
  <c r="Z7" i="8"/>
  <c r="Z20" i="8"/>
  <c r="Z32" i="8"/>
  <c r="Z16" i="8"/>
  <c r="Y32" i="7"/>
  <c r="Y8" i="7"/>
  <c r="Y9" i="7"/>
  <c r="Y24" i="7"/>
  <c r="Y25" i="7"/>
  <c r="Z11" i="7"/>
  <c r="Y26" i="7"/>
  <c r="Y27" i="7"/>
  <c r="Y18" i="9"/>
  <c r="Z7" i="9"/>
  <c r="Z14" i="9"/>
  <c r="Z22" i="9"/>
  <c r="M38" i="9"/>
  <c r="Y35" i="9"/>
  <c r="Y9" i="9"/>
  <c r="Y19" i="7"/>
  <c r="Y28" i="7"/>
  <c r="Y35" i="7"/>
  <c r="Z13" i="7"/>
  <c r="Y15" i="7"/>
  <c r="Z29" i="7"/>
  <c r="Y30" i="7"/>
  <c r="Z16" i="7"/>
  <c r="Y7" i="7"/>
  <c r="Y18" i="7"/>
  <c r="Y31" i="7"/>
  <c r="Y23" i="7"/>
  <c r="Y10" i="7"/>
  <c r="Y14" i="8"/>
  <c r="Y30" i="8"/>
  <c r="Y11" i="8"/>
  <c r="Y27" i="8"/>
  <c r="Y19" i="8"/>
  <c r="Y6" i="8"/>
  <c r="Y10" i="8"/>
  <c r="Y5" i="8"/>
  <c r="M38" i="8"/>
  <c r="Y35" i="8"/>
  <c r="Y18" i="8"/>
  <c r="Y24" i="8"/>
  <c r="Y36" i="8"/>
  <c r="Y23" i="8"/>
  <c r="F38" i="8"/>
  <c r="Y8" i="8"/>
  <c r="Y9" i="8"/>
  <c r="Y13" i="8"/>
  <c r="Y17" i="8"/>
  <c r="Y21" i="8"/>
  <c r="Y25" i="8"/>
  <c r="Y29" i="8"/>
  <c r="Y33" i="8"/>
  <c r="Y34" i="8"/>
  <c r="Y21" i="7"/>
  <c r="M38" i="7"/>
  <c r="Y22" i="7"/>
  <c r="Z6" i="7"/>
  <c r="Y17" i="7"/>
  <c r="Y33" i="7"/>
  <c r="Y34" i="7"/>
  <c r="Z5" i="7"/>
  <c r="B2" i="27" l="1"/>
</calcChain>
</file>

<file path=xl/sharedStrings.xml><?xml version="1.0" encoding="utf-8"?>
<sst xmlns="http://schemas.openxmlformats.org/spreadsheetml/2006/main" count="1617" uniqueCount="209">
  <si>
    <t>煤矸石发电</t>
    <phoneticPr fontId="4" type="noConversion"/>
  </si>
  <si>
    <t>太阳能发电</t>
    <phoneticPr fontId="4" type="noConversion"/>
  </si>
  <si>
    <t>内蒙古</t>
  </si>
  <si>
    <t>吉林</t>
  </si>
  <si>
    <t>黑龙江</t>
  </si>
  <si>
    <t>全国</t>
  </si>
  <si>
    <t>北京</t>
  </si>
  <si>
    <t>天津</t>
  </si>
  <si>
    <t>河北</t>
  </si>
  <si>
    <t>山西</t>
  </si>
  <si>
    <t>辽宁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</si>
  <si>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</si>
  <si>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</si>
  <si>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</si>
  <si>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</si>
  <si>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</si>
  <si>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</si>
  <si>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</si>
  <si>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</si>
  <si>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</si>
  <si>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</si>
  <si>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</si>
  <si>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</si>
  <si>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</si>
  <si>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</si>
  <si>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</si>
  <si>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</si>
  <si>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</si>
  <si>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</si>
  <si>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</si>
  <si>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</si>
  <si>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</si>
  <si>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</si>
  <si>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</si>
  <si>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地区</t>
    <phoneticPr fontId="4" type="noConversion"/>
  </si>
  <si>
    <t>合计</t>
  </si>
  <si>
    <t>水电</t>
  </si>
  <si>
    <t>火电</t>
  </si>
  <si>
    <t>核电</t>
  </si>
  <si>
    <t>风电</t>
  </si>
  <si>
    <t>其他</t>
  </si>
  <si>
    <t>抽水蓄能</t>
  </si>
  <si>
    <t>燃煤</t>
  </si>
  <si>
    <t>燃气</t>
  </si>
  <si>
    <t>燃油</t>
  </si>
  <si>
    <t>分地区新增发电装机容量（万KW）</t>
    <phoneticPr fontId="4" type="noConversion"/>
  </si>
  <si>
    <t>煤层气发电</t>
    <phoneticPr fontId="4" type="noConversion"/>
  </si>
  <si>
    <t>沼气</t>
    <phoneticPr fontId="4" type="noConversion"/>
  </si>
  <si>
    <t>技改增容</t>
    <phoneticPr fontId="4" type="noConversion"/>
  </si>
  <si>
    <t>2016 年</t>
  </si>
  <si>
    <t>地区</t>
  </si>
  <si>
    <t>水</t>
    <phoneticPr fontId="4" type="noConversion"/>
  </si>
  <si>
    <t>火</t>
    <phoneticPr fontId="4" type="noConversion"/>
  </si>
  <si>
    <t>风</t>
    <phoneticPr fontId="4" type="noConversion"/>
  </si>
  <si>
    <t>光</t>
    <phoneticPr fontId="4" type="noConversion"/>
  </si>
  <si>
    <t>万千瓦</t>
    <phoneticPr fontId="4" type="noConversion"/>
  </si>
  <si>
    <t>合计</t>
    <phoneticPr fontId="4" type="noConversion"/>
  </si>
  <si>
    <t>垃圾焚烧发电</t>
    <phoneticPr fontId="4" type="noConversion"/>
  </si>
  <si>
    <t>余温、余气、余压发电</t>
  </si>
  <si>
    <t>秸秆、蔗渣、林木质发电</t>
  </si>
  <si>
    <t>常规燃气</t>
    <phoneticPr fontId="4" type="noConversion"/>
  </si>
  <si>
    <t>常规燃煤</t>
    <phoneticPr fontId="4" type="noConversion"/>
  </si>
  <si>
    <t>分地区装机容量（万KW）</t>
    <phoneticPr fontId="4" type="noConversion"/>
  </si>
  <si>
    <t>分布式太阳能</t>
    <phoneticPr fontId="4" type="noConversion"/>
  </si>
  <si>
    <t>水电</t>
    <phoneticPr fontId="4" type="noConversion"/>
  </si>
  <si>
    <t>火电</t>
    <phoneticPr fontId="4" type="noConversion"/>
  </si>
  <si>
    <t>分地区6000千万以上装机容量（万KW）</t>
    <phoneticPr fontId="4" type="noConversion"/>
  </si>
  <si>
    <r>
      <rPr>
        <sz val="10"/>
        <rFont val="宋体"/>
        <family val="3"/>
        <charset val="134"/>
      </rPr>
      <t>分地区装机容量（万</t>
    </r>
    <r>
      <rPr>
        <sz val="10"/>
        <rFont val="Arial"/>
        <family val="2"/>
      </rPr>
      <t>KW</t>
    </r>
    <r>
      <rPr>
        <sz val="10"/>
        <rFont val="宋体"/>
        <family val="3"/>
        <charset val="134"/>
      </rPr>
      <t>）</t>
    </r>
    <phoneticPr fontId="4" type="noConversion"/>
  </si>
  <si>
    <t>0. 1</t>
  </si>
  <si>
    <t>process heat</t>
    <phoneticPr fontId="9" type="noConversion"/>
  </si>
  <si>
    <t>municipal solid waste</t>
  </si>
  <si>
    <t>heavy or residual fuel oil</t>
  </si>
  <si>
    <t>crude oil</t>
  </si>
  <si>
    <t>offshore wind</t>
  </si>
  <si>
    <t>lignite</t>
  </si>
  <si>
    <t>natural gas peaker</t>
  </si>
  <si>
    <t>petroleum</t>
  </si>
  <si>
    <t>geothermal</t>
  </si>
  <si>
    <t>biomass</t>
  </si>
  <si>
    <t>solar thermal</t>
  </si>
  <si>
    <t>solar PV</t>
  </si>
  <si>
    <t>onshore wind</t>
  </si>
  <si>
    <t>hydro</t>
  </si>
  <si>
    <t>nuclear</t>
  </si>
  <si>
    <t>natural gas nonpeaker</t>
  </si>
  <si>
    <t>hard coal</t>
  </si>
  <si>
    <t>newly built</t>
  </si>
  <si>
    <t>preexisting nonretiring (not used in U.S. dataset)</t>
  </si>
  <si>
    <t>preexisting</t>
  </si>
  <si>
    <t>Start Year Capacities (MW)</t>
  </si>
  <si>
    <t>Fraction</t>
  </si>
  <si>
    <t>Peakers that Provide Flexibility Points (dimensionless)</t>
  </si>
  <si>
    <t>沼气</t>
  </si>
  <si>
    <t>秸秆、蔗渣、林木质发电</t>
    <phoneticPr fontId="2" type="noConversion"/>
  </si>
  <si>
    <t>万千瓦</t>
  </si>
  <si>
    <t>垃圾焚烧发电</t>
    <phoneticPr fontId="2" type="noConversion"/>
  </si>
  <si>
    <t>其中：余温、余气、余热发电</t>
    <phoneticPr fontId="2" type="noConversion"/>
  </si>
  <si>
    <t>其他</t>
    <phoneticPr fontId="2" type="noConversion"/>
  </si>
  <si>
    <t>燃油</t>
    <phoneticPr fontId="2" type="noConversion"/>
  </si>
  <si>
    <t>煤层气发电</t>
    <phoneticPr fontId="2" type="noConversion"/>
  </si>
  <si>
    <t>其中常规燃气</t>
    <phoneticPr fontId="2" type="noConversion"/>
  </si>
  <si>
    <t>燃气</t>
    <phoneticPr fontId="2" type="noConversion"/>
  </si>
  <si>
    <t>其中：煤矸石发电</t>
    <phoneticPr fontId="2" type="noConversion"/>
  </si>
  <si>
    <t>燃煤</t>
    <phoneticPr fontId="2" type="noConversion"/>
  </si>
  <si>
    <t>6000千瓦及以上火电厂装机容量</t>
    <phoneticPr fontId="2" type="noConversion"/>
  </si>
  <si>
    <t>七、火电机组退役和关停容量</t>
  </si>
  <si>
    <t>太阳能发电</t>
  </si>
  <si>
    <t>垃圾焚烧发电</t>
  </si>
  <si>
    <t>其中:余温、余气、余压</t>
  </si>
  <si>
    <t>其中:生物质发电</t>
  </si>
  <si>
    <t>煤层气发电</t>
  </si>
  <si>
    <t>其中:常规燃气</t>
  </si>
  <si>
    <t>其中煤矸石发电</t>
  </si>
  <si>
    <t>其中常规燃煤</t>
  </si>
  <si>
    <t>其中:燃煤</t>
  </si>
  <si>
    <t>其中:抽水蓄能</t>
  </si>
  <si>
    <t>六、新增发电装机容量</t>
  </si>
  <si>
    <t>非化石能源发电装机容量</t>
  </si>
  <si>
    <t>三、发电装机容量</t>
  </si>
  <si>
    <t>项 目</t>
  </si>
  <si>
    <t>(电热当量_x000D_
计算法)_x000D_
(Calorific Value_x000D_
Calculation)</t>
  </si>
  <si>
    <t>原煤_x000D_
Raw Coal</t>
  </si>
  <si>
    <t>洗精煤_x000D_
Cleaned_x000D_
Coal</t>
  </si>
  <si>
    <t>其他洗煤_x000D_
Other_x000D_
Washed_x000D_
Coal</t>
  </si>
  <si>
    <t>煤制品_x000D_
Briquettes</t>
  </si>
  <si>
    <t>煤矸石_x000D_
Gangue</t>
  </si>
  <si>
    <t>焦炭_x000D_
Coke</t>
  </si>
  <si>
    <t>焦炉煤气_x000D_
Coke Oven_x000D_
Gas</t>
  </si>
  <si>
    <t>高炉煤气_x000D_
Blast Furnace_x000D_
Gas</t>
  </si>
  <si>
    <t>转炉煤气_x000D_
Converter_x000D_
Gas</t>
  </si>
  <si>
    <t>其他煤气_x000D_
Other Gas</t>
  </si>
  <si>
    <t>其他焦化产品_x000D_
Other_x000D_
Coking_x000D_
Products</t>
  </si>
  <si>
    <t>原油_x000D_
Crude Oil</t>
  </si>
  <si>
    <t>汽油_x000D_
Gasoline</t>
  </si>
  <si>
    <t>煤油_x000D_
Kerosene</t>
  </si>
  <si>
    <t>柴油_x000D_
Diesel Oil</t>
  </si>
  <si>
    <t>燃料油_x000D_
Fuel Oil</t>
  </si>
  <si>
    <t>石脑油_x000D_
Naphtha</t>
  </si>
  <si>
    <t>润滑油_x000D_
Lubricants</t>
  </si>
  <si>
    <t>石蜡_x000D_
Paraffin_x000D_
Waxes</t>
  </si>
  <si>
    <t>溶剂油_x000D_
White spirit</t>
  </si>
  <si>
    <t>石油沥青_x000D_
Bitumen_x000D_
Asphalt</t>
  </si>
  <si>
    <t>石油焦_x000D_
Petroleum_x000D_
Coke</t>
  </si>
  <si>
    <t>液化石油气_x000D_
Liquefied_x000D_
Petroleum Gas</t>
  </si>
  <si>
    <t>炼厂干气_x000D_
Refinery_x000D_
Gas</t>
  </si>
  <si>
    <t>其他石油制品_x000D_
Other_x000D_
Petroleum_x000D_
Products</t>
  </si>
  <si>
    <t>天然气_x000D_
Natural Gas</t>
  </si>
  <si>
    <t>液化天然气_x000D_
Liquefied_x000D_
Natural Gas</t>
  </si>
  <si>
    <t>热力_x000D_
Heat</t>
  </si>
  <si>
    <t>电力_x000D_
Electricity</t>
  </si>
  <si>
    <t>其他能源_x000D_
Other_x000D_
Energy</t>
  </si>
  <si>
    <t>Crude Oil</t>
  </si>
  <si>
    <t>Petroleum</t>
  </si>
  <si>
    <t>Heavy or Residual Fuel Oil</t>
  </si>
  <si>
    <t>原油</t>
  </si>
  <si>
    <t>汽油</t>
  </si>
  <si>
    <t>煤油</t>
  </si>
  <si>
    <t>柴油</t>
  </si>
  <si>
    <t>燃料油</t>
  </si>
  <si>
    <t>石脑油</t>
  </si>
  <si>
    <t>石油焦</t>
  </si>
  <si>
    <t>其他石油制品</t>
  </si>
  <si>
    <t>Total</t>
  </si>
  <si>
    <t>petroleum gasoline</t>
  </si>
  <si>
    <t>jet fuel or kerosene</t>
  </si>
  <si>
    <t>petroleum diesel</t>
  </si>
  <si>
    <t>heavy fuel oil</t>
  </si>
  <si>
    <t>LPG propane or butane</t>
  </si>
  <si>
    <r>
      <rPr>
        <sz val="16"/>
        <rFont val="FangSong"/>
        <charset val="134"/>
      </rPr>
      <t>各类地热能利用技术特点，</t>
    </r>
    <r>
      <rPr>
        <sz val="16"/>
        <rFont val="FangSong"/>
        <charset val="134"/>
      </rPr>
      <t xml:space="preserve"> </t>
    </r>
    <r>
      <rPr>
        <sz val="16"/>
        <rFont val="FangSong"/>
        <charset val="134"/>
      </rPr>
      <t xml:space="preserve">有序开展地热能发电、供暖以及
</t>
    </r>
    <r>
      <rPr>
        <sz val="7.5"/>
        <rFont val="Arial"/>
        <family val="2"/>
      </rPr>
      <t xml:space="preserve">
</t>
    </r>
    <r>
      <rPr>
        <sz val="16"/>
        <rFont val="FangSong"/>
        <charset val="134"/>
      </rPr>
      <t xml:space="preserve">多种形式的综合利用。
</t>
    </r>
    <r>
      <rPr>
        <sz val="8"/>
        <rFont val="Arial"/>
        <family val="2"/>
      </rPr>
      <t xml:space="preserve">
</t>
    </r>
    <r>
      <rPr>
        <sz val="16"/>
        <rFont val="Microsoft YaHei"/>
        <charset val="134"/>
      </rPr>
      <t xml:space="preserve">        (三)发展目标
</t>
    </r>
    <r>
      <rPr>
        <sz val="6"/>
        <rFont val="Arial"/>
        <family val="2"/>
      </rPr>
      <t xml:space="preserve">
</t>
    </r>
    <r>
      <rPr>
        <sz val="16"/>
        <rFont val="FangSong"/>
        <charset val="134"/>
      </rPr>
      <t xml:space="preserve">    </t>
    </r>
    <r>
      <rPr>
        <sz val="16"/>
        <rFont val="FangSong"/>
        <charset val="134"/>
      </rPr>
      <t>在“十三五”时期，新增地热能供暖(制冷)面积</t>
    </r>
    <r>
      <rPr>
        <sz val="16"/>
        <rFont val="FangSong"/>
        <charset val="134"/>
      </rPr>
      <t xml:space="preserve"> </t>
    </r>
    <r>
      <rPr>
        <sz val="16"/>
        <rFont val="Times New Roman"/>
        <family val="1"/>
      </rPr>
      <t xml:space="preserve">11
</t>
    </r>
    <r>
      <rPr>
        <sz val="7.5"/>
        <rFont val="Arial"/>
        <family val="2"/>
      </rPr>
      <t xml:space="preserve">
</t>
    </r>
    <r>
      <rPr>
        <sz val="16"/>
        <rFont val="FangSong"/>
        <charset val="134"/>
      </rPr>
      <t>亿平方米，</t>
    </r>
    <r>
      <rPr>
        <sz val="16"/>
        <rFont val="FangSong"/>
        <charset val="134"/>
      </rPr>
      <t xml:space="preserve"> </t>
    </r>
    <r>
      <rPr>
        <sz val="16"/>
        <rFont val="FangSong"/>
        <charset val="134"/>
      </rPr>
      <t>其中：</t>
    </r>
    <r>
      <rPr>
        <sz val="16"/>
        <rFont val="FangSong"/>
        <charset val="134"/>
      </rPr>
      <t xml:space="preserve"> </t>
    </r>
    <r>
      <rPr>
        <sz val="16"/>
        <rFont val="FangSong"/>
        <charset val="134"/>
      </rPr>
      <t>新增浅层地热能供暖(制冷)</t>
    </r>
    <r>
      <rPr>
        <sz val="16"/>
        <rFont val="FangSong"/>
        <charset val="134"/>
      </rPr>
      <t xml:space="preserve"> </t>
    </r>
    <r>
      <rPr>
        <sz val="16"/>
        <rFont val="FangSong"/>
        <charset val="134"/>
      </rPr>
      <t>面积</t>
    </r>
    <r>
      <rPr>
        <sz val="16"/>
        <rFont val="FangSong"/>
        <charset val="134"/>
      </rPr>
      <t xml:space="preserve"> </t>
    </r>
    <r>
      <rPr>
        <sz val="16"/>
        <rFont val="Times New Roman"/>
        <family val="1"/>
      </rPr>
      <t xml:space="preserve">7 </t>
    </r>
    <r>
      <rPr>
        <sz val="16"/>
        <rFont val="FangSong"/>
        <charset val="134"/>
      </rPr>
      <t xml:space="preserve">亿平
</t>
    </r>
    <r>
      <rPr>
        <sz val="7.5"/>
        <rFont val="Arial"/>
        <family val="2"/>
      </rPr>
      <t xml:space="preserve">
</t>
    </r>
    <r>
      <rPr>
        <sz val="16"/>
        <rFont val="FangSong"/>
        <charset val="134"/>
      </rPr>
      <t>方米；</t>
    </r>
    <r>
      <rPr>
        <sz val="16"/>
        <rFont val="FangSong"/>
        <charset val="134"/>
      </rPr>
      <t xml:space="preserve"> </t>
    </r>
    <r>
      <rPr>
        <sz val="16"/>
        <rFont val="FangSong"/>
        <charset val="134"/>
      </rPr>
      <t>新增水热型地热供暖面积</t>
    </r>
    <r>
      <rPr>
        <sz val="16"/>
        <rFont val="FangSong"/>
        <charset val="134"/>
      </rPr>
      <t xml:space="preserve"> </t>
    </r>
    <r>
      <rPr>
        <sz val="16"/>
        <rFont val="Times New Roman"/>
        <family val="1"/>
      </rPr>
      <t xml:space="preserve">4 </t>
    </r>
    <r>
      <rPr>
        <sz val="16"/>
        <rFont val="FangSong"/>
        <charset val="134"/>
      </rPr>
      <t xml:space="preserve">亿平方米。新增地热发电
</t>
    </r>
    <r>
      <rPr>
        <sz val="7.5"/>
        <rFont val="Arial"/>
        <family val="2"/>
      </rPr>
      <t xml:space="preserve">
</t>
    </r>
    <r>
      <rPr>
        <sz val="16"/>
        <rFont val="FangSong"/>
        <charset val="134"/>
      </rPr>
      <t>装机容量</t>
    </r>
    <r>
      <rPr>
        <sz val="16"/>
        <rFont val="FangSong"/>
        <charset val="134"/>
      </rPr>
      <t xml:space="preserve"> </t>
    </r>
    <r>
      <rPr>
        <sz val="16"/>
        <rFont val="Times New Roman"/>
        <family val="1"/>
      </rPr>
      <t>500MW</t>
    </r>
    <r>
      <rPr>
        <sz val="16"/>
        <rFont val="FangSong"/>
        <charset val="134"/>
      </rPr>
      <t>。到</t>
    </r>
    <r>
      <rPr>
        <sz val="16"/>
        <rFont val="FangSong"/>
        <charset val="134"/>
      </rPr>
      <t xml:space="preserve"> </t>
    </r>
    <r>
      <rPr>
        <sz val="16"/>
        <rFont val="Times New Roman"/>
        <family val="1"/>
      </rPr>
      <t xml:space="preserve">2020 </t>
    </r>
    <r>
      <rPr>
        <sz val="16"/>
        <rFont val="FangSong"/>
        <charset val="134"/>
      </rPr>
      <t>年，</t>
    </r>
    <r>
      <rPr>
        <sz val="16"/>
        <rFont val="FangSong"/>
        <charset val="134"/>
      </rPr>
      <t xml:space="preserve"> </t>
    </r>
    <r>
      <rPr>
        <sz val="16"/>
        <rFont val="FangSong"/>
        <charset val="134"/>
      </rPr>
      <t>地热供暖(制冷)</t>
    </r>
    <r>
      <rPr>
        <sz val="16"/>
        <rFont val="FangSong"/>
        <charset val="134"/>
      </rPr>
      <t xml:space="preserve"> </t>
    </r>
    <r>
      <rPr>
        <sz val="16"/>
        <rFont val="FangSong"/>
        <charset val="134"/>
      </rPr>
      <t xml:space="preserve">面积累计
</t>
    </r>
    <r>
      <rPr>
        <sz val="7.5"/>
        <rFont val="Arial"/>
        <family val="2"/>
      </rPr>
      <t xml:space="preserve">
</t>
    </r>
    <r>
      <rPr>
        <sz val="16"/>
        <rFont val="FangSong"/>
        <charset val="134"/>
      </rPr>
      <t>达到</t>
    </r>
    <r>
      <rPr>
        <sz val="16"/>
        <rFont val="FangSong"/>
        <charset val="134"/>
      </rPr>
      <t xml:space="preserve"> </t>
    </r>
    <r>
      <rPr>
        <sz val="16"/>
        <rFont val="Times New Roman"/>
        <family val="1"/>
      </rPr>
      <t xml:space="preserve">16 </t>
    </r>
    <r>
      <rPr>
        <sz val="16"/>
        <rFont val="FangSong"/>
        <charset val="134"/>
      </rPr>
      <t>亿平方米，地热发电装机容量约</t>
    </r>
    <r>
      <rPr>
        <sz val="16"/>
        <rFont val="FangSong"/>
        <charset val="134"/>
      </rPr>
      <t xml:space="preserve"> </t>
    </r>
    <r>
      <rPr>
        <sz val="16"/>
        <rFont val="Times New Roman"/>
        <family val="1"/>
      </rPr>
      <t>530MW</t>
    </r>
    <r>
      <rPr>
        <sz val="16"/>
        <rFont val="FangSong"/>
        <charset val="134"/>
      </rPr>
      <t>。</t>
    </r>
    <r>
      <rPr>
        <sz val="16"/>
        <rFont val="Times New Roman"/>
        <family val="1"/>
      </rPr>
      <t xml:space="preserve">2020 </t>
    </r>
    <r>
      <rPr>
        <sz val="16"/>
        <rFont val="FangSong"/>
        <charset val="134"/>
      </rPr>
      <t xml:space="preserve">年
</t>
    </r>
    <r>
      <rPr>
        <sz val="7.5"/>
        <rFont val="Arial"/>
        <family val="2"/>
      </rPr>
      <t xml:space="preserve">
</t>
    </r>
    <r>
      <rPr>
        <sz val="16"/>
        <rFont val="FangSong"/>
        <charset val="134"/>
      </rPr>
      <t>地热能年利用量</t>
    </r>
    <r>
      <rPr>
        <sz val="16"/>
        <rFont val="FangSong"/>
        <charset val="134"/>
      </rPr>
      <t xml:space="preserve"> </t>
    </r>
    <r>
      <rPr>
        <sz val="16"/>
        <rFont val="Times New Roman"/>
        <family val="1"/>
      </rPr>
      <t xml:space="preserve">7000  </t>
    </r>
    <r>
      <rPr>
        <sz val="16"/>
        <rFont val="FangSong"/>
        <charset val="134"/>
      </rPr>
      <t xml:space="preserve">万吨标准煤，地热能供暖年利用量
</t>
    </r>
    <r>
      <rPr>
        <sz val="7.5"/>
        <rFont val="Arial"/>
        <family val="2"/>
      </rPr>
      <t xml:space="preserve">
</t>
    </r>
    <r>
      <rPr>
        <sz val="16"/>
        <rFont val="Times New Roman"/>
        <family val="1"/>
      </rPr>
      <t xml:space="preserve">4000 </t>
    </r>
    <r>
      <rPr>
        <sz val="16"/>
        <rFont val="FangSong"/>
        <charset val="134"/>
      </rPr>
      <t>万吨标准煤。京津冀地区地热能年利用量达到约</t>
    </r>
    <r>
      <rPr>
        <sz val="16"/>
        <rFont val="FangSong"/>
        <charset val="134"/>
      </rPr>
      <t xml:space="preserve"> </t>
    </r>
    <r>
      <rPr>
        <sz val="16"/>
        <rFont val="Times New Roman"/>
        <family val="1"/>
      </rPr>
      <t xml:space="preserve">2000
</t>
    </r>
    <r>
      <rPr>
        <sz val="7.5"/>
        <rFont val="Arial"/>
        <family val="2"/>
      </rPr>
      <t xml:space="preserve">
</t>
    </r>
    <r>
      <rPr>
        <sz val="16"/>
        <rFont val="FangSong"/>
        <charset val="134"/>
      </rPr>
      <t xml:space="preserve">万吨标准煤。
</t>
    </r>
    <r>
      <rPr>
        <sz val="7.5"/>
        <rFont val="Arial"/>
        <family val="2"/>
      </rPr>
      <t xml:space="preserve">
</t>
    </r>
    <r>
      <rPr>
        <sz val="12"/>
        <rFont val="SimHei"/>
        <charset val="134"/>
      </rPr>
      <t xml:space="preserve">                     </t>
    </r>
    <r>
      <rPr>
        <sz val="12"/>
        <rFont val="SimHei"/>
        <charset val="134"/>
      </rPr>
      <t>表</t>
    </r>
    <r>
      <rPr>
        <sz val="12"/>
        <rFont val="SimHei"/>
        <charset val="134"/>
      </rPr>
      <t xml:space="preserve"> </t>
    </r>
    <r>
      <rPr>
        <sz val="12"/>
        <rFont val="SimHei"/>
        <charset val="134"/>
      </rPr>
      <t>3</t>
    </r>
    <r>
      <rPr>
        <sz val="12"/>
        <rFont val="SimHei"/>
        <charset val="134"/>
      </rPr>
      <t xml:space="preserve">  </t>
    </r>
    <r>
      <rPr>
        <sz val="12"/>
        <rFont val="SimHei"/>
        <charset val="134"/>
      </rPr>
      <t>我国地热能开发目标</t>
    </r>
  </si>
  <si>
    <t/>
  </si>
  <si>
    <r>
      <rPr>
        <sz val="10"/>
        <rFont val="Times New Roman"/>
        <family val="1"/>
      </rPr>
      <t>“</t>
    </r>
    <r>
      <rPr>
        <sz val="10"/>
        <rFont val="SimSun"/>
        <charset val="134"/>
      </rPr>
      <t>十三五</t>
    </r>
    <r>
      <rPr>
        <sz val="10"/>
        <rFont val="Times New Roman"/>
        <family val="1"/>
      </rPr>
      <t>”</t>
    </r>
    <r>
      <rPr>
        <sz val="10"/>
        <rFont val="SimSun"/>
        <charset val="134"/>
      </rPr>
      <t>新增</t>
    </r>
  </si>
  <si>
    <r>
      <rPr>
        <sz val="10"/>
        <rFont val="Times New Roman"/>
        <family val="1"/>
      </rPr>
      <t xml:space="preserve">2020 </t>
    </r>
    <r>
      <rPr>
        <sz val="10"/>
        <rFont val="SimSun"/>
        <charset val="134"/>
      </rPr>
      <t>年累计</t>
    </r>
  </si>
  <si>
    <r>
      <rPr>
        <sz val="10"/>
        <rFont val="SimSun"/>
        <charset val="134"/>
      </rPr>
      <t xml:space="preserve">浅层地热能
</t>
    </r>
    <r>
      <rPr>
        <sz val="10"/>
        <rFont val="SimSun"/>
        <charset val="134"/>
      </rPr>
      <t>供暖</t>
    </r>
    <r>
      <rPr>
        <sz val="10"/>
        <rFont val="Times New Roman"/>
        <family val="1"/>
      </rPr>
      <t>/</t>
    </r>
    <r>
      <rPr>
        <sz val="10"/>
        <rFont val="SimSun"/>
        <charset val="134"/>
      </rPr>
      <t xml:space="preserve">制冷
</t>
    </r>
    <r>
      <rPr>
        <sz val="10"/>
        <rFont val="SimSun"/>
        <charset val="134"/>
      </rPr>
      <t xml:space="preserve">面积
</t>
    </r>
    <r>
      <rPr>
        <sz val="10"/>
        <rFont val="SimSun"/>
        <charset val="134"/>
      </rPr>
      <t>(</t>
    </r>
    <r>
      <rPr>
        <sz val="10"/>
        <rFont val="Times New Roman"/>
        <family val="1"/>
      </rPr>
      <t>10</t>
    </r>
    <r>
      <rPr>
        <sz val="7"/>
        <rFont val="Times New Roman"/>
        <family val="1"/>
      </rPr>
      <t>4</t>
    </r>
    <r>
      <rPr>
        <sz val="10"/>
        <rFont val="Times New Roman"/>
        <family val="1"/>
      </rPr>
      <t>m</t>
    </r>
    <r>
      <rPr>
        <sz val="7"/>
        <rFont val="Times New Roman"/>
        <family val="1"/>
      </rPr>
      <t xml:space="preserve">2 </t>
    </r>
    <r>
      <rPr>
        <sz val="10"/>
        <rFont val="SimSun"/>
        <charset val="134"/>
      </rPr>
      <t>)</t>
    </r>
  </si>
  <si>
    <r>
      <rPr>
        <sz val="10"/>
        <rFont val="SimSun"/>
        <charset val="134"/>
      </rPr>
      <t xml:space="preserve">水热型地热
</t>
    </r>
    <r>
      <rPr>
        <sz val="10"/>
        <rFont val="SimSun"/>
        <charset val="134"/>
      </rPr>
      <t xml:space="preserve">能供暖面积
</t>
    </r>
    <r>
      <rPr>
        <sz val="10"/>
        <rFont val="Times New Roman"/>
        <family val="1"/>
      </rPr>
      <t>(10</t>
    </r>
    <r>
      <rPr>
        <sz val="7"/>
        <rFont val="Times New Roman"/>
        <family val="1"/>
      </rPr>
      <t>4</t>
    </r>
    <r>
      <rPr>
        <sz val="10"/>
        <rFont val="Times New Roman"/>
        <family val="1"/>
      </rPr>
      <t>m</t>
    </r>
    <r>
      <rPr>
        <sz val="7"/>
        <rFont val="Times New Roman"/>
        <family val="1"/>
      </rPr>
      <t>2</t>
    </r>
    <r>
      <rPr>
        <sz val="10"/>
        <rFont val="Times New Roman"/>
        <family val="1"/>
      </rPr>
      <t>)</t>
    </r>
  </si>
  <si>
    <r>
      <rPr>
        <sz val="10"/>
        <rFont val="SimSun"/>
        <charset val="134"/>
      </rPr>
      <t xml:space="preserve">发电装
</t>
    </r>
    <r>
      <rPr>
        <sz val="10"/>
        <rFont val="SimSun"/>
        <charset val="134"/>
      </rPr>
      <t xml:space="preserve">机容量
</t>
    </r>
    <r>
      <rPr>
        <sz val="10"/>
        <rFont val="Times New Roman"/>
        <family val="1"/>
      </rPr>
      <t>(MW)</t>
    </r>
  </si>
  <si>
    <r>
      <rPr>
        <sz val="10"/>
        <rFont val="SimSun"/>
        <charset val="134"/>
      </rPr>
      <t>北京</t>
    </r>
  </si>
  <si>
    <r>
      <rPr>
        <sz val="10"/>
        <rFont val="SimSun"/>
        <charset val="134"/>
      </rPr>
      <t>天津</t>
    </r>
  </si>
  <si>
    <r>
      <rPr>
        <sz val="10"/>
        <rFont val="SimSun"/>
        <charset val="134"/>
      </rPr>
      <t>河北</t>
    </r>
  </si>
  <si>
    <r>
      <rPr>
        <sz val="10"/>
        <rFont val="SimSun"/>
        <charset val="134"/>
      </rPr>
      <t>山西</t>
    </r>
  </si>
  <si>
    <r>
      <rPr>
        <sz val="10"/>
        <rFont val="SimSun"/>
        <charset val="134"/>
      </rPr>
      <t>内蒙古</t>
    </r>
  </si>
  <si>
    <r>
      <rPr>
        <sz val="10"/>
        <rFont val="SimSun"/>
        <charset val="134"/>
      </rPr>
      <t>山东</t>
    </r>
  </si>
  <si>
    <r>
      <rPr>
        <sz val="10"/>
        <rFont val="SimSun"/>
        <charset val="134"/>
      </rPr>
      <t>河南</t>
    </r>
  </si>
  <si>
    <r>
      <rPr>
        <sz val="10"/>
        <rFont val="SimSun"/>
        <charset val="134"/>
      </rPr>
      <t>陕西</t>
    </r>
  </si>
  <si>
    <r>
      <rPr>
        <sz val="10"/>
        <rFont val="SimSun"/>
        <charset val="134"/>
      </rPr>
      <t>甘肃</t>
    </r>
  </si>
  <si>
    <r>
      <rPr>
        <sz val="10"/>
        <rFont val="SimSun"/>
        <charset val="134"/>
      </rPr>
      <t>宁夏</t>
    </r>
  </si>
  <si>
    <r>
      <rPr>
        <sz val="10"/>
        <rFont val="SimSun"/>
        <charset val="134"/>
      </rPr>
      <t>青海</t>
    </r>
  </si>
  <si>
    <r>
      <rPr>
        <sz val="10"/>
        <rFont val="SimSun"/>
        <charset val="134"/>
      </rPr>
      <t>新疆</t>
    </r>
  </si>
  <si>
    <r>
      <rPr>
        <sz val="10"/>
        <rFont val="SimSun"/>
        <charset val="134"/>
      </rPr>
      <t>四川</t>
    </r>
  </si>
  <si>
    <r>
      <rPr>
        <sz val="10"/>
        <rFont val="SimSun"/>
        <charset val="134"/>
      </rPr>
      <t>重庆</t>
    </r>
  </si>
  <si>
    <r>
      <rPr>
        <sz val="10"/>
        <rFont val="Times New Roman"/>
        <family val="1"/>
      </rPr>
      <t xml:space="preserve"> “</t>
    </r>
    <r>
      <rPr>
        <sz val="10"/>
        <rFont val="SimSun"/>
        <charset val="134"/>
      </rPr>
      <t>十三五</t>
    </r>
    <r>
      <rPr>
        <sz val="10"/>
        <rFont val="Times New Roman"/>
        <family val="1"/>
      </rPr>
      <t>”</t>
    </r>
    <r>
      <rPr>
        <sz val="10"/>
        <rFont val="SimSun"/>
        <charset val="134"/>
      </rPr>
      <t>新增</t>
    </r>
  </si>
  <si>
    <r>
      <rPr>
        <sz val="10"/>
        <rFont val="Times New Roman"/>
        <family val="1"/>
      </rPr>
      <t xml:space="preserve">   2020 </t>
    </r>
    <r>
      <rPr>
        <sz val="10"/>
        <rFont val="SimSun"/>
        <charset val="134"/>
      </rPr>
      <t>年累计</t>
    </r>
  </si>
  <si>
    <r>
      <rPr>
        <sz val="10"/>
        <rFont val="SimSun"/>
        <charset val="134"/>
      </rPr>
      <t>湖北</t>
    </r>
  </si>
  <si>
    <r>
      <rPr>
        <sz val="10"/>
        <rFont val="SimSun"/>
        <charset val="134"/>
      </rPr>
      <t>湖南</t>
    </r>
  </si>
  <si>
    <r>
      <rPr>
        <sz val="10"/>
        <rFont val="SimSun"/>
        <charset val="134"/>
      </rPr>
      <t>江西</t>
    </r>
  </si>
  <si>
    <r>
      <rPr>
        <sz val="10"/>
        <rFont val="SimSun"/>
        <charset val="134"/>
      </rPr>
      <t>安徽</t>
    </r>
  </si>
  <si>
    <r>
      <rPr>
        <sz val="10"/>
        <rFont val="SimSun"/>
        <charset val="134"/>
      </rPr>
      <t>江苏</t>
    </r>
  </si>
  <si>
    <r>
      <rPr>
        <sz val="10"/>
        <rFont val="SimSun"/>
        <charset val="134"/>
      </rPr>
      <t>上海</t>
    </r>
  </si>
  <si>
    <r>
      <rPr>
        <sz val="10"/>
        <rFont val="SimSun"/>
        <charset val="134"/>
      </rPr>
      <t>浙江</t>
    </r>
  </si>
  <si>
    <r>
      <rPr>
        <sz val="10"/>
        <rFont val="SimSun"/>
        <charset val="134"/>
      </rPr>
      <t>辽宁</t>
    </r>
  </si>
  <si>
    <r>
      <rPr>
        <sz val="10"/>
        <rFont val="SimSun"/>
        <charset val="134"/>
      </rPr>
      <t>吉林</t>
    </r>
  </si>
  <si>
    <r>
      <rPr>
        <sz val="10"/>
        <rFont val="SimSun"/>
        <charset val="134"/>
      </rPr>
      <t>黑龙江</t>
    </r>
  </si>
  <si>
    <r>
      <rPr>
        <sz val="10"/>
        <rFont val="SimSun"/>
        <charset val="134"/>
      </rPr>
      <t>广东</t>
    </r>
  </si>
  <si>
    <r>
      <rPr>
        <sz val="10"/>
        <rFont val="SimSun"/>
        <charset val="134"/>
      </rPr>
      <t>福建</t>
    </r>
  </si>
  <si>
    <r>
      <rPr>
        <sz val="10"/>
        <rFont val="SimSun"/>
        <charset val="134"/>
      </rPr>
      <t>海南</t>
    </r>
  </si>
  <si>
    <r>
      <rPr>
        <sz val="10"/>
        <rFont val="SimSun"/>
        <charset val="134"/>
      </rPr>
      <t>云南</t>
    </r>
  </si>
  <si>
    <r>
      <rPr>
        <sz val="10"/>
        <rFont val="SimSun"/>
        <charset val="134"/>
      </rPr>
      <t>贵州</t>
    </r>
  </si>
  <si>
    <r>
      <rPr>
        <sz val="10"/>
        <rFont val="SimSun"/>
        <charset val="134"/>
      </rPr>
      <t>广西</t>
    </r>
  </si>
  <si>
    <r>
      <rPr>
        <sz val="10"/>
        <rFont val="SimSun"/>
        <charset val="134"/>
      </rPr>
      <t>西藏</t>
    </r>
  </si>
  <si>
    <r>
      <rPr>
        <sz val="10"/>
        <rFont val="SimSun"/>
        <charset val="134"/>
      </rPr>
      <t>全国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</si>
</sst>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"/>
    <numFmt numFmtId="178" formatCode="0.0_);[Red]\(0.0\)"/>
  </numFmts>
  <fonts count="30">
    <font>
      <sz val="10"/>
      <name val="Arial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color rgb="FF000000"/>
      <name val="Arial"/>
      <family val="2"/>
    </font>
    <font>
      <sz val="10"/>
      <name val="Arial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color theme="4" tint="-0.249977111117893"/>
      <name val="Calibri"/>
      <family val="2"/>
    </font>
    <font>
      <sz val="16"/>
      <name val="FangSong"/>
      <charset val="134"/>
    </font>
    <font>
      <sz val="7.5"/>
      <name val="Arial"/>
      <family val="2"/>
    </font>
    <font>
      <sz val="8"/>
      <name val="Arial"/>
      <family val="2"/>
    </font>
    <font>
      <sz val="16"/>
      <name val="Microsoft YaHei"/>
      <charset val="134"/>
    </font>
    <font>
      <sz val="6"/>
      <name val="Arial"/>
      <family val="2"/>
    </font>
    <font>
      <sz val="16"/>
      <name val="Times New Roman"/>
      <family val="1"/>
    </font>
    <font>
      <sz val="12"/>
      <name val="SimHei"/>
      <charset val="134"/>
    </font>
    <font>
      <sz val="10"/>
      <name val="Times New Roman"/>
      <family val="1"/>
    </font>
    <font>
      <sz val="10"/>
      <name val="SimSun"/>
      <charset val="134"/>
    </font>
    <font>
      <sz val="7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8D7CD"/>
        <bgColor indexed="64"/>
      </patternFill>
    </fill>
    <fill>
      <patternFill patternType="solid">
        <fgColor rgb="FFFCECE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/>
    <xf numFmtId="0" fontId="15" fillId="0" borderId="0">
      <alignment vertical="center"/>
    </xf>
    <xf numFmtId="0" fontId="16" fillId="0" borderId="0"/>
  </cellStyleXfs>
  <cellXfs count="1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11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/>
    </xf>
    <xf numFmtId="0" fontId="5" fillId="0" borderId="1" xfId="0" applyFont="1" applyBorder="1">
      <alignment vertical="center"/>
    </xf>
    <xf numFmtId="0" fontId="6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>
      <alignment vertical="center"/>
    </xf>
    <xf numFmtId="0" fontId="0" fillId="0" borderId="0" xfId="0" applyAlignment="1">
      <alignment vertical="center" wrapText="1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center" vertical="top"/>
    </xf>
    <xf numFmtId="0" fontId="3" fillId="0" borderId="1" xfId="1" applyBorder="1" applyAlignment="1">
      <alignment horizontal="center"/>
    </xf>
    <xf numFmtId="1" fontId="7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wrapText="1"/>
    </xf>
    <xf numFmtId="177" fontId="7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top" wrapText="1"/>
    </xf>
    <xf numFmtId="178" fontId="7" fillId="0" borderId="1" xfId="0" applyNumberFormat="1" applyFont="1" applyBorder="1" applyAlignment="1">
      <alignment horizontal="center" vertical="top" shrinkToFit="1"/>
    </xf>
    <xf numFmtId="178" fontId="7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shrinkToFit="1"/>
    </xf>
    <xf numFmtId="0" fontId="2" fillId="0" borderId="0" xfId="2"/>
    <xf numFmtId="1" fontId="2" fillId="0" borderId="0" xfId="2" applyNumberFormat="1"/>
    <xf numFmtId="0" fontId="2" fillId="0" borderId="0" xfId="2" applyAlignment="1">
      <alignment wrapText="1"/>
    </xf>
    <xf numFmtId="0" fontId="10" fillId="0" borderId="0" xfId="2" applyFont="1"/>
    <xf numFmtId="2" fontId="2" fillId="0" borderId="0" xfId="2" applyNumberFormat="1"/>
    <xf numFmtId="0" fontId="1" fillId="0" borderId="0" xfId="3">
      <alignment vertical="center"/>
    </xf>
    <xf numFmtId="0" fontId="11" fillId="0" borderId="0" xfId="3" applyFont="1" applyAlignment="1">
      <alignment horizontal="left" vertical="center" wrapText="1"/>
    </xf>
    <xf numFmtId="0" fontId="12" fillId="0" borderId="0" xfId="3" applyFont="1">
      <alignment vertical="center"/>
    </xf>
    <xf numFmtId="0" fontId="11" fillId="0" borderId="0" xfId="3" applyFont="1" applyAlignment="1">
      <alignment horizontal="right" vertical="center" wrapText="1"/>
    </xf>
    <xf numFmtId="0" fontId="11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left" vertical="center" wrapText="1"/>
    </xf>
    <xf numFmtId="0" fontId="11" fillId="0" borderId="0" xfId="3" applyFont="1" applyAlignment="1">
      <alignment horizontal="right" vertical="center"/>
    </xf>
    <xf numFmtId="0" fontId="11" fillId="0" borderId="8" xfId="3" applyFont="1" applyBorder="1" applyAlignment="1">
      <alignment horizontal="left" vertical="center" wrapText="1"/>
    </xf>
    <xf numFmtId="0" fontId="11" fillId="0" borderId="9" xfId="3" applyFont="1" applyBorder="1" applyAlignment="1">
      <alignment horizontal="left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left" vertical="center" wrapText="1"/>
    </xf>
    <xf numFmtId="0" fontId="11" fillId="0" borderId="6" xfId="3" applyFont="1" applyBorder="1" applyAlignment="1">
      <alignment horizontal="right" vertical="center" wrapText="1"/>
    </xf>
    <xf numFmtId="0" fontId="11" fillId="0" borderId="10" xfId="3" applyFont="1" applyBorder="1" applyAlignment="1">
      <alignment horizontal="right" vertical="center" wrapText="1"/>
    </xf>
    <xf numFmtId="0" fontId="11" fillId="0" borderId="15" xfId="3" applyFont="1" applyBorder="1" applyAlignment="1">
      <alignment horizontal="center" vertical="center" wrapText="1"/>
    </xf>
    <xf numFmtId="49" fontId="14" fillId="0" borderId="12" xfId="4" applyNumberFormat="1" applyFont="1" applyBorder="1" applyAlignment="1">
      <alignment horizontal="center" vertical="center"/>
    </xf>
    <xf numFmtId="49" fontId="14" fillId="0" borderId="1" xfId="4" applyNumberFormat="1" applyFont="1" applyBorder="1" applyAlignment="1">
      <alignment horizontal="center" vertical="center" wrapText="1"/>
    </xf>
    <xf numFmtId="49" fontId="14" fillId="0" borderId="5" xfId="4" applyNumberFormat="1" applyFont="1" applyBorder="1" applyAlignment="1">
      <alignment horizontal="center" vertical="center" wrapText="1"/>
    </xf>
    <xf numFmtId="49" fontId="14" fillId="0" borderId="11" xfId="4" applyNumberFormat="1" applyFont="1" applyBorder="1" applyAlignment="1">
      <alignment horizontal="center" vertical="center" wrapText="1"/>
    </xf>
    <xf numFmtId="49" fontId="14" fillId="0" borderId="2" xfId="4" applyNumberFormat="1" applyFont="1" applyBorder="1" applyAlignment="1">
      <alignment horizontal="center" vertical="center" wrapText="1"/>
    </xf>
    <xf numFmtId="0" fontId="1" fillId="0" borderId="0" xfId="4" applyAlignment="1">
      <alignment vertical="center"/>
    </xf>
    <xf numFmtId="0" fontId="1" fillId="0" borderId="0" xfId="4"/>
    <xf numFmtId="0" fontId="14" fillId="0" borderId="0" xfId="5" applyFont="1" applyAlignment="1">
      <alignment horizontal="right" vertical="center" wrapText="1"/>
    </xf>
    <xf numFmtId="0" fontId="14" fillId="0" borderId="0" xfId="5" applyFont="1" applyAlignment="1">
      <alignment horizontal="right" vertical="center"/>
    </xf>
    <xf numFmtId="0" fontId="14" fillId="0" borderId="0" xfId="4" applyFont="1" applyAlignment="1">
      <alignment horizontal="right" vertical="center"/>
    </xf>
    <xf numFmtId="49" fontId="14" fillId="0" borderId="0" xfId="4" applyNumberFormat="1" applyFont="1" applyAlignment="1">
      <alignment horizontal="right" vertical="center"/>
    </xf>
    <xf numFmtId="0" fontId="14" fillId="0" borderId="13" xfId="4" applyFont="1" applyBorder="1" applyAlignment="1">
      <alignment horizontal="right" vertical="center"/>
    </xf>
    <xf numFmtId="49" fontId="14" fillId="0" borderId="13" xfId="4" applyNumberFormat="1" applyFont="1" applyBorder="1" applyAlignment="1">
      <alignment horizontal="right" vertical="center"/>
    </xf>
    <xf numFmtId="0" fontId="1" fillId="0" borderId="0" xfId="4" applyAlignment="1">
      <alignment wrapText="1"/>
    </xf>
    <xf numFmtId="10" fontId="1" fillId="0" borderId="0" xfId="4" applyNumberFormat="1"/>
    <xf numFmtId="1" fontId="1" fillId="0" borderId="0" xfId="4" applyNumberFormat="1"/>
    <xf numFmtId="0" fontId="16" fillId="2" borderId="16" xfId="4" applyFont="1" applyFill="1" applyBorder="1" applyAlignment="1">
      <alignment horizontal="left" vertical="center" wrapText="1" readingOrder="1"/>
    </xf>
    <xf numFmtId="0" fontId="16" fillId="2" borderId="17" xfId="4" applyFont="1" applyFill="1" applyBorder="1" applyAlignment="1">
      <alignment horizontal="left" vertical="center" wrapText="1" readingOrder="1"/>
    </xf>
    <xf numFmtId="0" fontId="16" fillId="3" borderId="17" xfId="4" applyFont="1" applyFill="1" applyBorder="1" applyAlignment="1">
      <alignment horizontal="left" vertical="center" wrapText="1" readingOrder="1"/>
    </xf>
    <xf numFmtId="0" fontId="17" fillId="4" borderId="16" xfId="4" applyFont="1" applyFill="1" applyBorder="1" applyAlignment="1">
      <alignment horizontal="left" wrapText="1" readingOrder="1"/>
    </xf>
    <xf numFmtId="0" fontId="17" fillId="4" borderId="17" xfId="4" applyFont="1" applyFill="1" applyBorder="1" applyAlignment="1">
      <alignment horizontal="left" wrapText="1" readingOrder="1"/>
    </xf>
    <xf numFmtId="0" fontId="18" fillId="5" borderId="17" xfId="4" applyFont="1" applyFill="1" applyBorder="1" applyAlignment="1">
      <alignment horizontal="left" wrapText="1" readingOrder="1"/>
    </xf>
    <xf numFmtId="49" fontId="16" fillId="0" borderId="0" xfId="6" applyNumberFormat="1" applyAlignment="1">
      <alignment horizontal="left" vertical="top" wrapText="1"/>
    </xf>
    <xf numFmtId="49" fontId="16" fillId="0" borderId="18" xfId="6" applyNumberFormat="1" applyBorder="1" applyAlignment="1">
      <alignment horizontal="left" vertical="top" wrapText="1"/>
    </xf>
    <xf numFmtId="49" fontId="16" fillId="0" borderId="18" xfId="6" applyNumberFormat="1" applyBorder="1" applyAlignment="1">
      <alignment horizontal="center" vertical="center" wrapText="1"/>
    </xf>
    <xf numFmtId="49" fontId="16" fillId="6" borderId="18" xfId="6" applyNumberFormat="1" applyFill="1" applyBorder="1" applyAlignment="1">
      <alignment horizontal="center" vertical="center" wrapText="1"/>
    </xf>
    <xf numFmtId="49" fontId="16" fillId="6" borderId="18" xfId="6" applyNumberFormat="1" applyFill="1" applyBorder="1" applyAlignment="1">
      <alignment horizontal="left" vertical="top" wrapText="1"/>
    </xf>
    <xf numFmtId="1" fontId="29" fillId="0" borderId="18" xfId="6" applyNumberFormat="1" applyFont="1" applyBorder="1" applyAlignment="1">
      <alignment horizontal="center" vertical="center" wrapText="1"/>
    </xf>
    <xf numFmtId="1" fontId="29" fillId="6" borderId="18" xfId="6" applyNumberFormat="1" applyFont="1" applyFill="1" applyBorder="1" applyAlignment="1">
      <alignment horizontal="center" vertical="center" wrapText="1"/>
    </xf>
    <xf numFmtId="177" fontId="29" fillId="6" borderId="18" xfId="6" applyNumberFormat="1" applyFont="1" applyFill="1" applyBorder="1" applyAlignment="1">
      <alignment horizontal="center" vertical="center" wrapText="1"/>
    </xf>
    <xf numFmtId="2" fontId="29" fillId="6" borderId="18" xfId="6" applyNumberFormat="1" applyFont="1" applyFill="1" applyBorder="1" applyAlignment="1">
      <alignment horizontal="center" vertical="center" wrapText="1"/>
    </xf>
    <xf numFmtId="49" fontId="16" fillId="0" borderId="0" xfId="6" applyNumberFormat="1" applyAlignment="1">
      <alignment horizontal="left" vertical="center" wrapText="1"/>
    </xf>
    <xf numFmtId="49" fontId="16" fillId="0" borderId="0" xfId="6" applyNumberFormat="1" applyAlignment="1">
      <alignment horizontal="left" vertical="top" wrapText="1"/>
    </xf>
    <xf numFmtId="49" fontId="16" fillId="0" borderId="18" xfId="6" applyNumberFormat="1" applyBorder="1" applyAlignment="1">
      <alignment horizontal="left" vertical="top" wrapText="1"/>
    </xf>
    <xf numFmtId="49" fontId="16" fillId="0" borderId="18" xfId="6" applyNumberFormat="1" applyBorder="1" applyAlignment="1">
      <alignment horizontal="center" vertical="center" wrapText="1"/>
    </xf>
    <xf numFmtId="49" fontId="16" fillId="6" borderId="18" xfId="6" applyNumberFormat="1" applyFill="1" applyBorder="1" applyAlignment="1">
      <alignment horizontal="center" vertical="center" wrapText="1"/>
    </xf>
    <xf numFmtId="49" fontId="16" fillId="6" borderId="18" xfId="6" applyNumberFormat="1" applyFill="1" applyBorder="1" applyAlignment="1">
      <alignment horizontal="left" vertical="top" wrapText="1"/>
    </xf>
    <xf numFmtId="49" fontId="16" fillId="0" borderId="18" xfId="6" applyNumberFormat="1" applyBorder="1" applyAlignment="1">
      <alignment horizontal="left" vertical="center" wrapText="1" indent="4"/>
    </xf>
    <xf numFmtId="49" fontId="16" fillId="6" borderId="18" xfId="6" applyNumberFormat="1" applyFill="1" applyBorder="1" applyAlignment="1">
      <alignment horizontal="left" vertical="center" wrapText="1" indent="4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</cellXfs>
  <cellStyles count="7">
    <cellStyle name="Normal 2" xfId="3" xr:uid="{52D3C792-97E9-4EA0-8442-D36541429D5E}"/>
    <cellStyle name="Normal 2 2" xfId="5" xr:uid="{73635E45-F57E-45B4-A611-8985399D930F}"/>
    <cellStyle name="Normal 3" xfId="4" xr:uid="{3F5D11A9-9471-423B-B780-060702283067}"/>
    <cellStyle name="常规" xfId="0" builtinId="0"/>
    <cellStyle name="常规 2" xfId="1" xr:uid="{7875FEEB-216D-4735-9958-42D2ECDE2A72}"/>
    <cellStyle name="常规 3" xfId="2" xr:uid="{717AA771-891B-4643-B600-0EE2F0340A55}"/>
    <cellStyle name="常规 4" xfId="6" xr:uid="{029E1959-E0D8-4D1C-A031-B6DEEC865D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rt%20Year%20Capac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Form 860_Generator"/>
      <sheetName val="Cross-Page Data"/>
    </sheetNames>
    <sheetDataSet>
      <sheetData sheetId="0"/>
      <sheetData sheetId="1">
        <row r="1">
          <cell r="H1">
            <v>220011.59999999998</v>
          </cell>
        </row>
        <row r="2">
          <cell r="C2" t="str">
            <v>Prime Mover</v>
          </cell>
          <cell r="D2" t="str">
            <v>Summer Capacity (MW)</v>
          </cell>
          <cell r="H2" t="str">
            <v>Model Energy Source</v>
          </cell>
        </row>
        <row r="3">
          <cell r="C3" t="str">
            <v>IC</v>
          </cell>
          <cell r="D3">
            <v>0.4</v>
          </cell>
          <cell r="H3" t="str">
            <v>petroleum</v>
          </cell>
        </row>
        <row r="4">
          <cell r="C4" t="str">
            <v>IC</v>
          </cell>
          <cell r="D4">
            <v>0.3</v>
          </cell>
          <cell r="H4" t="str">
            <v>petroleum</v>
          </cell>
        </row>
        <row r="5">
          <cell r="C5" t="str">
            <v>IC</v>
          </cell>
          <cell r="D5">
            <v>0.3</v>
          </cell>
          <cell r="H5" t="str">
            <v>petroleum</v>
          </cell>
        </row>
        <row r="6">
          <cell r="C6" t="str">
            <v>IC</v>
          </cell>
          <cell r="D6">
            <v>0.4</v>
          </cell>
          <cell r="H6" t="str">
            <v>petroleum</v>
          </cell>
        </row>
        <row r="7">
          <cell r="C7" t="str">
            <v>WT</v>
          </cell>
          <cell r="D7">
            <v>0.1</v>
          </cell>
          <cell r="H7" t="str">
            <v>onshore wind</v>
          </cell>
        </row>
        <row r="8">
          <cell r="C8" t="str">
            <v>WT</v>
          </cell>
          <cell r="D8">
            <v>0.3</v>
          </cell>
          <cell r="H8" t="str">
            <v>onshore wind</v>
          </cell>
        </row>
        <row r="9">
          <cell r="C9" t="str">
            <v>HY</v>
          </cell>
          <cell r="D9">
            <v>53</v>
          </cell>
          <cell r="H9" t="str">
            <v>hydro</v>
          </cell>
        </row>
        <row r="10">
          <cell r="C10" t="str">
            <v>ST</v>
          </cell>
          <cell r="D10">
            <v>80</v>
          </cell>
          <cell r="H10" t="str">
            <v>natural gas peaker</v>
          </cell>
        </row>
        <row r="11">
          <cell r="C11" t="str">
            <v>ST</v>
          </cell>
          <cell r="D11">
            <v>80</v>
          </cell>
          <cell r="H11" t="str">
            <v>natural gas peaker</v>
          </cell>
        </row>
        <row r="12">
          <cell r="C12" t="str">
            <v>ST</v>
          </cell>
          <cell r="D12">
            <v>362</v>
          </cell>
          <cell r="H12" t="str">
            <v>hard coal</v>
          </cell>
        </row>
        <row r="13">
          <cell r="C13" t="str">
            <v>ST</v>
          </cell>
          <cell r="D13">
            <v>756.5</v>
          </cell>
          <cell r="H13" t="str">
            <v>hard coal</v>
          </cell>
        </row>
        <row r="14">
          <cell r="C14" t="str">
            <v>CT</v>
          </cell>
          <cell r="D14">
            <v>175.6</v>
          </cell>
          <cell r="H14" t="str">
            <v>natural gas nonpeaker</v>
          </cell>
        </row>
        <row r="15">
          <cell r="C15" t="str">
            <v>CT</v>
          </cell>
          <cell r="D15">
            <v>175.6</v>
          </cell>
          <cell r="H15" t="str">
            <v>natural gas nonpeaker</v>
          </cell>
        </row>
        <row r="16">
          <cell r="C16" t="str">
            <v>CA</v>
          </cell>
          <cell r="D16">
            <v>200</v>
          </cell>
          <cell r="H16" t="str">
            <v>natural gas nonpeaker</v>
          </cell>
        </row>
        <row r="17">
          <cell r="C17" t="str">
            <v>CT</v>
          </cell>
          <cell r="D17">
            <v>178.6</v>
          </cell>
          <cell r="H17" t="str">
            <v>natural gas nonpeaker</v>
          </cell>
        </row>
        <row r="18">
          <cell r="C18" t="str">
            <v>CT</v>
          </cell>
          <cell r="D18">
            <v>178.6</v>
          </cell>
          <cell r="H18" t="str">
            <v>natural gas nonpeaker</v>
          </cell>
        </row>
        <row r="19">
          <cell r="C19" t="str">
            <v>CA</v>
          </cell>
          <cell r="D19">
            <v>200</v>
          </cell>
          <cell r="H19" t="str">
            <v>natural gas nonpeaker</v>
          </cell>
        </row>
        <row r="20">
          <cell r="C20" t="str">
            <v>HY</v>
          </cell>
          <cell r="D20">
            <v>74.7</v>
          </cell>
          <cell r="H20" t="str">
            <v>hydro</v>
          </cell>
        </row>
        <row r="21">
          <cell r="C21" t="str">
            <v>HY</v>
          </cell>
          <cell r="D21">
            <v>74.7</v>
          </cell>
          <cell r="H21" t="str">
            <v>hydro</v>
          </cell>
        </row>
        <row r="22">
          <cell r="C22" t="str">
            <v>HY</v>
          </cell>
          <cell r="D22">
            <v>74.7</v>
          </cell>
          <cell r="H22" t="str">
            <v>hydro</v>
          </cell>
        </row>
        <row r="23">
          <cell r="C23" t="str">
            <v>ST</v>
          </cell>
          <cell r="D23">
            <v>64</v>
          </cell>
          <cell r="H23" t="str">
            <v>natural gas peaker</v>
          </cell>
        </row>
        <row r="24">
          <cell r="C24" t="str">
            <v>ST</v>
          </cell>
          <cell r="D24">
            <v>66</v>
          </cell>
          <cell r="H24" t="str">
            <v>natural gas peaker</v>
          </cell>
        </row>
        <row r="25">
          <cell r="C25" t="str">
            <v>GT</v>
          </cell>
          <cell r="D25">
            <v>63</v>
          </cell>
          <cell r="H25" t="str">
            <v>natural gas peaker</v>
          </cell>
        </row>
        <row r="26">
          <cell r="C26" t="str">
            <v>ST</v>
          </cell>
          <cell r="D26">
            <v>257.8</v>
          </cell>
          <cell r="H26" t="str">
            <v>natural gas peaker</v>
          </cell>
        </row>
        <row r="27">
          <cell r="C27" t="str">
            <v>ST</v>
          </cell>
          <cell r="D27">
            <v>258.3</v>
          </cell>
          <cell r="H27" t="str">
            <v>natural gas peaker</v>
          </cell>
        </row>
        <row r="28">
          <cell r="C28" t="str">
            <v>GT</v>
          </cell>
          <cell r="D28">
            <v>85</v>
          </cell>
          <cell r="H28" t="str">
            <v>natural gas peaker</v>
          </cell>
        </row>
        <row r="29">
          <cell r="C29" t="str">
            <v>GT</v>
          </cell>
          <cell r="D29">
            <v>84</v>
          </cell>
          <cell r="H29" t="str">
            <v>natural gas peaker</v>
          </cell>
        </row>
        <row r="30">
          <cell r="C30" t="str">
            <v>GT</v>
          </cell>
          <cell r="D30">
            <v>82</v>
          </cell>
          <cell r="H30" t="str">
            <v>natural gas peaker</v>
          </cell>
        </row>
        <row r="31">
          <cell r="C31" t="str">
            <v>GT</v>
          </cell>
          <cell r="D31">
            <v>81</v>
          </cell>
          <cell r="H31" t="str">
            <v>natural gas peaker</v>
          </cell>
        </row>
        <row r="32">
          <cell r="C32" t="str">
            <v>GT</v>
          </cell>
          <cell r="D32">
            <v>82</v>
          </cell>
          <cell r="H32" t="str">
            <v>natural gas peaker</v>
          </cell>
        </row>
        <row r="33">
          <cell r="C33" t="str">
            <v>GT</v>
          </cell>
          <cell r="D33">
            <v>81</v>
          </cell>
          <cell r="H33" t="str">
            <v>natural gas peaker</v>
          </cell>
        </row>
        <row r="34">
          <cell r="C34" t="str">
            <v>GT</v>
          </cell>
          <cell r="D34">
            <v>80</v>
          </cell>
          <cell r="H34" t="str">
            <v>natural gas peaker</v>
          </cell>
        </row>
        <row r="35">
          <cell r="C35" t="str">
            <v>GT</v>
          </cell>
          <cell r="D35">
            <v>83</v>
          </cell>
          <cell r="H35" t="str">
            <v>natural gas peaker</v>
          </cell>
        </row>
        <row r="36">
          <cell r="C36" t="str">
            <v>GT</v>
          </cell>
          <cell r="D36">
            <v>82</v>
          </cell>
          <cell r="H36" t="str">
            <v>natural gas peaker</v>
          </cell>
        </row>
        <row r="37">
          <cell r="C37" t="str">
            <v>HY</v>
          </cell>
          <cell r="D37">
            <v>23.7</v>
          </cell>
          <cell r="H37" t="str">
            <v>hydro</v>
          </cell>
        </row>
        <row r="38">
          <cell r="C38" t="str">
            <v>HY</v>
          </cell>
          <cell r="D38">
            <v>23.7</v>
          </cell>
          <cell r="H38" t="str">
            <v>hydro</v>
          </cell>
        </row>
        <row r="39">
          <cell r="C39" t="str">
            <v>HY</v>
          </cell>
          <cell r="D39">
            <v>23.7</v>
          </cell>
          <cell r="H39" t="str">
            <v>hydro</v>
          </cell>
        </row>
        <row r="40">
          <cell r="C40" t="str">
            <v>HY</v>
          </cell>
          <cell r="D40">
            <v>48</v>
          </cell>
          <cell r="H40" t="str">
            <v>hydro</v>
          </cell>
        </row>
        <row r="41">
          <cell r="C41" t="str">
            <v>HY</v>
          </cell>
          <cell r="D41">
            <v>32.299999999999997</v>
          </cell>
          <cell r="H41" t="str">
            <v>hydro</v>
          </cell>
        </row>
        <row r="42">
          <cell r="C42" t="str">
            <v>HY</v>
          </cell>
          <cell r="D42">
            <v>32.299999999999997</v>
          </cell>
          <cell r="H42" t="str">
            <v>hydro</v>
          </cell>
        </row>
        <row r="43">
          <cell r="C43" t="str">
            <v>HY</v>
          </cell>
          <cell r="D43">
            <v>32.299999999999997</v>
          </cell>
          <cell r="H43" t="str">
            <v>hydro</v>
          </cell>
        </row>
        <row r="44">
          <cell r="C44" t="str">
            <v>HY</v>
          </cell>
          <cell r="D44">
            <v>32.299999999999997</v>
          </cell>
          <cell r="H44" t="str">
            <v>hydro</v>
          </cell>
        </row>
        <row r="45">
          <cell r="C45" t="str">
            <v>HY</v>
          </cell>
          <cell r="D45">
            <v>43</v>
          </cell>
          <cell r="H45" t="str">
            <v>hydro</v>
          </cell>
        </row>
        <row r="46">
          <cell r="C46" t="str">
            <v>HY</v>
          </cell>
          <cell r="D46">
            <v>43</v>
          </cell>
          <cell r="H46" t="str">
            <v>hydro</v>
          </cell>
        </row>
        <row r="47">
          <cell r="C47" t="str">
            <v>HY</v>
          </cell>
          <cell r="D47">
            <v>43</v>
          </cell>
          <cell r="H47" t="str">
            <v>hydro</v>
          </cell>
        </row>
        <row r="48">
          <cell r="C48" t="str">
            <v>HY</v>
          </cell>
          <cell r="D48">
            <v>30</v>
          </cell>
          <cell r="H48" t="str">
            <v>hydro</v>
          </cell>
        </row>
        <row r="49">
          <cell r="C49" t="str">
            <v>HY</v>
          </cell>
          <cell r="D49">
            <v>30</v>
          </cell>
          <cell r="H49" t="str">
            <v>hydro</v>
          </cell>
        </row>
        <row r="50">
          <cell r="C50" t="str">
            <v>HY</v>
          </cell>
          <cell r="D50">
            <v>30</v>
          </cell>
          <cell r="H50" t="str">
            <v>hydro</v>
          </cell>
        </row>
        <row r="51">
          <cell r="C51" t="str">
            <v>HY</v>
          </cell>
          <cell r="D51">
            <v>30</v>
          </cell>
          <cell r="H51" t="str">
            <v>hydro</v>
          </cell>
        </row>
        <row r="52">
          <cell r="C52" t="str">
            <v>HY</v>
          </cell>
          <cell r="D52">
            <v>30</v>
          </cell>
          <cell r="H52" t="str">
            <v>hydro</v>
          </cell>
        </row>
        <row r="53">
          <cell r="C53" t="str">
            <v>HY</v>
          </cell>
          <cell r="D53">
            <v>30</v>
          </cell>
          <cell r="H53" t="str">
            <v>hydro</v>
          </cell>
        </row>
        <row r="54">
          <cell r="C54" t="str">
            <v>HY</v>
          </cell>
          <cell r="D54">
            <v>41.5</v>
          </cell>
          <cell r="H54" t="str">
            <v>hydro</v>
          </cell>
        </row>
        <row r="55">
          <cell r="C55" t="str">
            <v>HY</v>
          </cell>
          <cell r="D55">
            <v>41.5</v>
          </cell>
          <cell r="H55" t="str">
            <v>hydro</v>
          </cell>
        </row>
        <row r="56">
          <cell r="C56" t="str">
            <v>HY</v>
          </cell>
          <cell r="D56">
            <v>41.5</v>
          </cell>
          <cell r="H56" t="str">
            <v>hydro</v>
          </cell>
        </row>
        <row r="57">
          <cell r="C57" t="str">
            <v>HY</v>
          </cell>
          <cell r="D57">
            <v>57.6</v>
          </cell>
          <cell r="H57" t="str">
            <v>hydro</v>
          </cell>
        </row>
        <row r="58">
          <cell r="C58" t="str">
            <v>HY</v>
          </cell>
          <cell r="D58">
            <v>22.4</v>
          </cell>
          <cell r="H58" t="str">
            <v>hydro</v>
          </cell>
        </row>
        <row r="59">
          <cell r="C59" t="str">
            <v>HY</v>
          </cell>
          <cell r="D59">
            <v>46.9</v>
          </cell>
          <cell r="H59" t="str">
            <v>hydro</v>
          </cell>
        </row>
        <row r="60">
          <cell r="C60" t="str">
            <v>HY</v>
          </cell>
          <cell r="D60">
            <v>46.9</v>
          </cell>
          <cell r="H60" t="str">
            <v>hydro</v>
          </cell>
        </row>
        <row r="61">
          <cell r="C61" t="str">
            <v>HY</v>
          </cell>
          <cell r="D61">
            <v>46.9</v>
          </cell>
          <cell r="H61" t="str">
            <v>hydro</v>
          </cell>
        </row>
        <row r="62">
          <cell r="C62" t="str">
            <v>HY</v>
          </cell>
          <cell r="D62">
            <v>89</v>
          </cell>
          <cell r="H62" t="str">
            <v>hydro</v>
          </cell>
        </row>
        <row r="63">
          <cell r="C63" t="str">
            <v>HY</v>
          </cell>
          <cell r="D63">
            <v>89</v>
          </cell>
          <cell r="H63" t="str">
            <v>hydro</v>
          </cell>
        </row>
        <row r="64">
          <cell r="C64" t="str">
            <v>HY</v>
          </cell>
          <cell r="D64">
            <v>36.200000000000003</v>
          </cell>
          <cell r="H64" t="str">
            <v>hydro</v>
          </cell>
        </row>
        <row r="65">
          <cell r="C65" t="str">
            <v>HY</v>
          </cell>
          <cell r="D65">
            <v>36.200000000000003</v>
          </cell>
          <cell r="H65" t="str">
            <v>hydro</v>
          </cell>
        </row>
        <row r="66">
          <cell r="C66" t="str">
            <v>HY</v>
          </cell>
          <cell r="D66">
            <v>7.5</v>
          </cell>
          <cell r="H66" t="str">
            <v>hydro</v>
          </cell>
        </row>
        <row r="67">
          <cell r="C67" t="str">
            <v>HY</v>
          </cell>
          <cell r="D67">
            <v>27</v>
          </cell>
          <cell r="H67" t="str">
            <v>hydro</v>
          </cell>
        </row>
        <row r="68">
          <cell r="C68" t="str">
            <v>HY</v>
          </cell>
          <cell r="D68">
            <v>27</v>
          </cell>
          <cell r="H68" t="str">
            <v>hydro</v>
          </cell>
        </row>
        <row r="69">
          <cell r="C69" t="str">
            <v>HY</v>
          </cell>
          <cell r="D69">
            <v>27</v>
          </cell>
          <cell r="H69" t="str">
            <v>hydro</v>
          </cell>
        </row>
        <row r="70">
          <cell r="C70" t="str">
            <v>HY</v>
          </cell>
          <cell r="D70">
            <v>22</v>
          </cell>
          <cell r="H70" t="str">
            <v>hydro</v>
          </cell>
        </row>
        <row r="71">
          <cell r="C71" t="str">
            <v>HY</v>
          </cell>
          <cell r="D71">
            <v>22</v>
          </cell>
          <cell r="H71" t="str">
            <v>hydro</v>
          </cell>
        </row>
        <row r="72">
          <cell r="C72" t="str">
            <v>ST</v>
          </cell>
          <cell r="D72">
            <v>254</v>
          </cell>
          <cell r="H72" t="str">
            <v>natural gas peaker</v>
          </cell>
        </row>
        <row r="73">
          <cell r="C73" t="str">
            <v>ST</v>
          </cell>
          <cell r="D73">
            <v>256</v>
          </cell>
          <cell r="H73" t="str">
            <v>natural gas peaker</v>
          </cell>
        </row>
        <row r="74">
          <cell r="C74" t="str">
            <v>ST</v>
          </cell>
          <cell r="D74">
            <v>254</v>
          </cell>
          <cell r="H74" t="str">
            <v>natural gas peaker</v>
          </cell>
        </row>
        <row r="75">
          <cell r="C75" t="str">
            <v>ST</v>
          </cell>
          <cell r="D75">
            <v>832</v>
          </cell>
          <cell r="H75" t="str">
            <v>hard coal</v>
          </cell>
        </row>
        <row r="76">
          <cell r="C76" t="str">
            <v>GT</v>
          </cell>
          <cell r="D76">
            <v>16</v>
          </cell>
          <cell r="H76" t="str">
            <v>petroleum</v>
          </cell>
        </row>
        <row r="77">
          <cell r="C77" t="str">
            <v>ST</v>
          </cell>
          <cell r="D77">
            <v>256</v>
          </cell>
          <cell r="H77" t="str">
            <v>natural gas peaker</v>
          </cell>
        </row>
        <row r="78">
          <cell r="C78" t="str">
            <v>IC</v>
          </cell>
          <cell r="D78">
            <v>3.1</v>
          </cell>
          <cell r="H78" t="str">
            <v>natural gas peaker</v>
          </cell>
        </row>
        <row r="79">
          <cell r="C79" t="str">
            <v>IC</v>
          </cell>
          <cell r="D79">
            <v>1.5</v>
          </cell>
          <cell r="H79" t="str">
            <v>natural gas peaker</v>
          </cell>
        </row>
        <row r="80">
          <cell r="C80" t="str">
            <v>IC</v>
          </cell>
          <cell r="D80">
            <v>0.9</v>
          </cell>
          <cell r="H80" t="str">
            <v>natural gas peaker</v>
          </cell>
        </row>
        <row r="81">
          <cell r="C81" t="str">
            <v>IC</v>
          </cell>
          <cell r="D81">
            <v>3.7</v>
          </cell>
          <cell r="H81" t="str">
            <v>natural gas peaker</v>
          </cell>
        </row>
        <row r="82">
          <cell r="C82" t="str">
            <v>IC</v>
          </cell>
          <cell r="D82">
            <v>1.1000000000000001</v>
          </cell>
          <cell r="H82" t="str">
            <v>natural gas peaker</v>
          </cell>
        </row>
        <row r="83">
          <cell r="C83" t="str">
            <v>HY</v>
          </cell>
          <cell r="D83">
            <v>12.1</v>
          </cell>
          <cell r="H83" t="str">
            <v>hydro</v>
          </cell>
        </row>
        <row r="84">
          <cell r="C84" t="str">
            <v>HY</v>
          </cell>
          <cell r="D84">
            <v>30</v>
          </cell>
          <cell r="H84" t="str">
            <v>hydro</v>
          </cell>
        </row>
        <row r="85">
          <cell r="C85" t="str">
            <v>HY</v>
          </cell>
          <cell r="D85">
            <v>30</v>
          </cell>
          <cell r="H85" t="str">
            <v>hydro</v>
          </cell>
        </row>
        <row r="86">
          <cell r="C86" t="str">
            <v>HY</v>
          </cell>
          <cell r="D86">
            <v>30</v>
          </cell>
          <cell r="H86" t="str">
            <v>hydro</v>
          </cell>
        </row>
        <row r="87">
          <cell r="C87" t="str">
            <v>ST</v>
          </cell>
          <cell r="D87">
            <v>1255.8</v>
          </cell>
          <cell r="H87" t="str">
            <v>nuclear</v>
          </cell>
        </row>
        <row r="88">
          <cell r="C88" t="str">
            <v>ST</v>
          </cell>
          <cell r="D88">
            <v>1258.7</v>
          </cell>
          <cell r="H88" t="str">
            <v>nuclear</v>
          </cell>
        </row>
        <row r="89">
          <cell r="C89" t="str">
            <v>ST</v>
          </cell>
          <cell r="D89">
            <v>1259.9000000000001</v>
          </cell>
          <cell r="H89" t="str">
            <v>nuclear</v>
          </cell>
        </row>
        <row r="90">
          <cell r="C90" t="str">
            <v>GT</v>
          </cell>
          <cell r="D90">
            <v>45.4</v>
          </cell>
          <cell r="H90" t="str">
            <v>natural gas peaker</v>
          </cell>
        </row>
        <row r="91">
          <cell r="C91" t="str">
            <v>GT</v>
          </cell>
          <cell r="D91">
            <v>45.4</v>
          </cell>
          <cell r="H91" t="str">
            <v>natural gas peaker</v>
          </cell>
        </row>
        <row r="92">
          <cell r="C92" t="str">
            <v>GT</v>
          </cell>
          <cell r="D92">
            <v>45.4</v>
          </cell>
          <cell r="H92" t="str">
            <v>natural gas peaker</v>
          </cell>
        </row>
        <row r="93">
          <cell r="C93" t="str">
            <v>GT</v>
          </cell>
          <cell r="D93">
            <v>45.4</v>
          </cell>
          <cell r="H93" t="str">
            <v>natural gas peaker</v>
          </cell>
        </row>
        <row r="94">
          <cell r="C94" t="str">
            <v>GT</v>
          </cell>
          <cell r="D94">
            <v>45.4</v>
          </cell>
          <cell r="H94" t="str">
            <v>natural gas peaker</v>
          </cell>
        </row>
        <row r="95">
          <cell r="C95" t="str">
            <v>GT</v>
          </cell>
          <cell r="D95">
            <v>45.4</v>
          </cell>
          <cell r="H95" t="str">
            <v>natural gas peaker</v>
          </cell>
        </row>
        <row r="96">
          <cell r="C96" t="str">
            <v>GT</v>
          </cell>
          <cell r="D96">
            <v>45.4</v>
          </cell>
          <cell r="H96" t="str">
            <v>natural gas peaker</v>
          </cell>
        </row>
        <row r="97">
          <cell r="C97" t="str">
            <v>GT</v>
          </cell>
          <cell r="D97">
            <v>45.4</v>
          </cell>
          <cell r="H97" t="str">
            <v>natural gas peaker</v>
          </cell>
        </row>
        <row r="98">
          <cell r="C98" t="str">
            <v>HY</v>
          </cell>
          <cell r="D98">
            <v>31</v>
          </cell>
          <cell r="H98" t="str">
            <v>hydro</v>
          </cell>
        </row>
        <row r="99">
          <cell r="C99" t="str">
            <v>HY</v>
          </cell>
          <cell r="D99">
            <v>30.6</v>
          </cell>
          <cell r="H99" t="str">
            <v>hydro</v>
          </cell>
        </row>
        <row r="100">
          <cell r="C100" t="str">
            <v>HY</v>
          </cell>
          <cell r="D100">
            <v>29.8</v>
          </cell>
          <cell r="H100" t="str">
            <v>hydro</v>
          </cell>
        </row>
        <row r="101">
          <cell r="C101" t="str">
            <v>HY</v>
          </cell>
          <cell r="D101">
            <v>31.3</v>
          </cell>
          <cell r="H101" t="str">
            <v>hydro</v>
          </cell>
        </row>
        <row r="102">
          <cell r="C102" t="str">
            <v>HY</v>
          </cell>
          <cell r="D102">
            <v>34.1</v>
          </cell>
          <cell r="H102" t="str">
            <v>hydro</v>
          </cell>
        </row>
        <row r="103">
          <cell r="C103" t="str">
            <v>HY</v>
          </cell>
          <cell r="D103">
            <v>41.9</v>
          </cell>
          <cell r="H103" t="str">
            <v>hydro</v>
          </cell>
        </row>
        <row r="104">
          <cell r="C104" t="str">
            <v>HY</v>
          </cell>
          <cell r="D104">
            <v>41.9</v>
          </cell>
          <cell r="H104" t="str">
            <v>hydro</v>
          </cell>
        </row>
        <row r="105">
          <cell r="C105" t="str">
            <v>HY</v>
          </cell>
          <cell r="D105">
            <v>33.200000000000003</v>
          </cell>
          <cell r="H105" t="str">
            <v>hydro</v>
          </cell>
        </row>
        <row r="106">
          <cell r="C106" t="str">
            <v>HY</v>
          </cell>
          <cell r="D106">
            <v>33.6</v>
          </cell>
          <cell r="H106" t="str">
            <v>hydro</v>
          </cell>
        </row>
        <row r="107">
          <cell r="C107" t="str">
            <v>HY</v>
          </cell>
          <cell r="D107">
            <v>33.4</v>
          </cell>
          <cell r="H107" t="str">
            <v>hydro</v>
          </cell>
        </row>
        <row r="108">
          <cell r="C108" t="str">
            <v>HY</v>
          </cell>
          <cell r="D108">
            <v>34.700000000000003</v>
          </cell>
          <cell r="H108" t="str">
            <v>hydro</v>
          </cell>
        </row>
        <row r="109">
          <cell r="C109" t="str">
            <v>HY</v>
          </cell>
          <cell r="D109">
            <v>34.6</v>
          </cell>
          <cell r="H109" t="str">
            <v>hydro</v>
          </cell>
        </row>
        <row r="110">
          <cell r="C110" t="str">
            <v>HY</v>
          </cell>
          <cell r="D110">
            <v>34.4</v>
          </cell>
          <cell r="H110" t="str">
            <v>hydro</v>
          </cell>
        </row>
        <row r="111">
          <cell r="C111" t="str">
            <v>HY</v>
          </cell>
          <cell r="D111">
            <v>34.5</v>
          </cell>
          <cell r="H111" t="str">
            <v>hydro</v>
          </cell>
        </row>
        <row r="112">
          <cell r="C112" t="str">
            <v>HY</v>
          </cell>
          <cell r="D112">
            <v>41.9</v>
          </cell>
          <cell r="H112" t="str">
            <v>hydro</v>
          </cell>
        </row>
        <row r="113">
          <cell r="C113" t="str">
            <v>ST</v>
          </cell>
          <cell r="D113">
            <v>645.29999999999995</v>
          </cell>
          <cell r="H113" t="str">
            <v>lignite</v>
          </cell>
        </row>
        <row r="114">
          <cell r="C114" t="str">
            <v>HY</v>
          </cell>
          <cell r="D114">
            <v>1</v>
          </cell>
          <cell r="H114" t="str">
            <v>hydro</v>
          </cell>
        </row>
        <row r="115">
          <cell r="C115" t="str">
            <v>HY</v>
          </cell>
          <cell r="D115">
            <v>1.8</v>
          </cell>
          <cell r="H115" t="str">
            <v>hydro</v>
          </cell>
        </row>
        <row r="116">
          <cell r="C116" t="str">
            <v>GT</v>
          </cell>
          <cell r="D116">
            <v>110</v>
          </cell>
          <cell r="H116" t="str">
            <v>natural gas peaker</v>
          </cell>
        </row>
        <row r="117">
          <cell r="C117" t="str">
            <v>GT</v>
          </cell>
          <cell r="D117">
            <v>76</v>
          </cell>
          <cell r="H117" t="str">
            <v>natural gas peaker</v>
          </cell>
        </row>
        <row r="118">
          <cell r="C118" t="str">
            <v>GT</v>
          </cell>
          <cell r="D118">
            <v>105</v>
          </cell>
          <cell r="H118" t="str">
            <v>natural gas peaker</v>
          </cell>
        </row>
        <row r="119">
          <cell r="C119" t="str">
            <v>GT</v>
          </cell>
          <cell r="D119">
            <v>106</v>
          </cell>
          <cell r="H119" t="str">
            <v>natural gas peaker</v>
          </cell>
        </row>
        <row r="120">
          <cell r="C120" t="str">
            <v>GT</v>
          </cell>
          <cell r="D120">
            <v>71</v>
          </cell>
          <cell r="H120" t="str">
            <v>natural gas peaker</v>
          </cell>
        </row>
        <row r="121">
          <cell r="C121" t="str">
            <v>GT</v>
          </cell>
          <cell r="D121">
            <v>70.599999999999994</v>
          </cell>
          <cell r="H121" t="str">
            <v>natural gas peaker</v>
          </cell>
        </row>
        <row r="122">
          <cell r="C122" t="str">
            <v>GT</v>
          </cell>
          <cell r="D122">
            <v>69</v>
          </cell>
          <cell r="H122" t="str">
            <v>natural gas peaker</v>
          </cell>
        </row>
        <row r="123">
          <cell r="C123" t="str">
            <v>GT</v>
          </cell>
          <cell r="D123">
            <v>69</v>
          </cell>
          <cell r="H123" t="str">
            <v>natural gas peaker</v>
          </cell>
        </row>
        <row r="124">
          <cell r="C124" t="str">
            <v>GT</v>
          </cell>
          <cell r="D124">
            <v>76</v>
          </cell>
          <cell r="H124" t="str">
            <v>natural gas peaker</v>
          </cell>
        </row>
        <row r="125">
          <cell r="C125" t="str">
            <v>HY</v>
          </cell>
          <cell r="D125">
            <v>1.8</v>
          </cell>
          <cell r="H125" t="str">
            <v>hydro</v>
          </cell>
        </row>
        <row r="126">
          <cell r="C126" t="str">
            <v>HY</v>
          </cell>
          <cell r="D126">
            <v>1.8</v>
          </cell>
          <cell r="H126" t="str">
            <v>hydro</v>
          </cell>
        </row>
        <row r="127">
          <cell r="C127" t="str">
            <v>HY</v>
          </cell>
          <cell r="D127">
            <v>1.8</v>
          </cell>
          <cell r="H127" t="str">
            <v>hydro</v>
          </cell>
        </row>
        <row r="128">
          <cell r="C128" t="str">
            <v>ST</v>
          </cell>
          <cell r="D128">
            <v>78</v>
          </cell>
          <cell r="H128" t="str">
            <v>hard coal</v>
          </cell>
        </row>
        <row r="129">
          <cell r="C129" t="str">
            <v>ST</v>
          </cell>
          <cell r="D129">
            <v>238</v>
          </cell>
          <cell r="H129" t="str">
            <v>hard coal</v>
          </cell>
        </row>
        <row r="130">
          <cell r="C130" t="str">
            <v>ST</v>
          </cell>
          <cell r="D130">
            <v>238</v>
          </cell>
          <cell r="H130" t="str">
            <v>hard coal</v>
          </cell>
        </row>
        <row r="131">
          <cell r="C131" t="str">
            <v>ST</v>
          </cell>
          <cell r="D131">
            <v>100</v>
          </cell>
          <cell r="H131" t="str">
            <v>hard coal</v>
          </cell>
        </row>
        <row r="132">
          <cell r="C132" t="str">
            <v>ST</v>
          </cell>
          <cell r="D132">
            <v>77</v>
          </cell>
          <cell r="H132" t="str">
            <v>hard coal</v>
          </cell>
        </row>
        <row r="133">
          <cell r="C133" t="str">
            <v>ST</v>
          </cell>
          <cell r="D133">
            <v>232</v>
          </cell>
          <cell r="H133" t="str">
            <v>hard coal</v>
          </cell>
        </row>
        <row r="134">
          <cell r="C134" t="str">
            <v>HY</v>
          </cell>
          <cell r="D134">
            <v>1.8</v>
          </cell>
          <cell r="H134" t="str">
            <v>hydro</v>
          </cell>
        </row>
        <row r="135">
          <cell r="C135" t="str">
            <v>HY</v>
          </cell>
          <cell r="D135">
            <v>1.8</v>
          </cell>
          <cell r="H135" t="str">
            <v>hydro</v>
          </cell>
        </row>
        <row r="136">
          <cell r="C136" t="str">
            <v>HY</v>
          </cell>
          <cell r="D136">
            <v>0.8</v>
          </cell>
          <cell r="H136" t="str">
            <v>hydro</v>
          </cell>
        </row>
        <row r="137">
          <cell r="C137" t="str">
            <v>HY</v>
          </cell>
          <cell r="D137">
            <v>0.4</v>
          </cell>
          <cell r="H137" t="str">
            <v>hydro</v>
          </cell>
        </row>
        <row r="138">
          <cell r="C138" t="str">
            <v>HY</v>
          </cell>
          <cell r="D138">
            <v>0.4</v>
          </cell>
          <cell r="H138" t="str">
            <v>hydro</v>
          </cell>
        </row>
        <row r="139">
          <cell r="C139" t="str">
            <v>IC</v>
          </cell>
          <cell r="D139">
            <v>1.2</v>
          </cell>
          <cell r="H139" t="str">
            <v>petroleum</v>
          </cell>
        </row>
        <row r="140">
          <cell r="C140" t="str">
            <v>IC</v>
          </cell>
          <cell r="D140">
            <v>1.2</v>
          </cell>
          <cell r="H140" t="str">
            <v>petroleum</v>
          </cell>
        </row>
        <row r="141">
          <cell r="C141" t="str">
            <v>IC</v>
          </cell>
          <cell r="D141">
            <v>1.1000000000000001</v>
          </cell>
          <cell r="H141" t="str">
            <v>petroleum</v>
          </cell>
        </row>
        <row r="142">
          <cell r="C142" t="str">
            <v>IC</v>
          </cell>
          <cell r="D142">
            <v>3.5</v>
          </cell>
          <cell r="H142" t="str">
            <v>petroleum</v>
          </cell>
        </row>
        <row r="143">
          <cell r="C143" t="str">
            <v>IC</v>
          </cell>
          <cell r="D143">
            <v>1.1000000000000001</v>
          </cell>
          <cell r="H143" t="str">
            <v>petroleum</v>
          </cell>
        </row>
        <row r="144">
          <cell r="C144" t="str">
            <v>IC</v>
          </cell>
          <cell r="D144">
            <v>2.5</v>
          </cell>
          <cell r="H144" t="str">
            <v>petroleum</v>
          </cell>
        </row>
        <row r="145">
          <cell r="C145" t="str">
            <v>IC</v>
          </cell>
          <cell r="D145">
            <v>2.5</v>
          </cell>
          <cell r="H145" t="str">
            <v>petroleum</v>
          </cell>
        </row>
        <row r="146">
          <cell r="C146" t="str">
            <v>IC</v>
          </cell>
          <cell r="D146">
            <v>2.5</v>
          </cell>
          <cell r="H146" t="str">
            <v>petroleum</v>
          </cell>
        </row>
        <row r="147">
          <cell r="C147" t="str">
            <v>GT</v>
          </cell>
          <cell r="D147">
            <v>17.5</v>
          </cell>
          <cell r="H147" t="str">
            <v>petroleum</v>
          </cell>
        </row>
        <row r="148">
          <cell r="C148" t="str">
            <v>GT</v>
          </cell>
          <cell r="D148">
            <v>17.5</v>
          </cell>
          <cell r="H148" t="str">
            <v>petroleum</v>
          </cell>
        </row>
        <row r="149">
          <cell r="C149" t="str">
            <v>IC</v>
          </cell>
          <cell r="D149">
            <v>2.5</v>
          </cell>
          <cell r="H149" t="str">
            <v>petroleum</v>
          </cell>
        </row>
        <row r="150">
          <cell r="C150" t="str">
            <v>IC</v>
          </cell>
          <cell r="D150">
            <v>2.5</v>
          </cell>
          <cell r="H150" t="str">
            <v>petroleum</v>
          </cell>
        </row>
        <row r="151">
          <cell r="C151" t="str">
            <v>IC</v>
          </cell>
          <cell r="D151">
            <v>2.5</v>
          </cell>
          <cell r="H151" t="str">
            <v>petroleum</v>
          </cell>
        </row>
        <row r="152">
          <cell r="C152" t="str">
            <v>IC</v>
          </cell>
          <cell r="D152">
            <v>2.5</v>
          </cell>
          <cell r="H152" t="str">
            <v>petroleum</v>
          </cell>
        </row>
        <row r="153">
          <cell r="C153" t="str">
            <v>IC</v>
          </cell>
          <cell r="D153">
            <v>2.5</v>
          </cell>
          <cell r="H153" t="str">
            <v>petroleum</v>
          </cell>
        </row>
        <row r="154">
          <cell r="C154" t="str">
            <v>IC</v>
          </cell>
          <cell r="D154">
            <v>2.5</v>
          </cell>
          <cell r="H154" t="str">
            <v>petroleum</v>
          </cell>
        </row>
        <row r="155">
          <cell r="C155" t="str">
            <v>HY</v>
          </cell>
          <cell r="D155">
            <v>5.2</v>
          </cell>
          <cell r="H155" t="str">
            <v>hydro</v>
          </cell>
        </row>
        <row r="156">
          <cell r="C156" t="str">
            <v>HY</v>
          </cell>
          <cell r="D156">
            <v>0.4</v>
          </cell>
          <cell r="H156" t="str">
            <v>hydro</v>
          </cell>
        </row>
        <row r="157">
          <cell r="C157" t="str">
            <v>HY</v>
          </cell>
          <cell r="D157">
            <v>0.1</v>
          </cell>
          <cell r="H157" t="str">
            <v>hydro</v>
          </cell>
        </row>
        <row r="158">
          <cell r="C158" t="str">
            <v>HY</v>
          </cell>
          <cell r="D158">
            <v>0.3</v>
          </cell>
          <cell r="H158" t="str">
            <v>hydro</v>
          </cell>
        </row>
        <row r="159">
          <cell r="C159" t="str">
            <v>HY</v>
          </cell>
          <cell r="D159">
            <v>0.2</v>
          </cell>
          <cell r="H159" t="str">
            <v>hydro</v>
          </cell>
        </row>
        <row r="160">
          <cell r="C160" t="str">
            <v>IC</v>
          </cell>
          <cell r="D160">
            <v>0.8</v>
          </cell>
          <cell r="H160" t="str">
            <v>petroleum</v>
          </cell>
        </row>
        <row r="161">
          <cell r="C161" t="str">
            <v>IC</v>
          </cell>
          <cell r="D161">
            <v>1.1000000000000001</v>
          </cell>
          <cell r="H161" t="str">
            <v>petroleum</v>
          </cell>
        </row>
        <row r="162">
          <cell r="C162" t="str">
            <v>IC</v>
          </cell>
          <cell r="D162">
            <v>0.5</v>
          </cell>
          <cell r="H162" t="str">
            <v>petroleum</v>
          </cell>
        </row>
        <row r="163">
          <cell r="C163" t="str">
            <v>IC</v>
          </cell>
          <cell r="D163">
            <v>1</v>
          </cell>
          <cell r="H163" t="str">
            <v>petroleum</v>
          </cell>
        </row>
        <row r="164">
          <cell r="C164" t="str">
            <v>IC</v>
          </cell>
          <cell r="D164">
            <v>1.2</v>
          </cell>
          <cell r="H164" t="str">
            <v>petroleum</v>
          </cell>
        </row>
        <row r="165">
          <cell r="C165" t="str">
            <v>IC</v>
          </cell>
          <cell r="D165">
            <v>1.9</v>
          </cell>
          <cell r="H165" t="str">
            <v>petroleum</v>
          </cell>
        </row>
        <row r="166">
          <cell r="C166" t="str">
            <v>IC</v>
          </cell>
          <cell r="D166">
            <v>0.6</v>
          </cell>
          <cell r="H166" t="str">
            <v>petroleum</v>
          </cell>
        </row>
        <row r="167">
          <cell r="C167" t="str">
            <v>IC</v>
          </cell>
          <cell r="D167">
            <v>2.8</v>
          </cell>
          <cell r="H167" t="str">
            <v>petroleum</v>
          </cell>
        </row>
        <row r="168">
          <cell r="C168" t="str">
            <v>IC</v>
          </cell>
          <cell r="D168">
            <v>1.6</v>
          </cell>
          <cell r="H168" t="str">
            <v>petroleum</v>
          </cell>
        </row>
        <row r="169">
          <cell r="C169" t="str">
            <v>HY</v>
          </cell>
          <cell r="D169">
            <v>11.3</v>
          </cell>
          <cell r="H169" t="str">
            <v>hydro</v>
          </cell>
        </row>
        <row r="170">
          <cell r="C170" t="str">
            <v>HY</v>
          </cell>
          <cell r="D170">
            <v>11.3</v>
          </cell>
          <cell r="H170" t="str">
            <v>hydro</v>
          </cell>
        </row>
        <row r="171">
          <cell r="C171" t="str">
            <v>HY</v>
          </cell>
          <cell r="D171">
            <v>11.2</v>
          </cell>
          <cell r="H171" t="str">
            <v>hydro</v>
          </cell>
        </row>
        <row r="172">
          <cell r="C172" t="str">
            <v>HY</v>
          </cell>
          <cell r="D172">
            <v>11.2</v>
          </cell>
          <cell r="H172" t="str">
            <v>hydro</v>
          </cell>
        </row>
        <row r="173">
          <cell r="C173" t="str">
            <v>HY</v>
          </cell>
          <cell r="D173">
            <v>11.2</v>
          </cell>
          <cell r="H173" t="str">
            <v>hydro</v>
          </cell>
        </row>
        <row r="174">
          <cell r="C174" t="str">
            <v>HY</v>
          </cell>
          <cell r="D174">
            <v>10.1</v>
          </cell>
          <cell r="H174" t="str">
            <v>hydro</v>
          </cell>
        </row>
        <row r="175">
          <cell r="C175" t="str">
            <v>GT</v>
          </cell>
          <cell r="D175">
            <v>29.3</v>
          </cell>
          <cell r="H175" t="str">
            <v>natural gas peaker</v>
          </cell>
        </row>
        <row r="176">
          <cell r="C176" t="str">
            <v>GT</v>
          </cell>
          <cell r="D176">
            <v>31.1</v>
          </cell>
          <cell r="H176" t="str">
            <v>natural gas peaker</v>
          </cell>
        </row>
        <row r="177">
          <cell r="C177" t="str">
            <v>IC</v>
          </cell>
          <cell r="D177">
            <v>2</v>
          </cell>
          <cell r="H177" t="str">
            <v>petroleum</v>
          </cell>
        </row>
        <row r="178">
          <cell r="C178" t="str">
            <v>HY</v>
          </cell>
          <cell r="D178">
            <v>22.2</v>
          </cell>
          <cell r="H178" t="str">
            <v>hydro</v>
          </cell>
        </row>
        <row r="179">
          <cell r="C179" t="str">
            <v>HY</v>
          </cell>
          <cell r="D179">
            <v>22.2</v>
          </cell>
          <cell r="H179" t="str">
            <v>hydro</v>
          </cell>
        </row>
        <row r="180">
          <cell r="C180" t="str">
            <v>HY</v>
          </cell>
          <cell r="D180">
            <v>23.5</v>
          </cell>
          <cell r="H180" t="str">
            <v>hydro</v>
          </cell>
        </row>
        <row r="181">
          <cell r="C181" t="str">
            <v>HY</v>
          </cell>
          <cell r="D181">
            <v>23.5</v>
          </cell>
          <cell r="H181" t="str">
            <v>hydro</v>
          </cell>
        </row>
        <row r="182">
          <cell r="C182" t="str">
            <v>HY</v>
          </cell>
          <cell r="D182">
            <v>31</v>
          </cell>
          <cell r="H182" t="str">
            <v>hydro</v>
          </cell>
        </row>
        <row r="183">
          <cell r="C183" t="str">
            <v>ST</v>
          </cell>
          <cell r="D183">
            <v>4.7</v>
          </cell>
          <cell r="H183" t="str">
            <v>hard coal</v>
          </cell>
        </row>
        <row r="184">
          <cell r="C184" t="str">
            <v>ST</v>
          </cell>
          <cell r="D184">
            <v>2</v>
          </cell>
          <cell r="H184" t="str">
            <v>hard coal</v>
          </cell>
        </row>
        <row r="185">
          <cell r="C185" t="str">
            <v>ST</v>
          </cell>
          <cell r="D185">
            <v>19</v>
          </cell>
          <cell r="H185" t="str">
            <v>hard coal</v>
          </cell>
        </row>
        <row r="186">
          <cell r="C186" t="str">
            <v>HY</v>
          </cell>
          <cell r="D186">
            <v>1.4</v>
          </cell>
          <cell r="H186" t="str">
            <v>hydro</v>
          </cell>
        </row>
        <row r="187">
          <cell r="C187" t="str">
            <v>HY</v>
          </cell>
          <cell r="D187">
            <v>1.4</v>
          </cell>
          <cell r="H187" t="str">
            <v>hydro</v>
          </cell>
        </row>
        <row r="188">
          <cell r="C188" t="str">
            <v>HY</v>
          </cell>
          <cell r="D188">
            <v>1.4</v>
          </cell>
          <cell r="H188" t="str">
            <v>hydro</v>
          </cell>
        </row>
        <row r="189">
          <cell r="C189" t="str">
            <v>IC</v>
          </cell>
          <cell r="D189">
            <v>3.5</v>
          </cell>
          <cell r="H189" t="str">
            <v>petroleum</v>
          </cell>
        </row>
        <row r="190">
          <cell r="C190" t="str">
            <v>IC</v>
          </cell>
          <cell r="D190">
            <v>3.5</v>
          </cell>
          <cell r="H190" t="str">
            <v>petroleum</v>
          </cell>
        </row>
        <row r="191">
          <cell r="C191" t="str">
            <v>IC</v>
          </cell>
          <cell r="D191">
            <v>5.5</v>
          </cell>
          <cell r="H191" t="str">
            <v>petroleum</v>
          </cell>
        </row>
        <row r="192">
          <cell r="C192" t="str">
            <v>IC</v>
          </cell>
          <cell r="D192">
            <v>10.5</v>
          </cell>
          <cell r="H192" t="str">
            <v>petroleum</v>
          </cell>
        </row>
        <row r="193">
          <cell r="C193" t="str">
            <v>ST</v>
          </cell>
          <cell r="D193">
            <v>253</v>
          </cell>
          <cell r="H193" t="str">
            <v>hard coal</v>
          </cell>
        </row>
        <row r="194">
          <cell r="C194" t="str">
            <v>HY</v>
          </cell>
          <cell r="D194">
            <v>2.2999999999999998</v>
          </cell>
          <cell r="H194" t="str">
            <v>hydro</v>
          </cell>
        </row>
        <row r="195">
          <cell r="C195" t="str">
            <v>HY</v>
          </cell>
          <cell r="D195">
            <v>2.2999999999999998</v>
          </cell>
          <cell r="H195" t="str">
            <v>hydro</v>
          </cell>
        </row>
        <row r="196">
          <cell r="C196" t="str">
            <v>IC</v>
          </cell>
          <cell r="D196">
            <v>3.7</v>
          </cell>
          <cell r="H196" t="str">
            <v>petroleum</v>
          </cell>
        </row>
        <row r="197">
          <cell r="C197" t="str">
            <v>IC</v>
          </cell>
          <cell r="D197">
            <v>1.9</v>
          </cell>
          <cell r="H197" t="str">
            <v>petroleum</v>
          </cell>
        </row>
        <row r="198">
          <cell r="C198" t="str">
            <v>IC</v>
          </cell>
          <cell r="D198">
            <v>5.2</v>
          </cell>
          <cell r="H198" t="str">
            <v>petroleum</v>
          </cell>
        </row>
        <row r="199">
          <cell r="C199" t="str">
            <v>IC</v>
          </cell>
          <cell r="D199">
            <v>5.2</v>
          </cell>
          <cell r="H199" t="str">
            <v>petroleum</v>
          </cell>
        </row>
        <row r="200">
          <cell r="C200" t="str">
            <v>IC</v>
          </cell>
          <cell r="D200">
            <v>0.4</v>
          </cell>
          <cell r="H200" t="str">
            <v>petroleum</v>
          </cell>
        </row>
        <row r="201">
          <cell r="C201" t="str">
            <v>WT</v>
          </cell>
          <cell r="D201">
            <v>0.8</v>
          </cell>
          <cell r="H201" t="str">
            <v>onshore wind</v>
          </cell>
        </row>
        <row r="202">
          <cell r="C202" t="str">
            <v>WT</v>
          </cell>
          <cell r="D202">
            <v>0.9</v>
          </cell>
          <cell r="H202" t="str">
            <v>onshore wind</v>
          </cell>
        </row>
        <row r="203">
          <cell r="C203" t="str">
            <v>WT</v>
          </cell>
          <cell r="D203">
            <v>0.9</v>
          </cell>
          <cell r="H203" t="str">
            <v>onshore wind</v>
          </cell>
        </row>
        <row r="204">
          <cell r="C204" t="str">
            <v>HY</v>
          </cell>
          <cell r="D204">
            <v>1.6</v>
          </cell>
          <cell r="H204" t="str">
            <v>hydro</v>
          </cell>
        </row>
        <row r="205">
          <cell r="C205" t="str">
            <v>IC</v>
          </cell>
          <cell r="D205">
            <v>1.7</v>
          </cell>
          <cell r="H205" t="str">
            <v>petroleum</v>
          </cell>
        </row>
        <row r="206">
          <cell r="C206" t="str">
            <v>IC</v>
          </cell>
          <cell r="D206">
            <v>1</v>
          </cell>
          <cell r="H206" t="str">
            <v>petroleum</v>
          </cell>
        </row>
        <row r="207">
          <cell r="C207" t="str">
            <v>IC</v>
          </cell>
          <cell r="D207">
            <v>0.6</v>
          </cell>
          <cell r="H207" t="str">
            <v>petroleum</v>
          </cell>
        </row>
        <row r="208">
          <cell r="C208" t="str">
            <v>IC</v>
          </cell>
          <cell r="D208">
            <v>0.7</v>
          </cell>
          <cell r="H208" t="str">
            <v>petroleum</v>
          </cell>
        </row>
        <row r="209">
          <cell r="C209" t="str">
            <v>IC</v>
          </cell>
          <cell r="D209">
            <v>2.2999999999999998</v>
          </cell>
          <cell r="H209" t="str">
            <v>petroleum</v>
          </cell>
        </row>
        <row r="210">
          <cell r="C210" t="str">
            <v>IC</v>
          </cell>
          <cell r="D210">
            <v>2.2999999999999998</v>
          </cell>
          <cell r="H210" t="str">
            <v>petroleum</v>
          </cell>
        </row>
        <row r="211">
          <cell r="C211" t="str">
            <v>IC</v>
          </cell>
          <cell r="D211">
            <v>2.2000000000000002</v>
          </cell>
          <cell r="H211" t="str">
            <v>petroleum</v>
          </cell>
        </row>
        <row r="212">
          <cell r="C212" t="str">
            <v>IC</v>
          </cell>
          <cell r="D212">
            <v>2.5</v>
          </cell>
          <cell r="H212" t="str">
            <v>petroleum</v>
          </cell>
        </row>
        <row r="213">
          <cell r="C213" t="str">
            <v>IC</v>
          </cell>
          <cell r="D213">
            <v>2.5</v>
          </cell>
          <cell r="H213" t="str">
            <v>petroleum</v>
          </cell>
        </row>
        <row r="214">
          <cell r="C214" t="str">
            <v>IC</v>
          </cell>
          <cell r="D214">
            <v>2.5</v>
          </cell>
          <cell r="H214" t="str">
            <v>petroleum</v>
          </cell>
        </row>
        <row r="215">
          <cell r="C215" t="str">
            <v>IC</v>
          </cell>
          <cell r="D215">
            <v>2.8</v>
          </cell>
          <cell r="H215" t="str">
            <v>petroleum</v>
          </cell>
        </row>
        <row r="216">
          <cell r="C216" t="str">
            <v>IC</v>
          </cell>
          <cell r="D216">
            <v>2.8</v>
          </cell>
          <cell r="H216" t="str">
            <v>petroleum</v>
          </cell>
        </row>
        <row r="217">
          <cell r="C217" t="str">
            <v>IC</v>
          </cell>
          <cell r="D217">
            <v>2.5</v>
          </cell>
          <cell r="H217" t="str">
            <v>petroleum</v>
          </cell>
        </row>
        <row r="218">
          <cell r="C218" t="str">
            <v>HY</v>
          </cell>
          <cell r="D218">
            <v>5.3</v>
          </cell>
          <cell r="H218" t="str">
            <v>hydro</v>
          </cell>
        </row>
        <row r="219">
          <cell r="C219" t="str">
            <v>HY</v>
          </cell>
          <cell r="D219">
            <v>5.3</v>
          </cell>
          <cell r="H219" t="str">
            <v>hydro</v>
          </cell>
        </row>
        <row r="220">
          <cell r="C220" t="str">
            <v>HY</v>
          </cell>
          <cell r="D220">
            <v>5.3</v>
          </cell>
          <cell r="H220" t="str">
            <v>hydro</v>
          </cell>
        </row>
        <row r="221">
          <cell r="C221" t="str">
            <v>IC</v>
          </cell>
          <cell r="D221">
            <v>2</v>
          </cell>
          <cell r="H221" t="str">
            <v>petroleum</v>
          </cell>
        </row>
        <row r="222">
          <cell r="C222" t="str">
            <v>IC</v>
          </cell>
          <cell r="D222">
            <v>2</v>
          </cell>
          <cell r="H222" t="str">
            <v>petroleum</v>
          </cell>
        </row>
        <row r="223">
          <cell r="C223" t="str">
            <v>IC</v>
          </cell>
          <cell r="D223">
            <v>2</v>
          </cell>
          <cell r="H223" t="str">
            <v>petroleum</v>
          </cell>
        </row>
        <row r="224">
          <cell r="C224" t="str">
            <v>IC</v>
          </cell>
          <cell r="D224">
            <v>2.5</v>
          </cell>
          <cell r="H224" t="str">
            <v>petroleum</v>
          </cell>
        </row>
        <row r="225">
          <cell r="C225" t="str">
            <v>GT</v>
          </cell>
          <cell r="D225">
            <v>18.899999999999999</v>
          </cell>
          <cell r="H225" t="str">
            <v>natural gas peaker</v>
          </cell>
        </row>
        <row r="226">
          <cell r="C226" t="str">
            <v>GT</v>
          </cell>
          <cell r="D226">
            <v>18.899999999999999</v>
          </cell>
          <cell r="H226" t="str">
            <v>natural gas peaker</v>
          </cell>
        </row>
        <row r="227">
          <cell r="C227" t="str">
            <v>GT</v>
          </cell>
          <cell r="D227">
            <v>58</v>
          </cell>
          <cell r="H227" t="str">
            <v>natural gas peaker</v>
          </cell>
        </row>
        <row r="228">
          <cell r="C228" t="str">
            <v>GT</v>
          </cell>
          <cell r="D228">
            <v>61.4</v>
          </cell>
          <cell r="H228" t="str">
            <v>natural gas peaker</v>
          </cell>
        </row>
        <row r="229">
          <cell r="C229" t="str">
            <v>GT</v>
          </cell>
          <cell r="D229">
            <v>72.599999999999994</v>
          </cell>
          <cell r="H229" t="str">
            <v>natural gas peaker</v>
          </cell>
        </row>
        <row r="230">
          <cell r="C230" t="str">
            <v>GT</v>
          </cell>
          <cell r="D230">
            <v>70.599999999999994</v>
          </cell>
          <cell r="H230" t="str">
            <v>natural gas peaker</v>
          </cell>
        </row>
        <row r="231">
          <cell r="C231" t="str">
            <v>GT</v>
          </cell>
          <cell r="D231">
            <v>67</v>
          </cell>
          <cell r="H231" t="str">
            <v>natural gas peaker</v>
          </cell>
        </row>
        <row r="232">
          <cell r="C232" t="str">
            <v>GT</v>
          </cell>
          <cell r="D232">
            <v>67</v>
          </cell>
          <cell r="H232" t="str">
            <v>natural gas peaker</v>
          </cell>
        </row>
        <row r="233">
          <cell r="C233" t="str">
            <v>HY</v>
          </cell>
          <cell r="D233">
            <v>1.4</v>
          </cell>
          <cell r="H233" t="str">
            <v>hydro</v>
          </cell>
        </row>
        <row r="234">
          <cell r="C234" t="str">
            <v>PS</v>
          </cell>
          <cell r="D234">
            <v>95</v>
          </cell>
          <cell r="H234" t="str">
            <v>other</v>
          </cell>
        </row>
        <row r="235">
          <cell r="C235" t="str">
            <v>ST</v>
          </cell>
          <cell r="D235">
            <v>358.8</v>
          </cell>
          <cell r="H235" t="str">
            <v>hard coal</v>
          </cell>
        </row>
        <row r="236">
          <cell r="C236" t="str">
            <v>IC</v>
          </cell>
          <cell r="D236">
            <v>1.1000000000000001</v>
          </cell>
          <cell r="H236" t="str">
            <v>petroleum</v>
          </cell>
        </row>
        <row r="237">
          <cell r="C237" t="str">
            <v>IC</v>
          </cell>
          <cell r="D237">
            <v>1</v>
          </cell>
          <cell r="H237" t="str">
            <v>petroleum</v>
          </cell>
        </row>
        <row r="238">
          <cell r="C238" t="str">
            <v>IC</v>
          </cell>
          <cell r="D238">
            <v>1</v>
          </cell>
          <cell r="H238" t="str">
            <v>petroleum</v>
          </cell>
        </row>
        <row r="239">
          <cell r="C239" t="str">
            <v>IC</v>
          </cell>
          <cell r="D239">
            <v>1</v>
          </cell>
          <cell r="H239" t="str">
            <v>petroleum</v>
          </cell>
        </row>
        <row r="240">
          <cell r="C240" t="str">
            <v>IC</v>
          </cell>
          <cell r="D240">
            <v>1</v>
          </cell>
          <cell r="H240" t="str">
            <v>petroleum</v>
          </cell>
        </row>
        <row r="241">
          <cell r="C241" t="str">
            <v>IC</v>
          </cell>
          <cell r="D241">
            <v>1</v>
          </cell>
          <cell r="H241" t="str">
            <v>petroleum</v>
          </cell>
        </row>
        <row r="242">
          <cell r="C242" t="str">
            <v>IC</v>
          </cell>
          <cell r="D242">
            <v>0.5</v>
          </cell>
          <cell r="H242" t="str">
            <v>petroleum</v>
          </cell>
        </row>
        <row r="243">
          <cell r="C243" t="str">
            <v>IC</v>
          </cell>
          <cell r="D243">
            <v>2.2000000000000002</v>
          </cell>
          <cell r="H243" t="str">
            <v>petroleum</v>
          </cell>
        </row>
        <row r="244">
          <cell r="C244" t="str">
            <v>IC</v>
          </cell>
          <cell r="D244">
            <v>2.2000000000000002</v>
          </cell>
          <cell r="H244" t="str">
            <v>petroleum</v>
          </cell>
        </row>
        <row r="245">
          <cell r="C245" t="str">
            <v>ST</v>
          </cell>
          <cell r="D245">
            <v>116</v>
          </cell>
          <cell r="H245" t="str">
            <v>hard coal</v>
          </cell>
        </row>
        <row r="246">
          <cell r="C246" t="str">
            <v>ST</v>
          </cell>
          <cell r="D246">
            <v>271</v>
          </cell>
          <cell r="H246" t="str">
            <v>hard coal</v>
          </cell>
        </row>
        <row r="247">
          <cell r="C247" t="str">
            <v>ST</v>
          </cell>
          <cell r="D247">
            <v>380</v>
          </cell>
          <cell r="H247" t="str">
            <v>hard coal</v>
          </cell>
        </row>
        <row r="248">
          <cell r="C248" t="str">
            <v>GT</v>
          </cell>
          <cell r="D248">
            <v>15</v>
          </cell>
          <cell r="H248" t="str">
            <v>petroleum</v>
          </cell>
        </row>
        <row r="249">
          <cell r="C249" t="str">
            <v>GT</v>
          </cell>
          <cell r="D249">
            <v>50</v>
          </cell>
          <cell r="H249" t="str">
            <v>natural gas peaker</v>
          </cell>
        </row>
        <row r="250">
          <cell r="C250" t="str">
            <v>GT</v>
          </cell>
          <cell r="D250">
            <v>50</v>
          </cell>
          <cell r="H250" t="str">
            <v>natural gas peaker</v>
          </cell>
        </row>
        <row r="251">
          <cell r="C251" t="str">
            <v>GT</v>
          </cell>
          <cell r="D251">
            <v>104.7</v>
          </cell>
          <cell r="H251" t="str">
            <v>natural gas peaker</v>
          </cell>
        </row>
        <row r="252">
          <cell r="C252" t="str">
            <v>GT</v>
          </cell>
          <cell r="D252">
            <v>104.7</v>
          </cell>
          <cell r="H252" t="str">
            <v>natural gas peaker</v>
          </cell>
        </row>
        <row r="253">
          <cell r="C253" t="str">
            <v>GT</v>
          </cell>
          <cell r="D253">
            <v>104.7</v>
          </cell>
          <cell r="H253" t="str">
            <v>natural gas peaker</v>
          </cell>
        </row>
        <row r="254">
          <cell r="C254" t="str">
            <v>GT</v>
          </cell>
          <cell r="D254">
            <v>104.7</v>
          </cell>
          <cell r="H254" t="str">
            <v>natural gas peaker</v>
          </cell>
        </row>
        <row r="255">
          <cell r="C255" t="str">
            <v>GT</v>
          </cell>
          <cell r="D255">
            <v>104.7</v>
          </cell>
          <cell r="H255" t="str">
            <v>natural gas peaker</v>
          </cell>
        </row>
        <row r="256">
          <cell r="C256" t="str">
            <v>CS</v>
          </cell>
          <cell r="D256">
            <v>85</v>
          </cell>
          <cell r="H256" t="str">
            <v>natural gas nonpeaker</v>
          </cell>
        </row>
        <row r="257">
          <cell r="C257" t="str">
            <v>CS</v>
          </cell>
          <cell r="D257">
            <v>85</v>
          </cell>
          <cell r="H257" t="str">
            <v>natural gas nonpeaker</v>
          </cell>
        </row>
        <row r="258">
          <cell r="C258" t="str">
            <v>CS</v>
          </cell>
          <cell r="D258">
            <v>85</v>
          </cell>
          <cell r="H258" t="str">
            <v>natural gas nonpeaker</v>
          </cell>
        </row>
        <row r="259">
          <cell r="C259" t="str">
            <v>CT</v>
          </cell>
          <cell r="D259">
            <v>68</v>
          </cell>
          <cell r="H259" t="str">
            <v>natural gas nonpeaker</v>
          </cell>
        </row>
        <row r="260">
          <cell r="C260" t="str">
            <v>CA</v>
          </cell>
          <cell r="D260">
            <v>39</v>
          </cell>
          <cell r="H260" t="str">
            <v>natural gas nonpeaker</v>
          </cell>
        </row>
        <row r="261">
          <cell r="C261" t="str">
            <v>CT</v>
          </cell>
          <cell r="D261">
            <v>155</v>
          </cell>
          <cell r="H261" t="str">
            <v>natural gas nonpeaker</v>
          </cell>
        </row>
        <row r="262">
          <cell r="C262" t="str">
            <v>CT</v>
          </cell>
          <cell r="D262">
            <v>153</v>
          </cell>
          <cell r="H262" t="str">
            <v>natural gas nonpeaker</v>
          </cell>
        </row>
        <row r="263">
          <cell r="C263" t="str">
            <v>CA</v>
          </cell>
          <cell r="D263">
            <v>150</v>
          </cell>
          <cell r="H263" t="str">
            <v>natural gas nonpeaker</v>
          </cell>
        </row>
        <row r="264">
          <cell r="C264" t="str">
            <v>GT</v>
          </cell>
          <cell r="D264">
            <v>50</v>
          </cell>
          <cell r="H264" t="str">
            <v>natural gas peaker</v>
          </cell>
        </row>
        <row r="265">
          <cell r="C265" t="str">
            <v>GT</v>
          </cell>
          <cell r="D265">
            <v>50</v>
          </cell>
          <cell r="H265" t="str">
            <v>natural gas peaker</v>
          </cell>
        </row>
        <row r="266">
          <cell r="C266" t="str">
            <v>GT</v>
          </cell>
          <cell r="D266">
            <v>76</v>
          </cell>
          <cell r="H266" t="str">
            <v>natural gas peaker</v>
          </cell>
        </row>
        <row r="267">
          <cell r="C267" t="str">
            <v>GT</v>
          </cell>
          <cell r="D267">
            <v>50</v>
          </cell>
          <cell r="H267" t="str">
            <v>natural gas peaker</v>
          </cell>
        </row>
        <row r="268">
          <cell r="C268" t="str">
            <v>GT</v>
          </cell>
          <cell r="D268">
            <v>50</v>
          </cell>
          <cell r="H268" t="str">
            <v>natural gas peaker</v>
          </cell>
        </row>
        <row r="269">
          <cell r="C269" t="str">
            <v>GT</v>
          </cell>
          <cell r="D269">
            <v>18</v>
          </cell>
          <cell r="H269" t="str">
            <v>natural gas peaker</v>
          </cell>
        </row>
        <row r="270">
          <cell r="C270" t="str">
            <v>GT</v>
          </cell>
          <cell r="D270">
            <v>18</v>
          </cell>
          <cell r="H270" t="str">
            <v>natural gas peaker</v>
          </cell>
        </row>
        <row r="271">
          <cell r="C271" t="str">
            <v>GT</v>
          </cell>
          <cell r="D271">
            <v>20</v>
          </cell>
          <cell r="H271" t="str">
            <v>petroleum</v>
          </cell>
        </row>
        <row r="272">
          <cell r="C272" t="str">
            <v>GT</v>
          </cell>
          <cell r="D272">
            <v>52</v>
          </cell>
          <cell r="H272" t="str">
            <v>natural gas peaker</v>
          </cell>
        </row>
        <row r="273">
          <cell r="C273" t="str">
            <v>GT</v>
          </cell>
          <cell r="D273">
            <v>51</v>
          </cell>
          <cell r="H273" t="str">
            <v>petroleum</v>
          </cell>
        </row>
        <row r="274">
          <cell r="C274" t="str">
            <v>GT</v>
          </cell>
          <cell r="D274">
            <v>47</v>
          </cell>
          <cell r="H274" t="str">
            <v>natural gas peaker</v>
          </cell>
        </row>
        <row r="275">
          <cell r="C275" t="str">
            <v>GT</v>
          </cell>
          <cell r="D275">
            <v>47</v>
          </cell>
          <cell r="H275" t="str">
            <v>natural gas peaker</v>
          </cell>
        </row>
        <row r="276">
          <cell r="C276" t="str">
            <v>ST</v>
          </cell>
          <cell r="D276">
            <v>75</v>
          </cell>
          <cell r="H276" t="str">
            <v>natural gas peaker</v>
          </cell>
        </row>
        <row r="277">
          <cell r="C277" t="str">
            <v>GT</v>
          </cell>
          <cell r="D277">
            <v>75</v>
          </cell>
          <cell r="H277" t="str">
            <v>natural gas peaker</v>
          </cell>
        </row>
        <row r="278">
          <cell r="C278" t="str">
            <v>ST</v>
          </cell>
          <cell r="D278">
            <v>156</v>
          </cell>
          <cell r="H278" t="str">
            <v>natural gas peaker</v>
          </cell>
        </row>
        <row r="279">
          <cell r="C279" t="str">
            <v>GT</v>
          </cell>
          <cell r="D279">
            <v>24</v>
          </cell>
          <cell r="H279" t="str">
            <v>natural gas peaker</v>
          </cell>
        </row>
        <row r="280">
          <cell r="C280" t="str">
            <v>GT</v>
          </cell>
          <cell r="D280">
            <v>24</v>
          </cell>
          <cell r="H280" t="str">
            <v>natural gas peaker</v>
          </cell>
        </row>
        <row r="281">
          <cell r="C281" t="str">
            <v>IC</v>
          </cell>
          <cell r="D281">
            <v>18.7</v>
          </cell>
          <cell r="H281" t="str">
            <v>natural gas peaker</v>
          </cell>
        </row>
        <row r="282">
          <cell r="C282" t="str">
            <v>IC</v>
          </cell>
          <cell r="D282">
            <v>18.7</v>
          </cell>
          <cell r="H282" t="str">
            <v>natural gas peaker</v>
          </cell>
        </row>
        <row r="283">
          <cell r="C283" t="str">
            <v>IC</v>
          </cell>
          <cell r="D283">
            <v>18.7</v>
          </cell>
          <cell r="H283" t="str">
            <v>natural gas peaker</v>
          </cell>
        </row>
        <row r="284">
          <cell r="C284" t="str">
            <v>IC</v>
          </cell>
          <cell r="D284">
            <v>18.7</v>
          </cell>
          <cell r="H284" t="str">
            <v>natural gas peaker</v>
          </cell>
        </row>
        <row r="285">
          <cell r="C285" t="str">
            <v>IC</v>
          </cell>
          <cell r="D285">
            <v>18.7</v>
          </cell>
          <cell r="H285" t="str">
            <v>natural gas peaker</v>
          </cell>
        </row>
        <row r="286">
          <cell r="C286" t="str">
            <v>ST</v>
          </cell>
          <cell r="D286">
            <v>104</v>
          </cell>
          <cell r="H286" t="str">
            <v>natural gas peaker</v>
          </cell>
        </row>
        <row r="287">
          <cell r="C287" t="str">
            <v>ST</v>
          </cell>
          <cell r="D287">
            <v>650</v>
          </cell>
          <cell r="H287" t="str">
            <v>hard coal</v>
          </cell>
        </row>
        <row r="288">
          <cell r="C288" t="str">
            <v>ST</v>
          </cell>
          <cell r="D288">
            <v>580</v>
          </cell>
          <cell r="H288" t="str">
            <v>hard coal</v>
          </cell>
        </row>
        <row r="289">
          <cell r="C289" t="str">
            <v>ST</v>
          </cell>
          <cell r="D289">
            <v>570</v>
          </cell>
          <cell r="H289" t="str">
            <v>hard coal</v>
          </cell>
        </row>
        <row r="290">
          <cell r="C290" t="str">
            <v>ST</v>
          </cell>
          <cell r="D290">
            <v>600</v>
          </cell>
          <cell r="H290" t="str">
            <v>hard coal</v>
          </cell>
        </row>
        <row r="291">
          <cell r="C291" t="str">
            <v>ST</v>
          </cell>
          <cell r="D291">
            <v>600</v>
          </cell>
          <cell r="H291" t="str">
            <v>hard coal</v>
          </cell>
        </row>
        <row r="292">
          <cell r="C292" t="str">
            <v>ST</v>
          </cell>
          <cell r="D292">
            <v>652</v>
          </cell>
          <cell r="H292" t="str">
            <v>hard coal</v>
          </cell>
        </row>
        <row r="293">
          <cell r="C293" t="str">
            <v>ST</v>
          </cell>
          <cell r="D293">
            <v>657</v>
          </cell>
          <cell r="H293" t="str">
            <v>hard coal</v>
          </cell>
        </row>
        <row r="294">
          <cell r="C294" t="str">
            <v>ST</v>
          </cell>
          <cell r="D294">
            <v>113</v>
          </cell>
          <cell r="H294" t="str">
            <v>natural gas peaker</v>
          </cell>
        </row>
        <row r="295">
          <cell r="C295" t="str">
            <v>ST</v>
          </cell>
          <cell r="D295">
            <v>113</v>
          </cell>
          <cell r="H295" t="str">
            <v>natural gas peaker</v>
          </cell>
        </row>
        <row r="296">
          <cell r="C296" t="str">
            <v>ST</v>
          </cell>
          <cell r="D296">
            <v>181</v>
          </cell>
          <cell r="H296" t="str">
            <v>natural gas peaker</v>
          </cell>
        </row>
        <row r="297">
          <cell r="C297" t="str">
            <v>GT</v>
          </cell>
          <cell r="D297">
            <v>73</v>
          </cell>
          <cell r="H297" t="str">
            <v>natural gas peaker</v>
          </cell>
        </row>
        <row r="298">
          <cell r="C298" t="str">
            <v>GT</v>
          </cell>
          <cell r="D298">
            <v>73</v>
          </cell>
          <cell r="H298" t="str">
            <v>natural gas peaker</v>
          </cell>
        </row>
        <row r="299">
          <cell r="C299" t="str">
            <v>GT</v>
          </cell>
          <cell r="D299">
            <v>73</v>
          </cell>
          <cell r="H299" t="str">
            <v>natural gas peaker</v>
          </cell>
        </row>
        <row r="300">
          <cell r="C300" t="str">
            <v>PV</v>
          </cell>
          <cell r="D300">
            <v>0.2</v>
          </cell>
          <cell r="H300" t="str">
            <v>solar PV</v>
          </cell>
        </row>
        <row r="301">
          <cell r="C301" t="str">
            <v>HY</v>
          </cell>
          <cell r="D301">
            <v>3</v>
          </cell>
          <cell r="H301" t="str">
            <v>hydro</v>
          </cell>
        </row>
        <row r="302">
          <cell r="C302" t="str">
            <v>HY</v>
          </cell>
          <cell r="D302">
            <v>10</v>
          </cell>
          <cell r="H302" t="str">
            <v>hydro</v>
          </cell>
        </row>
        <row r="303">
          <cell r="C303" t="str">
            <v>HY</v>
          </cell>
          <cell r="D303">
            <v>10</v>
          </cell>
          <cell r="H303" t="str">
            <v>hydro</v>
          </cell>
        </row>
        <row r="304">
          <cell r="C304" t="str">
            <v>HY</v>
          </cell>
          <cell r="D304">
            <v>10</v>
          </cell>
          <cell r="H304" t="str">
            <v>hydro</v>
          </cell>
        </row>
        <row r="305">
          <cell r="C305" t="str">
            <v>PS</v>
          </cell>
          <cell r="D305">
            <v>119</v>
          </cell>
          <cell r="H305" t="str">
            <v>other</v>
          </cell>
        </row>
        <row r="306">
          <cell r="C306" t="str">
            <v>ST</v>
          </cell>
          <cell r="D306">
            <v>34</v>
          </cell>
          <cell r="H306" t="str">
            <v>natural gas peaker</v>
          </cell>
        </row>
        <row r="307">
          <cell r="C307" t="str">
            <v>ST</v>
          </cell>
          <cell r="D307">
            <v>72</v>
          </cell>
          <cell r="H307" t="str">
            <v>natural gas peaker</v>
          </cell>
        </row>
        <row r="308">
          <cell r="C308" t="str">
            <v>GT</v>
          </cell>
          <cell r="D308">
            <v>59</v>
          </cell>
          <cell r="H308" t="str">
            <v>natural gas peaker</v>
          </cell>
        </row>
        <row r="309">
          <cell r="C309" t="str">
            <v>GT</v>
          </cell>
          <cell r="D309">
            <v>53</v>
          </cell>
          <cell r="H309" t="str">
            <v>natural gas peaker</v>
          </cell>
        </row>
        <row r="310">
          <cell r="C310" t="str">
            <v>GT</v>
          </cell>
          <cell r="D310">
            <v>53</v>
          </cell>
          <cell r="H310" t="str">
            <v>natural gas peaker</v>
          </cell>
        </row>
        <row r="311">
          <cell r="C311" t="str">
            <v>CT</v>
          </cell>
          <cell r="D311">
            <v>148</v>
          </cell>
          <cell r="H311" t="str">
            <v>natural gas nonpeaker</v>
          </cell>
        </row>
        <row r="312">
          <cell r="C312" t="str">
            <v>CA</v>
          </cell>
          <cell r="D312">
            <v>106</v>
          </cell>
          <cell r="H312" t="str">
            <v>natural gas nonpeaker</v>
          </cell>
        </row>
        <row r="313">
          <cell r="C313" t="str">
            <v>HY</v>
          </cell>
          <cell r="D313">
            <v>11.5</v>
          </cell>
          <cell r="H313" t="str">
            <v>hydro</v>
          </cell>
        </row>
        <row r="314">
          <cell r="C314" t="str">
            <v>PS</v>
          </cell>
          <cell r="D314">
            <v>57.3</v>
          </cell>
          <cell r="H314" t="str">
            <v>other</v>
          </cell>
        </row>
        <row r="315">
          <cell r="C315" t="str">
            <v>HY</v>
          </cell>
          <cell r="D315">
            <v>36</v>
          </cell>
          <cell r="H315" t="str">
            <v>hydro</v>
          </cell>
        </row>
        <row r="316">
          <cell r="C316" t="str">
            <v>HY</v>
          </cell>
          <cell r="D316">
            <v>13</v>
          </cell>
          <cell r="H316" t="str">
            <v>hydro</v>
          </cell>
        </row>
        <row r="317">
          <cell r="C317" t="str">
            <v>GT</v>
          </cell>
          <cell r="D317">
            <v>53.5</v>
          </cell>
          <cell r="H317" t="str">
            <v>petroleum</v>
          </cell>
        </row>
        <row r="318">
          <cell r="C318" t="str">
            <v>GT</v>
          </cell>
          <cell r="D318">
            <v>53.5</v>
          </cell>
          <cell r="H318" t="str">
            <v>natural gas peaker</v>
          </cell>
        </row>
        <row r="319">
          <cell r="C319" t="str">
            <v>HY</v>
          </cell>
          <cell r="D319">
            <v>51.7</v>
          </cell>
          <cell r="H319" t="str">
            <v>hydro</v>
          </cell>
        </row>
        <row r="320">
          <cell r="C320" t="str">
            <v>HY</v>
          </cell>
          <cell r="D320">
            <v>51.7</v>
          </cell>
          <cell r="H320" t="str">
            <v>hydro</v>
          </cell>
        </row>
        <row r="321">
          <cell r="C321" t="str">
            <v>HY</v>
          </cell>
          <cell r="D321">
            <v>48</v>
          </cell>
          <cell r="H321" t="str">
            <v>hydro</v>
          </cell>
        </row>
        <row r="322">
          <cell r="C322" t="str">
            <v>HY</v>
          </cell>
          <cell r="D322">
            <v>51.7</v>
          </cell>
          <cell r="H322" t="str">
            <v>hydro</v>
          </cell>
        </row>
        <row r="323">
          <cell r="C323" t="str">
            <v>HY</v>
          </cell>
          <cell r="D323">
            <v>51.7</v>
          </cell>
          <cell r="H323" t="str">
            <v>hydro</v>
          </cell>
        </row>
        <row r="324">
          <cell r="C324" t="str">
            <v>HY</v>
          </cell>
          <cell r="D324">
            <v>165</v>
          </cell>
          <cell r="H324" t="str">
            <v>hydro</v>
          </cell>
        </row>
        <row r="325">
          <cell r="C325" t="str">
            <v>HY</v>
          </cell>
          <cell r="D325">
            <v>165</v>
          </cell>
          <cell r="H325" t="str">
            <v>hydro</v>
          </cell>
        </row>
        <row r="326">
          <cell r="C326" t="str">
            <v>HY</v>
          </cell>
          <cell r="D326">
            <v>165</v>
          </cell>
          <cell r="H326" t="str">
            <v>hydro</v>
          </cell>
        </row>
        <row r="327">
          <cell r="C327" t="str">
            <v>HY</v>
          </cell>
          <cell r="D327">
            <v>165</v>
          </cell>
          <cell r="H327" t="str">
            <v>hydro</v>
          </cell>
        </row>
        <row r="328">
          <cell r="C328" t="str">
            <v>HY</v>
          </cell>
          <cell r="D328">
            <v>165</v>
          </cell>
          <cell r="H328" t="str">
            <v>hydro</v>
          </cell>
        </row>
        <row r="329">
          <cell r="C329" t="str">
            <v>HY</v>
          </cell>
          <cell r="D329">
            <v>165</v>
          </cell>
          <cell r="H329" t="str">
            <v>hydro</v>
          </cell>
        </row>
        <row r="330">
          <cell r="C330" t="str">
            <v>HY</v>
          </cell>
          <cell r="D330">
            <v>157</v>
          </cell>
          <cell r="H330" t="str">
            <v>hydro</v>
          </cell>
        </row>
        <row r="331">
          <cell r="C331" t="str">
            <v>HY</v>
          </cell>
          <cell r="D331">
            <v>165</v>
          </cell>
          <cell r="H331" t="str">
            <v>hydro</v>
          </cell>
        </row>
        <row r="332">
          <cell r="C332" t="str">
            <v>HY</v>
          </cell>
          <cell r="D332">
            <v>2.4</v>
          </cell>
          <cell r="H332" t="str">
            <v>hydro</v>
          </cell>
        </row>
        <row r="333">
          <cell r="C333" t="str">
            <v>HY</v>
          </cell>
          <cell r="D333">
            <v>130</v>
          </cell>
          <cell r="H333" t="str">
            <v>hydro</v>
          </cell>
        </row>
        <row r="334">
          <cell r="C334" t="str">
            <v>HY</v>
          </cell>
          <cell r="D334">
            <v>130</v>
          </cell>
          <cell r="H334" t="str">
            <v>hydro</v>
          </cell>
        </row>
        <row r="335">
          <cell r="C335" t="str">
            <v>HY</v>
          </cell>
          <cell r="D335">
            <v>130</v>
          </cell>
          <cell r="H335" t="str">
            <v>hydro</v>
          </cell>
        </row>
        <row r="336">
          <cell r="C336" t="str">
            <v>HY</v>
          </cell>
          <cell r="D336">
            <v>130</v>
          </cell>
          <cell r="H336" t="str">
            <v>hydro</v>
          </cell>
        </row>
        <row r="337">
          <cell r="C337" t="str">
            <v>HY</v>
          </cell>
          <cell r="D337">
            <v>130</v>
          </cell>
          <cell r="H337" t="str">
            <v>hydro</v>
          </cell>
        </row>
        <row r="338">
          <cell r="C338" t="str">
            <v>HY</v>
          </cell>
          <cell r="D338">
            <v>130</v>
          </cell>
          <cell r="H338" t="str">
            <v>hydro</v>
          </cell>
        </row>
        <row r="339">
          <cell r="C339" t="str">
            <v>HY</v>
          </cell>
          <cell r="D339">
            <v>127</v>
          </cell>
          <cell r="H339" t="str">
            <v>hydro</v>
          </cell>
        </row>
        <row r="340">
          <cell r="C340" t="str">
            <v>HY</v>
          </cell>
          <cell r="D340">
            <v>130</v>
          </cell>
          <cell r="H340" t="str">
            <v>hydro</v>
          </cell>
        </row>
        <row r="341">
          <cell r="C341" t="str">
            <v>HY</v>
          </cell>
          <cell r="D341">
            <v>1</v>
          </cell>
          <cell r="H341" t="str">
            <v>hydro</v>
          </cell>
        </row>
        <row r="342">
          <cell r="C342" t="str">
            <v>GT</v>
          </cell>
          <cell r="D342">
            <v>10</v>
          </cell>
          <cell r="H342" t="str">
            <v>natural gas peaker</v>
          </cell>
        </row>
        <row r="343">
          <cell r="C343" t="str">
            <v>GT</v>
          </cell>
          <cell r="D343">
            <v>18.5</v>
          </cell>
          <cell r="H343" t="str">
            <v>natural gas peaker</v>
          </cell>
        </row>
        <row r="344">
          <cell r="C344" t="str">
            <v>GT</v>
          </cell>
          <cell r="D344">
            <v>60</v>
          </cell>
          <cell r="H344" t="str">
            <v>natural gas peaker</v>
          </cell>
        </row>
        <row r="345">
          <cell r="C345" t="str">
            <v>GT</v>
          </cell>
          <cell r="D345">
            <v>38</v>
          </cell>
          <cell r="H345" t="str">
            <v>natural gas peaker</v>
          </cell>
        </row>
        <row r="346">
          <cell r="C346" t="str">
            <v>ST</v>
          </cell>
          <cell r="D346">
            <v>72</v>
          </cell>
          <cell r="H346" t="str">
            <v>natural gas peaker</v>
          </cell>
        </row>
        <row r="347">
          <cell r="C347" t="str">
            <v>ST</v>
          </cell>
          <cell r="D347">
            <v>175</v>
          </cell>
          <cell r="H347" t="str">
            <v>natural gas peaker</v>
          </cell>
        </row>
        <row r="348">
          <cell r="C348" t="str">
            <v>ST</v>
          </cell>
          <cell r="D348">
            <v>175</v>
          </cell>
          <cell r="H348" t="str">
            <v>hard coal</v>
          </cell>
        </row>
        <row r="349">
          <cell r="C349" t="str">
            <v>HY</v>
          </cell>
          <cell r="D349">
            <v>1.1000000000000001</v>
          </cell>
          <cell r="H349" t="str">
            <v>hydro</v>
          </cell>
        </row>
        <row r="350">
          <cell r="C350" t="str">
            <v>HY</v>
          </cell>
          <cell r="D350">
            <v>1.1000000000000001</v>
          </cell>
          <cell r="H350" t="str">
            <v>hydro</v>
          </cell>
        </row>
        <row r="351">
          <cell r="C351" t="str">
            <v>HY</v>
          </cell>
          <cell r="D351">
            <v>1.1000000000000001</v>
          </cell>
          <cell r="H351" t="str">
            <v>hydro</v>
          </cell>
        </row>
        <row r="352">
          <cell r="C352" t="str">
            <v>HY</v>
          </cell>
          <cell r="D352">
            <v>0.5</v>
          </cell>
          <cell r="H352" t="str">
            <v>hydro</v>
          </cell>
        </row>
        <row r="353">
          <cell r="C353" t="str">
            <v>HY</v>
          </cell>
          <cell r="D353">
            <v>0.5</v>
          </cell>
          <cell r="H353" t="str">
            <v>hydro</v>
          </cell>
        </row>
        <row r="354">
          <cell r="C354" t="str">
            <v>ST</v>
          </cell>
          <cell r="D354">
            <v>40</v>
          </cell>
          <cell r="H354" t="str">
            <v>natural gas peaker</v>
          </cell>
        </row>
        <row r="355">
          <cell r="C355" t="str">
            <v>ST</v>
          </cell>
          <cell r="D355">
            <v>492</v>
          </cell>
          <cell r="H355" t="str">
            <v>hard coal</v>
          </cell>
        </row>
        <row r="356">
          <cell r="C356" t="str">
            <v>CT</v>
          </cell>
          <cell r="D356">
            <v>307</v>
          </cell>
          <cell r="H356" t="str">
            <v>natural gas nonpeaker</v>
          </cell>
        </row>
        <row r="357">
          <cell r="C357" t="str">
            <v>CA</v>
          </cell>
          <cell r="D357">
            <v>160.5</v>
          </cell>
          <cell r="H357" t="str">
            <v>natural gas nonpeaker</v>
          </cell>
        </row>
        <row r="358">
          <cell r="C358" t="str">
            <v>HY</v>
          </cell>
          <cell r="D358">
            <v>30.9</v>
          </cell>
          <cell r="H358" t="str">
            <v>hydro</v>
          </cell>
        </row>
        <row r="359">
          <cell r="C359" t="str">
            <v>HY</v>
          </cell>
          <cell r="D359">
            <v>30.8</v>
          </cell>
          <cell r="H359" t="str">
            <v>hydro</v>
          </cell>
        </row>
        <row r="360">
          <cell r="C360" t="str">
            <v>ST</v>
          </cell>
          <cell r="D360">
            <v>522</v>
          </cell>
          <cell r="H360" t="str">
            <v>natural gas peaker</v>
          </cell>
        </row>
        <row r="361">
          <cell r="C361" t="str">
            <v>IC</v>
          </cell>
          <cell r="D361">
            <v>1.6</v>
          </cell>
          <cell r="H361" t="str">
            <v>petroleum</v>
          </cell>
        </row>
        <row r="362">
          <cell r="C362" t="str">
            <v>HY</v>
          </cell>
          <cell r="D362">
            <v>3.9</v>
          </cell>
          <cell r="H362" t="str">
            <v>hydro</v>
          </cell>
        </row>
        <row r="363">
          <cell r="C363" t="str">
            <v>HY</v>
          </cell>
          <cell r="D363">
            <v>3.7</v>
          </cell>
          <cell r="H363" t="str">
            <v>hydro</v>
          </cell>
        </row>
        <row r="364">
          <cell r="C364" t="str">
            <v>HY</v>
          </cell>
          <cell r="D364">
            <v>3.8</v>
          </cell>
          <cell r="H364" t="str">
            <v>hydro</v>
          </cell>
        </row>
        <row r="365">
          <cell r="C365" t="str">
            <v>HY</v>
          </cell>
          <cell r="D365">
            <v>0.9</v>
          </cell>
          <cell r="H365" t="str">
            <v>hydro</v>
          </cell>
        </row>
        <row r="366">
          <cell r="C366" t="str">
            <v>HY</v>
          </cell>
          <cell r="D366">
            <v>64.400000000000006</v>
          </cell>
          <cell r="H366" t="str">
            <v>hydro</v>
          </cell>
        </row>
        <row r="367">
          <cell r="C367" t="str">
            <v>HY</v>
          </cell>
          <cell r="D367">
            <v>64.400000000000006</v>
          </cell>
          <cell r="H367" t="str">
            <v>hydro</v>
          </cell>
        </row>
        <row r="368">
          <cell r="C368" t="str">
            <v>HY</v>
          </cell>
          <cell r="D368">
            <v>40</v>
          </cell>
          <cell r="H368" t="str">
            <v>hydro</v>
          </cell>
        </row>
        <row r="369">
          <cell r="C369" t="str">
            <v>PS</v>
          </cell>
          <cell r="D369">
            <v>28</v>
          </cell>
          <cell r="H369" t="str">
            <v>other</v>
          </cell>
        </row>
        <row r="370">
          <cell r="C370" t="str">
            <v>HY</v>
          </cell>
          <cell r="D370">
            <v>50</v>
          </cell>
          <cell r="H370" t="str">
            <v>hydro</v>
          </cell>
        </row>
        <row r="371">
          <cell r="C371" t="str">
            <v>HY</v>
          </cell>
          <cell r="D371">
            <v>40</v>
          </cell>
          <cell r="H371" t="str">
            <v>hydro</v>
          </cell>
        </row>
        <row r="372">
          <cell r="C372" t="str">
            <v>IC</v>
          </cell>
          <cell r="D372">
            <v>2</v>
          </cell>
          <cell r="H372" t="str">
            <v>petroleum</v>
          </cell>
        </row>
        <row r="373">
          <cell r="C373" t="str">
            <v>IC</v>
          </cell>
          <cell r="D373">
            <v>0.6</v>
          </cell>
          <cell r="H373" t="str">
            <v>petroleum</v>
          </cell>
        </row>
        <row r="374">
          <cell r="C374" t="str">
            <v>IC</v>
          </cell>
          <cell r="D374">
            <v>2.2000000000000002</v>
          </cell>
          <cell r="H374" t="str">
            <v>petroleum</v>
          </cell>
        </row>
        <row r="375">
          <cell r="C375" t="str">
            <v>IC</v>
          </cell>
          <cell r="D375">
            <v>1.3</v>
          </cell>
          <cell r="H375" t="str">
            <v>petroleum</v>
          </cell>
        </row>
        <row r="376">
          <cell r="C376" t="str">
            <v>IC</v>
          </cell>
          <cell r="D376">
            <v>1.1000000000000001</v>
          </cell>
          <cell r="H376" t="str">
            <v>petroleum</v>
          </cell>
        </row>
        <row r="377">
          <cell r="C377" t="str">
            <v>HY</v>
          </cell>
          <cell r="D377">
            <v>9.6999999999999993</v>
          </cell>
          <cell r="H377" t="str">
            <v>hydro</v>
          </cell>
        </row>
        <row r="378">
          <cell r="C378" t="str">
            <v>HY</v>
          </cell>
          <cell r="D378">
            <v>9.6999999999999993</v>
          </cell>
          <cell r="H378" t="str">
            <v>hydro</v>
          </cell>
        </row>
        <row r="379">
          <cell r="C379" t="str">
            <v>HY</v>
          </cell>
          <cell r="D379">
            <v>9.6999999999999993</v>
          </cell>
          <cell r="H379" t="str">
            <v>hydro</v>
          </cell>
        </row>
        <row r="380">
          <cell r="C380" t="str">
            <v>HY</v>
          </cell>
          <cell r="D380">
            <v>40</v>
          </cell>
          <cell r="H380" t="str">
            <v>hydro</v>
          </cell>
        </row>
        <row r="381">
          <cell r="C381" t="str">
            <v>HY</v>
          </cell>
          <cell r="D381">
            <v>40</v>
          </cell>
          <cell r="H381" t="str">
            <v>hydro</v>
          </cell>
        </row>
        <row r="382">
          <cell r="C382" t="str">
            <v>HY</v>
          </cell>
          <cell r="D382">
            <v>37.5</v>
          </cell>
          <cell r="H382" t="str">
            <v>hydro</v>
          </cell>
        </row>
        <row r="383">
          <cell r="C383" t="str">
            <v>HY</v>
          </cell>
          <cell r="D383">
            <v>37.5</v>
          </cell>
          <cell r="H383" t="str">
            <v>hydro</v>
          </cell>
        </row>
        <row r="384">
          <cell r="C384" t="str">
            <v>HY</v>
          </cell>
          <cell r="D384">
            <v>45</v>
          </cell>
          <cell r="H384" t="str">
            <v>hydro</v>
          </cell>
        </row>
        <row r="385">
          <cell r="C385" t="str">
            <v>HY</v>
          </cell>
          <cell r="D385">
            <v>45</v>
          </cell>
          <cell r="H385" t="str">
            <v>hydro</v>
          </cell>
        </row>
        <row r="386">
          <cell r="C386" t="str">
            <v>HY</v>
          </cell>
          <cell r="D386">
            <v>35</v>
          </cell>
          <cell r="H386" t="str">
            <v>hydro</v>
          </cell>
        </row>
        <row r="387">
          <cell r="C387" t="str">
            <v>HY</v>
          </cell>
          <cell r="D387">
            <v>45</v>
          </cell>
          <cell r="H387" t="str">
            <v>hydro</v>
          </cell>
        </row>
        <row r="388">
          <cell r="C388" t="str">
            <v>HY</v>
          </cell>
          <cell r="D388">
            <v>50</v>
          </cell>
          <cell r="H388" t="str">
            <v>hydro</v>
          </cell>
        </row>
        <row r="389">
          <cell r="C389" t="str">
            <v>HY</v>
          </cell>
          <cell r="D389">
            <v>50</v>
          </cell>
          <cell r="H389" t="str">
            <v>hydro</v>
          </cell>
        </row>
        <row r="390">
          <cell r="C390" t="str">
            <v>HY</v>
          </cell>
          <cell r="D390">
            <v>50</v>
          </cell>
          <cell r="H390" t="str">
            <v>hydro</v>
          </cell>
        </row>
        <row r="391">
          <cell r="C391" t="str">
            <v>HY</v>
          </cell>
          <cell r="D391">
            <v>50</v>
          </cell>
          <cell r="H391" t="str">
            <v>hydro</v>
          </cell>
        </row>
        <row r="392">
          <cell r="C392" t="str">
            <v>HY</v>
          </cell>
          <cell r="D392">
            <v>35</v>
          </cell>
          <cell r="H392" t="str">
            <v>hydro</v>
          </cell>
        </row>
        <row r="393">
          <cell r="C393" t="str">
            <v>HY</v>
          </cell>
          <cell r="D393">
            <v>35</v>
          </cell>
          <cell r="H393" t="str">
            <v>hydro</v>
          </cell>
        </row>
        <row r="394">
          <cell r="C394" t="str">
            <v>HY</v>
          </cell>
          <cell r="D394">
            <v>35</v>
          </cell>
          <cell r="H394" t="str">
            <v>hydro</v>
          </cell>
        </row>
        <row r="395">
          <cell r="C395" t="str">
            <v>HY</v>
          </cell>
          <cell r="D395">
            <v>35</v>
          </cell>
          <cell r="H395" t="str">
            <v>hydro</v>
          </cell>
        </row>
        <row r="396">
          <cell r="C396" t="str">
            <v>CA</v>
          </cell>
          <cell r="D396">
            <v>61</v>
          </cell>
          <cell r="H396" t="str">
            <v>natural gas nonpeaker</v>
          </cell>
        </row>
        <row r="397">
          <cell r="C397" t="str">
            <v>CT</v>
          </cell>
          <cell r="D397">
            <v>101</v>
          </cell>
          <cell r="H397" t="str">
            <v>natural gas nonpeaker</v>
          </cell>
        </row>
        <row r="398">
          <cell r="C398" t="str">
            <v>ST</v>
          </cell>
          <cell r="D398">
            <v>122</v>
          </cell>
          <cell r="H398" t="str">
            <v>natural gas peaker</v>
          </cell>
        </row>
        <row r="399">
          <cell r="C399" t="str">
            <v>ST</v>
          </cell>
          <cell r="D399">
            <v>134</v>
          </cell>
          <cell r="H399" t="str">
            <v>natural gas peaker</v>
          </cell>
        </row>
        <row r="400">
          <cell r="C400" t="str">
            <v>ST</v>
          </cell>
          <cell r="D400">
            <v>1065</v>
          </cell>
          <cell r="H400" t="str">
            <v>nuclear</v>
          </cell>
        </row>
        <row r="401">
          <cell r="C401" t="str">
            <v>ST</v>
          </cell>
          <cell r="D401">
            <v>1225</v>
          </cell>
          <cell r="H401" t="str">
            <v>nuclear</v>
          </cell>
        </row>
        <row r="402">
          <cell r="C402" t="str">
            <v>HY</v>
          </cell>
          <cell r="D402">
            <v>1</v>
          </cell>
          <cell r="H402" t="str">
            <v>hydro</v>
          </cell>
        </row>
        <row r="403">
          <cell r="C403" t="str">
            <v>HY</v>
          </cell>
          <cell r="D403">
            <v>0.7</v>
          </cell>
          <cell r="H403" t="str">
            <v>hydro</v>
          </cell>
        </row>
        <row r="404">
          <cell r="C404" t="str">
            <v>HY</v>
          </cell>
          <cell r="D404">
            <v>34</v>
          </cell>
          <cell r="H404" t="str">
            <v>hydro</v>
          </cell>
        </row>
        <row r="405">
          <cell r="C405" t="str">
            <v>HY</v>
          </cell>
          <cell r="D405">
            <v>52.5</v>
          </cell>
          <cell r="H405" t="str">
            <v>hydro</v>
          </cell>
        </row>
        <row r="406">
          <cell r="C406" t="str">
            <v>HY</v>
          </cell>
          <cell r="D406">
            <v>52.5</v>
          </cell>
          <cell r="H406" t="str">
            <v>hydro</v>
          </cell>
        </row>
        <row r="407">
          <cell r="C407" t="str">
            <v>HY</v>
          </cell>
          <cell r="D407">
            <v>125</v>
          </cell>
          <cell r="H407" t="str">
            <v>hydro</v>
          </cell>
        </row>
        <row r="408">
          <cell r="C408" t="str">
            <v>HY</v>
          </cell>
          <cell r="D408">
            <v>32.5</v>
          </cell>
          <cell r="H408" t="str">
            <v>hydro</v>
          </cell>
        </row>
        <row r="409">
          <cell r="C409" t="str">
            <v>HY</v>
          </cell>
          <cell r="D409">
            <v>32.5</v>
          </cell>
          <cell r="H409" t="str">
            <v>hydro</v>
          </cell>
        </row>
        <row r="410">
          <cell r="C410" t="str">
            <v>HY</v>
          </cell>
          <cell r="D410">
            <v>41</v>
          </cell>
          <cell r="H410" t="str">
            <v>hydro</v>
          </cell>
        </row>
        <row r="411">
          <cell r="C411" t="str">
            <v>HY</v>
          </cell>
          <cell r="D411">
            <v>25</v>
          </cell>
          <cell r="H411" t="str">
            <v>hydro</v>
          </cell>
        </row>
        <row r="412">
          <cell r="C412" t="str">
            <v>HY</v>
          </cell>
          <cell r="D412">
            <v>25</v>
          </cell>
          <cell r="H412" t="str">
            <v>hydro</v>
          </cell>
        </row>
        <row r="413">
          <cell r="C413" t="str">
            <v>HY</v>
          </cell>
          <cell r="D413">
            <v>25</v>
          </cell>
          <cell r="H413" t="str">
            <v>hydro</v>
          </cell>
        </row>
        <row r="414">
          <cell r="C414" t="str">
            <v>HY</v>
          </cell>
          <cell r="D414">
            <v>60</v>
          </cell>
          <cell r="H414" t="str">
            <v>hydro</v>
          </cell>
        </row>
        <row r="415">
          <cell r="C415" t="str">
            <v>HY</v>
          </cell>
          <cell r="D415">
            <v>60</v>
          </cell>
          <cell r="H415" t="str">
            <v>hydro</v>
          </cell>
        </row>
        <row r="416">
          <cell r="C416" t="str">
            <v>HY</v>
          </cell>
          <cell r="D416">
            <v>5.5</v>
          </cell>
          <cell r="H416" t="str">
            <v>hydro</v>
          </cell>
        </row>
        <row r="417">
          <cell r="C417" t="str">
            <v>HY</v>
          </cell>
          <cell r="D417">
            <v>0.9</v>
          </cell>
          <cell r="H417" t="str">
            <v>hydro</v>
          </cell>
        </row>
        <row r="418">
          <cell r="C418" t="str">
            <v>HY</v>
          </cell>
          <cell r="D418">
            <v>7</v>
          </cell>
          <cell r="H418" t="str">
            <v>hydro</v>
          </cell>
        </row>
        <row r="419">
          <cell r="C419" t="str">
            <v>HY</v>
          </cell>
          <cell r="D419">
            <v>13</v>
          </cell>
          <cell r="H419" t="str">
            <v>hydro</v>
          </cell>
        </row>
        <row r="420">
          <cell r="C420" t="str">
            <v>HY</v>
          </cell>
          <cell r="D420">
            <v>0.9</v>
          </cell>
          <cell r="H420" t="str">
            <v>hydro</v>
          </cell>
        </row>
        <row r="421">
          <cell r="C421" t="str">
            <v>HY</v>
          </cell>
          <cell r="D421">
            <v>0.9</v>
          </cell>
          <cell r="H421" t="str">
            <v>hydro</v>
          </cell>
        </row>
        <row r="422">
          <cell r="C422" t="str">
            <v>HY</v>
          </cell>
          <cell r="D422">
            <v>35</v>
          </cell>
          <cell r="H422" t="str">
            <v>hydro</v>
          </cell>
        </row>
        <row r="423">
          <cell r="C423" t="str">
            <v>HY</v>
          </cell>
          <cell r="D423">
            <v>35</v>
          </cell>
          <cell r="H423" t="str">
            <v>hydro</v>
          </cell>
        </row>
        <row r="424">
          <cell r="C424" t="str">
            <v>HY</v>
          </cell>
          <cell r="D424">
            <v>18.5</v>
          </cell>
          <cell r="H424" t="str">
            <v>hydro</v>
          </cell>
        </row>
        <row r="425">
          <cell r="C425" t="str">
            <v>HY</v>
          </cell>
          <cell r="D425">
            <v>5.7</v>
          </cell>
          <cell r="H425" t="str">
            <v>hydro</v>
          </cell>
        </row>
        <row r="426">
          <cell r="C426" t="str">
            <v>HY</v>
          </cell>
          <cell r="D426">
            <v>13.2</v>
          </cell>
          <cell r="H426" t="str">
            <v>hydro</v>
          </cell>
        </row>
        <row r="427">
          <cell r="C427" t="str">
            <v>HY</v>
          </cell>
          <cell r="D427">
            <v>13.2</v>
          </cell>
          <cell r="H427" t="str">
            <v>hydro</v>
          </cell>
        </row>
        <row r="428">
          <cell r="C428" t="str">
            <v>HY</v>
          </cell>
          <cell r="D428">
            <v>13.2</v>
          </cell>
          <cell r="H428" t="str">
            <v>hydro</v>
          </cell>
        </row>
        <row r="429">
          <cell r="C429" t="str">
            <v>HY</v>
          </cell>
          <cell r="D429">
            <v>14.4</v>
          </cell>
          <cell r="H429" t="str">
            <v>hydro</v>
          </cell>
        </row>
        <row r="430">
          <cell r="C430" t="str">
            <v>HY</v>
          </cell>
          <cell r="D430">
            <v>49.5</v>
          </cell>
          <cell r="H430" t="str">
            <v>hydro</v>
          </cell>
        </row>
        <row r="431">
          <cell r="C431" t="str">
            <v>HY</v>
          </cell>
          <cell r="D431">
            <v>22</v>
          </cell>
          <cell r="H431" t="str">
            <v>hydro</v>
          </cell>
        </row>
        <row r="432">
          <cell r="C432" t="str">
            <v>HY</v>
          </cell>
          <cell r="D432">
            <v>10.4</v>
          </cell>
          <cell r="H432" t="str">
            <v>hydro</v>
          </cell>
        </row>
        <row r="433">
          <cell r="C433" t="str">
            <v>HY</v>
          </cell>
          <cell r="D433">
            <v>10.4</v>
          </cell>
          <cell r="H433" t="str">
            <v>hydro</v>
          </cell>
        </row>
        <row r="434">
          <cell r="C434" t="str">
            <v>HY</v>
          </cell>
          <cell r="D434">
            <v>30.7</v>
          </cell>
          <cell r="H434" t="str">
            <v>hydro</v>
          </cell>
        </row>
        <row r="435">
          <cell r="C435" t="str">
            <v>HY</v>
          </cell>
          <cell r="D435">
            <v>30.7</v>
          </cell>
          <cell r="H435" t="str">
            <v>hydro</v>
          </cell>
        </row>
        <row r="436">
          <cell r="C436" t="str">
            <v>HY</v>
          </cell>
          <cell r="D436">
            <v>36.6</v>
          </cell>
          <cell r="H436" t="str">
            <v>hydro</v>
          </cell>
        </row>
        <row r="437">
          <cell r="C437" t="str">
            <v>HY</v>
          </cell>
          <cell r="D437">
            <v>72</v>
          </cell>
          <cell r="H437" t="str">
            <v>hydro</v>
          </cell>
        </row>
        <row r="438">
          <cell r="C438" t="str">
            <v>HY</v>
          </cell>
          <cell r="D438">
            <v>72</v>
          </cell>
          <cell r="H438" t="str">
            <v>hydro</v>
          </cell>
        </row>
        <row r="439">
          <cell r="C439" t="str">
            <v>HY</v>
          </cell>
          <cell r="D439">
            <v>11</v>
          </cell>
          <cell r="H439" t="str">
            <v>hydro</v>
          </cell>
        </row>
        <row r="440">
          <cell r="C440" t="str">
            <v>HY</v>
          </cell>
          <cell r="D440">
            <v>2.4</v>
          </cell>
          <cell r="H440" t="str">
            <v>hydro</v>
          </cell>
        </row>
        <row r="441">
          <cell r="C441" t="str">
            <v>HY</v>
          </cell>
          <cell r="D441">
            <v>2.4</v>
          </cell>
          <cell r="H441" t="str">
            <v>hydro</v>
          </cell>
        </row>
        <row r="442">
          <cell r="C442" t="str">
            <v>HY</v>
          </cell>
          <cell r="D442">
            <v>8.5</v>
          </cell>
          <cell r="H442" t="str">
            <v>hydro</v>
          </cell>
        </row>
        <row r="443">
          <cell r="C443" t="str">
            <v>HY</v>
          </cell>
          <cell r="D443">
            <v>8.5</v>
          </cell>
          <cell r="H443" t="str">
            <v>hydro</v>
          </cell>
        </row>
        <row r="444">
          <cell r="C444" t="str">
            <v>IC</v>
          </cell>
          <cell r="D444">
            <v>16.3</v>
          </cell>
          <cell r="H444" t="str">
            <v>natural gas peaker</v>
          </cell>
        </row>
        <row r="445">
          <cell r="C445" t="str">
            <v>IC</v>
          </cell>
          <cell r="D445">
            <v>16.3</v>
          </cell>
          <cell r="H445" t="str">
            <v>natural gas peaker</v>
          </cell>
        </row>
        <row r="446">
          <cell r="C446" t="str">
            <v>IC</v>
          </cell>
          <cell r="D446">
            <v>16.3</v>
          </cell>
          <cell r="H446" t="str">
            <v>natural gas peaker</v>
          </cell>
        </row>
        <row r="447">
          <cell r="C447" t="str">
            <v>IC</v>
          </cell>
          <cell r="D447">
            <v>16.3</v>
          </cell>
          <cell r="H447" t="str">
            <v>natural gas peaker</v>
          </cell>
        </row>
        <row r="448">
          <cell r="C448" t="str">
            <v>IC</v>
          </cell>
          <cell r="D448">
            <v>16.3</v>
          </cell>
          <cell r="H448" t="str">
            <v>natural gas peaker</v>
          </cell>
        </row>
        <row r="449">
          <cell r="C449" t="str">
            <v>IC</v>
          </cell>
          <cell r="D449">
            <v>16.3</v>
          </cell>
          <cell r="H449" t="str">
            <v>natural gas peaker</v>
          </cell>
        </row>
        <row r="450">
          <cell r="C450" t="str">
            <v>IC</v>
          </cell>
          <cell r="D450">
            <v>16.3</v>
          </cell>
          <cell r="H450" t="str">
            <v>natural gas peaker</v>
          </cell>
        </row>
        <row r="451">
          <cell r="C451" t="str">
            <v>IC</v>
          </cell>
          <cell r="D451">
            <v>16.3</v>
          </cell>
          <cell r="H451" t="str">
            <v>natural gas peaker</v>
          </cell>
        </row>
        <row r="452">
          <cell r="C452" t="str">
            <v>IC</v>
          </cell>
          <cell r="D452">
            <v>16.3</v>
          </cell>
          <cell r="H452" t="str">
            <v>natural gas peaker</v>
          </cell>
        </row>
        <row r="453">
          <cell r="C453" t="str">
            <v>IC</v>
          </cell>
          <cell r="D453">
            <v>16.7</v>
          </cell>
          <cell r="H453" t="str">
            <v>natural gas peaker</v>
          </cell>
        </row>
        <row r="454">
          <cell r="C454" t="str">
            <v>HY</v>
          </cell>
          <cell r="D454">
            <v>8</v>
          </cell>
          <cell r="H454" t="str">
            <v>hydro</v>
          </cell>
        </row>
        <row r="455">
          <cell r="C455" t="str">
            <v>HY</v>
          </cell>
          <cell r="D455">
            <v>86</v>
          </cell>
          <cell r="H455" t="str">
            <v>hydro</v>
          </cell>
        </row>
        <row r="456">
          <cell r="C456" t="str">
            <v>HY</v>
          </cell>
          <cell r="D456">
            <v>86</v>
          </cell>
          <cell r="H456" t="str">
            <v>hydro</v>
          </cell>
        </row>
        <row r="457">
          <cell r="C457" t="str">
            <v>HY</v>
          </cell>
          <cell r="D457">
            <v>12.6</v>
          </cell>
          <cell r="H457" t="str">
            <v>hydro</v>
          </cell>
        </row>
        <row r="458">
          <cell r="C458" t="str">
            <v>HY</v>
          </cell>
          <cell r="D458">
            <v>12.6</v>
          </cell>
          <cell r="H458" t="str">
            <v>hydro</v>
          </cell>
        </row>
        <row r="459">
          <cell r="C459" t="str">
            <v>HY</v>
          </cell>
          <cell r="D459">
            <v>1.6</v>
          </cell>
          <cell r="H459" t="str">
            <v>hydro</v>
          </cell>
        </row>
        <row r="460">
          <cell r="C460" t="str">
            <v>HY</v>
          </cell>
          <cell r="D460">
            <v>52</v>
          </cell>
          <cell r="H460" t="str">
            <v>hydro</v>
          </cell>
        </row>
        <row r="461">
          <cell r="C461" t="str">
            <v>HY</v>
          </cell>
          <cell r="D461">
            <v>1</v>
          </cell>
          <cell r="H461" t="str">
            <v>hydro</v>
          </cell>
        </row>
        <row r="462">
          <cell r="C462" t="str">
            <v>HY</v>
          </cell>
          <cell r="D462">
            <v>1</v>
          </cell>
          <cell r="H462" t="str">
            <v>hydro</v>
          </cell>
        </row>
        <row r="463">
          <cell r="C463" t="str">
            <v>HY</v>
          </cell>
          <cell r="D463">
            <v>3.5</v>
          </cell>
          <cell r="H463" t="str">
            <v>hydro</v>
          </cell>
        </row>
        <row r="464">
          <cell r="C464" t="str">
            <v>CT</v>
          </cell>
          <cell r="D464">
            <v>165</v>
          </cell>
          <cell r="H464" t="str">
            <v>natural gas nonpeaker</v>
          </cell>
        </row>
        <row r="465">
          <cell r="C465" t="str">
            <v>CT</v>
          </cell>
          <cell r="D465">
            <v>165</v>
          </cell>
          <cell r="H465" t="str">
            <v>natural gas nonpeaker</v>
          </cell>
        </row>
        <row r="466">
          <cell r="C466" t="str">
            <v>CT</v>
          </cell>
          <cell r="D466">
            <v>165</v>
          </cell>
          <cell r="H466" t="str">
            <v>natural gas nonpeaker</v>
          </cell>
        </row>
        <row r="467">
          <cell r="C467" t="str">
            <v>CT</v>
          </cell>
          <cell r="D467">
            <v>165</v>
          </cell>
          <cell r="H467" t="str">
            <v>natural gas nonpeaker</v>
          </cell>
        </row>
        <row r="468">
          <cell r="C468" t="str">
            <v>CA</v>
          </cell>
          <cell r="D468">
            <v>180</v>
          </cell>
          <cell r="H468" t="str">
            <v>natural gas nonpeaker</v>
          </cell>
        </row>
        <row r="469">
          <cell r="C469" t="str">
            <v>CA</v>
          </cell>
          <cell r="D469">
            <v>180</v>
          </cell>
          <cell r="H469" t="str">
            <v>natural gas nonpeaker</v>
          </cell>
        </row>
        <row r="470">
          <cell r="C470" t="str">
            <v>HY</v>
          </cell>
          <cell r="D470">
            <v>1.7</v>
          </cell>
          <cell r="H470" t="str">
            <v>hydro</v>
          </cell>
        </row>
        <row r="471">
          <cell r="C471" t="str">
            <v>HY</v>
          </cell>
          <cell r="D471">
            <v>12</v>
          </cell>
          <cell r="H471" t="str">
            <v>hydro</v>
          </cell>
        </row>
        <row r="472">
          <cell r="C472" t="str">
            <v>HY</v>
          </cell>
          <cell r="D472">
            <v>2</v>
          </cell>
          <cell r="H472" t="str">
            <v>hydro</v>
          </cell>
        </row>
        <row r="473">
          <cell r="C473" t="str">
            <v>HY</v>
          </cell>
          <cell r="D473">
            <v>30.5</v>
          </cell>
          <cell r="H473" t="str">
            <v>hydro</v>
          </cell>
        </row>
        <row r="474">
          <cell r="C474" t="str">
            <v>HY</v>
          </cell>
          <cell r="D474">
            <v>30.5</v>
          </cell>
          <cell r="H474" t="str">
            <v>hydro</v>
          </cell>
        </row>
        <row r="475">
          <cell r="C475" t="str">
            <v>HY</v>
          </cell>
          <cell r="D475">
            <v>23.3</v>
          </cell>
          <cell r="H475" t="str">
            <v>hydro</v>
          </cell>
        </row>
        <row r="476">
          <cell r="C476" t="str">
            <v>HY</v>
          </cell>
          <cell r="D476">
            <v>23.3</v>
          </cell>
          <cell r="H476" t="str">
            <v>hydro</v>
          </cell>
        </row>
        <row r="477">
          <cell r="C477" t="str">
            <v>HY</v>
          </cell>
          <cell r="D477">
            <v>23.3</v>
          </cell>
          <cell r="H477" t="str">
            <v>hydro</v>
          </cell>
        </row>
        <row r="478">
          <cell r="C478" t="str">
            <v>HY</v>
          </cell>
          <cell r="D478">
            <v>47.5</v>
          </cell>
          <cell r="H478" t="str">
            <v>hydro</v>
          </cell>
        </row>
        <row r="479">
          <cell r="C479" t="str">
            <v>HY</v>
          </cell>
          <cell r="D479">
            <v>47.5</v>
          </cell>
          <cell r="H479" t="str">
            <v>hydro</v>
          </cell>
        </row>
        <row r="480">
          <cell r="C480" t="str">
            <v>HY</v>
          </cell>
          <cell r="D480">
            <v>40</v>
          </cell>
          <cell r="H480" t="str">
            <v>hydro</v>
          </cell>
        </row>
        <row r="481">
          <cell r="C481" t="str">
            <v>HY</v>
          </cell>
          <cell r="D481">
            <v>40</v>
          </cell>
          <cell r="H481" t="str">
            <v>hydro</v>
          </cell>
        </row>
        <row r="482">
          <cell r="C482" t="str">
            <v>HY</v>
          </cell>
          <cell r="D482">
            <v>40</v>
          </cell>
          <cell r="H482" t="str">
            <v>hydro</v>
          </cell>
        </row>
        <row r="483">
          <cell r="C483" t="str">
            <v>HY</v>
          </cell>
          <cell r="D483">
            <v>40</v>
          </cell>
          <cell r="H483" t="str">
            <v>hydro</v>
          </cell>
        </row>
        <row r="484">
          <cell r="C484" t="str">
            <v>HY</v>
          </cell>
          <cell r="D484">
            <v>40</v>
          </cell>
          <cell r="H484" t="str">
            <v>hydro</v>
          </cell>
        </row>
        <row r="485">
          <cell r="C485" t="str">
            <v>HY</v>
          </cell>
          <cell r="D485">
            <v>40</v>
          </cell>
          <cell r="H485" t="str">
            <v>hydro</v>
          </cell>
        </row>
        <row r="486">
          <cell r="C486" t="str">
            <v>HY</v>
          </cell>
          <cell r="D486">
            <v>56</v>
          </cell>
          <cell r="H486" t="str">
            <v>hydro</v>
          </cell>
        </row>
        <row r="487">
          <cell r="C487" t="str">
            <v>HY</v>
          </cell>
          <cell r="D487">
            <v>57</v>
          </cell>
          <cell r="H487" t="str">
            <v>hydro</v>
          </cell>
        </row>
        <row r="488">
          <cell r="C488" t="str">
            <v>HY</v>
          </cell>
          <cell r="D488">
            <v>60</v>
          </cell>
          <cell r="H488" t="str">
            <v>hydro</v>
          </cell>
        </row>
        <row r="489">
          <cell r="C489" t="str">
            <v>HY</v>
          </cell>
          <cell r="D489">
            <v>60</v>
          </cell>
          <cell r="H489" t="str">
            <v>hydro</v>
          </cell>
        </row>
        <row r="490">
          <cell r="C490" t="str">
            <v>HY</v>
          </cell>
          <cell r="D490">
            <v>4.5</v>
          </cell>
          <cell r="H490" t="str">
            <v>hydro</v>
          </cell>
        </row>
        <row r="491">
          <cell r="C491" t="str">
            <v>HY</v>
          </cell>
          <cell r="D491">
            <v>2</v>
          </cell>
          <cell r="H491" t="str">
            <v>hydro</v>
          </cell>
        </row>
        <row r="492">
          <cell r="C492" t="str">
            <v>HY</v>
          </cell>
          <cell r="D492">
            <v>2.7</v>
          </cell>
          <cell r="H492" t="str">
            <v>hydro</v>
          </cell>
        </row>
        <row r="493">
          <cell r="C493" t="str">
            <v>HY</v>
          </cell>
          <cell r="D493">
            <v>63</v>
          </cell>
          <cell r="H493" t="str">
            <v>hydro</v>
          </cell>
        </row>
        <row r="494">
          <cell r="C494" t="str">
            <v>HY</v>
          </cell>
          <cell r="D494">
            <v>63</v>
          </cell>
          <cell r="H494" t="str">
            <v>hydro</v>
          </cell>
        </row>
        <row r="495">
          <cell r="C495" t="str">
            <v>HY</v>
          </cell>
          <cell r="D495">
            <v>3.2</v>
          </cell>
          <cell r="H495" t="str">
            <v>hydro</v>
          </cell>
        </row>
        <row r="496">
          <cell r="C496" t="str">
            <v>HY</v>
          </cell>
          <cell r="D496">
            <v>4.2</v>
          </cell>
          <cell r="H496" t="str">
            <v>hydro</v>
          </cell>
        </row>
        <row r="497">
          <cell r="C497" t="str">
            <v>HY</v>
          </cell>
          <cell r="D497">
            <v>11</v>
          </cell>
          <cell r="H497" t="str">
            <v>hydro</v>
          </cell>
        </row>
        <row r="498">
          <cell r="C498" t="str">
            <v>HY</v>
          </cell>
          <cell r="D498">
            <v>33</v>
          </cell>
          <cell r="H498" t="str">
            <v>hydro</v>
          </cell>
        </row>
        <row r="499">
          <cell r="C499" t="str">
            <v>HY</v>
          </cell>
          <cell r="D499">
            <v>7</v>
          </cell>
          <cell r="H499" t="str">
            <v>hydro</v>
          </cell>
        </row>
        <row r="500">
          <cell r="C500" t="str">
            <v>HY</v>
          </cell>
          <cell r="D500">
            <v>7</v>
          </cell>
          <cell r="H500" t="str">
            <v>hydro</v>
          </cell>
        </row>
        <row r="501">
          <cell r="C501" t="str">
            <v>HY</v>
          </cell>
          <cell r="D501">
            <v>4.4000000000000004</v>
          </cell>
          <cell r="H501" t="str">
            <v>hydro</v>
          </cell>
        </row>
        <row r="502">
          <cell r="C502" t="str">
            <v>HY</v>
          </cell>
          <cell r="D502">
            <v>5.8</v>
          </cell>
          <cell r="H502" t="str">
            <v>hydro</v>
          </cell>
        </row>
        <row r="503">
          <cell r="C503" t="str">
            <v>HY</v>
          </cell>
          <cell r="D503">
            <v>7</v>
          </cell>
          <cell r="H503" t="str">
            <v>hydro</v>
          </cell>
        </row>
        <row r="504">
          <cell r="C504" t="str">
            <v>HY</v>
          </cell>
          <cell r="D504">
            <v>91</v>
          </cell>
          <cell r="H504" t="str">
            <v>hydro</v>
          </cell>
        </row>
        <row r="505">
          <cell r="C505" t="str">
            <v>ST</v>
          </cell>
          <cell r="D505">
            <v>68</v>
          </cell>
          <cell r="H505" t="str">
            <v>geothermal</v>
          </cell>
        </row>
        <row r="506">
          <cell r="C506" t="str">
            <v>ST</v>
          </cell>
          <cell r="D506">
            <v>51</v>
          </cell>
          <cell r="H506" t="str">
            <v>geothermal</v>
          </cell>
        </row>
        <row r="507">
          <cell r="C507" t="str">
            <v>ST</v>
          </cell>
          <cell r="D507">
            <v>65</v>
          </cell>
          <cell r="H507" t="str">
            <v>geothermal</v>
          </cell>
        </row>
        <row r="508">
          <cell r="C508" t="str">
            <v>ST</v>
          </cell>
          <cell r="D508">
            <v>60</v>
          </cell>
          <cell r="H508" t="str">
            <v>geothermal</v>
          </cell>
        </row>
        <row r="509">
          <cell r="C509" t="str">
            <v>ST</v>
          </cell>
          <cell r="D509">
            <v>60</v>
          </cell>
          <cell r="H509" t="str">
            <v>geothermal</v>
          </cell>
        </row>
        <row r="510">
          <cell r="C510" t="str">
            <v>ST</v>
          </cell>
          <cell r="D510">
            <v>60</v>
          </cell>
          <cell r="H510" t="str">
            <v>geothermal</v>
          </cell>
        </row>
        <row r="511">
          <cell r="C511" t="str">
            <v>ST</v>
          </cell>
          <cell r="D511">
            <v>60</v>
          </cell>
          <cell r="H511" t="str">
            <v>geothermal</v>
          </cell>
        </row>
        <row r="512">
          <cell r="C512" t="str">
            <v>ST</v>
          </cell>
          <cell r="D512">
            <v>50</v>
          </cell>
          <cell r="H512" t="str">
            <v>geothermal</v>
          </cell>
        </row>
        <row r="513">
          <cell r="C513" t="str">
            <v>ST</v>
          </cell>
          <cell r="D513">
            <v>45</v>
          </cell>
          <cell r="H513" t="str">
            <v>geothermal</v>
          </cell>
        </row>
        <row r="514">
          <cell r="C514" t="str">
            <v>ST</v>
          </cell>
          <cell r="D514">
            <v>45</v>
          </cell>
          <cell r="H514" t="str">
            <v>geothermal</v>
          </cell>
        </row>
        <row r="515">
          <cell r="C515" t="str">
            <v>ST</v>
          </cell>
          <cell r="D515">
            <v>40</v>
          </cell>
          <cell r="H515" t="str">
            <v>geothermal</v>
          </cell>
        </row>
        <row r="516">
          <cell r="C516" t="str">
            <v>ST</v>
          </cell>
          <cell r="D516">
            <v>40</v>
          </cell>
          <cell r="H516" t="str">
            <v>geothermal</v>
          </cell>
        </row>
        <row r="517">
          <cell r="C517" t="str">
            <v>HY</v>
          </cell>
          <cell r="D517">
            <v>29</v>
          </cell>
          <cell r="H517" t="str">
            <v>hydro</v>
          </cell>
        </row>
        <row r="518">
          <cell r="C518" t="str">
            <v>HY</v>
          </cell>
          <cell r="D518">
            <v>29</v>
          </cell>
          <cell r="H518" t="str">
            <v>hydro</v>
          </cell>
        </row>
        <row r="519">
          <cell r="C519" t="str">
            <v>HY</v>
          </cell>
          <cell r="D519">
            <v>3.2</v>
          </cell>
          <cell r="H519" t="str">
            <v>hydro</v>
          </cell>
        </row>
        <row r="520">
          <cell r="C520" t="str">
            <v>HY</v>
          </cell>
          <cell r="D520">
            <v>3.2</v>
          </cell>
          <cell r="H520" t="str">
            <v>hydro</v>
          </cell>
        </row>
        <row r="521">
          <cell r="C521" t="str">
            <v>HY</v>
          </cell>
          <cell r="D521">
            <v>9</v>
          </cell>
          <cell r="H521" t="str">
            <v>hydro</v>
          </cell>
        </row>
        <row r="522">
          <cell r="C522" t="str">
            <v>HY</v>
          </cell>
          <cell r="D522">
            <v>14.5</v>
          </cell>
          <cell r="H522" t="str">
            <v>hydro</v>
          </cell>
        </row>
        <row r="523">
          <cell r="C523" t="str">
            <v>HY</v>
          </cell>
          <cell r="D523">
            <v>14</v>
          </cell>
          <cell r="H523" t="str">
            <v>hydro</v>
          </cell>
        </row>
        <row r="524">
          <cell r="C524" t="str">
            <v>HY</v>
          </cell>
          <cell r="D524">
            <v>3.2</v>
          </cell>
          <cell r="H524" t="str">
            <v>hydro</v>
          </cell>
        </row>
        <row r="525">
          <cell r="C525" t="str">
            <v>HY</v>
          </cell>
          <cell r="D525">
            <v>5</v>
          </cell>
          <cell r="H525" t="str">
            <v>hydro</v>
          </cell>
        </row>
        <row r="526">
          <cell r="C526" t="str">
            <v>HY</v>
          </cell>
          <cell r="D526">
            <v>5</v>
          </cell>
          <cell r="H526" t="str">
            <v>hydro</v>
          </cell>
        </row>
        <row r="527">
          <cell r="C527" t="str">
            <v>HY</v>
          </cell>
          <cell r="D527">
            <v>5</v>
          </cell>
          <cell r="H527" t="str">
            <v>hydro</v>
          </cell>
        </row>
        <row r="528">
          <cell r="C528" t="str">
            <v>HY</v>
          </cell>
          <cell r="D528">
            <v>5</v>
          </cell>
          <cell r="H528" t="str">
            <v>hydro</v>
          </cell>
        </row>
        <row r="529">
          <cell r="C529" t="str">
            <v>HY</v>
          </cell>
          <cell r="D529">
            <v>14</v>
          </cell>
          <cell r="H529" t="str">
            <v>hydro</v>
          </cell>
        </row>
        <row r="530">
          <cell r="C530" t="str">
            <v>HY</v>
          </cell>
          <cell r="D530">
            <v>14</v>
          </cell>
          <cell r="H530" t="str">
            <v>hydro</v>
          </cell>
        </row>
        <row r="531">
          <cell r="C531" t="str">
            <v>HY</v>
          </cell>
          <cell r="D531">
            <v>17</v>
          </cell>
          <cell r="H531" t="str">
            <v>hydro</v>
          </cell>
        </row>
        <row r="532">
          <cell r="C532" t="str">
            <v>HY</v>
          </cell>
          <cell r="D532">
            <v>17</v>
          </cell>
          <cell r="H532" t="str">
            <v>hydro</v>
          </cell>
        </row>
        <row r="533">
          <cell r="C533" t="str">
            <v>HY</v>
          </cell>
          <cell r="D533">
            <v>0.4</v>
          </cell>
          <cell r="H533" t="str">
            <v>hydro</v>
          </cell>
        </row>
        <row r="534">
          <cell r="C534" t="str">
            <v>HY</v>
          </cell>
          <cell r="D534">
            <v>0.4</v>
          </cell>
          <cell r="H534" t="str">
            <v>hydro</v>
          </cell>
        </row>
        <row r="535">
          <cell r="C535" t="str">
            <v>HY</v>
          </cell>
          <cell r="D535">
            <v>1.1000000000000001</v>
          </cell>
          <cell r="H535" t="str">
            <v>hydro</v>
          </cell>
        </row>
        <row r="536">
          <cell r="C536" t="str">
            <v>HY</v>
          </cell>
          <cell r="D536">
            <v>18.8</v>
          </cell>
          <cell r="H536" t="str">
            <v>hydro</v>
          </cell>
        </row>
        <row r="537">
          <cell r="C537" t="str">
            <v>ST</v>
          </cell>
          <cell r="D537">
            <v>831</v>
          </cell>
          <cell r="H537" t="str">
            <v>hard coal</v>
          </cell>
        </row>
        <row r="538">
          <cell r="C538" t="str">
            <v>ST</v>
          </cell>
          <cell r="D538">
            <v>858</v>
          </cell>
          <cell r="H538" t="str">
            <v>hard coal</v>
          </cell>
        </row>
        <row r="539">
          <cell r="C539" t="str">
            <v>ST</v>
          </cell>
          <cell r="D539">
            <v>23</v>
          </cell>
          <cell r="H539" t="str">
            <v>geothermal</v>
          </cell>
        </row>
        <row r="540">
          <cell r="C540" t="str">
            <v>ST</v>
          </cell>
          <cell r="D540">
            <v>8.6999999999999993</v>
          </cell>
          <cell r="H540" t="str">
            <v>geothermal</v>
          </cell>
        </row>
        <row r="541">
          <cell r="C541" t="str">
            <v>HY</v>
          </cell>
          <cell r="D541">
            <v>9.3000000000000007</v>
          </cell>
          <cell r="H541" t="str">
            <v>hydro</v>
          </cell>
        </row>
        <row r="542">
          <cell r="C542" t="str">
            <v>HY</v>
          </cell>
          <cell r="D542">
            <v>9.3000000000000007</v>
          </cell>
          <cell r="H542" t="str">
            <v>hydro</v>
          </cell>
        </row>
        <row r="543">
          <cell r="C543" t="str">
            <v>HY</v>
          </cell>
          <cell r="D543">
            <v>1.9</v>
          </cell>
          <cell r="H543" t="str">
            <v>hydro</v>
          </cell>
        </row>
        <row r="544">
          <cell r="C544" t="str">
            <v>HY</v>
          </cell>
          <cell r="D544">
            <v>1.9</v>
          </cell>
          <cell r="H544" t="str">
            <v>hydro</v>
          </cell>
        </row>
        <row r="545">
          <cell r="C545" t="str">
            <v>ST</v>
          </cell>
          <cell r="D545">
            <v>332</v>
          </cell>
          <cell r="H545" t="str">
            <v>natural gas peaker</v>
          </cell>
        </row>
        <row r="546">
          <cell r="C546" t="str">
            <v>ST</v>
          </cell>
          <cell r="D546">
            <v>335</v>
          </cell>
          <cell r="H546" t="str">
            <v>natural gas peaker</v>
          </cell>
        </row>
        <row r="547">
          <cell r="C547" t="str">
            <v>ST</v>
          </cell>
          <cell r="D547">
            <v>485</v>
          </cell>
          <cell r="H547" t="str">
            <v>natural gas peaker</v>
          </cell>
        </row>
        <row r="548">
          <cell r="C548" t="str">
            <v>HY</v>
          </cell>
          <cell r="D548">
            <v>8.5</v>
          </cell>
          <cell r="H548" t="str">
            <v>hydro</v>
          </cell>
        </row>
        <row r="549">
          <cell r="C549" t="str">
            <v>HY</v>
          </cell>
          <cell r="D549">
            <v>19.8</v>
          </cell>
          <cell r="H549" t="str">
            <v>hydro</v>
          </cell>
        </row>
        <row r="550">
          <cell r="C550" t="str">
            <v>HY</v>
          </cell>
          <cell r="D550">
            <v>15.8</v>
          </cell>
          <cell r="H550" t="str">
            <v>hydro</v>
          </cell>
        </row>
        <row r="551">
          <cell r="C551" t="str">
            <v>HY</v>
          </cell>
          <cell r="D551">
            <v>21.6</v>
          </cell>
          <cell r="H551" t="str">
            <v>hydro</v>
          </cell>
        </row>
        <row r="552">
          <cell r="C552" t="str">
            <v>HY</v>
          </cell>
          <cell r="D552">
            <v>31.2</v>
          </cell>
          <cell r="H552" t="str">
            <v>hydro</v>
          </cell>
        </row>
        <row r="553">
          <cell r="C553" t="str">
            <v>HY</v>
          </cell>
          <cell r="D553">
            <v>15.8</v>
          </cell>
          <cell r="H553" t="str">
            <v>hydro</v>
          </cell>
        </row>
        <row r="554">
          <cell r="C554" t="str">
            <v>HY</v>
          </cell>
          <cell r="D554">
            <v>15.8</v>
          </cell>
          <cell r="H554" t="str">
            <v>hydro</v>
          </cell>
        </row>
        <row r="555">
          <cell r="C555" t="str">
            <v>HY</v>
          </cell>
          <cell r="D555">
            <v>17.5</v>
          </cell>
          <cell r="H555" t="str">
            <v>hydro</v>
          </cell>
        </row>
        <row r="556">
          <cell r="C556" t="str">
            <v>HY</v>
          </cell>
          <cell r="D556">
            <v>17.5</v>
          </cell>
          <cell r="H556" t="str">
            <v>hydro</v>
          </cell>
        </row>
        <row r="557">
          <cell r="C557" t="str">
            <v>HY</v>
          </cell>
          <cell r="D557">
            <v>34</v>
          </cell>
          <cell r="H557" t="str">
            <v>hydro</v>
          </cell>
        </row>
        <row r="558">
          <cell r="C558" t="str">
            <v>HY</v>
          </cell>
          <cell r="D558">
            <v>34</v>
          </cell>
          <cell r="H558" t="str">
            <v>hydro</v>
          </cell>
        </row>
        <row r="559">
          <cell r="C559" t="str">
            <v>HY</v>
          </cell>
          <cell r="D559">
            <v>33</v>
          </cell>
          <cell r="H559" t="str">
            <v>hydro</v>
          </cell>
        </row>
        <row r="560">
          <cell r="C560" t="str">
            <v>HY</v>
          </cell>
          <cell r="D560">
            <v>36</v>
          </cell>
          <cell r="H560" t="str">
            <v>hydro</v>
          </cell>
        </row>
        <row r="561">
          <cell r="C561" t="str">
            <v>HY</v>
          </cell>
          <cell r="D561">
            <v>36.5</v>
          </cell>
          <cell r="H561" t="str">
            <v>hydro</v>
          </cell>
        </row>
        <row r="562">
          <cell r="C562" t="str">
            <v>HY</v>
          </cell>
          <cell r="D562">
            <v>50</v>
          </cell>
          <cell r="H562" t="str">
            <v>hydro</v>
          </cell>
        </row>
        <row r="563">
          <cell r="C563" t="str">
            <v>HY</v>
          </cell>
          <cell r="D563">
            <v>50</v>
          </cell>
          <cell r="H563" t="str">
            <v>hydro</v>
          </cell>
        </row>
        <row r="564">
          <cell r="C564" t="str">
            <v>HY</v>
          </cell>
          <cell r="D564">
            <v>25.8</v>
          </cell>
          <cell r="H564" t="str">
            <v>hydro</v>
          </cell>
        </row>
        <row r="565">
          <cell r="C565" t="str">
            <v>HY</v>
          </cell>
          <cell r="D565">
            <v>45</v>
          </cell>
          <cell r="H565" t="str">
            <v>hydro</v>
          </cell>
        </row>
        <row r="566">
          <cell r="C566" t="str">
            <v>HY</v>
          </cell>
          <cell r="D566">
            <v>50</v>
          </cell>
          <cell r="H566" t="str">
            <v>hydro</v>
          </cell>
        </row>
        <row r="567">
          <cell r="C567" t="str">
            <v>HY</v>
          </cell>
          <cell r="D567">
            <v>50</v>
          </cell>
          <cell r="H567" t="str">
            <v>hydro</v>
          </cell>
        </row>
        <row r="568">
          <cell r="C568" t="str">
            <v>HY</v>
          </cell>
          <cell r="D568">
            <v>2.5</v>
          </cell>
          <cell r="H568" t="str">
            <v>hydro</v>
          </cell>
        </row>
        <row r="569">
          <cell r="C569" t="str">
            <v>HY</v>
          </cell>
          <cell r="D569">
            <v>2.5</v>
          </cell>
          <cell r="H569" t="str">
            <v>hydro</v>
          </cell>
        </row>
        <row r="570">
          <cell r="C570" t="str">
            <v>HY</v>
          </cell>
          <cell r="D570">
            <v>2.2999999999999998</v>
          </cell>
          <cell r="H570" t="str">
            <v>hydro</v>
          </cell>
        </row>
        <row r="571">
          <cell r="C571" t="str">
            <v>HY</v>
          </cell>
          <cell r="D571">
            <v>2.8</v>
          </cell>
          <cell r="H571" t="str">
            <v>hydro</v>
          </cell>
        </row>
        <row r="572">
          <cell r="C572" t="str">
            <v>HY</v>
          </cell>
          <cell r="D572">
            <v>2.8</v>
          </cell>
          <cell r="H572" t="str">
            <v>hydro</v>
          </cell>
        </row>
        <row r="573">
          <cell r="C573" t="str">
            <v>HY</v>
          </cell>
          <cell r="D573">
            <v>2.8</v>
          </cell>
          <cell r="H573" t="str">
            <v>hydro</v>
          </cell>
        </row>
        <row r="574">
          <cell r="C574" t="str">
            <v>HY</v>
          </cell>
          <cell r="D574">
            <v>1</v>
          </cell>
          <cell r="H574" t="str">
            <v>hydro</v>
          </cell>
        </row>
        <row r="575">
          <cell r="C575" t="str">
            <v>HY</v>
          </cell>
          <cell r="D575">
            <v>1</v>
          </cell>
          <cell r="H575" t="str">
            <v>hydro</v>
          </cell>
        </row>
        <row r="576">
          <cell r="C576" t="str">
            <v>HY</v>
          </cell>
          <cell r="D576">
            <v>2</v>
          </cell>
          <cell r="H576" t="str">
            <v>hydro</v>
          </cell>
        </row>
        <row r="577">
          <cell r="C577" t="str">
            <v>HY</v>
          </cell>
          <cell r="D577">
            <v>2.2000000000000002</v>
          </cell>
          <cell r="H577" t="str">
            <v>hydro</v>
          </cell>
        </row>
        <row r="578">
          <cell r="C578" t="str">
            <v>HY</v>
          </cell>
          <cell r="D578">
            <v>2</v>
          </cell>
          <cell r="H578" t="str">
            <v>hydro</v>
          </cell>
        </row>
        <row r="579">
          <cell r="C579" t="str">
            <v>HY</v>
          </cell>
          <cell r="D579">
            <v>2</v>
          </cell>
          <cell r="H579" t="str">
            <v>hydro</v>
          </cell>
        </row>
        <row r="580">
          <cell r="C580" t="str">
            <v>HY</v>
          </cell>
          <cell r="D580">
            <v>1.8</v>
          </cell>
          <cell r="H580" t="str">
            <v>hydro</v>
          </cell>
        </row>
        <row r="581">
          <cell r="C581" t="str">
            <v>HY</v>
          </cell>
          <cell r="D581">
            <v>1.6</v>
          </cell>
          <cell r="H581" t="str">
            <v>hydro</v>
          </cell>
        </row>
        <row r="582">
          <cell r="C582" t="str">
            <v>HY</v>
          </cell>
          <cell r="D582">
            <v>2.1</v>
          </cell>
          <cell r="H582" t="str">
            <v>hydro</v>
          </cell>
        </row>
        <row r="583">
          <cell r="C583" t="str">
            <v>HY</v>
          </cell>
          <cell r="D583">
            <v>2.5</v>
          </cell>
          <cell r="H583" t="str">
            <v>hydro</v>
          </cell>
        </row>
        <row r="584">
          <cell r="C584" t="str">
            <v>HY</v>
          </cell>
          <cell r="D584">
            <v>6</v>
          </cell>
          <cell r="H584" t="str">
            <v>hydro</v>
          </cell>
        </row>
        <row r="585">
          <cell r="C585" t="str">
            <v>HY</v>
          </cell>
          <cell r="D585">
            <v>1.5</v>
          </cell>
          <cell r="H585" t="str">
            <v>hydro</v>
          </cell>
        </row>
        <row r="586">
          <cell r="C586" t="str">
            <v>HY</v>
          </cell>
          <cell r="D586">
            <v>1.5</v>
          </cell>
          <cell r="H586" t="str">
            <v>hydro</v>
          </cell>
        </row>
        <row r="587">
          <cell r="C587" t="str">
            <v>ST</v>
          </cell>
          <cell r="D587">
            <v>225.8</v>
          </cell>
          <cell r="H587" t="str">
            <v>natural gas peaker</v>
          </cell>
        </row>
        <row r="588">
          <cell r="C588" t="str">
            <v>HY</v>
          </cell>
          <cell r="D588">
            <v>1.8</v>
          </cell>
          <cell r="H588" t="str">
            <v>hydro</v>
          </cell>
        </row>
        <row r="589">
          <cell r="C589" t="str">
            <v>HY</v>
          </cell>
          <cell r="D589">
            <v>2.2999999999999998</v>
          </cell>
          <cell r="H589" t="str">
            <v>hydro</v>
          </cell>
        </row>
        <row r="590">
          <cell r="C590" t="str">
            <v>HY</v>
          </cell>
          <cell r="D590">
            <v>2.4</v>
          </cell>
          <cell r="H590" t="str">
            <v>hydro</v>
          </cell>
        </row>
        <row r="591">
          <cell r="C591" t="str">
            <v>HY</v>
          </cell>
          <cell r="D591">
            <v>2.1</v>
          </cell>
          <cell r="H591" t="str">
            <v>hydro</v>
          </cell>
        </row>
        <row r="592">
          <cell r="C592" t="str">
            <v>HY</v>
          </cell>
          <cell r="D592">
            <v>20.5</v>
          </cell>
          <cell r="H592" t="str">
            <v>hydro</v>
          </cell>
        </row>
        <row r="593">
          <cell r="C593" t="str">
            <v>HY</v>
          </cell>
          <cell r="D593">
            <v>19.7</v>
          </cell>
          <cell r="H593" t="str">
            <v>hydro</v>
          </cell>
        </row>
        <row r="594">
          <cell r="C594" t="str">
            <v>HY</v>
          </cell>
          <cell r="D594">
            <v>6.6</v>
          </cell>
          <cell r="H594" t="str">
            <v>hydro</v>
          </cell>
        </row>
        <row r="595">
          <cell r="C595" t="str">
            <v>HY</v>
          </cell>
          <cell r="D595">
            <v>6.6</v>
          </cell>
          <cell r="H595" t="str">
            <v>hydro</v>
          </cell>
        </row>
        <row r="596">
          <cell r="C596" t="str">
            <v>HY</v>
          </cell>
          <cell r="D596">
            <v>6.6</v>
          </cell>
          <cell r="H596" t="str">
            <v>hydro</v>
          </cell>
        </row>
        <row r="597">
          <cell r="C597" t="str">
            <v>HY</v>
          </cell>
          <cell r="D597">
            <v>6.6</v>
          </cell>
          <cell r="H597" t="str">
            <v>hydro</v>
          </cell>
        </row>
        <row r="598">
          <cell r="C598" t="str">
            <v>GT</v>
          </cell>
          <cell r="D598">
            <v>65</v>
          </cell>
          <cell r="H598" t="str">
            <v>natural gas peaker</v>
          </cell>
        </row>
        <row r="599">
          <cell r="C599" t="str">
            <v>GT</v>
          </cell>
          <cell r="D599">
            <v>65</v>
          </cell>
          <cell r="H599" t="str">
            <v>natural gas peaker</v>
          </cell>
        </row>
        <row r="600">
          <cell r="C600" t="str">
            <v>GT</v>
          </cell>
          <cell r="D600">
            <v>65</v>
          </cell>
          <cell r="H600" t="str">
            <v>natural gas peaker</v>
          </cell>
        </row>
        <row r="601">
          <cell r="C601" t="str">
            <v>GT</v>
          </cell>
          <cell r="D601">
            <v>65</v>
          </cell>
          <cell r="H601" t="str">
            <v>natural gas peaker</v>
          </cell>
        </row>
        <row r="602">
          <cell r="C602" t="str">
            <v>HY</v>
          </cell>
          <cell r="D602">
            <v>1.5</v>
          </cell>
          <cell r="H602" t="str">
            <v>hydro</v>
          </cell>
        </row>
        <row r="603">
          <cell r="C603" t="str">
            <v>HY</v>
          </cell>
          <cell r="D603">
            <v>1.5</v>
          </cell>
          <cell r="H603" t="str">
            <v>hydro</v>
          </cell>
        </row>
        <row r="604">
          <cell r="C604" t="str">
            <v>HY</v>
          </cell>
          <cell r="D604">
            <v>95</v>
          </cell>
          <cell r="H604" t="str">
            <v>hydro</v>
          </cell>
        </row>
        <row r="605">
          <cell r="C605" t="str">
            <v>HY</v>
          </cell>
          <cell r="D605">
            <v>95</v>
          </cell>
          <cell r="H605" t="str">
            <v>hydro</v>
          </cell>
        </row>
        <row r="606">
          <cell r="C606" t="str">
            <v>ST</v>
          </cell>
          <cell r="D606">
            <v>741</v>
          </cell>
          <cell r="H606" t="str">
            <v>natural gas peaker</v>
          </cell>
        </row>
        <row r="607">
          <cell r="C607" t="str">
            <v>ST</v>
          </cell>
          <cell r="D607">
            <v>750</v>
          </cell>
          <cell r="H607" t="str">
            <v>natural gas peaker</v>
          </cell>
        </row>
        <row r="608">
          <cell r="C608" t="str">
            <v>HY</v>
          </cell>
          <cell r="D608">
            <v>11.3</v>
          </cell>
          <cell r="H608" t="str">
            <v>hydro</v>
          </cell>
        </row>
        <row r="609">
          <cell r="C609" t="str">
            <v>HY</v>
          </cell>
          <cell r="D609">
            <v>10.8</v>
          </cell>
          <cell r="H609" t="str">
            <v>hydro</v>
          </cell>
        </row>
        <row r="610">
          <cell r="C610" t="str">
            <v>ST</v>
          </cell>
          <cell r="D610">
            <v>175</v>
          </cell>
          <cell r="H610" t="str">
            <v>natural gas peaker</v>
          </cell>
        </row>
        <row r="611">
          <cell r="C611" t="str">
            <v>ST</v>
          </cell>
          <cell r="D611">
            <v>175</v>
          </cell>
          <cell r="H611" t="str">
            <v>natural gas peaker</v>
          </cell>
        </row>
        <row r="612">
          <cell r="C612" t="str">
            <v>ST</v>
          </cell>
          <cell r="D612">
            <v>480</v>
          </cell>
          <cell r="H612" t="str">
            <v>natural gas peaker</v>
          </cell>
        </row>
        <row r="613">
          <cell r="C613" t="str">
            <v>HY</v>
          </cell>
          <cell r="D613">
            <v>5.9</v>
          </cell>
          <cell r="H613" t="str">
            <v>hydro</v>
          </cell>
        </row>
        <row r="614">
          <cell r="C614" t="str">
            <v>HY</v>
          </cell>
          <cell r="D614">
            <v>5.5</v>
          </cell>
          <cell r="H614" t="str">
            <v>hydro</v>
          </cell>
        </row>
        <row r="615">
          <cell r="C615" t="str">
            <v>CT</v>
          </cell>
          <cell r="D615">
            <v>156</v>
          </cell>
          <cell r="H615" t="str">
            <v>natural gas nonpeaker</v>
          </cell>
        </row>
        <row r="616">
          <cell r="C616" t="str">
            <v>CT</v>
          </cell>
          <cell r="D616">
            <v>156</v>
          </cell>
          <cell r="H616" t="str">
            <v>natural gas nonpeaker</v>
          </cell>
        </row>
        <row r="617">
          <cell r="C617" t="str">
            <v>CA</v>
          </cell>
          <cell r="D617">
            <v>197</v>
          </cell>
          <cell r="H617" t="str">
            <v>natural gas nonpeaker</v>
          </cell>
        </row>
        <row r="618">
          <cell r="C618" t="str">
            <v>CT</v>
          </cell>
          <cell r="D618">
            <v>156</v>
          </cell>
          <cell r="H618" t="str">
            <v>natural gas nonpeaker</v>
          </cell>
        </row>
        <row r="619">
          <cell r="C619" t="str">
            <v>CT</v>
          </cell>
          <cell r="D619">
            <v>156</v>
          </cell>
          <cell r="H619" t="str">
            <v>natural gas nonpeaker</v>
          </cell>
        </row>
        <row r="620">
          <cell r="C620" t="str">
            <v>CA</v>
          </cell>
          <cell r="D620">
            <v>197</v>
          </cell>
          <cell r="H620" t="str">
            <v>natural gas nonpeaker</v>
          </cell>
        </row>
        <row r="621">
          <cell r="C621" t="str">
            <v>HY</v>
          </cell>
          <cell r="D621">
            <v>0.8</v>
          </cell>
          <cell r="H621" t="str">
            <v>hydro</v>
          </cell>
        </row>
        <row r="622">
          <cell r="C622" t="str">
            <v>HY</v>
          </cell>
          <cell r="D622">
            <v>0.8</v>
          </cell>
          <cell r="H622" t="str">
            <v>hydro</v>
          </cell>
        </row>
        <row r="623">
          <cell r="C623" t="str">
            <v>HY</v>
          </cell>
          <cell r="D623">
            <v>0.8</v>
          </cell>
          <cell r="H623" t="str">
            <v>hydro</v>
          </cell>
        </row>
        <row r="624">
          <cell r="C624" t="str">
            <v>HY</v>
          </cell>
          <cell r="D624">
            <v>0.8</v>
          </cell>
          <cell r="H624" t="str">
            <v>hydro</v>
          </cell>
        </row>
        <row r="625">
          <cell r="C625" t="str">
            <v>HY</v>
          </cell>
          <cell r="D625">
            <v>3.1</v>
          </cell>
          <cell r="H625" t="str">
            <v>hydro</v>
          </cell>
        </row>
        <row r="626">
          <cell r="C626" t="str">
            <v>HY</v>
          </cell>
          <cell r="D626">
            <v>1.3</v>
          </cell>
          <cell r="H626" t="str">
            <v>hydro</v>
          </cell>
        </row>
        <row r="627">
          <cell r="C627" t="str">
            <v>HY</v>
          </cell>
          <cell r="D627">
            <v>1.3</v>
          </cell>
          <cell r="H627" t="str">
            <v>hydro</v>
          </cell>
        </row>
        <row r="628">
          <cell r="C628" t="str">
            <v>ST</v>
          </cell>
          <cell r="D628">
            <v>1163</v>
          </cell>
          <cell r="H628" t="str">
            <v>nuclear</v>
          </cell>
        </row>
        <row r="629">
          <cell r="C629" t="str">
            <v>HY</v>
          </cell>
          <cell r="D629">
            <v>8.9</v>
          </cell>
          <cell r="H629" t="str">
            <v>hydro</v>
          </cell>
        </row>
        <row r="630">
          <cell r="C630" t="str">
            <v>HY</v>
          </cell>
          <cell r="D630">
            <v>8.9</v>
          </cell>
          <cell r="H630" t="str">
            <v>hydro</v>
          </cell>
        </row>
        <row r="631">
          <cell r="C631" t="str">
            <v>HY</v>
          </cell>
          <cell r="D631">
            <v>9.9</v>
          </cell>
          <cell r="H631" t="str">
            <v>hydro</v>
          </cell>
        </row>
        <row r="632">
          <cell r="C632" t="str">
            <v>CA</v>
          </cell>
          <cell r="D632">
            <v>19</v>
          </cell>
          <cell r="H632" t="str">
            <v>natural gas nonpeaker</v>
          </cell>
        </row>
        <row r="633">
          <cell r="C633" t="str">
            <v>CA</v>
          </cell>
          <cell r="D633">
            <v>19</v>
          </cell>
          <cell r="H633" t="str">
            <v>natural gas nonpeaker</v>
          </cell>
        </row>
        <row r="634">
          <cell r="C634" t="str">
            <v>ST</v>
          </cell>
          <cell r="D634">
            <v>18</v>
          </cell>
          <cell r="H634" t="str">
            <v>biomass</v>
          </cell>
        </row>
        <row r="635">
          <cell r="C635" t="str">
            <v>ST</v>
          </cell>
          <cell r="D635">
            <v>40</v>
          </cell>
          <cell r="H635" t="str">
            <v>natural gas peaker</v>
          </cell>
        </row>
        <row r="636">
          <cell r="C636" t="str">
            <v>ST</v>
          </cell>
          <cell r="D636">
            <v>40</v>
          </cell>
          <cell r="H636" t="str">
            <v>natural gas peaker</v>
          </cell>
        </row>
        <row r="637">
          <cell r="C637" t="str">
            <v>CT</v>
          </cell>
          <cell r="D637">
            <v>26</v>
          </cell>
          <cell r="H637" t="str">
            <v>natural gas nonpeaker</v>
          </cell>
        </row>
        <row r="638">
          <cell r="C638" t="str">
            <v>CT</v>
          </cell>
          <cell r="D638">
            <v>46</v>
          </cell>
          <cell r="H638" t="str">
            <v>natural gas nonpeaker</v>
          </cell>
        </row>
        <row r="639">
          <cell r="C639" t="str">
            <v>GT</v>
          </cell>
          <cell r="D639">
            <v>48</v>
          </cell>
          <cell r="H639" t="str">
            <v>natural gas peaker</v>
          </cell>
        </row>
        <row r="640">
          <cell r="C640" t="str">
            <v>HY</v>
          </cell>
          <cell r="D640">
            <v>0.5</v>
          </cell>
          <cell r="H640" t="str">
            <v>hydro</v>
          </cell>
        </row>
        <row r="641">
          <cell r="C641" t="str">
            <v>HY</v>
          </cell>
          <cell r="D641">
            <v>0.2</v>
          </cell>
          <cell r="H641" t="str">
            <v>hydro</v>
          </cell>
        </row>
        <row r="642">
          <cell r="C642" t="str">
            <v>HY</v>
          </cell>
          <cell r="D642">
            <v>78.400000000000006</v>
          </cell>
          <cell r="H642" t="str">
            <v>hydro</v>
          </cell>
        </row>
        <row r="643">
          <cell r="C643" t="str">
            <v>HY</v>
          </cell>
          <cell r="D643">
            <v>78.400000000000006</v>
          </cell>
          <cell r="H643" t="str">
            <v>hydro</v>
          </cell>
        </row>
        <row r="644">
          <cell r="C644" t="str">
            <v>HY</v>
          </cell>
          <cell r="D644">
            <v>50</v>
          </cell>
          <cell r="H644" t="str">
            <v>hydro</v>
          </cell>
        </row>
        <row r="645">
          <cell r="C645" t="str">
            <v>HY</v>
          </cell>
          <cell r="D645">
            <v>50</v>
          </cell>
          <cell r="H645" t="str">
            <v>hydro</v>
          </cell>
        </row>
        <row r="646">
          <cell r="C646" t="str">
            <v>HY</v>
          </cell>
          <cell r="D646">
            <v>39.5</v>
          </cell>
          <cell r="H646" t="str">
            <v>hydro</v>
          </cell>
        </row>
        <row r="647">
          <cell r="C647" t="str">
            <v>HY</v>
          </cell>
          <cell r="D647">
            <v>39.5</v>
          </cell>
          <cell r="H647" t="str">
            <v>hydro</v>
          </cell>
        </row>
        <row r="648">
          <cell r="C648" t="str">
            <v>HY</v>
          </cell>
          <cell r="D648">
            <v>36.5</v>
          </cell>
          <cell r="H648" t="str">
            <v>hydro</v>
          </cell>
        </row>
        <row r="649">
          <cell r="C649" t="str">
            <v>ST</v>
          </cell>
          <cell r="D649">
            <v>518</v>
          </cell>
          <cell r="H649" t="str">
            <v>natural gas peaker</v>
          </cell>
        </row>
        <row r="650">
          <cell r="C650" t="str">
            <v>ST</v>
          </cell>
          <cell r="D650">
            <v>518</v>
          </cell>
          <cell r="H650" t="str">
            <v>natural gas peaker</v>
          </cell>
        </row>
        <row r="651">
          <cell r="C651" t="str">
            <v>HY</v>
          </cell>
          <cell r="D651">
            <v>4.9000000000000004</v>
          </cell>
          <cell r="H651" t="str">
            <v>hydro</v>
          </cell>
        </row>
        <row r="652">
          <cell r="C652" t="str">
            <v>HY</v>
          </cell>
          <cell r="D652">
            <v>4.9000000000000004</v>
          </cell>
          <cell r="H652" t="str">
            <v>hydro</v>
          </cell>
        </row>
        <row r="653">
          <cell r="C653" t="str">
            <v>HY</v>
          </cell>
          <cell r="D653">
            <v>2.7</v>
          </cell>
          <cell r="H653" t="str">
            <v>hydro</v>
          </cell>
        </row>
        <row r="654">
          <cell r="C654" t="str">
            <v>HY</v>
          </cell>
          <cell r="D654">
            <v>4.5999999999999996</v>
          </cell>
          <cell r="H654" t="str">
            <v>hydro</v>
          </cell>
        </row>
        <row r="655">
          <cell r="C655" t="str">
            <v>HY</v>
          </cell>
          <cell r="D655">
            <v>8.1</v>
          </cell>
          <cell r="H655" t="str">
            <v>hydro</v>
          </cell>
        </row>
        <row r="656">
          <cell r="C656" t="str">
            <v>HY</v>
          </cell>
          <cell r="D656">
            <v>11</v>
          </cell>
          <cell r="H656" t="str">
            <v>hydro</v>
          </cell>
        </row>
        <row r="657">
          <cell r="C657" t="str">
            <v>HY</v>
          </cell>
          <cell r="D657" t="str">
            <v xml:space="preserve"> </v>
          </cell>
          <cell r="H657" t="str">
            <v>hydro</v>
          </cell>
        </row>
        <row r="658">
          <cell r="C658" t="str">
            <v>HY</v>
          </cell>
          <cell r="D658" t="str">
            <v xml:space="preserve"> </v>
          </cell>
          <cell r="H658" t="str">
            <v>hydro</v>
          </cell>
        </row>
        <row r="659">
          <cell r="C659" t="str">
            <v>CA</v>
          </cell>
          <cell r="D659">
            <v>31</v>
          </cell>
          <cell r="H659" t="str">
            <v>natural gas nonpeaker</v>
          </cell>
        </row>
        <row r="660">
          <cell r="C660" t="str">
            <v>CT</v>
          </cell>
          <cell r="D660">
            <v>71</v>
          </cell>
          <cell r="H660" t="str">
            <v>natural gas nonpeaker</v>
          </cell>
        </row>
        <row r="661">
          <cell r="C661" t="str">
            <v>CA</v>
          </cell>
          <cell r="D661">
            <v>52</v>
          </cell>
          <cell r="H661" t="str">
            <v>natural gas nonpeaker</v>
          </cell>
        </row>
        <row r="662">
          <cell r="C662" t="str">
            <v>CT</v>
          </cell>
          <cell r="D662">
            <v>45</v>
          </cell>
          <cell r="H662" t="str">
            <v>natural gas nonpeaker</v>
          </cell>
        </row>
        <row r="663">
          <cell r="C663" t="str">
            <v>CT</v>
          </cell>
          <cell r="D663">
            <v>45</v>
          </cell>
          <cell r="H663" t="str">
            <v>natural gas nonpeaker</v>
          </cell>
        </row>
        <row r="664">
          <cell r="C664" t="str">
            <v>ST</v>
          </cell>
          <cell r="D664">
            <v>70</v>
          </cell>
          <cell r="H664" t="str">
            <v>natural gas peaker</v>
          </cell>
        </row>
        <row r="665">
          <cell r="C665" t="str">
            <v>BA</v>
          </cell>
          <cell r="D665">
            <v>28</v>
          </cell>
          <cell r="H665" t="str">
            <v>other</v>
          </cell>
        </row>
        <row r="666">
          <cell r="C666" t="str">
            <v>HY</v>
          </cell>
          <cell r="D666">
            <v>6</v>
          </cell>
          <cell r="H666" t="str">
            <v>hydro</v>
          </cell>
        </row>
        <row r="667">
          <cell r="C667" t="str">
            <v>HY</v>
          </cell>
          <cell r="D667">
            <v>6</v>
          </cell>
          <cell r="H667" t="str">
            <v>hydro</v>
          </cell>
        </row>
        <row r="668">
          <cell r="C668" t="str">
            <v>HY</v>
          </cell>
          <cell r="D668">
            <v>3</v>
          </cell>
          <cell r="H668" t="str">
            <v>hydro</v>
          </cell>
        </row>
        <row r="669">
          <cell r="C669" t="str">
            <v>PS</v>
          </cell>
          <cell r="D669">
            <v>270.5</v>
          </cell>
          <cell r="H669" t="str">
            <v>other</v>
          </cell>
        </row>
        <row r="670">
          <cell r="C670" t="str">
            <v>PS</v>
          </cell>
          <cell r="D670">
            <v>270.5</v>
          </cell>
          <cell r="H670" t="str">
            <v>other</v>
          </cell>
        </row>
        <row r="671">
          <cell r="C671" t="str">
            <v>PS</v>
          </cell>
          <cell r="D671">
            <v>270.5</v>
          </cell>
          <cell r="H671" t="str">
            <v>other</v>
          </cell>
        </row>
        <row r="672">
          <cell r="C672" t="str">
            <v>PS</v>
          </cell>
          <cell r="D672">
            <v>270.5</v>
          </cell>
          <cell r="H672" t="str">
            <v>other</v>
          </cell>
        </row>
        <row r="673">
          <cell r="C673" t="str">
            <v>PS</v>
          </cell>
          <cell r="D673">
            <v>270.5</v>
          </cell>
          <cell r="H673" t="str">
            <v>other</v>
          </cell>
        </row>
        <row r="674">
          <cell r="C674" t="str">
            <v>PS</v>
          </cell>
          <cell r="D674">
            <v>270.5</v>
          </cell>
          <cell r="H674" t="str">
            <v>other</v>
          </cell>
        </row>
        <row r="675">
          <cell r="C675" t="str">
            <v>HY</v>
          </cell>
          <cell r="D675">
            <v>51.5</v>
          </cell>
          <cell r="H675" t="str">
            <v>hydro</v>
          </cell>
        </row>
        <row r="676">
          <cell r="C676" t="str">
            <v>HY</v>
          </cell>
          <cell r="D676">
            <v>37.5</v>
          </cell>
          <cell r="H676" t="str">
            <v>hydro</v>
          </cell>
        </row>
        <row r="677">
          <cell r="C677" t="str">
            <v>HY</v>
          </cell>
          <cell r="D677">
            <v>1.2</v>
          </cell>
          <cell r="H677" t="str">
            <v>hydro</v>
          </cell>
        </row>
        <row r="678">
          <cell r="C678" t="str">
            <v>HY</v>
          </cell>
          <cell r="D678">
            <v>1.2</v>
          </cell>
          <cell r="H678" t="str">
            <v>hydro</v>
          </cell>
        </row>
        <row r="679">
          <cell r="C679" t="str">
            <v>HY</v>
          </cell>
          <cell r="D679">
            <v>8.6</v>
          </cell>
          <cell r="H679" t="str">
            <v>hydro</v>
          </cell>
        </row>
        <row r="680">
          <cell r="C680" t="str">
            <v>HY</v>
          </cell>
          <cell r="D680">
            <v>2</v>
          </cell>
          <cell r="H680" t="str">
            <v>hydro</v>
          </cell>
        </row>
        <row r="681">
          <cell r="C681" t="str">
            <v>HY</v>
          </cell>
          <cell r="D681">
            <v>2.5</v>
          </cell>
          <cell r="H681" t="str">
            <v>hydro</v>
          </cell>
        </row>
        <row r="682">
          <cell r="C682" t="str">
            <v>HY</v>
          </cell>
          <cell r="D682">
            <v>2.5</v>
          </cell>
          <cell r="H682" t="str">
            <v>hydro</v>
          </cell>
        </row>
        <row r="683">
          <cell r="C683" t="str">
            <v>CT</v>
          </cell>
          <cell r="D683">
            <v>73</v>
          </cell>
          <cell r="H683" t="str">
            <v>natural gas nonpeaker</v>
          </cell>
        </row>
        <row r="684">
          <cell r="C684" t="str">
            <v>CT</v>
          </cell>
          <cell r="D684">
            <v>73</v>
          </cell>
          <cell r="H684" t="str">
            <v>natural gas nonpeaker</v>
          </cell>
        </row>
        <row r="685">
          <cell r="C685" t="str">
            <v>CA</v>
          </cell>
          <cell r="D685">
            <v>56</v>
          </cell>
          <cell r="H685" t="str">
            <v>natural gas nonpeaker</v>
          </cell>
        </row>
        <row r="686">
          <cell r="C686" t="str">
            <v>GT</v>
          </cell>
          <cell r="D686">
            <v>47.4</v>
          </cell>
          <cell r="H686" t="str">
            <v>natural gas peaker</v>
          </cell>
        </row>
        <row r="687">
          <cell r="C687" t="str">
            <v>GT</v>
          </cell>
          <cell r="D687">
            <v>47.4</v>
          </cell>
          <cell r="H687" t="str">
            <v>natural gas peaker</v>
          </cell>
        </row>
        <row r="688">
          <cell r="C688" t="str">
            <v>GT</v>
          </cell>
          <cell r="D688">
            <v>47.4</v>
          </cell>
          <cell r="H688" t="str">
            <v>natural gas peaker</v>
          </cell>
        </row>
        <row r="689">
          <cell r="C689" t="str">
            <v>GT</v>
          </cell>
          <cell r="D689">
            <v>47.4</v>
          </cell>
          <cell r="H689" t="str">
            <v>natural gas peaker</v>
          </cell>
        </row>
        <row r="690">
          <cell r="C690" t="str">
            <v>GT</v>
          </cell>
          <cell r="D690">
            <v>47.4</v>
          </cell>
          <cell r="H690" t="str">
            <v>natural gas peaker</v>
          </cell>
        </row>
        <row r="691">
          <cell r="C691" t="str">
            <v>ST</v>
          </cell>
          <cell r="D691">
            <v>222</v>
          </cell>
          <cell r="H691" t="str">
            <v>natural gas peaker</v>
          </cell>
        </row>
        <row r="692">
          <cell r="C692" t="str">
            <v>CT</v>
          </cell>
          <cell r="D692">
            <v>162.5</v>
          </cell>
          <cell r="H692" t="str">
            <v>natural gas nonpeaker</v>
          </cell>
        </row>
        <row r="693">
          <cell r="C693" t="str">
            <v>GT</v>
          </cell>
          <cell r="D693">
            <v>99.4</v>
          </cell>
          <cell r="H693" t="str">
            <v>natural gas peaker</v>
          </cell>
        </row>
        <row r="694">
          <cell r="C694" t="str">
            <v>GT</v>
          </cell>
          <cell r="D694">
            <v>99.4</v>
          </cell>
          <cell r="H694" t="str">
            <v>natural gas peaker</v>
          </cell>
        </row>
        <row r="695">
          <cell r="C695" t="str">
            <v>GT</v>
          </cell>
          <cell r="D695">
            <v>99.4</v>
          </cell>
          <cell r="H695" t="str">
            <v>natural gas peaker</v>
          </cell>
        </row>
        <row r="696">
          <cell r="C696" t="str">
            <v>GT</v>
          </cell>
          <cell r="D696">
            <v>99.4</v>
          </cell>
          <cell r="H696" t="str">
            <v>natural gas peaker</v>
          </cell>
        </row>
        <row r="697">
          <cell r="C697" t="str">
            <v>GT</v>
          </cell>
          <cell r="D697">
            <v>99.4</v>
          </cell>
          <cell r="H697" t="str">
            <v>natural gas peaker</v>
          </cell>
        </row>
        <row r="698">
          <cell r="C698" t="str">
            <v>GT</v>
          </cell>
          <cell r="D698">
            <v>99.4</v>
          </cell>
          <cell r="H698" t="str">
            <v>natural gas peaker</v>
          </cell>
        </row>
        <row r="699">
          <cell r="C699" t="str">
            <v>ST</v>
          </cell>
          <cell r="D699">
            <v>222</v>
          </cell>
          <cell r="H699" t="str">
            <v>natural gas peaker</v>
          </cell>
        </row>
        <row r="700">
          <cell r="C700" t="str">
            <v>CA</v>
          </cell>
          <cell r="D700">
            <v>235</v>
          </cell>
          <cell r="H700" t="str">
            <v>natural gas nonpeaker</v>
          </cell>
        </row>
        <row r="701">
          <cell r="C701" t="str">
            <v>CT</v>
          </cell>
          <cell r="D701">
            <v>162.5</v>
          </cell>
          <cell r="H701" t="str">
            <v>natural gas nonpeaker</v>
          </cell>
        </row>
        <row r="702">
          <cell r="C702" t="str">
            <v>HY</v>
          </cell>
          <cell r="D702">
            <v>37.5</v>
          </cell>
          <cell r="H702" t="str">
            <v>hydro</v>
          </cell>
        </row>
        <row r="703">
          <cell r="C703" t="str">
            <v>HY</v>
          </cell>
          <cell r="D703">
            <v>2.7</v>
          </cell>
          <cell r="H703" t="str">
            <v>hydro</v>
          </cell>
        </row>
        <row r="704">
          <cell r="C704" t="str">
            <v>HY</v>
          </cell>
          <cell r="D704">
            <v>3.2</v>
          </cell>
          <cell r="H704" t="str">
            <v>hydro</v>
          </cell>
        </row>
        <row r="705">
          <cell r="C705" t="str">
            <v>HY</v>
          </cell>
          <cell r="D705">
            <v>2.9</v>
          </cell>
          <cell r="H705" t="str">
            <v>hydro</v>
          </cell>
        </row>
        <row r="706">
          <cell r="C706" t="str">
            <v>ST</v>
          </cell>
          <cell r="D706">
            <v>111.8</v>
          </cell>
          <cell r="H706" t="str">
            <v>natural gas peaker</v>
          </cell>
        </row>
        <row r="707">
          <cell r="C707" t="str">
            <v>ST</v>
          </cell>
          <cell r="D707">
            <v>156.30000000000001</v>
          </cell>
          <cell r="H707" t="str">
            <v>natural gas peaker</v>
          </cell>
        </row>
        <row r="708">
          <cell r="C708" t="str">
            <v>CT</v>
          </cell>
          <cell r="D708">
            <v>204</v>
          </cell>
          <cell r="H708" t="str">
            <v>natural gas nonpeaker</v>
          </cell>
        </row>
        <row r="709">
          <cell r="C709" t="str">
            <v>CA</v>
          </cell>
          <cell r="D709">
            <v>107</v>
          </cell>
          <cell r="H709" t="str">
            <v>natural gas nonpeaker</v>
          </cell>
        </row>
        <row r="710">
          <cell r="C710" t="str">
            <v>GT</v>
          </cell>
          <cell r="D710">
            <v>102</v>
          </cell>
          <cell r="H710" t="str">
            <v>natural gas peaker</v>
          </cell>
        </row>
        <row r="711">
          <cell r="C711" t="str">
            <v>GT</v>
          </cell>
          <cell r="D711">
            <v>102</v>
          </cell>
          <cell r="H711" t="str">
            <v>natural gas peaker</v>
          </cell>
        </row>
        <row r="712">
          <cell r="C712" t="str">
            <v>IC</v>
          </cell>
          <cell r="D712">
            <v>1.3</v>
          </cell>
          <cell r="H712" t="str">
            <v>petroleum</v>
          </cell>
        </row>
        <row r="713">
          <cell r="C713" t="str">
            <v>IC</v>
          </cell>
          <cell r="D713">
            <v>1.1000000000000001</v>
          </cell>
          <cell r="H713" t="str">
            <v>petroleum</v>
          </cell>
        </row>
        <row r="714">
          <cell r="C714" t="str">
            <v>IC</v>
          </cell>
          <cell r="D714">
            <v>1.1000000000000001</v>
          </cell>
          <cell r="H714" t="str">
            <v>petroleum</v>
          </cell>
        </row>
        <row r="715">
          <cell r="C715" t="str">
            <v>IC</v>
          </cell>
          <cell r="D715">
            <v>0.5</v>
          </cell>
          <cell r="H715" t="str">
            <v>petroleum</v>
          </cell>
        </row>
        <row r="716">
          <cell r="C716" t="str">
            <v>IC</v>
          </cell>
          <cell r="D716">
            <v>0.4</v>
          </cell>
          <cell r="H716" t="str">
            <v>petroleum</v>
          </cell>
        </row>
        <row r="717">
          <cell r="C717" t="str">
            <v>IC</v>
          </cell>
          <cell r="D717">
            <v>1</v>
          </cell>
          <cell r="H717" t="str">
            <v>petroleum</v>
          </cell>
        </row>
        <row r="718">
          <cell r="C718" t="str">
            <v>HY</v>
          </cell>
          <cell r="D718">
            <v>36.5</v>
          </cell>
          <cell r="H718" t="str">
            <v>hydro</v>
          </cell>
        </row>
        <row r="719">
          <cell r="C719" t="str">
            <v>GT</v>
          </cell>
          <cell r="D719">
            <v>43</v>
          </cell>
          <cell r="H719" t="str">
            <v>natural gas peaker</v>
          </cell>
        </row>
        <row r="720">
          <cell r="C720" t="str">
            <v>CT</v>
          </cell>
          <cell r="D720">
            <v>162</v>
          </cell>
          <cell r="H720" t="str">
            <v>natural gas nonpeaker</v>
          </cell>
        </row>
        <row r="721">
          <cell r="C721" t="str">
            <v>CT</v>
          </cell>
          <cell r="D721">
            <v>162</v>
          </cell>
          <cell r="H721" t="str">
            <v>natural gas nonpeaker</v>
          </cell>
        </row>
        <row r="722">
          <cell r="C722" t="str">
            <v>CA</v>
          </cell>
          <cell r="D722">
            <v>209</v>
          </cell>
          <cell r="H722" t="str">
            <v>natural gas nonpeaker</v>
          </cell>
        </row>
        <row r="723">
          <cell r="C723" t="str">
            <v>HY</v>
          </cell>
          <cell r="D723">
            <v>94.5</v>
          </cell>
          <cell r="H723" t="str">
            <v>hydro</v>
          </cell>
        </row>
        <row r="724">
          <cell r="C724" t="str">
            <v>HY</v>
          </cell>
          <cell r="D724">
            <v>9</v>
          </cell>
          <cell r="H724" t="str">
            <v>hydro</v>
          </cell>
        </row>
        <row r="725">
          <cell r="C725" t="str">
            <v>HY</v>
          </cell>
          <cell r="D725">
            <v>44</v>
          </cell>
          <cell r="H725" t="str">
            <v>hydro</v>
          </cell>
        </row>
        <row r="726">
          <cell r="C726" t="str">
            <v>HY</v>
          </cell>
          <cell r="D726">
            <v>27.3</v>
          </cell>
          <cell r="H726" t="str">
            <v>hydro</v>
          </cell>
        </row>
        <row r="727">
          <cell r="C727" t="str">
            <v>HY</v>
          </cell>
          <cell r="D727">
            <v>11</v>
          </cell>
          <cell r="H727" t="str">
            <v>hydro</v>
          </cell>
        </row>
        <row r="728">
          <cell r="C728" t="str">
            <v>HY</v>
          </cell>
          <cell r="D728">
            <v>72</v>
          </cell>
          <cell r="H728" t="str">
            <v>hydro</v>
          </cell>
        </row>
        <row r="729">
          <cell r="C729" t="str">
            <v>HY</v>
          </cell>
          <cell r="D729">
            <v>9</v>
          </cell>
          <cell r="H729" t="str">
            <v>hydro</v>
          </cell>
        </row>
        <row r="730">
          <cell r="C730" t="str">
            <v>HY</v>
          </cell>
          <cell r="D730">
            <v>10</v>
          </cell>
          <cell r="H730" t="str">
            <v>hydro</v>
          </cell>
        </row>
        <row r="731">
          <cell r="C731" t="str">
            <v>HY</v>
          </cell>
          <cell r="D731">
            <v>6.5</v>
          </cell>
          <cell r="H731" t="str">
            <v>hydro</v>
          </cell>
        </row>
        <row r="732">
          <cell r="C732" t="str">
            <v>HY</v>
          </cell>
          <cell r="D732">
            <v>37.5</v>
          </cell>
          <cell r="H732" t="str">
            <v>hydro</v>
          </cell>
        </row>
        <row r="733">
          <cell r="C733" t="str">
            <v>HY</v>
          </cell>
          <cell r="D733">
            <v>10</v>
          </cell>
          <cell r="H733" t="str">
            <v>hydro</v>
          </cell>
        </row>
        <row r="734">
          <cell r="C734" t="str">
            <v>HY</v>
          </cell>
          <cell r="D734">
            <v>60</v>
          </cell>
          <cell r="H734" t="str">
            <v>hydro</v>
          </cell>
        </row>
        <row r="735">
          <cell r="C735" t="str">
            <v>IC</v>
          </cell>
          <cell r="D735">
            <v>0.6</v>
          </cell>
          <cell r="H735" t="str">
            <v>petroleum</v>
          </cell>
        </row>
        <row r="736">
          <cell r="C736" t="str">
            <v>IC</v>
          </cell>
          <cell r="D736">
            <v>1.8</v>
          </cell>
          <cell r="H736" t="str">
            <v>petroleum</v>
          </cell>
        </row>
        <row r="737">
          <cell r="C737" t="str">
            <v>IC</v>
          </cell>
          <cell r="D737">
            <v>1.1000000000000001</v>
          </cell>
          <cell r="H737" t="str">
            <v>petroleum</v>
          </cell>
        </row>
        <row r="738">
          <cell r="C738" t="str">
            <v>IC</v>
          </cell>
          <cell r="D738">
            <v>1.1000000000000001</v>
          </cell>
          <cell r="H738" t="str">
            <v>petroleum</v>
          </cell>
        </row>
        <row r="739">
          <cell r="C739" t="str">
            <v>GT</v>
          </cell>
          <cell r="D739">
            <v>28.6</v>
          </cell>
          <cell r="H739" t="str">
            <v>natural gas peaker</v>
          </cell>
        </row>
        <row r="740">
          <cell r="C740" t="str">
            <v>GT</v>
          </cell>
          <cell r="D740">
            <v>28.6</v>
          </cell>
          <cell r="H740" t="str">
            <v>natural gas peaker</v>
          </cell>
        </row>
        <row r="741">
          <cell r="C741" t="str">
            <v>GT</v>
          </cell>
          <cell r="D741">
            <v>47.2</v>
          </cell>
          <cell r="H741" t="str">
            <v>natural gas peaker</v>
          </cell>
        </row>
        <row r="742">
          <cell r="C742" t="str">
            <v>GT</v>
          </cell>
          <cell r="D742">
            <v>47.2</v>
          </cell>
          <cell r="H742" t="str">
            <v>natural gas peaker</v>
          </cell>
        </row>
        <row r="743">
          <cell r="C743" t="str">
            <v>CT</v>
          </cell>
          <cell r="D743">
            <v>68</v>
          </cell>
          <cell r="H743" t="str">
            <v>natural gas nonpeaker</v>
          </cell>
        </row>
        <row r="744">
          <cell r="C744" t="str">
            <v>CA</v>
          </cell>
          <cell r="D744">
            <v>16</v>
          </cell>
          <cell r="H744" t="str">
            <v>natural gas nonpeaker</v>
          </cell>
        </row>
        <row r="745">
          <cell r="C745" t="str">
            <v>IC</v>
          </cell>
          <cell r="D745">
            <v>0.4</v>
          </cell>
          <cell r="H745" t="str">
            <v>petroleum</v>
          </cell>
        </row>
        <row r="746">
          <cell r="C746" t="str">
            <v>IC</v>
          </cell>
          <cell r="D746">
            <v>0.3</v>
          </cell>
          <cell r="H746" t="str">
            <v>petroleum</v>
          </cell>
        </row>
        <row r="747">
          <cell r="C747" t="str">
            <v>IC</v>
          </cell>
          <cell r="D747">
            <v>0.3</v>
          </cell>
          <cell r="H747" t="str">
            <v>petroleum</v>
          </cell>
        </row>
        <row r="748">
          <cell r="C748" t="str">
            <v>HY</v>
          </cell>
          <cell r="D748">
            <v>16</v>
          </cell>
          <cell r="H748" t="str">
            <v>hydro</v>
          </cell>
        </row>
        <row r="749">
          <cell r="C749" t="str">
            <v>HY</v>
          </cell>
          <cell r="D749">
            <v>66</v>
          </cell>
          <cell r="H749" t="str">
            <v>hydro</v>
          </cell>
        </row>
        <row r="750">
          <cell r="C750" t="str">
            <v>HY</v>
          </cell>
          <cell r="D750">
            <v>66</v>
          </cell>
          <cell r="H750" t="str">
            <v>hydro</v>
          </cell>
        </row>
        <row r="751">
          <cell r="C751" t="str">
            <v>HY</v>
          </cell>
          <cell r="D751">
            <v>6</v>
          </cell>
          <cell r="H751" t="str">
            <v>hydro</v>
          </cell>
        </row>
        <row r="752">
          <cell r="C752" t="str">
            <v>HY</v>
          </cell>
          <cell r="D752">
            <v>86</v>
          </cell>
          <cell r="H752" t="str">
            <v>hydro</v>
          </cell>
        </row>
        <row r="753">
          <cell r="C753" t="str">
            <v>HY</v>
          </cell>
          <cell r="D753">
            <v>2.7</v>
          </cell>
          <cell r="H753" t="str">
            <v>hydro</v>
          </cell>
        </row>
        <row r="754">
          <cell r="C754" t="str">
            <v>HY</v>
          </cell>
          <cell r="D754">
            <v>78.900000000000006</v>
          </cell>
          <cell r="H754" t="str">
            <v>hydro</v>
          </cell>
        </row>
        <row r="755">
          <cell r="C755" t="str">
            <v>HY</v>
          </cell>
          <cell r="D755">
            <v>77</v>
          </cell>
          <cell r="H755" t="str">
            <v>hydro</v>
          </cell>
        </row>
        <row r="756">
          <cell r="C756" t="str">
            <v>HY</v>
          </cell>
          <cell r="D756">
            <v>78.099999999999994</v>
          </cell>
          <cell r="H756" t="str">
            <v>hydro</v>
          </cell>
        </row>
        <row r="757">
          <cell r="C757" t="str">
            <v>HY</v>
          </cell>
          <cell r="D757">
            <v>78.099999999999994</v>
          </cell>
          <cell r="H757" t="str">
            <v>hydro</v>
          </cell>
        </row>
        <row r="758">
          <cell r="C758" t="str">
            <v>HY</v>
          </cell>
          <cell r="D758">
            <v>74.099999999999994</v>
          </cell>
          <cell r="H758" t="str">
            <v>hydro</v>
          </cell>
        </row>
        <row r="759">
          <cell r="C759" t="str">
            <v>HY</v>
          </cell>
          <cell r="D759">
            <v>25.5</v>
          </cell>
          <cell r="H759" t="str">
            <v>hydro</v>
          </cell>
        </row>
        <row r="760">
          <cell r="C760" t="str">
            <v>HY</v>
          </cell>
          <cell r="D760">
            <v>108</v>
          </cell>
          <cell r="H760" t="str">
            <v>hydro</v>
          </cell>
        </row>
        <row r="761">
          <cell r="C761" t="str">
            <v>HY</v>
          </cell>
          <cell r="D761">
            <v>133</v>
          </cell>
          <cell r="H761" t="str">
            <v>hydro</v>
          </cell>
        </row>
        <row r="762">
          <cell r="C762" t="str">
            <v>HY</v>
          </cell>
          <cell r="D762">
            <v>0.5</v>
          </cell>
          <cell r="H762" t="str">
            <v>hydro</v>
          </cell>
        </row>
        <row r="763">
          <cell r="C763" t="str">
            <v>HY</v>
          </cell>
          <cell r="D763">
            <v>57</v>
          </cell>
          <cell r="H763" t="str">
            <v>hydro</v>
          </cell>
        </row>
        <row r="764">
          <cell r="C764" t="str">
            <v>HY</v>
          </cell>
          <cell r="D764">
            <v>57</v>
          </cell>
          <cell r="H764" t="str">
            <v>hydro</v>
          </cell>
        </row>
        <row r="765">
          <cell r="C765" t="str">
            <v>HY</v>
          </cell>
          <cell r="D765">
            <v>74</v>
          </cell>
          <cell r="H765" t="str">
            <v>hydro</v>
          </cell>
        </row>
        <row r="766">
          <cell r="C766" t="str">
            <v>HY</v>
          </cell>
          <cell r="D766">
            <v>74</v>
          </cell>
          <cell r="H766" t="str">
            <v>hydro</v>
          </cell>
        </row>
        <row r="767">
          <cell r="C767" t="str">
            <v>HY</v>
          </cell>
          <cell r="D767">
            <v>135.30000000000001</v>
          </cell>
          <cell r="H767" t="str">
            <v>hydro</v>
          </cell>
        </row>
        <row r="768">
          <cell r="C768" t="str">
            <v>PS</v>
          </cell>
          <cell r="D768">
            <v>112.4</v>
          </cell>
          <cell r="H768" t="str">
            <v>other</v>
          </cell>
        </row>
        <row r="769">
          <cell r="C769" t="str">
            <v>HY</v>
          </cell>
          <cell r="D769">
            <v>135.30000000000001</v>
          </cell>
          <cell r="H769" t="str">
            <v>hydro</v>
          </cell>
        </row>
        <row r="770">
          <cell r="C770" t="str">
            <v>PS</v>
          </cell>
          <cell r="D770">
            <v>112.4</v>
          </cell>
          <cell r="H770" t="str">
            <v>other</v>
          </cell>
        </row>
        <row r="771">
          <cell r="C771" t="str">
            <v>HY</v>
          </cell>
          <cell r="D771">
            <v>135.30000000000001</v>
          </cell>
          <cell r="H771" t="str">
            <v>hydro</v>
          </cell>
        </row>
        <row r="772">
          <cell r="C772" t="str">
            <v>PS</v>
          </cell>
          <cell r="D772">
            <v>112.4</v>
          </cell>
          <cell r="H772" t="str">
            <v>other</v>
          </cell>
        </row>
        <row r="773">
          <cell r="C773" t="str">
            <v>HY</v>
          </cell>
          <cell r="D773">
            <v>32.6</v>
          </cell>
          <cell r="H773" t="str">
            <v>hydro</v>
          </cell>
        </row>
        <row r="774">
          <cell r="C774" t="str">
            <v>PS</v>
          </cell>
          <cell r="D774">
            <v>27.5</v>
          </cell>
          <cell r="H774" t="str">
            <v>other</v>
          </cell>
        </row>
        <row r="775">
          <cell r="C775" t="str">
            <v>PS</v>
          </cell>
          <cell r="D775">
            <v>27.5</v>
          </cell>
          <cell r="H775" t="str">
            <v>other</v>
          </cell>
        </row>
        <row r="776">
          <cell r="C776" t="str">
            <v>PS</v>
          </cell>
          <cell r="D776">
            <v>27.5</v>
          </cell>
          <cell r="H776" t="str">
            <v>other</v>
          </cell>
        </row>
        <row r="777">
          <cell r="C777" t="str">
            <v>HY</v>
          </cell>
          <cell r="D777">
            <v>55</v>
          </cell>
          <cell r="H777" t="str">
            <v>hydro</v>
          </cell>
        </row>
        <row r="778">
          <cell r="C778" t="str">
            <v>HY</v>
          </cell>
          <cell r="D778">
            <v>55</v>
          </cell>
          <cell r="H778" t="str">
            <v>hydro</v>
          </cell>
        </row>
        <row r="779">
          <cell r="C779" t="str">
            <v>HY</v>
          </cell>
          <cell r="D779">
            <v>55</v>
          </cell>
          <cell r="H779" t="str">
            <v>hydro</v>
          </cell>
        </row>
        <row r="780">
          <cell r="C780" t="str">
            <v>HY</v>
          </cell>
          <cell r="D780">
            <v>38.200000000000003</v>
          </cell>
          <cell r="H780" t="str">
            <v>hydro</v>
          </cell>
        </row>
        <row r="781">
          <cell r="C781" t="str">
            <v>HY</v>
          </cell>
          <cell r="D781">
            <v>1</v>
          </cell>
          <cell r="H781" t="str">
            <v>hydro</v>
          </cell>
        </row>
        <row r="782">
          <cell r="C782" t="str">
            <v>HY</v>
          </cell>
          <cell r="D782">
            <v>3.3</v>
          </cell>
          <cell r="H782" t="str">
            <v>hydro</v>
          </cell>
        </row>
        <row r="783">
          <cell r="C783" t="str">
            <v>HY</v>
          </cell>
          <cell r="D783">
            <v>71.7</v>
          </cell>
          <cell r="H783" t="str">
            <v>hydro</v>
          </cell>
        </row>
        <row r="784">
          <cell r="C784" t="str">
            <v>HY</v>
          </cell>
          <cell r="D784">
            <v>71.7</v>
          </cell>
          <cell r="H784" t="str">
            <v>hydro</v>
          </cell>
        </row>
        <row r="785">
          <cell r="C785" t="str">
            <v>HY</v>
          </cell>
          <cell r="D785">
            <v>71.7</v>
          </cell>
          <cell r="H785" t="str">
            <v>hydro</v>
          </cell>
        </row>
        <row r="786">
          <cell r="C786" t="str">
            <v>HY</v>
          </cell>
          <cell r="D786">
            <v>88.7</v>
          </cell>
          <cell r="H786" t="str">
            <v>hydro</v>
          </cell>
        </row>
        <row r="787">
          <cell r="C787" t="str">
            <v>HY</v>
          </cell>
          <cell r="D787">
            <v>88.7</v>
          </cell>
          <cell r="H787" t="str">
            <v>hydro</v>
          </cell>
        </row>
        <row r="788">
          <cell r="C788" t="str">
            <v>HY</v>
          </cell>
          <cell r="D788">
            <v>39</v>
          </cell>
          <cell r="H788" t="str">
            <v>hydro</v>
          </cell>
        </row>
        <row r="789">
          <cell r="C789" t="str">
            <v>HY</v>
          </cell>
          <cell r="D789">
            <v>39</v>
          </cell>
          <cell r="H789" t="str">
            <v>hydro</v>
          </cell>
        </row>
        <row r="790">
          <cell r="C790" t="str">
            <v>HY</v>
          </cell>
          <cell r="D790">
            <v>39</v>
          </cell>
          <cell r="H790" t="str">
            <v>hydro</v>
          </cell>
        </row>
        <row r="791">
          <cell r="C791" t="str">
            <v>HY</v>
          </cell>
          <cell r="D791">
            <v>8.3000000000000007</v>
          </cell>
          <cell r="H791" t="str">
            <v>hydro</v>
          </cell>
        </row>
        <row r="792">
          <cell r="C792" t="str">
            <v>HY</v>
          </cell>
          <cell r="D792">
            <v>8.3000000000000007</v>
          </cell>
          <cell r="H792" t="str">
            <v>hydro</v>
          </cell>
        </row>
        <row r="793">
          <cell r="C793" t="str">
            <v>HY</v>
          </cell>
          <cell r="D793">
            <v>142</v>
          </cell>
          <cell r="H793" t="str">
            <v>hydro</v>
          </cell>
        </row>
        <row r="794">
          <cell r="C794" t="str">
            <v>HY</v>
          </cell>
          <cell r="D794">
            <v>142</v>
          </cell>
          <cell r="H794" t="str">
            <v>hydro</v>
          </cell>
        </row>
        <row r="795">
          <cell r="C795" t="str">
            <v>HY</v>
          </cell>
          <cell r="D795">
            <v>142</v>
          </cell>
          <cell r="H795" t="str">
            <v>hydro</v>
          </cell>
        </row>
        <row r="796">
          <cell r="C796" t="str">
            <v>HY</v>
          </cell>
          <cell r="D796">
            <v>142</v>
          </cell>
          <cell r="H796" t="str">
            <v>hydro</v>
          </cell>
        </row>
        <row r="797">
          <cell r="C797" t="str">
            <v>HY</v>
          </cell>
          <cell r="D797">
            <v>142</v>
          </cell>
          <cell r="H797" t="str">
            <v>hydro</v>
          </cell>
        </row>
        <row r="798">
          <cell r="C798" t="str">
            <v>HY</v>
          </cell>
          <cell r="D798">
            <v>2</v>
          </cell>
          <cell r="H798" t="str">
            <v>hydro</v>
          </cell>
        </row>
        <row r="799">
          <cell r="C799" t="str">
            <v>HY</v>
          </cell>
          <cell r="D799">
            <v>2</v>
          </cell>
          <cell r="H799" t="str">
            <v>hydro</v>
          </cell>
        </row>
        <row r="800">
          <cell r="C800" t="str">
            <v>PS</v>
          </cell>
          <cell r="D800">
            <v>2.4</v>
          </cell>
          <cell r="H800" t="str">
            <v>other</v>
          </cell>
        </row>
        <row r="801">
          <cell r="C801" t="str">
            <v>PS</v>
          </cell>
          <cell r="D801">
            <v>2.4</v>
          </cell>
          <cell r="H801" t="str">
            <v>other</v>
          </cell>
        </row>
        <row r="802">
          <cell r="C802" t="str">
            <v>PS</v>
          </cell>
          <cell r="D802">
            <v>2.4</v>
          </cell>
          <cell r="H802" t="str">
            <v>other</v>
          </cell>
        </row>
        <row r="803">
          <cell r="C803" t="str">
            <v>PS</v>
          </cell>
          <cell r="D803">
            <v>2.4</v>
          </cell>
          <cell r="H803" t="str">
            <v>other</v>
          </cell>
        </row>
        <row r="804">
          <cell r="C804" t="str">
            <v>PS</v>
          </cell>
          <cell r="D804">
            <v>2.4</v>
          </cell>
          <cell r="H804" t="str">
            <v>other</v>
          </cell>
        </row>
        <row r="805">
          <cell r="C805" t="str">
            <v>PS</v>
          </cell>
          <cell r="D805">
            <v>2.4</v>
          </cell>
          <cell r="H805" t="str">
            <v>other</v>
          </cell>
        </row>
        <row r="806">
          <cell r="C806" t="str">
            <v>HY</v>
          </cell>
          <cell r="D806">
            <v>30</v>
          </cell>
          <cell r="H806" t="str">
            <v>hydro</v>
          </cell>
        </row>
        <row r="807">
          <cell r="C807" t="str">
            <v>HY</v>
          </cell>
          <cell r="D807">
            <v>30</v>
          </cell>
          <cell r="H807" t="str">
            <v>hydro</v>
          </cell>
        </row>
        <row r="808">
          <cell r="C808" t="str">
            <v>HY</v>
          </cell>
          <cell r="D808">
            <v>30</v>
          </cell>
          <cell r="H808" t="str">
            <v>hydro</v>
          </cell>
        </row>
        <row r="809">
          <cell r="C809" t="str">
            <v>HY</v>
          </cell>
          <cell r="D809">
            <v>30</v>
          </cell>
          <cell r="H809" t="str">
            <v>hydro</v>
          </cell>
        </row>
        <row r="810">
          <cell r="C810" t="str">
            <v>PS</v>
          </cell>
          <cell r="D810">
            <v>51</v>
          </cell>
          <cell r="H810" t="str">
            <v>other</v>
          </cell>
        </row>
        <row r="811">
          <cell r="C811" t="str">
            <v>PS</v>
          </cell>
          <cell r="D811">
            <v>50</v>
          </cell>
          <cell r="H811" t="str">
            <v>other</v>
          </cell>
        </row>
        <row r="812">
          <cell r="C812" t="str">
            <v>PS</v>
          </cell>
          <cell r="D812">
            <v>50</v>
          </cell>
          <cell r="H812" t="str">
            <v>other</v>
          </cell>
        </row>
        <row r="813">
          <cell r="C813" t="str">
            <v>PS</v>
          </cell>
          <cell r="D813">
            <v>50</v>
          </cell>
          <cell r="H813" t="str">
            <v>other</v>
          </cell>
        </row>
        <row r="814">
          <cell r="C814" t="str">
            <v>PS</v>
          </cell>
          <cell r="D814">
            <v>50</v>
          </cell>
          <cell r="H814" t="str">
            <v>other</v>
          </cell>
        </row>
        <row r="815">
          <cell r="C815" t="str">
            <v>PS</v>
          </cell>
          <cell r="D815">
            <v>50</v>
          </cell>
          <cell r="H815" t="str">
            <v>other</v>
          </cell>
        </row>
        <row r="816">
          <cell r="C816" t="str">
            <v>PS</v>
          </cell>
          <cell r="D816">
            <v>50</v>
          </cell>
          <cell r="H816" t="str">
            <v>other</v>
          </cell>
        </row>
        <row r="817">
          <cell r="C817" t="str">
            <v>PS</v>
          </cell>
          <cell r="D817">
            <v>50</v>
          </cell>
          <cell r="H817" t="str">
            <v>other</v>
          </cell>
        </row>
        <row r="818">
          <cell r="C818" t="str">
            <v>HY</v>
          </cell>
          <cell r="D818">
            <v>90</v>
          </cell>
          <cell r="H818" t="str">
            <v>hydro</v>
          </cell>
        </row>
        <row r="819">
          <cell r="C819" t="str">
            <v>HY</v>
          </cell>
          <cell r="D819">
            <v>90</v>
          </cell>
          <cell r="H819" t="str">
            <v>hydro</v>
          </cell>
        </row>
        <row r="820">
          <cell r="C820" t="str">
            <v>HY</v>
          </cell>
          <cell r="D820">
            <v>70</v>
          </cell>
          <cell r="H820" t="str">
            <v>hydro</v>
          </cell>
        </row>
        <row r="821">
          <cell r="C821" t="str">
            <v>HY</v>
          </cell>
          <cell r="D821">
            <v>70</v>
          </cell>
          <cell r="H821" t="str">
            <v>hydro</v>
          </cell>
        </row>
        <row r="822">
          <cell r="C822" t="str">
            <v>HY</v>
          </cell>
          <cell r="D822">
            <v>157.5</v>
          </cell>
          <cell r="H822" t="str">
            <v>hydro</v>
          </cell>
        </row>
        <row r="823">
          <cell r="C823" t="str">
            <v>HY</v>
          </cell>
          <cell r="D823">
            <v>157.5</v>
          </cell>
          <cell r="H823" t="str">
            <v>hydro</v>
          </cell>
        </row>
        <row r="824">
          <cell r="C824" t="str">
            <v>HY</v>
          </cell>
          <cell r="D824">
            <v>46.7</v>
          </cell>
          <cell r="H824" t="str">
            <v>hydro</v>
          </cell>
        </row>
        <row r="825">
          <cell r="C825" t="str">
            <v>HY</v>
          </cell>
          <cell r="D825">
            <v>0.7</v>
          </cell>
          <cell r="H825" t="str">
            <v>hydro</v>
          </cell>
        </row>
        <row r="826">
          <cell r="C826" t="str">
            <v>HY</v>
          </cell>
          <cell r="D826">
            <v>0.7</v>
          </cell>
          <cell r="H826" t="str">
            <v>hydro</v>
          </cell>
        </row>
        <row r="827">
          <cell r="C827" t="str">
            <v>IC</v>
          </cell>
          <cell r="D827">
            <v>2</v>
          </cell>
          <cell r="H827" t="str">
            <v>petroleum</v>
          </cell>
        </row>
        <row r="828">
          <cell r="C828" t="str">
            <v>IC</v>
          </cell>
          <cell r="D828">
            <v>2</v>
          </cell>
          <cell r="H828" t="str">
            <v>petroleum</v>
          </cell>
        </row>
        <row r="829">
          <cell r="C829" t="str">
            <v>IC</v>
          </cell>
          <cell r="D829">
            <v>2</v>
          </cell>
          <cell r="H829" t="str">
            <v>petroleum</v>
          </cell>
        </row>
        <row r="830">
          <cell r="C830" t="str">
            <v>IC</v>
          </cell>
          <cell r="D830">
            <v>2</v>
          </cell>
          <cell r="H830" t="str">
            <v>petroleum</v>
          </cell>
        </row>
        <row r="831">
          <cell r="C831" t="str">
            <v>GT</v>
          </cell>
          <cell r="D831">
            <v>13</v>
          </cell>
          <cell r="H831" t="str">
            <v>natural gas peaker</v>
          </cell>
        </row>
        <row r="832">
          <cell r="C832" t="str">
            <v>GT</v>
          </cell>
          <cell r="D832">
            <v>14</v>
          </cell>
          <cell r="H832" t="str">
            <v>natural gas peaker</v>
          </cell>
        </row>
        <row r="833">
          <cell r="C833" t="str">
            <v>HY</v>
          </cell>
          <cell r="D833">
            <v>5</v>
          </cell>
          <cell r="H833" t="str">
            <v>hydro</v>
          </cell>
        </row>
        <row r="834">
          <cell r="C834" t="str">
            <v>PS</v>
          </cell>
          <cell r="D834">
            <v>162</v>
          </cell>
          <cell r="H834" t="str">
            <v>other</v>
          </cell>
        </row>
        <row r="835">
          <cell r="C835" t="str">
            <v>PS</v>
          </cell>
          <cell r="D835">
            <v>162</v>
          </cell>
          <cell r="H835" t="str">
            <v>other</v>
          </cell>
        </row>
        <row r="836">
          <cell r="C836" t="str">
            <v>ST</v>
          </cell>
          <cell r="D836">
            <v>310</v>
          </cell>
          <cell r="H836" t="str">
            <v>natural gas peaker</v>
          </cell>
        </row>
        <row r="837">
          <cell r="C837" t="str">
            <v>CT</v>
          </cell>
          <cell r="D837">
            <v>168</v>
          </cell>
          <cell r="H837" t="str">
            <v>natural gas nonpeaker</v>
          </cell>
        </row>
        <row r="838">
          <cell r="C838" t="str">
            <v>CT</v>
          </cell>
          <cell r="D838">
            <v>168</v>
          </cell>
          <cell r="H838" t="str">
            <v>natural gas nonpeaker</v>
          </cell>
        </row>
        <row r="839">
          <cell r="C839" t="str">
            <v>CA</v>
          </cell>
          <cell r="D839">
            <v>240</v>
          </cell>
          <cell r="H839" t="str">
            <v>natural gas nonpeaker</v>
          </cell>
        </row>
        <row r="840">
          <cell r="C840" t="str">
            <v>ST</v>
          </cell>
          <cell r="D840">
            <v>325</v>
          </cell>
          <cell r="H840" t="str">
            <v>hard coal</v>
          </cell>
        </row>
        <row r="841">
          <cell r="C841" t="str">
            <v>ST</v>
          </cell>
          <cell r="D841">
            <v>335</v>
          </cell>
          <cell r="H841" t="str">
            <v>hard coal</v>
          </cell>
        </row>
        <row r="842">
          <cell r="C842" t="str">
            <v>ST</v>
          </cell>
          <cell r="D842">
            <v>750</v>
          </cell>
          <cell r="H842" t="str">
            <v>hard coal</v>
          </cell>
        </row>
        <row r="843">
          <cell r="C843" t="str">
            <v>GT</v>
          </cell>
          <cell r="D843">
            <v>14</v>
          </cell>
          <cell r="H843" t="str">
            <v>natural gas peaker</v>
          </cell>
        </row>
        <row r="844">
          <cell r="C844" t="str">
            <v>HY</v>
          </cell>
          <cell r="D844">
            <v>0.8</v>
          </cell>
          <cell r="H844" t="str">
            <v>hydro</v>
          </cell>
        </row>
        <row r="845">
          <cell r="C845" t="str">
            <v>HY</v>
          </cell>
          <cell r="D845">
            <v>0.8</v>
          </cell>
          <cell r="H845" t="str">
            <v>hydro</v>
          </cell>
        </row>
        <row r="846">
          <cell r="C846" t="str">
            <v>HY</v>
          </cell>
          <cell r="D846">
            <v>1.5</v>
          </cell>
          <cell r="H846" t="str">
            <v>hydro</v>
          </cell>
        </row>
        <row r="847">
          <cell r="C847" t="str">
            <v>HY</v>
          </cell>
          <cell r="D847">
            <v>0.6</v>
          </cell>
          <cell r="H847" t="str">
            <v>hydro</v>
          </cell>
        </row>
        <row r="848">
          <cell r="C848" t="str">
            <v>HY</v>
          </cell>
          <cell r="D848">
            <v>7.5</v>
          </cell>
          <cell r="H848" t="str">
            <v>hydro</v>
          </cell>
        </row>
        <row r="849">
          <cell r="C849" t="str">
            <v>HY</v>
          </cell>
          <cell r="D849">
            <v>7.5</v>
          </cell>
          <cell r="H849" t="str">
            <v>hydro</v>
          </cell>
        </row>
        <row r="850">
          <cell r="C850" t="str">
            <v>GT</v>
          </cell>
          <cell r="D850">
            <v>43</v>
          </cell>
          <cell r="H850" t="str">
            <v>natural gas peaker</v>
          </cell>
        </row>
        <row r="851">
          <cell r="C851" t="str">
            <v>HY</v>
          </cell>
          <cell r="D851">
            <v>2.8</v>
          </cell>
          <cell r="H851" t="str">
            <v>hydro</v>
          </cell>
        </row>
        <row r="852">
          <cell r="C852" t="str">
            <v>HY</v>
          </cell>
          <cell r="D852">
            <v>2.8</v>
          </cell>
          <cell r="H852" t="str">
            <v>hydro</v>
          </cell>
        </row>
        <row r="853">
          <cell r="C853" t="str">
            <v>HY</v>
          </cell>
          <cell r="D853">
            <v>7.9</v>
          </cell>
          <cell r="H853" t="str">
            <v>hydro</v>
          </cell>
        </row>
        <row r="854">
          <cell r="C854" t="str">
            <v>HY</v>
          </cell>
          <cell r="D854">
            <v>1.9</v>
          </cell>
          <cell r="H854" t="str">
            <v>hydro</v>
          </cell>
        </row>
        <row r="855">
          <cell r="C855" t="str">
            <v>HY</v>
          </cell>
          <cell r="D855">
            <v>3.1</v>
          </cell>
          <cell r="H855" t="str">
            <v>hydro</v>
          </cell>
        </row>
        <row r="856">
          <cell r="C856" t="str">
            <v>HY</v>
          </cell>
          <cell r="D856">
            <v>5.9</v>
          </cell>
          <cell r="H856" t="str">
            <v>hydro</v>
          </cell>
        </row>
        <row r="857">
          <cell r="C857" t="str">
            <v>HY</v>
          </cell>
          <cell r="D857">
            <v>4.0999999999999996</v>
          </cell>
          <cell r="H857" t="str">
            <v>hydro</v>
          </cell>
        </row>
        <row r="858">
          <cell r="C858" t="str">
            <v>HY</v>
          </cell>
          <cell r="D858">
            <v>5.5</v>
          </cell>
          <cell r="H858" t="str">
            <v>hydro</v>
          </cell>
        </row>
        <row r="859">
          <cell r="C859" t="str">
            <v>IC</v>
          </cell>
          <cell r="D859">
            <v>0.5</v>
          </cell>
          <cell r="H859" t="str">
            <v>petroleum</v>
          </cell>
        </row>
        <row r="860">
          <cell r="C860" t="str">
            <v>IC</v>
          </cell>
          <cell r="D860">
            <v>1</v>
          </cell>
          <cell r="H860" t="str">
            <v>petroleum</v>
          </cell>
        </row>
        <row r="861">
          <cell r="C861" t="str">
            <v>ST</v>
          </cell>
          <cell r="D861">
            <v>77</v>
          </cell>
          <cell r="H861" t="str">
            <v>hard coal</v>
          </cell>
        </row>
        <row r="862">
          <cell r="C862" t="str">
            <v>ST</v>
          </cell>
          <cell r="D862">
            <v>131</v>
          </cell>
          <cell r="H862" t="str">
            <v>hard coal</v>
          </cell>
        </row>
        <row r="863">
          <cell r="C863" t="str">
            <v>ST</v>
          </cell>
          <cell r="D863">
            <v>16</v>
          </cell>
          <cell r="H863" t="str">
            <v>natural gas peaker</v>
          </cell>
        </row>
        <row r="864">
          <cell r="C864" t="str">
            <v>ST</v>
          </cell>
          <cell r="D864">
            <v>16</v>
          </cell>
          <cell r="H864" t="str">
            <v>natural gas peaker</v>
          </cell>
        </row>
        <row r="865">
          <cell r="C865" t="str">
            <v>ST</v>
          </cell>
          <cell r="D865">
            <v>23</v>
          </cell>
          <cell r="H865" t="str">
            <v>natural gas peaker</v>
          </cell>
        </row>
        <row r="866">
          <cell r="C866" t="str">
            <v>HY</v>
          </cell>
          <cell r="D866">
            <v>2.5</v>
          </cell>
          <cell r="H866" t="str">
            <v>hydro</v>
          </cell>
        </row>
        <row r="867">
          <cell r="C867" t="str">
            <v>HY</v>
          </cell>
          <cell r="D867">
            <v>2.5</v>
          </cell>
          <cell r="H867" t="str">
            <v>hydro</v>
          </cell>
        </row>
        <row r="868">
          <cell r="C868" t="str">
            <v>HY</v>
          </cell>
          <cell r="D868">
            <v>0.5</v>
          </cell>
          <cell r="H868" t="str">
            <v>hydro</v>
          </cell>
        </row>
        <row r="869">
          <cell r="C869" t="str">
            <v>HY</v>
          </cell>
          <cell r="D869">
            <v>1</v>
          </cell>
          <cell r="H869" t="str">
            <v>hydro</v>
          </cell>
        </row>
        <row r="870">
          <cell r="C870" t="str">
            <v>IC</v>
          </cell>
          <cell r="D870">
            <v>0.3</v>
          </cell>
          <cell r="H870" t="str">
            <v>petroleum</v>
          </cell>
        </row>
        <row r="871">
          <cell r="C871" t="str">
            <v>IC</v>
          </cell>
          <cell r="D871">
            <v>1.7</v>
          </cell>
          <cell r="H871" t="str">
            <v>petroleum</v>
          </cell>
        </row>
        <row r="872">
          <cell r="C872" t="str">
            <v>IC</v>
          </cell>
          <cell r="D872">
            <v>0.7</v>
          </cell>
          <cell r="H872" t="str">
            <v>petroleum</v>
          </cell>
        </row>
        <row r="873">
          <cell r="C873" t="str">
            <v>IC</v>
          </cell>
          <cell r="D873">
            <v>0.7</v>
          </cell>
          <cell r="H873" t="str">
            <v>petroleum</v>
          </cell>
        </row>
        <row r="874">
          <cell r="C874" t="str">
            <v>IC</v>
          </cell>
          <cell r="D874">
            <v>0.2</v>
          </cell>
          <cell r="H874" t="str">
            <v>petroleum</v>
          </cell>
        </row>
        <row r="875">
          <cell r="C875" t="str">
            <v>IC</v>
          </cell>
          <cell r="D875">
            <v>1.1000000000000001</v>
          </cell>
          <cell r="H875" t="str">
            <v>petroleum</v>
          </cell>
        </row>
        <row r="876">
          <cell r="C876" t="str">
            <v>IC</v>
          </cell>
          <cell r="D876">
            <v>0.2</v>
          </cell>
          <cell r="H876" t="str">
            <v>petroleum</v>
          </cell>
        </row>
        <row r="877">
          <cell r="C877" t="str">
            <v>HY</v>
          </cell>
          <cell r="D877">
            <v>8.6</v>
          </cell>
          <cell r="H877" t="str">
            <v>hydro</v>
          </cell>
        </row>
        <row r="878">
          <cell r="C878" t="str">
            <v>HY</v>
          </cell>
          <cell r="D878">
            <v>8.6</v>
          </cell>
          <cell r="H878" t="str">
            <v>hydro</v>
          </cell>
        </row>
        <row r="879">
          <cell r="C879" t="str">
            <v>IC</v>
          </cell>
          <cell r="D879">
            <v>0.5</v>
          </cell>
          <cell r="H879" t="str">
            <v>petroleum</v>
          </cell>
        </row>
        <row r="880">
          <cell r="C880" t="str">
            <v>IC</v>
          </cell>
          <cell r="D880">
            <v>0.4</v>
          </cell>
          <cell r="H880" t="str">
            <v>petroleum</v>
          </cell>
        </row>
        <row r="881">
          <cell r="C881" t="str">
            <v>IC</v>
          </cell>
          <cell r="D881">
            <v>1</v>
          </cell>
          <cell r="H881" t="str">
            <v>petroleum</v>
          </cell>
        </row>
        <row r="882">
          <cell r="C882" t="str">
            <v>IC</v>
          </cell>
          <cell r="D882">
            <v>2.5</v>
          </cell>
          <cell r="H882" t="str">
            <v>petroleum</v>
          </cell>
        </row>
        <row r="883">
          <cell r="C883" t="str">
            <v>IC</v>
          </cell>
          <cell r="D883">
            <v>3</v>
          </cell>
          <cell r="H883" t="str">
            <v>petroleum</v>
          </cell>
        </row>
        <row r="884">
          <cell r="C884" t="str">
            <v>IC</v>
          </cell>
          <cell r="D884">
            <v>3</v>
          </cell>
          <cell r="H884" t="str">
            <v>petroleum</v>
          </cell>
        </row>
        <row r="885">
          <cell r="C885" t="str">
            <v>IC</v>
          </cell>
          <cell r="D885">
            <v>4</v>
          </cell>
          <cell r="H885" t="str">
            <v>petroleum</v>
          </cell>
        </row>
        <row r="886">
          <cell r="C886" t="str">
            <v>IC</v>
          </cell>
          <cell r="D886">
            <v>0.3</v>
          </cell>
          <cell r="H886" t="str">
            <v>petroleum</v>
          </cell>
        </row>
        <row r="887">
          <cell r="C887" t="str">
            <v>IC</v>
          </cell>
          <cell r="D887">
            <v>0.3</v>
          </cell>
          <cell r="H887" t="str">
            <v>petroleum</v>
          </cell>
        </row>
        <row r="888">
          <cell r="C888" t="str">
            <v>IC</v>
          </cell>
          <cell r="D888">
            <v>1</v>
          </cell>
          <cell r="H888" t="str">
            <v>petroleum</v>
          </cell>
        </row>
        <row r="889">
          <cell r="C889" t="str">
            <v>IC</v>
          </cell>
          <cell r="D889">
            <v>1</v>
          </cell>
          <cell r="H889" t="str">
            <v>petroleum</v>
          </cell>
        </row>
        <row r="890">
          <cell r="C890" t="str">
            <v>IC</v>
          </cell>
          <cell r="D890">
            <v>2.5</v>
          </cell>
          <cell r="H890" t="str">
            <v>petroleum</v>
          </cell>
        </row>
        <row r="891">
          <cell r="C891" t="str">
            <v>IC</v>
          </cell>
          <cell r="D891">
            <v>1</v>
          </cell>
          <cell r="H891" t="str">
            <v>petroleum</v>
          </cell>
        </row>
        <row r="892">
          <cell r="C892" t="str">
            <v>IC</v>
          </cell>
          <cell r="D892">
            <v>1</v>
          </cell>
          <cell r="H892" t="str">
            <v>petroleum</v>
          </cell>
        </row>
        <row r="893">
          <cell r="C893" t="str">
            <v>WT</v>
          </cell>
          <cell r="D893">
            <v>4</v>
          </cell>
          <cell r="H893" t="str">
            <v>onshore wind</v>
          </cell>
        </row>
        <row r="894">
          <cell r="C894" t="str">
            <v>WT</v>
          </cell>
          <cell r="D894">
            <v>1.5</v>
          </cell>
          <cell r="H894" t="str">
            <v>onshore wind</v>
          </cell>
        </row>
        <row r="895">
          <cell r="C895" t="str">
            <v>ST</v>
          </cell>
          <cell r="D895">
            <v>50</v>
          </cell>
          <cell r="H895" t="str">
            <v>geothermal</v>
          </cell>
        </row>
        <row r="896">
          <cell r="C896" t="str">
            <v>IC</v>
          </cell>
          <cell r="D896">
            <v>1.9</v>
          </cell>
          <cell r="H896" t="str">
            <v>natural gas peaker</v>
          </cell>
        </row>
        <row r="897">
          <cell r="C897" t="str">
            <v>IC</v>
          </cell>
          <cell r="D897">
            <v>1.9</v>
          </cell>
          <cell r="H897" t="str">
            <v>natural gas peaker</v>
          </cell>
        </row>
        <row r="898">
          <cell r="C898" t="str">
            <v>IC</v>
          </cell>
          <cell r="D898">
            <v>1.8</v>
          </cell>
          <cell r="H898" t="str">
            <v>petroleum</v>
          </cell>
        </row>
        <row r="899">
          <cell r="C899" t="str">
            <v>IC</v>
          </cell>
          <cell r="D899">
            <v>1.8</v>
          </cell>
          <cell r="H899" t="str">
            <v>petroleum</v>
          </cell>
        </row>
        <row r="900">
          <cell r="C900" t="str">
            <v>IC</v>
          </cell>
          <cell r="D900">
            <v>1.8</v>
          </cell>
          <cell r="H900" t="str">
            <v>petroleum</v>
          </cell>
        </row>
        <row r="901">
          <cell r="C901" t="str">
            <v>HY</v>
          </cell>
          <cell r="D901">
            <v>43.2</v>
          </cell>
          <cell r="H901" t="str">
            <v>hydro</v>
          </cell>
        </row>
        <row r="902">
          <cell r="C902" t="str">
            <v>HY</v>
          </cell>
          <cell r="D902">
            <v>43.2</v>
          </cell>
          <cell r="H902" t="str">
            <v>hydro</v>
          </cell>
        </row>
        <row r="903">
          <cell r="C903" t="str">
            <v>HY</v>
          </cell>
          <cell r="D903">
            <v>17.2</v>
          </cell>
          <cell r="H903" t="str">
            <v>hydro</v>
          </cell>
        </row>
        <row r="904">
          <cell r="C904" t="str">
            <v>HY</v>
          </cell>
          <cell r="D904">
            <v>17.2</v>
          </cell>
          <cell r="H904" t="str">
            <v>hydro</v>
          </cell>
        </row>
        <row r="905">
          <cell r="C905" t="str">
            <v>HY</v>
          </cell>
          <cell r="D905">
            <v>17.2</v>
          </cell>
          <cell r="H905" t="str">
            <v>hydro</v>
          </cell>
        </row>
        <row r="906">
          <cell r="C906" t="str">
            <v>HY</v>
          </cell>
          <cell r="D906">
            <v>86.6</v>
          </cell>
          <cell r="H906" t="str">
            <v>hydro</v>
          </cell>
        </row>
        <row r="907">
          <cell r="C907" t="str">
            <v>HY</v>
          </cell>
          <cell r="D907">
            <v>86.6</v>
          </cell>
          <cell r="H907" t="str">
            <v>hydro</v>
          </cell>
        </row>
        <row r="908">
          <cell r="C908" t="str">
            <v>HY</v>
          </cell>
          <cell r="D908">
            <v>5.2</v>
          </cell>
          <cell r="H908" t="str">
            <v>hydro</v>
          </cell>
        </row>
        <row r="909">
          <cell r="C909" t="str">
            <v>HY</v>
          </cell>
          <cell r="D909">
            <v>13</v>
          </cell>
          <cell r="H909" t="str">
            <v>hydro</v>
          </cell>
        </row>
        <row r="910">
          <cell r="C910" t="str">
            <v>HY</v>
          </cell>
          <cell r="D910">
            <v>13</v>
          </cell>
          <cell r="H910" t="str">
            <v>hydro</v>
          </cell>
        </row>
        <row r="911">
          <cell r="C911" t="str">
            <v>HY</v>
          </cell>
          <cell r="D911">
            <v>9.3000000000000007</v>
          </cell>
          <cell r="H911" t="str">
            <v>hydro</v>
          </cell>
        </row>
        <row r="912">
          <cell r="C912" t="str">
            <v>HY</v>
          </cell>
          <cell r="D912">
            <v>43</v>
          </cell>
          <cell r="H912" t="str">
            <v>hydro</v>
          </cell>
        </row>
        <row r="913">
          <cell r="C913" t="str">
            <v>HY</v>
          </cell>
          <cell r="D913">
            <v>43</v>
          </cell>
          <cell r="H913" t="str">
            <v>hydro</v>
          </cell>
        </row>
        <row r="914">
          <cell r="C914" t="str">
            <v>PS</v>
          </cell>
          <cell r="D914">
            <v>8.5</v>
          </cell>
          <cell r="H914" t="str">
            <v>other</v>
          </cell>
        </row>
        <row r="915">
          <cell r="C915" t="str">
            <v>HY</v>
          </cell>
          <cell r="D915">
            <v>38.200000000000003</v>
          </cell>
          <cell r="H915" t="str">
            <v>hydro</v>
          </cell>
        </row>
        <row r="916">
          <cell r="C916" t="str">
            <v>HY</v>
          </cell>
          <cell r="D916">
            <v>5.6</v>
          </cell>
          <cell r="H916" t="str">
            <v>hydro</v>
          </cell>
        </row>
        <row r="917">
          <cell r="C917" t="str">
            <v>HY</v>
          </cell>
          <cell r="D917">
            <v>9.9</v>
          </cell>
          <cell r="H917" t="str">
            <v>hydro</v>
          </cell>
        </row>
        <row r="918">
          <cell r="C918" t="str">
            <v>ST</v>
          </cell>
          <cell r="D918">
            <v>179</v>
          </cell>
          <cell r="H918" t="str">
            <v>hard coal</v>
          </cell>
        </row>
        <row r="919">
          <cell r="C919" t="str">
            <v>ST</v>
          </cell>
          <cell r="D919">
            <v>262</v>
          </cell>
          <cell r="H919" t="str">
            <v>hard coal</v>
          </cell>
        </row>
        <row r="920">
          <cell r="C920" t="str">
            <v>HY</v>
          </cell>
          <cell r="D920">
            <v>7.2</v>
          </cell>
          <cell r="H920" t="str">
            <v>hydro</v>
          </cell>
        </row>
        <row r="921">
          <cell r="C921" t="str">
            <v>CA</v>
          </cell>
          <cell r="D921">
            <v>9</v>
          </cell>
          <cell r="H921" t="str">
            <v>natural gas nonpeaker</v>
          </cell>
        </row>
        <row r="922">
          <cell r="C922" t="str">
            <v>CA</v>
          </cell>
          <cell r="D922">
            <v>9</v>
          </cell>
          <cell r="H922" t="str">
            <v>natural gas nonpeaker</v>
          </cell>
        </row>
        <row r="923">
          <cell r="C923" t="str">
            <v>CA</v>
          </cell>
          <cell r="D923">
            <v>22</v>
          </cell>
          <cell r="H923" t="str">
            <v>natural gas nonpeaker</v>
          </cell>
        </row>
        <row r="924">
          <cell r="C924" t="str">
            <v>CT</v>
          </cell>
          <cell r="D924">
            <v>109</v>
          </cell>
          <cell r="H924" t="str">
            <v>natural gas nonpeaker</v>
          </cell>
        </row>
        <row r="925">
          <cell r="C925" t="str">
            <v>CT</v>
          </cell>
          <cell r="D925">
            <v>171</v>
          </cell>
          <cell r="H925" t="str">
            <v>natural gas nonpeaker</v>
          </cell>
        </row>
        <row r="926">
          <cell r="C926" t="str">
            <v>CT</v>
          </cell>
          <cell r="D926">
            <v>168</v>
          </cell>
          <cell r="H926" t="str">
            <v>natural gas nonpeaker</v>
          </cell>
        </row>
        <row r="927">
          <cell r="C927" t="str">
            <v>CA</v>
          </cell>
          <cell r="D927">
            <v>176</v>
          </cell>
          <cell r="H927" t="str">
            <v>natural gas nonpeaker</v>
          </cell>
        </row>
        <row r="928">
          <cell r="C928" t="str">
            <v>HY</v>
          </cell>
          <cell r="D928">
            <v>10</v>
          </cell>
          <cell r="H928" t="str">
            <v>hydro</v>
          </cell>
        </row>
        <row r="929">
          <cell r="C929" t="str">
            <v>GT</v>
          </cell>
          <cell r="D929">
            <v>77</v>
          </cell>
          <cell r="H929" t="str">
            <v>natural gas peaker</v>
          </cell>
        </row>
        <row r="930">
          <cell r="C930" t="str">
            <v>HY</v>
          </cell>
          <cell r="D930">
            <v>3.5</v>
          </cell>
          <cell r="H930" t="str">
            <v>hydro</v>
          </cell>
        </row>
        <row r="931">
          <cell r="C931" t="str">
            <v>HY</v>
          </cell>
          <cell r="D931">
            <v>3.5</v>
          </cell>
          <cell r="H931" t="str">
            <v>hydro</v>
          </cell>
        </row>
        <row r="932">
          <cell r="C932" t="str">
            <v>HY</v>
          </cell>
          <cell r="D932">
            <v>3.5</v>
          </cell>
          <cell r="H932" t="str">
            <v>hydro</v>
          </cell>
        </row>
        <row r="933">
          <cell r="C933" t="str">
            <v>PS</v>
          </cell>
          <cell r="D933">
            <v>2</v>
          </cell>
          <cell r="H933" t="str">
            <v>other</v>
          </cell>
        </row>
        <row r="934">
          <cell r="C934" t="str">
            <v>PS</v>
          </cell>
          <cell r="D934">
            <v>2</v>
          </cell>
          <cell r="H934" t="str">
            <v>other</v>
          </cell>
        </row>
        <row r="935">
          <cell r="C935" t="str">
            <v>PS</v>
          </cell>
          <cell r="D935">
            <v>25.4</v>
          </cell>
          <cell r="H935" t="str">
            <v>other</v>
          </cell>
        </row>
        <row r="936">
          <cell r="C936" t="str">
            <v>GT</v>
          </cell>
          <cell r="D936">
            <v>17.399999999999999</v>
          </cell>
          <cell r="H936" t="str">
            <v>other</v>
          </cell>
        </row>
        <row r="937">
          <cell r="C937" t="str">
            <v>HY</v>
          </cell>
          <cell r="D937">
            <v>1.4</v>
          </cell>
          <cell r="H937" t="str">
            <v>hydro</v>
          </cell>
        </row>
        <row r="938">
          <cell r="C938" t="str">
            <v>HY</v>
          </cell>
          <cell r="D938">
            <v>1.4</v>
          </cell>
          <cell r="H938" t="str">
            <v>hydro</v>
          </cell>
        </row>
        <row r="939">
          <cell r="C939" t="str">
            <v>HY</v>
          </cell>
          <cell r="D939">
            <v>1.4</v>
          </cell>
          <cell r="H939" t="str">
            <v>hydro</v>
          </cell>
        </row>
        <row r="940">
          <cell r="C940" t="str">
            <v>HY</v>
          </cell>
          <cell r="D940">
            <v>1.4</v>
          </cell>
          <cell r="H940" t="str">
            <v>hydro</v>
          </cell>
        </row>
        <row r="941">
          <cell r="C941" t="str">
            <v>HY</v>
          </cell>
          <cell r="D941">
            <v>1.4</v>
          </cell>
          <cell r="H941" t="str">
            <v>hydro</v>
          </cell>
        </row>
        <row r="942">
          <cell r="C942" t="str">
            <v>HY</v>
          </cell>
          <cell r="D942">
            <v>1.4</v>
          </cell>
          <cell r="H942" t="str">
            <v>hydro</v>
          </cell>
        </row>
        <row r="943">
          <cell r="C943" t="str">
            <v>GT</v>
          </cell>
          <cell r="D943">
            <v>19.100000000000001</v>
          </cell>
          <cell r="H943" t="str">
            <v>other</v>
          </cell>
        </row>
        <row r="944">
          <cell r="C944" t="str">
            <v>GT</v>
          </cell>
          <cell r="D944">
            <v>18.7</v>
          </cell>
          <cell r="H944" t="str">
            <v>other</v>
          </cell>
        </row>
        <row r="945">
          <cell r="C945" t="str">
            <v>GT</v>
          </cell>
          <cell r="D945">
            <v>19.100000000000001</v>
          </cell>
          <cell r="H945" t="str">
            <v>other</v>
          </cell>
        </row>
        <row r="946">
          <cell r="C946" t="str">
            <v>GT</v>
          </cell>
          <cell r="D946">
            <v>19.100000000000001</v>
          </cell>
          <cell r="H946" t="str">
            <v>other</v>
          </cell>
        </row>
        <row r="947">
          <cell r="C947" t="str">
            <v>GT</v>
          </cell>
          <cell r="D947">
            <v>19.600000000000001</v>
          </cell>
          <cell r="H947" t="str">
            <v>other</v>
          </cell>
        </row>
        <row r="948">
          <cell r="C948" t="str">
            <v>GT</v>
          </cell>
          <cell r="D948">
            <v>14.4</v>
          </cell>
          <cell r="H948" t="str">
            <v>other</v>
          </cell>
        </row>
        <row r="949">
          <cell r="C949" t="str">
            <v>GT</v>
          </cell>
          <cell r="D949">
            <v>29.3</v>
          </cell>
          <cell r="H949" t="str">
            <v>other</v>
          </cell>
        </row>
        <row r="950">
          <cell r="C950" t="str">
            <v>GT</v>
          </cell>
          <cell r="D950">
            <v>29.2</v>
          </cell>
          <cell r="H950" t="str">
            <v>other</v>
          </cell>
        </row>
        <row r="951">
          <cell r="C951" t="str">
            <v>GT</v>
          </cell>
          <cell r="D951">
            <v>29.9</v>
          </cell>
          <cell r="H951" t="str">
            <v>other</v>
          </cell>
        </row>
        <row r="952">
          <cell r="C952" t="str">
            <v>GT</v>
          </cell>
          <cell r="D952">
            <v>29.7</v>
          </cell>
          <cell r="H952" t="str">
            <v>other</v>
          </cell>
        </row>
        <row r="953">
          <cell r="C953" t="str">
            <v>IC</v>
          </cell>
          <cell r="D953">
            <v>2.7</v>
          </cell>
          <cell r="H953" t="str">
            <v>petroleum</v>
          </cell>
        </row>
        <row r="954">
          <cell r="C954" t="str">
            <v>IC</v>
          </cell>
          <cell r="D954">
            <v>2.7</v>
          </cell>
          <cell r="H954" t="str">
            <v>petroleum</v>
          </cell>
        </row>
        <row r="955">
          <cell r="C955" t="str">
            <v>ST</v>
          </cell>
          <cell r="D955">
            <v>81</v>
          </cell>
          <cell r="H955" t="str">
            <v>petroleum</v>
          </cell>
        </row>
        <row r="956">
          <cell r="C956" t="str">
            <v>ST</v>
          </cell>
          <cell r="D956">
            <v>410</v>
          </cell>
          <cell r="H956" t="str">
            <v>petroleum</v>
          </cell>
        </row>
        <row r="957">
          <cell r="C957" t="str">
            <v>PS</v>
          </cell>
          <cell r="D957">
            <v>292</v>
          </cell>
          <cell r="H957" t="str">
            <v>other</v>
          </cell>
        </row>
        <row r="958">
          <cell r="C958" t="str">
            <v>PS</v>
          </cell>
          <cell r="D958">
            <v>292</v>
          </cell>
          <cell r="H958" t="str">
            <v>other</v>
          </cell>
        </row>
        <row r="959">
          <cell r="C959" t="str">
            <v>PS</v>
          </cell>
          <cell r="D959">
            <v>292</v>
          </cell>
          <cell r="H959" t="str">
            <v>other</v>
          </cell>
        </row>
        <row r="960">
          <cell r="C960" t="str">
            <v>PS</v>
          </cell>
          <cell r="D960">
            <v>292</v>
          </cell>
          <cell r="H960" t="str">
            <v>other</v>
          </cell>
        </row>
        <row r="961">
          <cell r="C961" t="str">
            <v>ST</v>
          </cell>
          <cell r="D961">
            <v>50</v>
          </cell>
          <cell r="H961" t="str">
            <v>biomass</v>
          </cell>
        </row>
        <row r="962">
          <cell r="C962" t="str">
            <v>GT</v>
          </cell>
          <cell r="D962">
            <v>6.2</v>
          </cell>
          <cell r="H962" t="str">
            <v>natural gas peaker</v>
          </cell>
        </row>
        <row r="963">
          <cell r="C963" t="str">
            <v>HY</v>
          </cell>
          <cell r="D963">
            <v>1.7</v>
          </cell>
          <cell r="H963" t="str">
            <v>hydro</v>
          </cell>
        </row>
        <row r="964">
          <cell r="C964" t="str">
            <v>HY</v>
          </cell>
          <cell r="D964">
            <v>41.5</v>
          </cell>
          <cell r="H964" t="str">
            <v>hydro</v>
          </cell>
        </row>
        <row r="965">
          <cell r="C965" t="str">
            <v>HY</v>
          </cell>
          <cell r="D965">
            <v>7.1</v>
          </cell>
          <cell r="H965" t="str">
            <v>hydro</v>
          </cell>
        </row>
        <row r="966">
          <cell r="C966" t="str">
            <v>HY</v>
          </cell>
          <cell r="D966">
            <v>7.1</v>
          </cell>
          <cell r="H966" t="str">
            <v>hydro</v>
          </cell>
        </row>
        <row r="967">
          <cell r="C967" t="str">
            <v>HY</v>
          </cell>
          <cell r="D967">
            <v>7.1</v>
          </cell>
          <cell r="H967" t="str">
            <v>hydro</v>
          </cell>
        </row>
        <row r="968">
          <cell r="C968" t="str">
            <v>HY</v>
          </cell>
          <cell r="D968">
            <v>7.6</v>
          </cell>
          <cell r="H968" t="str">
            <v>hydro</v>
          </cell>
        </row>
        <row r="969">
          <cell r="C969" t="str">
            <v>HY</v>
          </cell>
          <cell r="D969">
            <v>0.4</v>
          </cell>
          <cell r="H969" t="str">
            <v>hydro</v>
          </cell>
        </row>
        <row r="970">
          <cell r="C970" t="str">
            <v>HY</v>
          </cell>
          <cell r="D970">
            <v>0.4</v>
          </cell>
          <cell r="H970" t="str">
            <v>hydro</v>
          </cell>
        </row>
        <row r="971">
          <cell r="C971" t="str">
            <v>HY</v>
          </cell>
          <cell r="D971">
            <v>0.4</v>
          </cell>
          <cell r="H971" t="str">
            <v>hydro</v>
          </cell>
        </row>
        <row r="972">
          <cell r="C972" t="str">
            <v>HY</v>
          </cell>
          <cell r="D972">
            <v>0.4</v>
          </cell>
          <cell r="H972" t="str">
            <v>hydro</v>
          </cell>
        </row>
        <row r="973">
          <cell r="C973" t="str">
            <v>HY</v>
          </cell>
          <cell r="D973">
            <v>0.4</v>
          </cell>
          <cell r="H973" t="str">
            <v>hydro</v>
          </cell>
        </row>
        <row r="974">
          <cell r="C974" t="str">
            <v>HY</v>
          </cell>
          <cell r="D974">
            <v>0.8</v>
          </cell>
          <cell r="H974" t="str">
            <v>hydro</v>
          </cell>
        </row>
        <row r="975">
          <cell r="C975" t="str">
            <v>GT</v>
          </cell>
          <cell r="D975">
            <v>16.5</v>
          </cell>
          <cell r="H975" t="str">
            <v>petroleum</v>
          </cell>
        </row>
        <row r="976">
          <cell r="C976" t="str">
            <v>HY</v>
          </cell>
          <cell r="D976">
            <v>0.8</v>
          </cell>
          <cell r="H976" t="str">
            <v>hydro</v>
          </cell>
        </row>
        <row r="977">
          <cell r="C977" t="str">
            <v>HY</v>
          </cell>
          <cell r="D977">
            <v>4</v>
          </cell>
          <cell r="H977" t="str">
            <v>hydro</v>
          </cell>
        </row>
        <row r="978">
          <cell r="C978" t="str">
            <v>HY</v>
          </cell>
          <cell r="D978">
            <v>4</v>
          </cell>
          <cell r="H978" t="str">
            <v>hydro</v>
          </cell>
        </row>
        <row r="979">
          <cell r="C979" t="str">
            <v>HY</v>
          </cell>
          <cell r="D979">
            <v>3.3</v>
          </cell>
          <cell r="H979" t="str">
            <v>hydro</v>
          </cell>
        </row>
        <row r="980">
          <cell r="C980" t="str">
            <v>HY</v>
          </cell>
          <cell r="D980">
            <v>3.3</v>
          </cell>
          <cell r="H980" t="str">
            <v>hydro</v>
          </cell>
        </row>
        <row r="981">
          <cell r="C981" t="str">
            <v>HY</v>
          </cell>
          <cell r="D981">
            <v>3.3</v>
          </cell>
          <cell r="H981" t="str">
            <v>hydro</v>
          </cell>
        </row>
        <row r="982">
          <cell r="C982" t="str">
            <v>GT</v>
          </cell>
          <cell r="D982">
            <v>16.100000000000001</v>
          </cell>
          <cell r="H982" t="str">
            <v>other</v>
          </cell>
        </row>
        <row r="983">
          <cell r="C983" t="str">
            <v>GT</v>
          </cell>
          <cell r="D983">
            <v>17.2</v>
          </cell>
          <cell r="H983" t="str">
            <v>other</v>
          </cell>
        </row>
        <row r="984">
          <cell r="C984" t="str">
            <v>ST</v>
          </cell>
          <cell r="D984">
            <v>117</v>
          </cell>
          <cell r="H984" t="str">
            <v>natural gas peaker</v>
          </cell>
        </row>
        <row r="985">
          <cell r="C985" t="str">
            <v>ST</v>
          </cell>
          <cell r="D985">
            <v>236</v>
          </cell>
          <cell r="H985" t="str">
            <v>natural gas peaker</v>
          </cell>
        </row>
        <row r="986">
          <cell r="C986" t="str">
            <v>ST</v>
          </cell>
          <cell r="D986">
            <v>400</v>
          </cell>
          <cell r="H986" t="str">
            <v>petroleum</v>
          </cell>
        </row>
        <row r="987">
          <cell r="C987" t="str">
            <v>GT</v>
          </cell>
          <cell r="D987">
            <v>35.700000000000003</v>
          </cell>
          <cell r="H987" t="str">
            <v>other</v>
          </cell>
        </row>
        <row r="988">
          <cell r="C988" t="str">
            <v>GT</v>
          </cell>
          <cell r="D988">
            <v>37.700000000000003</v>
          </cell>
          <cell r="H988" t="str">
            <v>other</v>
          </cell>
        </row>
        <row r="989">
          <cell r="C989" t="str">
            <v>GT</v>
          </cell>
          <cell r="D989">
            <v>38.299999999999997</v>
          </cell>
          <cell r="H989" t="str">
            <v>other</v>
          </cell>
        </row>
        <row r="990">
          <cell r="C990" t="str">
            <v>GT</v>
          </cell>
          <cell r="D990">
            <v>36.700000000000003</v>
          </cell>
          <cell r="H990" t="str">
            <v>other</v>
          </cell>
        </row>
        <row r="991">
          <cell r="C991" t="str">
            <v>ST</v>
          </cell>
          <cell r="D991">
            <v>429</v>
          </cell>
          <cell r="H991" t="str">
            <v>hard coal</v>
          </cell>
        </row>
        <row r="992">
          <cell r="C992" t="str">
            <v>ST</v>
          </cell>
          <cell r="D992">
            <v>445</v>
          </cell>
          <cell r="H992" t="str">
            <v>hard coal</v>
          </cell>
        </row>
        <row r="993">
          <cell r="C993" t="str">
            <v>CA</v>
          </cell>
          <cell r="D993">
            <v>128</v>
          </cell>
          <cell r="H993" t="str">
            <v>natural gas nonpeaker</v>
          </cell>
        </row>
        <row r="994">
          <cell r="C994" t="str">
            <v>CT</v>
          </cell>
          <cell r="D994">
            <v>167</v>
          </cell>
          <cell r="H994" t="str">
            <v>natural gas nonpeaker</v>
          </cell>
        </row>
        <row r="995">
          <cell r="C995" t="str">
            <v>GT</v>
          </cell>
          <cell r="D995">
            <v>17.399999999999999</v>
          </cell>
          <cell r="H995" t="str">
            <v>other</v>
          </cell>
        </row>
        <row r="996">
          <cell r="C996" t="str">
            <v>ST</v>
          </cell>
          <cell r="D996">
            <v>853</v>
          </cell>
          <cell r="H996" t="str">
            <v>nuclear</v>
          </cell>
        </row>
        <row r="997">
          <cell r="C997" t="str">
            <v>ST</v>
          </cell>
          <cell r="D997">
            <v>1220.0999999999999</v>
          </cell>
          <cell r="H997" t="str">
            <v>nuclear</v>
          </cell>
        </row>
        <row r="998">
          <cell r="C998" t="str">
            <v>ST</v>
          </cell>
          <cell r="D998">
            <v>383.4</v>
          </cell>
          <cell r="H998" t="str">
            <v>hard coal</v>
          </cell>
        </row>
        <row r="999">
          <cell r="C999" t="str">
            <v>GT</v>
          </cell>
          <cell r="D999">
            <v>17</v>
          </cell>
          <cell r="H999" t="str">
            <v>other</v>
          </cell>
        </row>
        <row r="1000">
          <cell r="C1000" t="str">
            <v>CT</v>
          </cell>
          <cell r="D1000">
            <v>375.7</v>
          </cell>
          <cell r="H1000" t="str">
            <v>natural gas nonpeaker</v>
          </cell>
        </row>
        <row r="1001">
          <cell r="C1001" t="str">
            <v>CA</v>
          </cell>
          <cell r="D1001">
            <v>200.6</v>
          </cell>
          <cell r="H1001" t="str">
            <v>natural gas nonpeaker</v>
          </cell>
        </row>
        <row r="1002">
          <cell r="C1002" t="str">
            <v>HY</v>
          </cell>
          <cell r="D1002">
            <v>3.2</v>
          </cell>
          <cell r="H1002" t="str">
            <v>hydro</v>
          </cell>
        </row>
        <row r="1003">
          <cell r="C1003" t="str">
            <v>GT</v>
          </cell>
          <cell r="D1003">
            <v>15.3</v>
          </cell>
          <cell r="H1003" t="str">
            <v>petroleum</v>
          </cell>
        </row>
        <row r="1004">
          <cell r="C1004" t="str">
            <v>HY</v>
          </cell>
          <cell r="D1004">
            <v>1</v>
          </cell>
          <cell r="H1004" t="str">
            <v>hydro</v>
          </cell>
        </row>
        <row r="1005">
          <cell r="C1005" t="str">
            <v>HY</v>
          </cell>
          <cell r="D1005">
            <v>15</v>
          </cell>
          <cell r="H1005" t="str">
            <v>hydro</v>
          </cell>
        </row>
        <row r="1006">
          <cell r="C1006" t="str">
            <v>HY</v>
          </cell>
          <cell r="D1006">
            <v>15</v>
          </cell>
          <cell r="H1006" t="str">
            <v>hydro</v>
          </cell>
        </row>
        <row r="1007">
          <cell r="C1007" t="str">
            <v>HY</v>
          </cell>
          <cell r="D1007">
            <v>1.3</v>
          </cell>
          <cell r="H1007" t="str">
            <v>hydro</v>
          </cell>
        </row>
        <row r="1008">
          <cell r="C1008" t="str">
            <v>HY</v>
          </cell>
          <cell r="D1008">
            <v>1.2</v>
          </cell>
          <cell r="H1008" t="str">
            <v>hydro</v>
          </cell>
        </row>
        <row r="1009">
          <cell r="C1009" t="str">
            <v>HY</v>
          </cell>
          <cell r="D1009">
            <v>1.3</v>
          </cell>
          <cell r="H1009" t="str">
            <v>hydro</v>
          </cell>
        </row>
        <row r="1010">
          <cell r="C1010" t="str">
            <v>HY</v>
          </cell>
          <cell r="D1010">
            <v>1</v>
          </cell>
          <cell r="H1010" t="str">
            <v>hydro</v>
          </cell>
        </row>
        <row r="1011">
          <cell r="C1011" t="str">
            <v>ST</v>
          </cell>
          <cell r="D1011">
            <v>52</v>
          </cell>
          <cell r="H1011" t="str">
            <v>biomass</v>
          </cell>
        </row>
        <row r="1012">
          <cell r="C1012" t="str">
            <v>GT</v>
          </cell>
          <cell r="D1012">
            <v>25</v>
          </cell>
          <cell r="H1012" t="str">
            <v>petroleum</v>
          </cell>
        </row>
        <row r="1013">
          <cell r="C1013" t="str">
            <v>GT</v>
          </cell>
          <cell r="D1013">
            <v>25</v>
          </cell>
          <cell r="H1013" t="str">
            <v>petroleum</v>
          </cell>
        </row>
        <row r="1014">
          <cell r="C1014" t="str">
            <v>GT</v>
          </cell>
          <cell r="D1014">
            <v>18</v>
          </cell>
          <cell r="H1014" t="str">
            <v>petroleum</v>
          </cell>
        </row>
        <row r="1015">
          <cell r="C1015" t="str">
            <v>GT</v>
          </cell>
          <cell r="D1015">
            <v>15</v>
          </cell>
          <cell r="H1015" t="str">
            <v>petroleum</v>
          </cell>
        </row>
        <row r="1016">
          <cell r="C1016" t="str">
            <v>ST</v>
          </cell>
          <cell r="D1016">
            <v>86</v>
          </cell>
          <cell r="H1016" t="str">
            <v>natural gas peaker</v>
          </cell>
        </row>
        <row r="1017">
          <cell r="C1017" t="str">
            <v>ST</v>
          </cell>
          <cell r="D1017">
            <v>174</v>
          </cell>
          <cell r="H1017" t="str">
            <v>natural gas peaker</v>
          </cell>
        </row>
        <row r="1018">
          <cell r="C1018" t="str">
            <v>ST</v>
          </cell>
          <cell r="D1018">
            <v>450</v>
          </cell>
          <cell r="H1018" t="str">
            <v>natural gas peaker</v>
          </cell>
        </row>
        <row r="1019">
          <cell r="C1019" t="str">
            <v>GT</v>
          </cell>
          <cell r="D1019">
            <v>16.100000000000001</v>
          </cell>
          <cell r="H1019" t="str">
            <v>petroleum</v>
          </cell>
        </row>
        <row r="1020">
          <cell r="C1020" t="str">
            <v>ST</v>
          </cell>
          <cell r="D1020">
            <v>410</v>
          </cell>
          <cell r="H1020" t="str">
            <v>hard coal</v>
          </cell>
        </row>
        <row r="1021">
          <cell r="C1021" t="str">
            <v>GT</v>
          </cell>
          <cell r="D1021">
            <v>15</v>
          </cell>
          <cell r="H1021" t="str">
            <v>petroleum</v>
          </cell>
        </row>
        <row r="1022">
          <cell r="C1022" t="str">
            <v>ST</v>
          </cell>
          <cell r="D1022">
            <v>103.1</v>
          </cell>
          <cell r="H1022" t="str">
            <v>natural gas peaker</v>
          </cell>
        </row>
        <row r="1023">
          <cell r="C1023" t="str">
            <v>ST</v>
          </cell>
          <cell r="D1023">
            <v>635</v>
          </cell>
          <cell r="H1023" t="str">
            <v>hard coal</v>
          </cell>
        </row>
        <row r="1024">
          <cell r="C1024" t="str">
            <v>ST</v>
          </cell>
          <cell r="D1024">
            <v>638</v>
          </cell>
          <cell r="H1024" t="str">
            <v>hard coal</v>
          </cell>
        </row>
        <row r="1025">
          <cell r="C1025" t="str">
            <v>GT</v>
          </cell>
          <cell r="D1025">
            <v>93</v>
          </cell>
          <cell r="H1025" t="str">
            <v>natural gas peaker</v>
          </cell>
        </row>
        <row r="1026">
          <cell r="C1026" t="str">
            <v>GT</v>
          </cell>
          <cell r="D1026">
            <v>93</v>
          </cell>
          <cell r="H1026" t="str">
            <v>natural gas peaker</v>
          </cell>
        </row>
        <row r="1027">
          <cell r="C1027" t="str">
            <v>GT</v>
          </cell>
          <cell r="D1027">
            <v>47</v>
          </cell>
          <cell r="H1027" t="str">
            <v>natural gas peaker</v>
          </cell>
        </row>
        <row r="1028">
          <cell r="C1028" t="str">
            <v>GT</v>
          </cell>
          <cell r="D1028">
            <v>47</v>
          </cell>
          <cell r="H1028" t="str">
            <v>natural gas peaker</v>
          </cell>
        </row>
        <row r="1029">
          <cell r="C1029" t="str">
            <v>CT</v>
          </cell>
          <cell r="D1029">
            <v>270.39999999999998</v>
          </cell>
          <cell r="H1029" t="str">
            <v>natural gas nonpeaker</v>
          </cell>
        </row>
        <row r="1030">
          <cell r="C1030" t="str">
            <v>CT</v>
          </cell>
          <cell r="D1030">
            <v>270.39999999999998</v>
          </cell>
          <cell r="H1030" t="str">
            <v>natural gas nonpeaker</v>
          </cell>
        </row>
        <row r="1031">
          <cell r="C1031" t="str">
            <v>CT</v>
          </cell>
          <cell r="D1031">
            <v>270.39999999999998</v>
          </cell>
          <cell r="H1031" t="str">
            <v>natural gas nonpeaker</v>
          </cell>
        </row>
        <row r="1032">
          <cell r="C1032" t="str">
            <v>CA</v>
          </cell>
          <cell r="D1032">
            <v>478.8</v>
          </cell>
          <cell r="H1032" t="str">
            <v>natural gas nonpeaker</v>
          </cell>
        </row>
        <row r="1033">
          <cell r="C1033" t="str">
            <v>CT</v>
          </cell>
          <cell r="D1033">
            <v>199.5</v>
          </cell>
          <cell r="H1033" t="str">
            <v>natural gas nonpeaker</v>
          </cell>
        </row>
        <row r="1034">
          <cell r="C1034" t="str">
            <v>CT</v>
          </cell>
          <cell r="D1034">
            <v>199.5</v>
          </cell>
          <cell r="H1034" t="str">
            <v>natural gas nonpeaker</v>
          </cell>
        </row>
        <row r="1035">
          <cell r="C1035" t="str">
            <v>CT</v>
          </cell>
          <cell r="D1035">
            <v>199.5</v>
          </cell>
          <cell r="H1035" t="str">
            <v>natural gas nonpeaker</v>
          </cell>
        </row>
        <row r="1036">
          <cell r="C1036" t="str">
            <v>CT</v>
          </cell>
          <cell r="D1036">
            <v>199.5</v>
          </cell>
          <cell r="H1036" t="str">
            <v>natural gas nonpeaker</v>
          </cell>
        </row>
        <row r="1037">
          <cell r="C1037" t="str">
            <v>CT</v>
          </cell>
          <cell r="D1037">
            <v>199.5</v>
          </cell>
          <cell r="H1037" t="str">
            <v>natural gas nonpeaker</v>
          </cell>
        </row>
        <row r="1038">
          <cell r="C1038" t="str">
            <v>CT</v>
          </cell>
          <cell r="D1038">
            <v>199.5</v>
          </cell>
          <cell r="H1038" t="str">
            <v>natural gas nonpeaker</v>
          </cell>
        </row>
        <row r="1039">
          <cell r="C1039" t="str">
            <v>GT</v>
          </cell>
          <cell r="D1039">
            <v>54</v>
          </cell>
          <cell r="H1039" t="str">
            <v>petroleum</v>
          </cell>
        </row>
        <row r="1040">
          <cell r="C1040" t="str">
            <v>GT</v>
          </cell>
          <cell r="D1040">
            <v>182</v>
          </cell>
          <cell r="H1040" t="str">
            <v>natural gas peaker</v>
          </cell>
        </row>
        <row r="1041">
          <cell r="C1041" t="str">
            <v>GT</v>
          </cell>
          <cell r="D1041">
            <v>182</v>
          </cell>
          <cell r="H1041" t="str">
            <v>natural gas peaker</v>
          </cell>
        </row>
        <row r="1042">
          <cell r="C1042" t="str">
            <v>GT</v>
          </cell>
          <cell r="D1042">
            <v>54</v>
          </cell>
          <cell r="H1042" t="str">
            <v>petroleum</v>
          </cell>
        </row>
        <row r="1043">
          <cell r="C1043" t="str">
            <v>GT</v>
          </cell>
          <cell r="D1043">
            <v>231</v>
          </cell>
          <cell r="H1043" t="str">
            <v>natural gas peaker</v>
          </cell>
        </row>
        <row r="1044">
          <cell r="C1044" t="str">
            <v>GT</v>
          </cell>
          <cell r="D1044">
            <v>231</v>
          </cell>
          <cell r="H1044" t="str">
            <v>natural gas peaker</v>
          </cell>
        </row>
        <row r="1045">
          <cell r="C1045" t="str">
            <v>CA</v>
          </cell>
          <cell r="D1045">
            <v>155.80000000000001</v>
          </cell>
          <cell r="H1045" t="str">
            <v>natural gas nonpeaker</v>
          </cell>
        </row>
        <row r="1046">
          <cell r="C1046" t="str">
            <v>CA</v>
          </cell>
          <cell r="D1046">
            <v>459.2</v>
          </cell>
          <cell r="H1046" t="str">
            <v>natural gas nonpeaker</v>
          </cell>
        </row>
        <row r="1047">
          <cell r="C1047" t="str">
            <v>GT</v>
          </cell>
          <cell r="D1047">
            <v>34.299999999999997</v>
          </cell>
          <cell r="H1047" t="str">
            <v>natural gas peaker</v>
          </cell>
        </row>
        <row r="1048">
          <cell r="C1048" t="str">
            <v>GT</v>
          </cell>
          <cell r="D1048">
            <v>34.299999999999997</v>
          </cell>
          <cell r="H1048" t="str">
            <v>natural gas peaker</v>
          </cell>
        </row>
        <row r="1049">
          <cell r="C1049" t="str">
            <v>GT</v>
          </cell>
          <cell r="D1049">
            <v>231</v>
          </cell>
          <cell r="H1049" t="str">
            <v>natural gas peaker</v>
          </cell>
        </row>
        <row r="1050">
          <cell r="C1050" t="str">
            <v>GT</v>
          </cell>
          <cell r="D1050">
            <v>231</v>
          </cell>
          <cell r="H1050" t="str">
            <v>natural gas peaker</v>
          </cell>
        </row>
        <row r="1051">
          <cell r="C1051" t="str">
            <v>GT</v>
          </cell>
          <cell r="D1051">
            <v>231</v>
          </cell>
          <cell r="H1051" t="str">
            <v>natural gas peaker</v>
          </cell>
        </row>
        <row r="1052">
          <cell r="C1052" t="str">
            <v>GT</v>
          </cell>
          <cell r="D1052">
            <v>231</v>
          </cell>
          <cell r="H1052" t="str">
            <v>natural gas peaker</v>
          </cell>
        </row>
        <row r="1053">
          <cell r="C1053" t="str">
            <v>GT</v>
          </cell>
          <cell r="D1053">
            <v>231</v>
          </cell>
          <cell r="H1053" t="str">
            <v>natural gas peaker</v>
          </cell>
        </row>
        <row r="1054">
          <cell r="C1054" t="str">
            <v>CT</v>
          </cell>
          <cell r="D1054">
            <v>271.89999999999998</v>
          </cell>
          <cell r="H1054" t="str">
            <v>natural gas nonpeaker</v>
          </cell>
        </row>
        <row r="1055">
          <cell r="C1055" t="str">
            <v>CT</v>
          </cell>
          <cell r="D1055">
            <v>271.89999999999998</v>
          </cell>
          <cell r="H1055" t="str">
            <v>natural gas nonpeaker</v>
          </cell>
        </row>
        <row r="1056">
          <cell r="C1056" t="str">
            <v>CT</v>
          </cell>
          <cell r="D1056">
            <v>271.89999999999998</v>
          </cell>
          <cell r="H1056" t="str">
            <v>natural gas nonpeaker</v>
          </cell>
        </row>
        <row r="1057">
          <cell r="C1057" t="str">
            <v>CA</v>
          </cell>
          <cell r="D1057">
            <v>421.3</v>
          </cell>
          <cell r="H1057" t="str">
            <v>natural gas nonpeaker</v>
          </cell>
        </row>
        <row r="1058">
          <cell r="C1058" t="str">
            <v>CT</v>
          </cell>
          <cell r="D1058">
            <v>270.5</v>
          </cell>
          <cell r="H1058" t="str">
            <v>natural gas nonpeaker</v>
          </cell>
        </row>
        <row r="1059">
          <cell r="C1059" t="str">
            <v>CT</v>
          </cell>
          <cell r="D1059">
            <v>270.5</v>
          </cell>
          <cell r="H1059" t="str">
            <v>natural gas nonpeaker</v>
          </cell>
        </row>
        <row r="1060">
          <cell r="C1060" t="str">
            <v>CT</v>
          </cell>
          <cell r="D1060">
            <v>270.5</v>
          </cell>
          <cell r="H1060" t="str">
            <v>natural gas nonpeaker</v>
          </cell>
        </row>
        <row r="1061">
          <cell r="C1061" t="str">
            <v>CA</v>
          </cell>
          <cell r="D1061">
            <v>478.5</v>
          </cell>
          <cell r="H1061" t="str">
            <v>natural gas nonpeaker</v>
          </cell>
        </row>
        <row r="1062">
          <cell r="C1062" t="str">
            <v>CA</v>
          </cell>
          <cell r="D1062">
            <v>333.8</v>
          </cell>
          <cell r="H1062" t="str">
            <v>natural gas nonpeaker</v>
          </cell>
        </row>
        <row r="1063">
          <cell r="C1063" t="str">
            <v>CT</v>
          </cell>
          <cell r="D1063">
            <v>173.8</v>
          </cell>
          <cell r="H1063" t="str">
            <v>natural gas nonpeaker</v>
          </cell>
        </row>
        <row r="1064">
          <cell r="C1064" t="str">
            <v>CT</v>
          </cell>
          <cell r="D1064">
            <v>173.8</v>
          </cell>
          <cell r="H1064" t="str">
            <v>natural gas nonpeaker</v>
          </cell>
        </row>
        <row r="1065">
          <cell r="C1065" t="str">
            <v>CT</v>
          </cell>
          <cell r="D1065">
            <v>173.8</v>
          </cell>
          <cell r="H1065" t="str">
            <v>natural gas nonpeaker</v>
          </cell>
        </row>
        <row r="1066">
          <cell r="C1066" t="str">
            <v>CT</v>
          </cell>
          <cell r="D1066">
            <v>173.8</v>
          </cell>
          <cell r="H1066" t="str">
            <v>natural gas nonpeaker</v>
          </cell>
        </row>
        <row r="1067">
          <cell r="C1067" t="str">
            <v>CA</v>
          </cell>
          <cell r="D1067">
            <v>388</v>
          </cell>
          <cell r="H1067" t="str">
            <v>natural gas nonpeaker</v>
          </cell>
        </row>
        <row r="1068">
          <cell r="C1068" t="str">
            <v>CT</v>
          </cell>
          <cell r="D1068">
            <v>197</v>
          </cell>
          <cell r="H1068" t="str">
            <v>natural gas nonpeaker</v>
          </cell>
        </row>
        <row r="1069">
          <cell r="C1069" t="str">
            <v>CT</v>
          </cell>
          <cell r="D1069">
            <v>197</v>
          </cell>
          <cell r="H1069" t="str">
            <v>natural gas nonpeaker</v>
          </cell>
        </row>
        <row r="1070">
          <cell r="C1070" t="str">
            <v>CT</v>
          </cell>
          <cell r="D1070">
            <v>197</v>
          </cell>
          <cell r="H1070" t="str">
            <v>natural gas nonpeaker</v>
          </cell>
        </row>
        <row r="1071">
          <cell r="C1071" t="str">
            <v>CT</v>
          </cell>
          <cell r="D1071">
            <v>197</v>
          </cell>
          <cell r="H1071" t="str">
            <v>natural gas nonpeaker</v>
          </cell>
        </row>
        <row r="1072">
          <cell r="C1072" t="str">
            <v>ST</v>
          </cell>
          <cell r="D1072">
            <v>837</v>
          </cell>
          <cell r="H1072" t="str">
            <v>nuclear</v>
          </cell>
        </row>
        <row r="1073">
          <cell r="C1073" t="str">
            <v>ST</v>
          </cell>
          <cell r="D1073">
            <v>821</v>
          </cell>
          <cell r="H1073" t="str">
            <v>nuclear</v>
          </cell>
        </row>
        <row r="1074">
          <cell r="C1074" t="str">
            <v>CA</v>
          </cell>
          <cell r="D1074">
            <v>466.2</v>
          </cell>
          <cell r="H1074" t="str">
            <v>natural gas nonpeaker</v>
          </cell>
        </row>
        <row r="1075">
          <cell r="C1075" t="str">
            <v>CT</v>
          </cell>
          <cell r="D1075">
            <v>196.7</v>
          </cell>
          <cell r="H1075" t="str">
            <v>natural gas nonpeaker</v>
          </cell>
        </row>
        <row r="1076">
          <cell r="C1076" t="str">
            <v>CT</v>
          </cell>
          <cell r="D1076">
            <v>196.7</v>
          </cell>
          <cell r="H1076" t="str">
            <v>natural gas nonpeaker</v>
          </cell>
        </row>
        <row r="1077">
          <cell r="C1077" t="str">
            <v>CT</v>
          </cell>
          <cell r="D1077">
            <v>196.7</v>
          </cell>
          <cell r="H1077" t="str">
            <v>natural gas nonpeaker</v>
          </cell>
        </row>
        <row r="1078">
          <cell r="C1078" t="str">
            <v>CT</v>
          </cell>
          <cell r="D1078">
            <v>196.7</v>
          </cell>
          <cell r="H1078" t="str">
            <v>natural gas nonpeaker</v>
          </cell>
        </row>
        <row r="1079">
          <cell r="C1079" t="str">
            <v>HY</v>
          </cell>
          <cell r="D1079">
            <v>16.8</v>
          </cell>
          <cell r="H1079" t="str">
            <v>hydro</v>
          </cell>
        </row>
        <row r="1080">
          <cell r="C1080" t="str">
            <v>GT</v>
          </cell>
          <cell r="D1080">
            <v>24</v>
          </cell>
          <cell r="H1080" t="str">
            <v>natural gas peaker</v>
          </cell>
        </row>
        <row r="1081">
          <cell r="C1081" t="str">
            <v>GT</v>
          </cell>
          <cell r="D1081">
            <v>24</v>
          </cell>
          <cell r="H1081" t="str">
            <v>petroleum</v>
          </cell>
        </row>
        <row r="1082">
          <cell r="C1082" t="str">
            <v>HY</v>
          </cell>
          <cell r="D1082">
            <v>9.1999999999999993</v>
          </cell>
          <cell r="H1082" t="str">
            <v>hydro</v>
          </cell>
        </row>
        <row r="1083">
          <cell r="C1083" t="str">
            <v>HY</v>
          </cell>
          <cell r="D1083">
            <v>9.1999999999999993</v>
          </cell>
          <cell r="H1083" t="str">
            <v>hydro</v>
          </cell>
        </row>
        <row r="1084">
          <cell r="C1084" t="str">
            <v>HY</v>
          </cell>
          <cell r="D1084">
            <v>1.3</v>
          </cell>
          <cell r="H1084" t="str">
            <v>hydro</v>
          </cell>
        </row>
        <row r="1085">
          <cell r="C1085" t="str">
            <v>GT</v>
          </cell>
          <cell r="D1085">
            <v>44</v>
          </cell>
          <cell r="H1085" t="str">
            <v>petroleum</v>
          </cell>
        </row>
        <row r="1086">
          <cell r="C1086" t="str">
            <v>GT</v>
          </cell>
          <cell r="D1086">
            <v>41</v>
          </cell>
          <cell r="H1086" t="str">
            <v>petroleum</v>
          </cell>
        </row>
        <row r="1087">
          <cell r="C1087" t="str">
            <v>GT</v>
          </cell>
          <cell r="D1087">
            <v>43</v>
          </cell>
          <cell r="H1087" t="str">
            <v>petroleum</v>
          </cell>
        </row>
        <row r="1088">
          <cell r="C1088" t="str">
            <v>GT</v>
          </cell>
          <cell r="D1088">
            <v>43</v>
          </cell>
          <cell r="H1088" t="str">
            <v>petroleum</v>
          </cell>
        </row>
        <row r="1089">
          <cell r="C1089" t="str">
            <v>CT</v>
          </cell>
          <cell r="D1089">
            <v>243</v>
          </cell>
          <cell r="H1089" t="str">
            <v>natural gas nonpeaker</v>
          </cell>
        </row>
        <row r="1090">
          <cell r="C1090" t="str">
            <v>CT</v>
          </cell>
          <cell r="D1090">
            <v>242</v>
          </cell>
          <cell r="H1090" t="str">
            <v>natural gas nonpeaker</v>
          </cell>
        </row>
        <row r="1091">
          <cell r="C1091" t="str">
            <v>CT</v>
          </cell>
          <cell r="D1091">
            <v>241</v>
          </cell>
          <cell r="H1091" t="str">
            <v>natural gas nonpeaker</v>
          </cell>
        </row>
        <row r="1092">
          <cell r="C1092" t="str">
            <v>CT</v>
          </cell>
          <cell r="D1092">
            <v>242</v>
          </cell>
          <cell r="H1092" t="str">
            <v>natural gas nonpeaker</v>
          </cell>
        </row>
        <row r="1093">
          <cell r="C1093" t="str">
            <v>ST</v>
          </cell>
          <cell r="D1093">
            <v>710</v>
          </cell>
          <cell r="H1093" t="str">
            <v>hard coal</v>
          </cell>
        </row>
        <row r="1094">
          <cell r="C1094" t="str">
            <v>CA</v>
          </cell>
          <cell r="D1094">
            <v>322</v>
          </cell>
          <cell r="H1094" t="str">
            <v>natural gas nonpeaker</v>
          </cell>
        </row>
        <row r="1095">
          <cell r="C1095" t="str">
            <v>CA</v>
          </cell>
          <cell r="D1095">
            <v>320</v>
          </cell>
          <cell r="H1095" t="str">
            <v>natural gas nonpeaker</v>
          </cell>
        </row>
        <row r="1096">
          <cell r="C1096" t="str">
            <v>ST</v>
          </cell>
          <cell r="D1096">
            <v>712</v>
          </cell>
          <cell r="H1096" t="str">
            <v>hard coal</v>
          </cell>
        </row>
        <row r="1097">
          <cell r="C1097" t="str">
            <v>HY</v>
          </cell>
          <cell r="D1097">
            <v>11.5</v>
          </cell>
          <cell r="H1097" t="str">
            <v>hydro</v>
          </cell>
        </row>
        <row r="1098">
          <cell r="C1098" t="str">
            <v>CT</v>
          </cell>
          <cell r="D1098">
            <v>195</v>
          </cell>
          <cell r="H1098" t="str">
            <v>natural gas nonpeaker</v>
          </cell>
        </row>
        <row r="1099">
          <cell r="C1099" t="str">
            <v>CT</v>
          </cell>
          <cell r="D1099">
            <v>195</v>
          </cell>
          <cell r="H1099" t="str">
            <v>natural gas nonpeaker</v>
          </cell>
        </row>
        <row r="1100">
          <cell r="C1100" t="str">
            <v>CT</v>
          </cell>
          <cell r="D1100">
            <v>195</v>
          </cell>
          <cell r="H1100" t="str">
            <v>natural gas nonpeaker</v>
          </cell>
        </row>
        <row r="1101">
          <cell r="C1101" t="str">
            <v>CT</v>
          </cell>
          <cell r="D1101">
            <v>195</v>
          </cell>
          <cell r="H1101" t="str">
            <v>natural gas nonpeaker</v>
          </cell>
        </row>
        <row r="1102">
          <cell r="C1102" t="str">
            <v>CA</v>
          </cell>
          <cell r="D1102">
            <v>389</v>
          </cell>
          <cell r="H1102" t="str">
            <v>natural gas nonpeaker</v>
          </cell>
        </row>
        <row r="1103">
          <cell r="C1103" t="str">
            <v>GT</v>
          </cell>
          <cell r="D1103">
            <v>41</v>
          </cell>
          <cell r="H1103" t="str">
            <v>petroleum</v>
          </cell>
        </row>
        <row r="1104">
          <cell r="C1104" t="str">
            <v>GT</v>
          </cell>
          <cell r="D1104">
            <v>41</v>
          </cell>
          <cell r="H1104" t="str">
            <v>natural gas peaker</v>
          </cell>
        </row>
        <row r="1105">
          <cell r="C1105" t="str">
            <v>GT</v>
          </cell>
          <cell r="D1105">
            <v>41</v>
          </cell>
          <cell r="H1105" t="str">
            <v>petroleum</v>
          </cell>
        </row>
        <row r="1106">
          <cell r="C1106" t="str">
            <v>GT</v>
          </cell>
          <cell r="D1106">
            <v>45</v>
          </cell>
          <cell r="H1106" t="str">
            <v>natural gas peaker</v>
          </cell>
        </row>
        <row r="1107">
          <cell r="C1107" t="str">
            <v>GT</v>
          </cell>
          <cell r="D1107">
            <v>49</v>
          </cell>
          <cell r="H1107" t="str">
            <v>natural gas peaker</v>
          </cell>
        </row>
        <row r="1108">
          <cell r="C1108" t="str">
            <v>GT</v>
          </cell>
          <cell r="D1108">
            <v>50</v>
          </cell>
          <cell r="H1108" t="str">
            <v>petroleum</v>
          </cell>
        </row>
        <row r="1109">
          <cell r="C1109" t="str">
            <v>GT</v>
          </cell>
          <cell r="D1109">
            <v>50</v>
          </cell>
          <cell r="H1109" t="str">
            <v>natural gas peaker</v>
          </cell>
        </row>
        <row r="1110">
          <cell r="C1110" t="str">
            <v>ST</v>
          </cell>
          <cell r="D1110">
            <v>75</v>
          </cell>
          <cell r="H1110" t="str">
            <v>hard coal</v>
          </cell>
        </row>
        <row r="1111">
          <cell r="C1111" t="str">
            <v>ST</v>
          </cell>
          <cell r="D1111">
            <v>75</v>
          </cell>
          <cell r="H1111" t="str">
            <v>hard coal</v>
          </cell>
        </row>
        <row r="1112">
          <cell r="C1112" t="str">
            <v>ST</v>
          </cell>
          <cell r="D1112">
            <v>299</v>
          </cell>
          <cell r="H1112" t="str">
            <v>hard coal</v>
          </cell>
        </row>
        <row r="1113">
          <cell r="C1113" t="str">
            <v>ST</v>
          </cell>
          <cell r="D1113">
            <v>475</v>
          </cell>
          <cell r="H1113" t="str">
            <v>hard coal</v>
          </cell>
        </row>
        <row r="1114">
          <cell r="C1114" t="str">
            <v>CT</v>
          </cell>
          <cell r="D1114" t="str">
            <v xml:space="preserve"> </v>
          </cell>
          <cell r="H1114" t="str">
            <v>natural gas nonpeaker</v>
          </cell>
        </row>
        <row r="1115">
          <cell r="C1115" t="str">
            <v>CT</v>
          </cell>
          <cell r="D1115" t="str">
            <v xml:space="preserve"> </v>
          </cell>
          <cell r="H1115" t="str">
            <v>natural gas nonpeaker</v>
          </cell>
        </row>
        <row r="1116">
          <cell r="C1116" t="str">
            <v>CA</v>
          </cell>
          <cell r="D1116">
            <v>511</v>
          </cell>
          <cell r="H1116" t="str">
            <v>natural gas nonpeaker</v>
          </cell>
        </row>
        <row r="1117">
          <cell r="C1117" t="str">
            <v>GT</v>
          </cell>
          <cell r="D1117">
            <v>32</v>
          </cell>
          <cell r="H1117" t="str">
            <v>petroleum</v>
          </cell>
        </row>
        <row r="1118">
          <cell r="C1118" t="str">
            <v>PV</v>
          </cell>
          <cell r="D1118">
            <v>19.399999999999999</v>
          </cell>
          <cell r="H1118" t="str">
            <v>solar PV</v>
          </cell>
        </row>
        <row r="1119">
          <cell r="C1119" t="str">
            <v>GT</v>
          </cell>
          <cell r="D1119">
            <v>56</v>
          </cell>
          <cell r="H1119" t="str">
            <v>natural gas peaker</v>
          </cell>
        </row>
        <row r="1120">
          <cell r="C1120" t="str">
            <v>ST</v>
          </cell>
          <cell r="D1120">
            <v>385</v>
          </cell>
          <cell r="H1120" t="str">
            <v>hard coal</v>
          </cell>
        </row>
        <row r="1121">
          <cell r="C1121" t="str">
            <v>ST</v>
          </cell>
          <cell r="D1121">
            <v>385</v>
          </cell>
          <cell r="H1121" t="str">
            <v>hard coal</v>
          </cell>
        </row>
        <row r="1122">
          <cell r="C1122" t="str">
            <v>ST</v>
          </cell>
          <cell r="D1122">
            <v>395</v>
          </cell>
          <cell r="H1122" t="str">
            <v>hard coal</v>
          </cell>
        </row>
        <row r="1123">
          <cell r="C1123" t="str">
            <v>ST</v>
          </cell>
          <cell r="D1123">
            <v>437</v>
          </cell>
          <cell r="H1123" t="str">
            <v>hard coal</v>
          </cell>
        </row>
        <row r="1124">
          <cell r="C1124" t="str">
            <v>ST</v>
          </cell>
          <cell r="D1124">
            <v>1150</v>
          </cell>
          <cell r="H1124" t="str">
            <v>nuclear</v>
          </cell>
        </row>
        <row r="1125">
          <cell r="C1125" t="str">
            <v>ST</v>
          </cell>
          <cell r="D1125">
            <v>1152</v>
          </cell>
          <cell r="H1125" t="str">
            <v>nuclear</v>
          </cell>
        </row>
        <row r="1126">
          <cell r="C1126" t="str">
            <v>ST</v>
          </cell>
          <cell r="D1126">
            <v>75</v>
          </cell>
          <cell r="H1126" t="str">
            <v>natural gas peaker</v>
          </cell>
        </row>
        <row r="1127">
          <cell r="C1127" t="str">
            <v>ST</v>
          </cell>
          <cell r="D1127">
            <v>232</v>
          </cell>
          <cell r="H1127" t="str">
            <v>hard coal</v>
          </cell>
        </row>
        <row r="1128">
          <cell r="C1128" t="str">
            <v>GT</v>
          </cell>
          <cell r="D1128">
            <v>17.5</v>
          </cell>
          <cell r="H1128" t="str">
            <v>natural gas peaker</v>
          </cell>
        </row>
        <row r="1129">
          <cell r="C1129" t="str">
            <v>GT</v>
          </cell>
          <cell r="D1129">
            <v>17.5</v>
          </cell>
          <cell r="H1129" t="str">
            <v>natural gas peaker</v>
          </cell>
        </row>
        <row r="1130">
          <cell r="C1130" t="str">
            <v>GT</v>
          </cell>
          <cell r="D1130">
            <v>75</v>
          </cell>
          <cell r="H1130" t="str">
            <v>natural gas peaker</v>
          </cell>
        </row>
        <row r="1131">
          <cell r="C1131" t="str">
            <v>CA</v>
          </cell>
          <cell r="D1131">
            <v>36</v>
          </cell>
          <cell r="H1131" t="str">
            <v>natural gas nonpeaker</v>
          </cell>
        </row>
        <row r="1132">
          <cell r="C1132" t="str">
            <v>CT</v>
          </cell>
          <cell r="D1132">
            <v>72</v>
          </cell>
          <cell r="H1132" t="str">
            <v>natural gas nonpeaker</v>
          </cell>
        </row>
        <row r="1133">
          <cell r="C1133" t="str">
            <v>IC</v>
          </cell>
          <cell r="D1133">
            <v>1.8</v>
          </cell>
          <cell r="H1133" t="str">
            <v>natural gas peaker</v>
          </cell>
        </row>
        <row r="1134">
          <cell r="C1134" t="str">
            <v>IC</v>
          </cell>
          <cell r="D1134">
            <v>1.8</v>
          </cell>
          <cell r="H1134" t="str">
            <v>natural gas peaker</v>
          </cell>
        </row>
        <row r="1135">
          <cell r="C1135" t="str">
            <v>IC</v>
          </cell>
          <cell r="D1135">
            <v>1.8</v>
          </cell>
          <cell r="H1135" t="str">
            <v>natural gas peaker</v>
          </cell>
        </row>
        <row r="1136">
          <cell r="C1136" t="str">
            <v>IC</v>
          </cell>
          <cell r="D1136">
            <v>1.8</v>
          </cell>
          <cell r="H1136" t="str">
            <v>natural gas peaker</v>
          </cell>
        </row>
        <row r="1137">
          <cell r="C1137" t="str">
            <v>IC</v>
          </cell>
          <cell r="D1137">
            <v>1.8</v>
          </cell>
          <cell r="H1137" t="str">
            <v>natural gas peaker</v>
          </cell>
        </row>
        <row r="1138">
          <cell r="C1138" t="str">
            <v>IC</v>
          </cell>
          <cell r="D1138">
            <v>8</v>
          </cell>
          <cell r="H1138" t="str">
            <v>natural gas peaker</v>
          </cell>
        </row>
        <row r="1139">
          <cell r="C1139" t="str">
            <v>IC</v>
          </cell>
          <cell r="D1139">
            <v>1.8</v>
          </cell>
          <cell r="H1139" t="str">
            <v>natural gas peaker</v>
          </cell>
        </row>
        <row r="1140">
          <cell r="C1140" t="str">
            <v>IC</v>
          </cell>
          <cell r="D1140">
            <v>6</v>
          </cell>
          <cell r="H1140" t="str">
            <v>natural gas peaker</v>
          </cell>
        </row>
        <row r="1141">
          <cell r="C1141" t="str">
            <v>IC</v>
          </cell>
          <cell r="D1141">
            <v>6</v>
          </cell>
          <cell r="H1141" t="str">
            <v>natural gas peaker</v>
          </cell>
        </row>
        <row r="1142">
          <cell r="C1142" t="str">
            <v>IC</v>
          </cell>
          <cell r="D1142">
            <v>0.1</v>
          </cell>
          <cell r="H1142" t="str">
            <v>petroleum</v>
          </cell>
        </row>
        <row r="1143">
          <cell r="C1143" t="str">
            <v>IC</v>
          </cell>
          <cell r="D1143">
            <v>1.8</v>
          </cell>
          <cell r="H1143" t="str">
            <v>natural gas peaker</v>
          </cell>
        </row>
        <row r="1144">
          <cell r="C1144" t="str">
            <v>GT</v>
          </cell>
          <cell r="D1144">
            <v>178.6</v>
          </cell>
          <cell r="H1144" t="str">
            <v>natural gas peaker</v>
          </cell>
        </row>
        <row r="1145">
          <cell r="C1145" t="str">
            <v>GT</v>
          </cell>
          <cell r="D1145">
            <v>178.6</v>
          </cell>
          <cell r="H1145" t="str">
            <v>natural gas peaker</v>
          </cell>
        </row>
        <row r="1146">
          <cell r="C1146" t="str">
            <v>ST</v>
          </cell>
          <cell r="D1146">
            <v>293</v>
          </cell>
          <cell r="H1146" t="str">
            <v>hard coal</v>
          </cell>
        </row>
        <row r="1147">
          <cell r="C1147" t="str">
            <v>ST</v>
          </cell>
          <cell r="D1147">
            <v>293</v>
          </cell>
          <cell r="H1147" t="str">
            <v>hard coal</v>
          </cell>
        </row>
        <row r="1148">
          <cell r="C1148" t="str">
            <v>GT</v>
          </cell>
          <cell r="D1148">
            <v>53</v>
          </cell>
          <cell r="H1148" t="str">
            <v>petroleum</v>
          </cell>
        </row>
        <row r="1149">
          <cell r="C1149" t="str">
            <v>GT</v>
          </cell>
          <cell r="D1149">
            <v>53</v>
          </cell>
          <cell r="H1149" t="str">
            <v>petroleum</v>
          </cell>
        </row>
        <row r="1150">
          <cell r="C1150" t="str">
            <v>GT</v>
          </cell>
          <cell r="D1150">
            <v>53</v>
          </cell>
          <cell r="H1150" t="str">
            <v>petroleum</v>
          </cell>
        </row>
        <row r="1151">
          <cell r="C1151" t="str">
            <v>GT</v>
          </cell>
          <cell r="D1151">
            <v>53</v>
          </cell>
          <cell r="H1151" t="str">
            <v>petroleum</v>
          </cell>
        </row>
        <row r="1152">
          <cell r="C1152" t="str">
            <v>ST</v>
          </cell>
          <cell r="D1152">
            <v>524</v>
          </cell>
          <cell r="H1152" t="str">
            <v>natural gas peaker</v>
          </cell>
        </row>
        <row r="1153">
          <cell r="C1153" t="str">
            <v>GT</v>
          </cell>
          <cell r="D1153">
            <v>26</v>
          </cell>
          <cell r="H1153" t="str">
            <v>petroleum</v>
          </cell>
        </row>
        <row r="1154">
          <cell r="C1154" t="str">
            <v>CT</v>
          </cell>
          <cell r="D1154">
            <v>21</v>
          </cell>
          <cell r="H1154" t="str">
            <v>natural gas nonpeaker</v>
          </cell>
        </row>
        <row r="1155">
          <cell r="C1155" t="str">
            <v>IC</v>
          </cell>
          <cell r="D1155">
            <v>2</v>
          </cell>
          <cell r="H1155" t="str">
            <v>petroleum</v>
          </cell>
        </row>
        <row r="1156">
          <cell r="C1156" t="str">
            <v>IC</v>
          </cell>
          <cell r="D1156">
            <v>2</v>
          </cell>
          <cell r="H1156" t="str">
            <v>petroleum</v>
          </cell>
        </row>
        <row r="1157">
          <cell r="C1157" t="str">
            <v>IC</v>
          </cell>
          <cell r="D1157">
            <v>2</v>
          </cell>
          <cell r="H1157" t="str">
            <v>petroleum</v>
          </cell>
        </row>
        <row r="1158">
          <cell r="C1158" t="str">
            <v>IC</v>
          </cell>
          <cell r="D1158">
            <v>2</v>
          </cell>
          <cell r="H1158" t="str">
            <v>petroleum</v>
          </cell>
        </row>
        <row r="1159">
          <cell r="C1159" t="str">
            <v>IC</v>
          </cell>
          <cell r="D1159">
            <v>2</v>
          </cell>
          <cell r="H1159" t="str">
            <v>petroleum</v>
          </cell>
        </row>
        <row r="1160">
          <cell r="C1160" t="str">
            <v>ST</v>
          </cell>
          <cell r="D1160">
            <v>26.5</v>
          </cell>
          <cell r="H1160" t="str">
            <v>natural gas peaker</v>
          </cell>
        </row>
        <row r="1161">
          <cell r="C1161" t="str">
            <v>CA</v>
          </cell>
          <cell r="D1161">
            <v>10</v>
          </cell>
          <cell r="H1161" t="str">
            <v>natural gas nonpeaker</v>
          </cell>
        </row>
        <row r="1162">
          <cell r="C1162" t="str">
            <v>HY</v>
          </cell>
          <cell r="D1162">
            <v>0.8</v>
          </cell>
          <cell r="H1162" t="str">
            <v>hydro</v>
          </cell>
        </row>
        <row r="1163">
          <cell r="C1163" t="str">
            <v>HY</v>
          </cell>
          <cell r="D1163">
            <v>0.8</v>
          </cell>
          <cell r="H1163" t="str">
            <v>hydro</v>
          </cell>
        </row>
        <row r="1164">
          <cell r="C1164" t="str">
            <v>GT</v>
          </cell>
          <cell r="D1164">
            <v>10</v>
          </cell>
          <cell r="H1164" t="str">
            <v>natural gas peaker</v>
          </cell>
        </row>
        <row r="1165">
          <cell r="C1165" t="str">
            <v>GT</v>
          </cell>
          <cell r="D1165">
            <v>9</v>
          </cell>
          <cell r="H1165" t="str">
            <v>natural gas peaker</v>
          </cell>
        </row>
        <row r="1166">
          <cell r="C1166" t="str">
            <v>CA</v>
          </cell>
          <cell r="D1166">
            <v>29</v>
          </cell>
          <cell r="H1166" t="str">
            <v>natural gas nonpeaker</v>
          </cell>
        </row>
        <row r="1167">
          <cell r="C1167" t="str">
            <v>CT</v>
          </cell>
          <cell r="D1167">
            <v>76</v>
          </cell>
          <cell r="H1167" t="str">
            <v>natural gas nonpeaker</v>
          </cell>
        </row>
        <row r="1168">
          <cell r="C1168" t="str">
            <v>ST</v>
          </cell>
          <cell r="D1168">
            <v>342</v>
          </cell>
          <cell r="H1168" t="str">
            <v>hard coal</v>
          </cell>
        </row>
        <row r="1169">
          <cell r="C1169" t="str">
            <v>CT</v>
          </cell>
          <cell r="D1169">
            <v>215</v>
          </cell>
          <cell r="H1169" t="str">
            <v>natural gas nonpeaker</v>
          </cell>
        </row>
        <row r="1170">
          <cell r="C1170" t="str">
            <v>CA</v>
          </cell>
          <cell r="D1170">
            <v>123</v>
          </cell>
          <cell r="H1170" t="str">
            <v>natural gas nonpeaker</v>
          </cell>
        </row>
        <row r="1171">
          <cell r="C1171" t="str">
            <v>GT</v>
          </cell>
          <cell r="D1171">
            <v>16</v>
          </cell>
          <cell r="H1171" t="str">
            <v>natural gas peaker</v>
          </cell>
        </row>
        <row r="1172">
          <cell r="C1172" t="str">
            <v>IC</v>
          </cell>
          <cell r="D1172">
            <v>2.5</v>
          </cell>
          <cell r="H1172" t="str">
            <v>petroleum</v>
          </cell>
        </row>
        <row r="1173">
          <cell r="C1173" t="str">
            <v>IC</v>
          </cell>
          <cell r="D1173">
            <v>2.5</v>
          </cell>
          <cell r="H1173" t="str">
            <v>petroleum</v>
          </cell>
        </row>
        <row r="1174">
          <cell r="C1174" t="str">
            <v>ST</v>
          </cell>
          <cell r="D1174">
            <v>106</v>
          </cell>
          <cell r="H1174" t="str">
            <v>natural gas peaker</v>
          </cell>
        </row>
        <row r="1175">
          <cell r="C1175" t="str">
            <v>HY</v>
          </cell>
          <cell r="D1175">
            <v>0.7</v>
          </cell>
          <cell r="H1175" t="str">
            <v>hydro</v>
          </cell>
        </row>
        <row r="1176">
          <cell r="C1176" t="str">
            <v>HY</v>
          </cell>
          <cell r="D1176">
            <v>0.7</v>
          </cell>
          <cell r="H1176" t="str">
            <v>hydro</v>
          </cell>
        </row>
        <row r="1177">
          <cell r="C1177" t="str">
            <v>HY</v>
          </cell>
          <cell r="D1177">
            <v>155</v>
          </cell>
          <cell r="H1177" t="str">
            <v>hydro</v>
          </cell>
        </row>
        <row r="1178">
          <cell r="C1178" t="str">
            <v>GT</v>
          </cell>
          <cell r="D1178">
            <v>37</v>
          </cell>
          <cell r="H1178" t="str">
            <v>natural gas peaker</v>
          </cell>
        </row>
        <row r="1179">
          <cell r="C1179" t="str">
            <v>GT</v>
          </cell>
          <cell r="D1179">
            <v>37</v>
          </cell>
          <cell r="H1179" t="str">
            <v>natural gas peaker</v>
          </cell>
        </row>
        <row r="1180">
          <cell r="C1180" t="str">
            <v>GT</v>
          </cell>
          <cell r="D1180">
            <v>108</v>
          </cell>
          <cell r="H1180" t="str">
            <v>natural gas peaker</v>
          </cell>
        </row>
        <row r="1181">
          <cell r="C1181" t="str">
            <v>GT</v>
          </cell>
          <cell r="D1181">
            <v>108</v>
          </cell>
          <cell r="H1181" t="str">
            <v>natural gas peaker</v>
          </cell>
        </row>
        <row r="1182">
          <cell r="C1182" t="str">
            <v>CA</v>
          </cell>
          <cell r="D1182">
            <v>141</v>
          </cell>
          <cell r="H1182" t="str">
            <v>natural gas nonpeaker</v>
          </cell>
        </row>
        <row r="1183">
          <cell r="C1183" t="str">
            <v>CT</v>
          </cell>
          <cell r="D1183">
            <v>159</v>
          </cell>
          <cell r="H1183" t="str">
            <v>natural gas nonpeaker</v>
          </cell>
        </row>
        <row r="1184">
          <cell r="C1184" t="str">
            <v>GT</v>
          </cell>
          <cell r="D1184">
            <v>46</v>
          </cell>
          <cell r="H1184" t="str">
            <v>natural gas peaker</v>
          </cell>
        </row>
        <row r="1185">
          <cell r="C1185" t="str">
            <v>GT</v>
          </cell>
          <cell r="D1185">
            <v>46</v>
          </cell>
          <cell r="H1185" t="str">
            <v>natural gas peaker</v>
          </cell>
        </row>
        <row r="1186">
          <cell r="C1186" t="str">
            <v>IC</v>
          </cell>
          <cell r="D1186">
            <v>18.5</v>
          </cell>
          <cell r="H1186" t="str">
            <v>natural gas peaker</v>
          </cell>
        </row>
        <row r="1187">
          <cell r="C1187" t="str">
            <v>IC</v>
          </cell>
          <cell r="D1187">
            <v>18.5</v>
          </cell>
          <cell r="H1187" t="str">
            <v>natural gas peaker</v>
          </cell>
        </row>
        <row r="1188">
          <cell r="C1188" t="str">
            <v>IC</v>
          </cell>
          <cell r="D1188">
            <v>18.5</v>
          </cell>
          <cell r="H1188" t="str">
            <v>natural gas peaker</v>
          </cell>
        </row>
        <row r="1189">
          <cell r="C1189" t="str">
            <v>IC</v>
          </cell>
          <cell r="D1189">
            <v>18.5</v>
          </cell>
          <cell r="H1189" t="str">
            <v>natural gas peaker</v>
          </cell>
        </row>
        <row r="1190">
          <cell r="C1190" t="str">
            <v>CT</v>
          </cell>
          <cell r="D1190">
            <v>154</v>
          </cell>
          <cell r="H1190" t="str">
            <v>natural gas nonpeaker</v>
          </cell>
        </row>
        <row r="1191">
          <cell r="C1191" t="str">
            <v>CA</v>
          </cell>
          <cell r="D1191">
            <v>72</v>
          </cell>
          <cell r="H1191" t="str">
            <v>natural gas nonpeaker</v>
          </cell>
        </row>
        <row r="1192">
          <cell r="C1192" t="str">
            <v>HY</v>
          </cell>
          <cell r="D1192">
            <v>14.5</v>
          </cell>
          <cell r="H1192" t="str">
            <v>hydro</v>
          </cell>
        </row>
        <row r="1193">
          <cell r="C1193" t="str">
            <v>HY</v>
          </cell>
          <cell r="D1193">
            <v>14.5</v>
          </cell>
          <cell r="H1193" t="str">
            <v>hydro</v>
          </cell>
        </row>
        <row r="1194">
          <cell r="C1194" t="str">
            <v>HY</v>
          </cell>
          <cell r="D1194">
            <v>14.5</v>
          </cell>
          <cell r="H1194" t="str">
            <v>hydro</v>
          </cell>
        </row>
        <row r="1195">
          <cell r="C1195" t="str">
            <v>WT</v>
          </cell>
          <cell r="D1195">
            <v>4.9000000000000004</v>
          </cell>
          <cell r="H1195" t="str">
            <v>onshore wind</v>
          </cell>
        </row>
        <row r="1196">
          <cell r="C1196" t="str">
            <v>WT</v>
          </cell>
          <cell r="D1196">
            <v>1.3</v>
          </cell>
          <cell r="H1196" t="str">
            <v>onshore wind</v>
          </cell>
        </row>
        <row r="1197">
          <cell r="C1197" t="str">
            <v>IC</v>
          </cell>
          <cell r="D1197">
            <v>3.5</v>
          </cell>
          <cell r="H1197" t="str">
            <v>petroleum</v>
          </cell>
        </row>
        <row r="1198">
          <cell r="C1198" t="str">
            <v>IC</v>
          </cell>
          <cell r="D1198">
            <v>3.5</v>
          </cell>
          <cell r="H1198" t="str">
            <v>petroleum</v>
          </cell>
        </row>
        <row r="1199">
          <cell r="C1199" t="str">
            <v>IC</v>
          </cell>
          <cell r="D1199">
            <v>2</v>
          </cell>
          <cell r="H1199" t="str">
            <v>petroleum</v>
          </cell>
        </row>
        <row r="1200">
          <cell r="C1200" t="str">
            <v>IC</v>
          </cell>
          <cell r="D1200">
            <v>2</v>
          </cell>
          <cell r="H1200" t="str">
            <v>petroleum</v>
          </cell>
        </row>
        <row r="1201">
          <cell r="C1201" t="str">
            <v>IC</v>
          </cell>
          <cell r="D1201">
            <v>2.7</v>
          </cell>
          <cell r="H1201" t="str">
            <v>petroleum</v>
          </cell>
        </row>
        <row r="1202">
          <cell r="C1202" t="str">
            <v>IC</v>
          </cell>
          <cell r="D1202">
            <v>2.7</v>
          </cell>
          <cell r="H1202" t="str">
            <v>petroleum</v>
          </cell>
        </row>
        <row r="1203">
          <cell r="C1203" t="str">
            <v>IC</v>
          </cell>
          <cell r="D1203">
            <v>2.7</v>
          </cell>
          <cell r="H1203" t="str">
            <v>petroleum</v>
          </cell>
        </row>
        <row r="1204">
          <cell r="C1204" t="str">
            <v>IC</v>
          </cell>
          <cell r="D1204">
            <v>2.7</v>
          </cell>
          <cell r="H1204" t="str">
            <v>petroleum</v>
          </cell>
        </row>
        <row r="1205">
          <cell r="C1205" t="str">
            <v>IC</v>
          </cell>
          <cell r="D1205">
            <v>2.7</v>
          </cell>
          <cell r="H1205" t="str">
            <v>petroleum</v>
          </cell>
        </row>
        <row r="1206">
          <cell r="C1206" t="str">
            <v>HY</v>
          </cell>
          <cell r="D1206">
            <v>16.399999999999999</v>
          </cell>
          <cell r="H1206" t="str">
            <v>hydro</v>
          </cell>
        </row>
        <row r="1207">
          <cell r="C1207" t="str">
            <v>HY</v>
          </cell>
          <cell r="D1207">
            <v>16.399999999999999</v>
          </cell>
          <cell r="H1207" t="str">
            <v>hydro</v>
          </cell>
        </row>
        <row r="1208">
          <cell r="C1208" t="str">
            <v>HY</v>
          </cell>
          <cell r="D1208">
            <v>16.399999999999999</v>
          </cell>
          <cell r="H1208" t="str">
            <v>hydro</v>
          </cell>
        </row>
        <row r="1209">
          <cell r="C1209" t="str">
            <v>HY</v>
          </cell>
          <cell r="D1209">
            <v>21.9</v>
          </cell>
          <cell r="H1209" t="str">
            <v>hydro</v>
          </cell>
        </row>
        <row r="1210">
          <cell r="C1210" t="str">
            <v>HY</v>
          </cell>
          <cell r="D1210">
            <v>59</v>
          </cell>
          <cell r="H1210" t="str">
            <v>hydro</v>
          </cell>
        </row>
        <row r="1211">
          <cell r="C1211" t="str">
            <v>HY</v>
          </cell>
          <cell r="D1211">
            <v>59</v>
          </cell>
          <cell r="H1211" t="str">
            <v>hydro</v>
          </cell>
        </row>
        <row r="1212">
          <cell r="C1212" t="str">
            <v>ST</v>
          </cell>
          <cell r="D1212">
            <v>724</v>
          </cell>
          <cell r="H1212" t="str">
            <v>hard coal</v>
          </cell>
        </row>
        <row r="1213">
          <cell r="C1213" t="str">
            <v>ST</v>
          </cell>
          <cell r="D1213">
            <v>724</v>
          </cell>
          <cell r="H1213" t="str">
            <v>hard coal</v>
          </cell>
        </row>
        <row r="1214">
          <cell r="C1214" t="str">
            <v>ST</v>
          </cell>
          <cell r="D1214">
            <v>892</v>
          </cell>
          <cell r="H1214" t="str">
            <v>hard coal</v>
          </cell>
        </row>
        <row r="1215">
          <cell r="C1215" t="str">
            <v>ST</v>
          </cell>
          <cell r="D1215">
            <v>892</v>
          </cell>
          <cell r="H1215" t="str">
            <v>hard coal</v>
          </cell>
        </row>
        <row r="1216">
          <cell r="C1216" t="str">
            <v>HY</v>
          </cell>
          <cell r="D1216">
            <v>4.8</v>
          </cell>
          <cell r="H1216" t="str">
            <v>hydro</v>
          </cell>
        </row>
        <row r="1217">
          <cell r="C1217" t="str">
            <v>HY</v>
          </cell>
          <cell r="D1217">
            <v>4.8</v>
          </cell>
          <cell r="H1217" t="str">
            <v>hydro</v>
          </cell>
        </row>
        <row r="1218">
          <cell r="C1218" t="str">
            <v>HY</v>
          </cell>
          <cell r="D1218">
            <v>2.1</v>
          </cell>
          <cell r="H1218" t="str">
            <v>hydro</v>
          </cell>
        </row>
        <row r="1219">
          <cell r="C1219" t="str">
            <v>HY</v>
          </cell>
          <cell r="D1219">
            <v>2.1</v>
          </cell>
          <cell r="H1219" t="str">
            <v>hydro</v>
          </cell>
        </row>
        <row r="1220">
          <cell r="C1220" t="str">
            <v>HY</v>
          </cell>
          <cell r="D1220">
            <v>2.1</v>
          </cell>
          <cell r="H1220" t="str">
            <v>hydro</v>
          </cell>
        </row>
        <row r="1221">
          <cell r="C1221" t="str">
            <v>HY</v>
          </cell>
          <cell r="D1221">
            <v>5</v>
          </cell>
          <cell r="H1221" t="str">
            <v>hydro</v>
          </cell>
        </row>
        <row r="1222">
          <cell r="C1222" t="str">
            <v>HY</v>
          </cell>
          <cell r="D1222">
            <v>5</v>
          </cell>
          <cell r="H1222" t="str">
            <v>hydro</v>
          </cell>
        </row>
        <row r="1223">
          <cell r="C1223" t="str">
            <v>HY</v>
          </cell>
          <cell r="D1223">
            <v>5</v>
          </cell>
          <cell r="H1223" t="str">
            <v>hydro</v>
          </cell>
        </row>
        <row r="1224">
          <cell r="C1224" t="str">
            <v>HY</v>
          </cell>
          <cell r="D1224">
            <v>5</v>
          </cell>
          <cell r="H1224" t="str">
            <v>hydro</v>
          </cell>
        </row>
        <row r="1225">
          <cell r="C1225" t="str">
            <v>HY</v>
          </cell>
          <cell r="D1225">
            <v>9.3000000000000007</v>
          </cell>
          <cell r="H1225" t="str">
            <v>hydro</v>
          </cell>
        </row>
        <row r="1226">
          <cell r="C1226" t="str">
            <v>HY</v>
          </cell>
          <cell r="D1226">
            <v>9.3000000000000007</v>
          </cell>
          <cell r="H1226" t="str">
            <v>hydro</v>
          </cell>
        </row>
        <row r="1227">
          <cell r="C1227" t="str">
            <v>GT</v>
          </cell>
          <cell r="D1227">
            <v>32</v>
          </cell>
          <cell r="H1227" t="str">
            <v>natural gas peaker</v>
          </cell>
        </row>
        <row r="1228">
          <cell r="C1228" t="str">
            <v>GT</v>
          </cell>
          <cell r="D1228">
            <v>32</v>
          </cell>
          <cell r="H1228" t="str">
            <v>natural gas peaker</v>
          </cell>
        </row>
        <row r="1229">
          <cell r="C1229" t="str">
            <v>CA</v>
          </cell>
          <cell r="D1229">
            <v>360</v>
          </cell>
          <cell r="H1229" t="str">
            <v>natural gas nonpeaker</v>
          </cell>
        </row>
        <row r="1230">
          <cell r="C1230" t="str">
            <v>CA</v>
          </cell>
          <cell r="D1230">
            <v>360</v>
          </cell>
          <cell r="H1230" t="str">
            <v>natural gas nonpeaker</v>
          </cell>
        </row>
        <row r="1231">
          <cell r="C1231" t="str">
            <v>CT</v>
          </cell>
          <cell r="D1231">
            <v>231.5</v>
          </cell>
          <cell r="H1231" t="str">
            <v>natural gas nonpeaker</v>
          </cell>
        </row>
        <row r="1232">
          <cell r="C1232" t="str">
            <v>CT</v>
          </cell>
          <cell r="D1232">
            <v>231.5</v>
          </cell>
          <cell r="H1232" t="str">
            <v>natural gas nonpeaker</v>
          </cell>
        </row>
        <row r="1233">
          <cell r="C1233" t="str">
            <v>CA</v>
          </cell>
          <cell r="D1233">
            <v>360</v>
          </cell>
          <cell r="H1233" t="str">
            <v>natural gas nonpeaker</v>
          </cell>
        </row>
        <row r="1234">
          <cell r="C1234" t="str">
            <v>CT</v>
          </cell>
          <cell r="D1234">
            <v>233</v>
          </cell>
          <cell r="H1234" t="str">
            <v>natural gas nonpeaker</v>
          </cell>
        </row>
        <row r="1235">
          <cell r="C1235" t="str">
            <v>CT</v>
          </cell>
          <cell r="D1235">
            <v>233</v>
          </cell>
          <cell r="H1235" t="str">
            <v>natural gas nonpeaker</v>
          </cell>
        </row>
        <row r="1236">
          <cell r="C1236" t="str">
            <v>CT</v>
          </cell>
          <cell r="D1236">
            <v>237.5</v>
          </cell>
          <cell r="H1236" t="str">
            <v>natural gas nonpeaker</v>
          </cell>
        </row>
        <row r="1237">
          <cell r="C1237" t="str">
            <v>CT</v>
          </cell>
          <cell r="D1237">
            <v>237.5</v>
          </cell>
          <cell r="H1237" t="str">
            <v>natural gas nonpeaker</v>
          </cell>
        </row>
        <row r="1238">
          <cell r="C1238" t="str">
            <v>HY</v>
          </cell>
          <cell r="D1238">
            <v>3.8</v>
          </cell>
          <cell r="H1238" t="str">
            <v>hydro</v>
          </cell>
        </row>
        <row r="1239">
          <cell r="C1239" t="str">
            <v>HY</v>
          </cell>
          <cell r="D1239">
            <v>3.8</v>
          </cell>
          <cell r="H1239" t="str">
            <v>hydro</v>
          </cell>
        </row>
        <row r="1240">
          <cell r="C1240" t="str">
            <v>HY</v>
          </cell>
          <cell r="D1240">
            <v>3.8</v>
          </cell>
          <cell r="H1240" t="str">
            <v>hydro</v>
          </cell>
        </row>
        <row r="1241">
          <cell r="C1241" t="str">
            <v>HY</v>
          </cell>
          <cell r="D1241">
            <v>3.8</v>
          </cell>
          <cell r="H1241" t="str">
            <v>hydro</v>
          </cell>
        </row>
        <row r="1242">
          <cell r="C1242" t="str">
            <v>HY</v>
          </cell>
          <cell r="D1242">
            <v>3.8</v>
          </cell>
          <cell r="H1242" t="str">
            <v>hydro</v>
          </cell>
        </row>
        <row r="1243">
          <cell r="C1243" t="str">
            <v>HY</v>
          </cell>
          <cell r="D1243">
            <v>3.8</v>
          </cell>
          <cell r="H1243" t="str">
            <v>hydro</v>
          </cell>
        </row>
        <row r="1244">
          <cell r="C1244" t="str">
            <v>HY</v>
          </cell>
          <cell r="D1244">
            <v>1.5</v>
          </cell>
          <cell r="H1244" t="str">
            <v>hydro</v>
          </cell>
        </row>
        <row r="1245">
          <cell r="C1245" t="str">
            <v>GT</v>
          </cell>
          <cell r="D1245">
            <v>46</v>
          </cell>
          <cell r="H1245" t="str">
            <v>petroleum</v>
          </cell>
        </row>
        <row r="1246">
          <cell r="C1246" t="str">
            <v>GT</v>
          </cell>
          <cell r="D1246">
            <v>46</v>
          </cell>
          <cell r="H1246" t="str">
            <v>petroleum</v>
          </cell>
        </row>
        <row r="1247">
          <cell r="C1247" t="str">
            <v>GT</v>
          </cell>
          <cell r="D1247">
            <v>46</v>
          </cell>
          <cell r="H1247" t="str">
            <v>petroleum</v>
          </cell>
        </row>
        <row r="1248">
          <cell r="C1248" t="str">
            <v>GT</v>
          </cell>
          <cell r="D1248">
            <v>46</v>
          </cell>
          <cell r="H1248" t="str">
            <v>petroleum</v>
          </cell>
        </row>
        <row r="1249">
          <cell r="C1249" t="str">
            <v>GT</v>
          </cell>
          <cell r="D1249">
            <v>46</v>
          </cell>
          <cell r="H1249" t="str">
            <v>petroleum</v>
          </cell>
        </row>
        <row r="1250">
          <cell r="C1250" t="str">
            <v>GT</v>
          </cell>
          <cell r="D1250">
            <v>46</v>
          </cell>
          <cell r="H1250" t="str">
            <v>petroleum</v>
          </cell>
        </row>
        <row r="1251">
          <cell r="C1251" t="str">
            <v>GT</v>
          </cell>
          <cell r="D1251">
            <v>46</v>
          </cell>
          <cell r="H1251" t="str">
            <v>petroleum</v>
          </cell>
        </row>
        <row r="1252">
          <cell r="C1252" t="str">
            <v>GT</v>
          </cell>
          <cell r="D1252">
            <v>46</v>
          </cell>
          <cell r="H1252" t="str">
            <v>petroleum</v>
          </cell>
        </row>
        <row r="1253">
          <cell r="C1253" t="str">
            <v>GT</v>
          </cell>
          <cell r="D1253">
            <v>46</v>
          </cell>
          <cell r="H1253" t="str">
            <v>petroleum</v>
          </cell>
        </row>
        <row r="1254">
          <cell r="C1254" t="str">
            <v>IC</v>
          </cell>
          <cell r="D1254">
            <v>2</v>
          </cell>
          <cell r="H1254" t="str">
            <v>petroleum</v>
          </cell>
        </row>
        <row r="1255">
          <cell r="C1255" t="str">
            <v>HY</v>
          </cell>
          <cell r="D1255">
            <v>1.5</v>
          </cell>
          <cell r="H1255" t="str">
            <v>hydro</v>
          </cell>
        </row>
        <row r="1256">
          <cell r="C1256" t="str">
            <v>HY</v>
          </cell>
          <cell r="D1256">
            <v>1.5</v>
          </cell>
          <cell r="H1256" t="str">
            <v>hydro</v>
          </cell>
        </row>
        <row r="1257">
          <cell r="C1257" t="str">
            <v>HY</v>
          </cell>
          <cell r="D1257">
            <v>1.5</v>
          </cell>
          <cell r="H1257" t="str">
            <v>hydro</v>
          </cell>
        </row>
        <row r="1258">
          <cell r="C1258" t="str">
            <v>HY</v>
          </cell>
          <cell r="D1258">
            <v>1.5</v>
          </cell>
          <cell r="H1258" t="str">
            <v>hydro</v>
          </cell>
        </row>
        <row r="1259">
          <cell r="C1259" t="str">
            <v>HY</v>
          </cell>
          <cell r="D1259">
            <v>1.5</v>
          </cell>
          <cell r="H1259" t="str">
            <v>hydro</v>
          </cell>
        </row>
        <row r="1260">
          <cell r="C1260" t="str">
            <v>HY</v>
          </cell>
          <cell r="D1260">
            <v>1.5</v>
          </cell>
          <cell r="H1260" t="str">
            <v>hydro</v>
          </cell>
        </row>
        <row r="1261">
          <cell r="C1261" t="str">
            <v>HY</v>
          </cell>
          <cell r="D1261">
            <v>1.5</v>
          </cell>
          <cell r="H1261" t="str">
            <v>hydro</v>
          </cell>
        </row>
        <row r="1262">
          <cell r="C1262" t="str">
            <v>HY</v>
          </cell>
          <cell r="D1262">
            <v>3</v>
          </cell>
          <cell r="H1262" t="str">
            <v>hydro</v>
          </cell>
        </row>
        <row r="1263">
          <cell r="C1263" t="str">
            <v>HY</v>
          </cell>
          <cell r="D1263">
            <v>3</v>
          </cell>
          <cell r="H1263" t="str">
            <v>hydro</v>
          </cell>
        </row>
        <row r="1264">
          <cell r="C1264" t="str">
            <v>HY</v>
          </cell>
          <cell r="D1264">
            <v>10.7</v>
          </cell>
          <cell r="H1264" t="str">
            <v>hydro</v>
          </cell>
        </row>
        <row r="1265">
          <cell r="C1265" t="str">
            <v>HY</v>
          </cell>
          <cell r="D1265">
            <v>10.7</v>
          </cell>
          <cell r="H1265" t="str">
            <v>hydro</v>
          </cell>
        </row>
        <row r="1266">
          <cell r="C1266" t="str">
            <v>HY</v>
          </cell>
          <cell r="D1266">
            <v>10.7</v>
          </cell>
          <cell r="H1266" t="str">
            <v>hydro</v>
          </cell>
        </row>
        <row r="1267">
          <cell r="C1267" t="str">
            <v>HY</v>
          </cell>
          <cell r="D1267">
            <v>2.2999999999999998</v>
          </cell>
          <cell r="H1267" t="str">
            <v>hydro</v>
          </cell>
        </row>
        <row r="1268">
          <cell r="C1268" t="str">
            <v>HY</v>
          </cell>
          <cell r="D1268">
            <v>17.7</v>
          </cell>
          <cell r="H1268" t="str">
            <v>hydro</v>
          </cell>
        </row>
        <row r="1269">
          <cell r="C1269" t="str">
            <v>HY</v>
          </cell>
          <cell r="D1269">
            <v>17.7</v>
          </cell>
          <cell r="H1269" t="str">
            <v>hydro</v>
          </cell>
        </row>
        <row r="1270">
          <cell r="C1270" t="str">
            <v>HY</v>
          </cell>
          <cell r="D1270">
            <v>17.7</v>
          </cell>
          <cell r="H1270" t="str">
            <v>hydro</v>
          </cell>
        </row>
        <row r="1271">
          <cell r="C1271" t="str">
            <v>HY</v>
          </cell>
          <cell r="D1271">
            <v>5.9</v>
          </cell>
          <cell r="H1271" t="str">
            <v>hydro</v>
          </cell>
        </row>
        <row r="1272">
          <cell r="C1272" t="str">
            <v>HY</v>
          </cell>
          <cell r="D1272">
            <v>21.9</v>
          </cell>
          <cell r="H1272" t="str">
            <v>hydro</v>
          </cell>
        </row>
        <row r="1273">
          <cell r="C1273" t="str">
            <v>HY</v>
          </cell>
          <cell r="D1273">
            <v>21.9</v>
          </cell>
          <cell r="H1273" t="str">
            <v>hydro</v>
          </cell>
        </row>
        <row r="1274">
          <cell r="C1274" t="str">
            <v>HY</v>
          </cell>
          <cell r="D1274">
            <v>12.1</v>
          </cell>
          <cell r="H1274" t="str">
            <v>hydro</v>
          </cell>
        </row>
        <row r="1275">
          <cell r="C1275" t="str">
            <v>HY</v>
          </cell>
          <cell r="D1275">
            <v>12.1</v>
          </cell>
          <cell r="H1275" t="str">
            <v>hydro</v>
          </cell>
        </row>
        <row r="1276">
          <cell r="C1276" t="str">
            <v>HY</v>
          </cell>
          <cell r="D1276">
            <v>12.1</v>
          </cell>
          <cell r="H1276" t="str">
            <v>hydro</v>
          </cell>
        </row>
        <row r="1277">
          <cell r="C1277" t="str">
            <v>HY</v>
          </cell>
          <cell r="D1277">
            <v>12.2</v>
          </cell>
          <cell r="H1277" t="str">
            <v>hydro</v>
          </cell>
        </row>
        <row r="1278">
          <cell r="C1278" t="str">
            <v>HY</v>
          </cell>
          <cell r="D1278">
            <v>12.2</v>
          </cell>
          <cell r="H1278" t="str">
            <v>hydro</v>
          </cell>
        </row>
        <row r="1279">
          <cell r="C1279" t="str">
            <v>HY</v>
          </cell>
          <cell r="D1279">
            <v>12.2</v>
          </cell>
          <cell r="H1279" t="str">
            <v>hydro</v>
          </cell>
        </row>
        <row r="1280">
          <cell r="C1280" t="str">
            <v>HY</v>
          </cell>
          <cell r="D1280">
            <v>8.3000000000000007</v>
          </cell>
          <cell r="H1280" t="str">
            <v>hydro</v>
          </cell>
        </row>
        <row r="1281">
          <cell r="C1281" t="str">
            <v>HY</v>
          </cell>
          <cell r="D1281">
            <v>8.3000000000000007</v>
          </cell>
          <cell r="H1281" t="str">
            <v>hydro</v>
          </cell>
        </row>
        <row r="1282">
          <cell r="C1282" t="str">
            <v>HY</v>
          </cell>
          <cell r="D1282">
            <v>13</v>
          </cell>
          <cell r="H1282" t="str">
            <v>hydro</v>
          </cell>
        </row>
        <row r="1283">
          <cell r="C1283" t="str">
            <v>HY</v>
          </cell>
          <cell r="D1283">
            <v>13</v>
          </cell>
          <cell r="H1283" t="str">
            <v>hydro</v>
          </cell>
        </row>
        <row r="1284">
          <cell r="C1284" t="str">
            <v>HY</v>
          </cell>
          <cell r="D1284">
            <v>13</v>
          </cell>
          <cell r="H1284" t="str">
            <v>hydro</v>
          </cell>
        </row>
        <row r="1285">
          <cell r="C1285" t="str">
            <v>HY</v>
          </cell>
          <cell r="D1285">
            <v>13</v>
          </cell>
          <cell r="H1285" t="str">
            <v>hydro</v>
          </cell>
        </row>
        <row r="1286">
          <cell r="C1286" t="str">
            <v>ST</v>
          </cell>
          <cell r="D1286">
            <v>355.5</v>
          </cell>
          <cell r="H1286" t="str">
            <v>natural gas peaker</v>
          </cell>
        </row>
        <row r="1287">
          <cell r="C1287" t="str">
            <v>ST</v>
          </cell>
          <cell r="D1287">
            <v>358.5</v>
          </cell>
          <cell r="H1287" t="str">
            <v>natural gas peaker</v>
          </cell>
        </row>
        <row r="1288">
          <cell r="C1288" t="str">
            <v>HY</v>
          </cell>
          <cell r="D1288">
            <v>9.5</v>
          </cell>
          <cell r="H1288" t="str">
            <v>hydro</v>
          </cell>
        </row>
        <row r="1289">
          <cell r="C1289" t="str">
            <v>HY</v>
          </cell>
          <cell r="D1289">
            <v>9.5</v>
          </cell>
          <cell r="H1289" t="str">
            <v>hydro</v>
          </cell>
        </row>
        <row r="1290">
          <cell r="C1290" t="str">
            <v>HY</v>
          </cell>
          <cell r="D1290">
            <v>9.5</v>
          </cell>
          <cell r="H1290" t="str">
            <v>hydro</v>
          </cell>
        </row>
        <row r="1291">
          <cell r="C1291" t="str">
            <v>GT</v>
          </cell>
          <cell r="D1291">
            <v>14</v>
          </cell>
          <cell r="H1291" t="str">
            <v>petroleum</v>
          </cell>
        </row>
        <row r="1292">
          <cell r="C1292" t="str">
            <v>HY</v>
          </cell>
          <cell r="D1292">
            <v>1.5</v>
          </cell>
          <cell r="H1292" t="str">
            <v>hydro</v>
          </cell>
        </row>
        <row r="1293">
          <cell r="C1293" t="str">
            <v>HY</v>
          </cell>
          <cell r="D1293">
            <v>1.5</v>
          </cell>
          <cell r="H1293" t="str">
            <v>hydro</v>
          </cell>
        </row>
        <row r="1294">
          <cell r="C1294" t="str">
            <v>HY</v>
          </cell>
          <cell r="D1294">
            <v>1.5</v>
          </cell>
          <cell r="H1294" t="str">
            <v>hydro</v>
          </cell>
        </row>
        <row r="1295">
          <cell r="C1295" t="str">
            <v>HY</v>
          </cell>
          <cell r="D1295">
            <v>1.5</v>
          </cell>
          <cell r="H1295" t="str">
            <v>hydro</v>
          </cell>
        </row>
        <row r="1296">
          <cell r="C1296" t="str">
            <v>HY</v>
          </cell>
          <cell r="D1296">
            <v>1.5</v>
          </cell>
          <cell r="H1296" t="str">
            <v>hydro</v>
          </cell>
        </row>
        <row r="1297">
          <cell r="C1297" t="str">
            <v>HY</v>
          </cell>
          <cell r="D1297">
            <v>1.5</v>
          </cell>
          <cell r="H1297" t="str">
            <v>hydro</v>
          </cell>
        </row>
        <row r="1298">
          <cell r="C1298" t="str">
            <v>HY</v>
          </cell>
          <cell r="D1298">
            <v>1.5</v>
          </cell>
          <cell r="H1298" t="str">
            <v>hydro</v>
          </cell>
        </row>
        <row r="1299">
          <cell r="C1299" t="str">
            <v>HY</v>
          </cell>
          <cell r="D1299">
            <v>1.5</v>
          </cell>
          <cell r="H1299" t="str">
            <v>hydro</v>
          </cell>
        </row>
        <row r="1300">
          <cell r="C1300" t="str">
            <v>HY</v>
          </cell>
          <cell r="D1300">
            <v>23.9</v>
          </cell>
          <cell r="H1300" t="str">
            <v>hydro</v>
          </cell>
        </row>
        <row r="1301">
          <cell r="C1301" t="str">
            <v>HY</v>
          </cell>
          <cell r="D1301">
            <v>2.9</v>
          </cell>
          <cell r="H1301" t="str">
            <v>hydro</v>
          </cell>
        </row>
        <row r="1302">
          <cell r="C1302" t="str">
            <v>HY</v>
          </cell>
          <cell r="D1302">
            <v>2.4</v>
          </cell>
          <cell r="H1302" t="str">
            <v>hydro</v>
          </cell>
        </row>
        <row r="1303">
          <cell r="C1303" t="str">
            <v>HY</v>
          </cell>
          <cell r="D1303">
            <v>4</v>
          </cell>
          <cell r="H1303" t="str">
            <v>hydro</v>
          </cell>
        </row>
        <row r="1304">
          <cell r="C1304" t="str">
            <v>HY</v>
          </cell>
          <cell r="D1304">
            <v>4.8</v>
          </cell>
          <cell r="H1304" t="str">
            <v>hydro</v>
          </cell>
        </row>
        <row r="1305">
          <cell r="C1305" t="str">
            <v>HY</v>
          </cell>
          <cell r="D1305">
            <v>4</v>
          </cell>
          <cell r="H1305" t="str">
            <v>hydro</v>
          </cell>
        </row>
        <row r="1306">
          <cell r="C1306" t="str">
            <v>ST</v>
          </cell>
          <cell r="D1306">
            <v>10</v>
          </cell>
          <cell r="H1306" t="str">
            <v>natural gas peaker</v>
          </cell>
        </row>
        <row r="1307">
          <cell r="C1307" t="str">
            <v>GT</v>
          </cell>
          <cell r="D1307">
            <v>4</v>
          </cell>
          <cell r="H1307" t="str">
            <v>natural gas peaker</v>
          </cell>
        </row>
        <row r="1308">
          <cell r="C1308" t="str">
            <v>HY</v>
          </cell>
          <cell r="D1308">
            <v>85</v>
          </cell>
          <cell r="H1308" t="str">
            <v>hydro</v>
          </cell>
        </row>
        <row r="1309">
          <cell r="C1309" t="str">
            <v>HY</v>
          </cell>
          <cell r="D1309">
            <v>85</v>
          </cell>
          <cell r="H1309" t="str">
            <v>hydro</v>
          </cell>
        </row>
        <row r="1310">
          <cell r="C1310" t="str">
            <v>HY</v>
          </cell>
          <cell r="D1310">
            <v>85</v>
          </cell>
          <cell r="H1310" t="str">
            <v>hydro</v>
          </cell>
        </row>
        <row r="1311">
          <cell r="C1311" t="str">
            <v>HY</v>
          </cell>
          <cell r="D1311">
            <v>70</v>
          </cell>
          <cell r="H1311" t="str">
            <v>hydro</v>
          </cell>
        </row>
        <row r="1312">
          <cell r="C1312" t="str">
            <v>HY</v>
          </cell>
          <cell r="D1312">
            <v>80</v>
          </cell>
          <cell r="H1312" t="str">
            <v>hydro</v>
          </cell>
        </row>
        <row r="1313">
          <cell r="C1313" t="str">
            <v>HY</v>
          </cell>
          <cell r="D1313">
            <v>16</v>
          </cell>
          <cell r="H1313" t="str">
            <v>hydro</v>
          </cell>
        </row>
        <row r="1314">
          <cell r="C1314" t="str">
            <v>HY</v>
          </cell>
          <cell r="D1314">
            <v>1.3</v>
          </cell>
          <cell r="H1314" t="str">
            <v>hydro</v>
          </cell>
        </row>
        <row r="1315">
          <cell r="C1315" t="str">
            <v>HY</v>
          </cell>
          <cell r="D1315">
            <v>19.2</v>
          </cell>
          <cell r="H1315" t="str">
            <v>hydro</v>
          </cell>
        </row>
        <row r="1316">
          <cell r="C1316" t="str">
            <v>HY</v>
          </cell>
          <cell r="D1316">
            <v>0.9</v>
          </cell>
          <cell r="H1316" t="str">
            <v>hydro</v>
          </cell>
        </row>
        <row r="1317">
          <cell r="C1317" t="str">
            <v>HY</v>
          </cell>
          <cell r="D1317">
            <v>60</v>
          </cell>
          <cell r="H1317" t="str">
            <v>hydro</v>
          </cell>
        </row>
        <row r="1318">
          <cell r="C1318" t="str">
            <v>HY</v>
          </cell>
          <cell r="D1318">
            <v>60</v>
          </cell>
          <cell r="H1318" t="str">
            <v>hydro</v>
          </cell>
        </row>
        <row r="1319">
          <cell r="C1319" t="str">
            <v>HY</v>
          </cell>
          <cell r="D1319">
            <v>6.8</v>
          </cell>
          <cell r="H1319" t="str">
            <v>hydro</v>
          </cell>
        </row>
        <row r="1320">
          <cell r="C1320" t="str">
            <v>HY</v>
          </cell>
          <cell r="D1320">
            <v>35</v>
          </cell>
          <cell r="H1320" t="str">
            <v>hydro</v>
          </cell>
        </row>
        <row r="1321">
          <cell r="C1321" t="str">
            <v>HY</v>
          </cell>
          <cell r="D1321">
            <v>35</v>
          </cell>
          <cell r="H1321" t="str">
            <v>hydro</v>
          </cell>
        </row>
        <row r="1322">
          <cell r="C1322" t="str">
            <v>HY</v>
          </cell>
          <cell r="D1322">
            <v>2</v>
          </cell>
          <cell r="H1322" t="str">
            <v>hydro</v>
          </cell>
        </row>
        <row r="1323">
          <cell r="C1323" t="str">
            <v>HY</v>
          </cell>
          <cell r="D1323">
            <v>42</v>
          </cell>
          <cell r="H1323" t="str">
            <v>hydro</v>
          </cell>
        </row>
        <row r="1324">
          <cell r="C1324" t="str">
            <v>HY</v>
          </cell>
          <cell r="D1324">
            <v>42</v>
          </cell>
          <cell r="H1324" t="str">
            <v>hydro</v>
          </cell>
        </row>
        <row r="1325">
          <cell r="C1325" t="str">
            <v>HY</v>
          </cell>
          <cell r="D1325">
            <v>42</v>
          </cell>
          <cell r="H1325" t="str">
            <v>hydro</v>
          </cell>
        </row>
        <row r="1326">
          <cell r="C1326" t="str">
            <v>HY</v>
          </cell>
          <cell r="D1326">
            <v>42</v>
          </cell>
          <cell r="H1326" t="str">
            <v>hydro</v>
          </cell>
        </row>
        <row r="1327">
          <cell r="C1327" t="str">
            <v>ST</v>
          </cell>
          <cell r="D1327">
            <v>34</v>
          </cell>
          <cell r="H1327" t="str">
            <v>natural gas peaker</v>
          </cell>
        </row>
        <row r="1328">
          <cell r="C1328" t="str">
            <v>ST</v>
          </cell>
          <cell r="D1328">
            <v>77.900000000000006</v>
          </cell>
          <cell r="H1328" t="str">
            <v>petroleum</v>
          </cell>
        </row>
        <row r="1329">
          <cell r="C1329" t="str">
            <v>ST</v>
          </cell>
          <cell r="D1329">
            <v>78.099999999999994</v>
          </cell>
          <cell r="H1329" t="str">
            <v>petroleum</v>
          </cell>
        </row>
        <row r="1330">
          <cell r="C1330" t="str">
            <v>ST</v>
          </cell>
          <cell r="D1330">
            <v>82.1</v>
          </cell>
          <cell r="H1330" t="str">
            <v>petroleum</v>
          </cell>
        </row>
        <row r="1331">
          <cell r="C1331" t="str">
            <v>ST</v>
          </cell>
          <cell r="D1331">
            <v>87.2</v>
          </cell>
          <cell r="H1331" t="str">
            <v>petroleum</v>
          </cell>
        </row>
        <row r="1332">
          <cell r="C1332" t="str">
            <v>ST</v>
          </cell>
          <cell r="D1332">
            <v>128.1</v>
          </cell>
          <cell r="H1332" t="str">
            <v>petroleum</v>
          </cell>
        </row>
        <row r="1333">
          <cell r="C1333" t="str">
            <v>ST</v>
          </cell>
          <cell r="D1333">
            <v>128.69999999999999</v>
          </cell>
          <cell r="H1333" t="str">
            <v>petroleum</v>
          </cell>
        </row>
        <row r="1334">
          <cell r="C1334" t="str">
            <v>GT</v>
          </cell>
          <cell r="D1334">
            <v>51.2</v>
          </cell>
          <cell r="H1334" t="str">
            <v>petroleum</v>
          </cell>
        </row>
        <row r="1335">
          <cell r="C1335" t="str">
            <v>ST</v>
          </cell>
          <cell r="D1335">
            <v>47.2</v>
          </cell>
          <cell r="H1335" t="str">
            <v>petroleum</v>
          </cell>
        </row>
        <row r="1336">
          <cell r="C1336" t="str">
            <v>ST</v>
          </cell>
          <cell r="D1336">
            <v>47.7</v>
          </cell>
          <cell r="H1336" t="str">
            <v>petroleum</v>
          </cell>
        </row>
        <row r="1337">
          <cell r="C1337" t="str">
            <v>ST</v>
          </cell>
          <cell r="D1337">
            <v>51.9</v>
          </cell>
          <cell r="H1337" t="str">
            <v>petroleum</v>
          </cell>
        </row>
        <row r="1338">
          <cell r="C1338" t="str">
            <v>ST</v>
          </cell>
          <cell r="D1338">
            <v>51.8</v>
          </cell>
          <cell r="H1338" t="str">
            <v>petroleum</v>
          </cell>
        </row>
        <row r="1339">
          <cell r="C1339" t="str">
            <v>ST</v>
          </cell>
          <cell r="D1339">
            <v>77.8</v>
          </cell>
          <cell r="H1339" t="str">
            <v>petroleum</v>
          </cell>
        </row>
        <row r="1340">
          <cell r="C1340" t="str">
            <v>ST</v>
          </cell>
          <cell r="D1340">
            <v>77.8</v>
          </cell>
          <cell r="H1340" t="str">
            <v>petroleum</v>
          </cell>
        </row>
        <row r="1341">
          <cell r="C1341" t="str">
            <v>GT</v>
          </cell>
          <cell r="D1341">
            <v>51.2</v>
          </cell>
          <cell r="H1341" t="str">
            <v>petroleum</v>
          </cell>
        </row>
        <row r="1342">
          <cell r="C1342" t="str">
            <v>IC</v>
          </cell>
          <cell r="D1342">
            <v>2.5</v>
          </cell>
          <cell r="H1342" t="str">
            <v>petroleum</v>
          </cell>
        </row>
        <row r="1343">
          <cell r="C1343" t="str">
            <v>IC</v>
          </cell>
          <cell r="D1343">
            <v>2.5</v>
          </cell>
          <cell r="H1343" t="str">
            <v>petroleum</v>
          </cell>
        </row>
        <row r="1344">
          <cell r="C1344" t="str">
            <v>IC</v>
          </cell>
          <cell r="D1344">
            <v>2.5</v>
          </cell>
          <cell r="H1344" t="str">
            <v>petroleum</v>
          </cell>
        </row>
        <row r="1345">
          <cell r="C1345" t="str">
            <v>IC</v>
          </cell>
          <cell r="D1345">
            <v>2</v>
          </cell>
          <cell r="H1345" t="str">
            <v>petroleum</v>
          </cell>
        </row>
        <row r="1346">
          <cell r="C1346" t="str">
            <v>IC</v>
          </cell>
          <cell r="D1346">
            <v>2.5</v>
          </cell>
          <cell r="H1346" t="str">
            <v>petroleum</v>
          </cell>
        </row>
        <row r="1347">
          <cell r="C1347" t="str">
            <v>IC</v>
          </cell>
          <cell r="D1347">
            <v>2.5</v>
          </cell>
          <cell r="H1347" t="str">
            <v>petroleum</v>
          </cell>
        </row>
        <row r="1348">
          <cell r="C1348" t="str">
            <v>IC</v>
          </cell>
          <cell r="D1348">
            <v>2.5</v>
          </cell>
          <cell r="H1348" t="str">
            <v>petroleum</v>
          </cell>
        </row>
        <row r="1349">
          <cell r="C1349" t="str">
            <v>GT</v>
          </cell>
          <cell r="D1349">
            <v>10.5</v>
          </cell>
          <cell r="H1349" t="str">
            <v>petroleum</v>
          </cell>
        </row>
        <row r="1350">
          <cell r="C1350" t="str">
            <v>HY</v>
          </cell>
          <cell r="D1350">
            <v>0.7</v>
          </cell>
          <cell r="H1350" t="str">
            <v>hydro</v>
          </cell>
        </row>
        <row r="1351">
          <cell r="C1351" t="str">
            <v>HY</v>
          </cell>
          <cell r="D1351">
            <v>2.4</v>
          </cell>
          <cell r="H1351" t="str">
            <v>hydro</v>
          </cell>
        </row>
        <row r="1352">
          <cell r="C1352" t="str">
            <v>ST</v>
          </cell>
          <cell r="D1352">
            <v>14.1</v>
          </cell>
          <cell r="H1352" t="str">
            <v>petroleum</v>
          </cell>
        </row>
        <row r="1353">
          <cell r="C1353" t="str">
            <v>ST</v>
          </cell>
          <cell r="D1353">
            <v>21.4</v>
          </cell>
          <cell r="H1353" t="str">
            <v>petroleum</v>
          </cell>
        </row>
        <row r="1354">
          <cell r="C1354" t="str">
            <v>HY</v>
          </cell>
          <cell r="D1354">
            <v>0.7</v>
          </cell>
          <cell r="H1354" t="str">
            <v>hydro</v>
          </cell>
        </row>
        <row r="1355">
          <cell r="C1355" t="str">
            <v>HY</v>
          </cell>
          <cell r="D1355">
            <v>0.3</v>
          </cell>
          <cell r="H1355" t="str">
            <v>hydro</v>
          </cell>
        </row>
        <row r="1356">
          <cell r="C1356" t="str">
            <v>HY</v>
          </cell>
          <cell r="D1356">
            <v>12.1</v>
          </cell>
          <cell r="H1356" t="str">
            <v>hydro</v>
          </cell>
        </row>
        <row r="1357">
          <cell r="C1357" t="str">
            <v>HY</v>
          </cell>
          <cell r="D1357">
            <v>41</v>
          </cell>
          <cell r="H1357" t="str">
            <v>hydro</v>
          </cell>
        </row>
        <row r="1358">
          <cell r="C1358" t="str">
            <v>HY</v>
          </cell>
          <cell r="D1358">
            <v>1.9</v>
          </cell>
          <cell r="H1358" t="str">
            <v>hydro</v>
          </cell>
        </row>
        <row r="1359">
          <cell r="C1359" t="str">
            <v>IC</v>
          </cell>
          <cell r="D1359">
            <v>2.5</v>
          </cell>
          <cell r="H1359" t="str">
            <v>petroleum</v>
          </cell>
        </row>
        <row r="1360">
          <cell r="C1360" t="str">
            <v>IC</v>
          </cell>
          <cell r="D1360">
            <v>2.4</v>
          </cell>
          <cell r="H1360" t="str">
            <v>petroleum</v>
          </cell>
        </row>
        <row r="1361">
          <cell r="C1361" t="str">
            <v>IC</v>
          </cell>
          <cell r="D1361">
            <v>1.1000000000000001</v>
          </cell>
          <cell r="H1361" t="str">
            <v>petroleum</v>
          </cell>
        </row>
        <row r="1362">
          <cell r="C1362" t="str">
            <v>IC</v>
          </cell>
          <cell r="D1362">
            <v>1.1000000000000001</v>
          </cell>
          <cell r="H1362" t="str">
            <v>petroleum</v>
          </cell>
        </row>
        <row r="1363">
          <cell r="C1363" t="str">
            <v>IC</v>
          </cell>
          <cell r="D1363">
            <v>3.6</v>
          </cell>
          <cell r="H1363" t="str">
            <v>petroleum</v>
          </cell>
        </row>
        <row r="1364">
          <cell r="C1364" t="str">
            <v>HY</v>
          </cell>
          <cell r="D1364">
            <v>23.4</v>
          </cell>
          <cell r="H1364" t="str">
            <v>hydro</v>
          </cell>
        </row>
        <row r="1365">
          <cell r="C1365" t="str">
            <v>HY</v>
          </cell>
          <cell r="D1365">
            <v>3</v>
          </cell>
          <cell r="H1365" t="str">
            <v>hydro</v>
          </cell>
        </row>
        <row r="1366">
          <cell r="C1366" t="str">
            <v>HY</v>
          </cell>
          <cell r="D1366">
            <v>3</v>
          </cell>
          <cell r="H1366" t="str">
            <v>hydro</v>
          </cell>
        </row>
        <row r="1367">
          <cell r="C1367" t="str">
            <v>GT</v>
          </cell>
          <cell r="D1367">
            <v>2</v>
          </cell>
          <cell r="H1367" t="str">
            <v>petroleum</v>
          </cell>
        </row>
        <row r="1368">
          <cell r="C1368" t="str">
            <v>IC</v>
          </cell>
          <cell r="D1368">
            <v>2</v>
          </cell>
          <cell r="H1368" t="str">
            <v>petroleum</v>
          </cell>
        </row>
        <row r="1369">
          <cell r="C1369" t="str">
            <v>IC</v>
          </cell>
          <cell r="D1369">
            <v>2</v>
          </cell>
          <cell r="H1369" t="str">
            <v>petroleum</v>
          </cell>
        </row>
        <row r="1370">
          <cell r="C1370" t="str">
            <v>IC</v>
          </cell>
          <cell r="D1370">
            <v>2</v>
          </cell>
          <cell r="H1370" t="str">
            <v>petroleum</v>
          </cell>
        </row>
        <row r="1371">
          <cell r="C1371" t="str">
            <v>BA</v>
          </cell>
          <cell r="D1371">
            <v>2</v>
          </cell>
          <cell r="H1371" t="str">
            <v>other</v>
          </cell>
        </row>
        <row r="1372">
          <cell r="C1372" t="str">
            <v>IC</v>
          </cell>
          <cell r="D1372">
            <v>1.2</v>
          </cell>
          <cell r="H1372" t="str">
            <v>petroleum</v>
          </cell>
        </row>
        <row r="1373">
          <cell r="C1373" t="str">
            <v>IC</v>
          </cell>
          <cell r="D1373">
            <v>1.2</v>
          </cell>
          <cell r="H1373" t="str">
            <v>petroleum</v>
          </cell>
        </row>
        <row r="1374">
          <cell r="C1374" t="str">
            <v>IC</v>
          </cell>
          <cell r="D1374">
            <v>0.9</v>
          </cell>
          <cell r="H1374" t="str">
            <v>petroleum</v>
          </cell>
        </row>
        <row r="1375">
          <cell r="C1375" t="str">
            <v>IC</v>
          </cell>
          <cell r="D1375">
            <v>0.9</v>
          </cell>
          <cell r="H1375" t="str">
            <v>petroleum</v>
          </cell>
        </row>
        <row r="1376">
          <cell r="C1376" t="str">
            <v>IC</v>
          </cell>
          <cell r="D1376">
            <v>0.9</v>
          </cell>
          <cell r="H1376" t="str">
            <v>petroleum</v>
          </cell>
        </row>
        <row r="1377">
          <cell r="C1377" t="str">
            <v>IC</v>
          </cell>
          <cell r="D1377">
            <v>0.9</v>
          </cell>
          <cell r="H1377" t="str">
            <v>petroleum</v>
          </cell>
        </row>
        <row r="1378">
          <cell r="C1378" t="str">
            <v>HY</v>
          </cell>
          <cell r="D1378">
            <v>2</v>
          </cell>
          <cell r="H1378" t="str">
            <v>hydro</v>
          </cell>
        </row>
        <row r="1379">
          <cell r="C1379" t="str">
            <v>HY</v>
          </cell>
          <cell r="D1379">
            <v>14</v>
          </cell>
          <cell r="H1379" t="str">
            <v>hydro</v>
          </cell>
        </row>
        <row r="1380">
          <cell r="C1380" t="str">
            <v>HY</v>
          </cell>
          <cell r="D1380">
            <v>14</v>
          </cell>
          <cell r="H1380" t="str">
            <v>hydro</v>
          </cell>
        </row>
        <row r="1381">
          <cell r="C1381" t="str">
            <v>HY</v>
          </cell>
          <cell r="D1381">
            <v>4.5</v>
          </cell>
          <cell r="H1381" t="str">
            <v>hydro</v>
          </cell>
        </row>
        <row r="1382">
          <cell r="C1382" t="str">
            <v>HY</v>
          </cell>
          <cell r="D1382">
            <v>4.5</v>
          </cell>
          <cell r="H1382" t="str">
            <v>hydro</v>
          </cell>
        </row>
        <row r="1383">
          <cell r="C1383" t="str">
            <v>HY</v>
          </cell>
          <cell r="D1383">
            <v>36.799999999999997</v>
          </cell>
          <cell r="H1383" t="str">
            <v>hydro</v>
          </cell>
        </row>
        <row r="1384">
          <cell r="C1384" t="str">
            <v>HY</v>
          </cell>
          <cell r="D1384">
            <v>36.799999999999997</v>
          </cell>
          <cell r="H1384" t="str">
            <v>hydro</v>
          </cell>
        </row>
        <row r="1385">
          <cell r="C1385" t="str">
            <v>HY</v>
          </cell>
          <cell r="D1385">
            <v>36.799999999999997</v>
          </cell>
          <cell r="H1385" t="str">
            <v>hydro</v>
          </cell>
        </row>
        <row r="1386">
          <cell r="C1386" t="str">
            <v>HY</v>
          </cell>
          <cell r="D1386">
            <v>26.9</v>
          </cell>
          <cell r="H1386" t="str">
            <v>hydro</v>
          </cell>
        </row>
        <row r="1387">
          <cell r="C1387" t="str">
            <v>HY</v>
          </cell>
          <cell r="D1387">
            <v>25.7</v>
          </cell>
          <cell r="H1387" t="str">
            <v>hydro</v>
          </cell>
        </row>
        <row r="1388">
          <cell r="C1388" t="str">
            <v>HY</v>
          </cell>
          <cell r="D1388">
            <v>28.8</v>
          </cell>
          <cell r="H1388" t="str">
            <v>hydro</v>
          </cell>
        </row>
        <row r="1389">
          <cell r="C1389" t="str">
            <v>HY</v>
          </cell>
          <cell r="D1389">
            <v>123.3</v>
          </cell>
          <cell r="H1389" t="str">
            <v>hydro</v>
          </cell>
        </row>
        <row r="1390">
          <cell r="C1390" t="str">
            <v>HY</v>
          </cell>
          <cell r="D1390">
            <v>131.19999999999999</v>
          </cell>
          <cell r="H1390" t="str">
            <v>hydro</v>
          </cell>
        </row>
        <row r="1391">
          <cell r="C1391" t="str">
            <v>HY</v>
          </cell>
          <cell r="D1391">
            <v>120.2</v>
          </cell>
          <cell r="H1391" t="str">
            <v>hydro</v>
          </cell>
        </row>
        <row r="1392">
          <cell r="C1392" t="str">
            <v>HY</v>
          </cell>
          <cell r="D1392">
            <v>123.1</v>
          </cell>
          <cell r="H1392" t="str">
            <v>hydro</v>
          </cell>
        </row>
        <row r="1393">
          <cell r="C1393" t="str">
            <v>HY</v>
          </cell>
          <cell r="D1393">
            <v>246.2</v>
          </cell>
          <cell r="H1393" t="str">
            <v>hydro</v>
          </cell>
        </row>
        <row r="1394">
          <cell r="C1394" t="str">
            <v>HY</v>
          </cell>
          <cell r="D1394">
            <v>32.299999999999997</v>
          </cell>
          <cell r="H1394" t="str">
            <v>hydro</v>
          </cell>
        </row>
        <row r="1395">
          <cell r="C1395" t="str">
            <v>HY</v>
          </cell>
          <cell r="D1395">
            <v>31.2</v>
          </cell>
          <cell r="H1395" t="str">
            <v>hydro</v>
          </cell>
        </row>
        <row r="1396">
          <cell r="C1396" t="str">
            <v>HY</v>
          </cell>
          <cell r="D1396">
            <v>30.7</v>
          </cell>
          <cell r="H1396" t="str">
            <v>hydro</v>
          </cell>
        </row>
        <row r="1397">
          <cell r="C1397" t="str">
            <v>HY</v>
          </cell>
          <cell r="D1397">
            <v>7.2</v>
          </cell>
          <cell r="H1397" t="str">
            <v>hydro</v>
          </cell>
        </row>
        <row r="1398">
          <cell r="C1398" t="str">
            <v>HY</v>
          </cell>
          <cell r="D1398">
            <v>7.2</v>
          </cell>
          <cell r="H1398" t="str">
            <v>hydro</v>
          </cell>
        </row>
        <row r="1399">
          <cell r="C1399" t="str">
            <v>HY</v>
          </cell>
          <cell r="D1399">
            <v>2.1</v>
          </cell>
          <cell r="H1399" t="str">
            <v>hydro</v>
          </cell>
        </row>
        <row r="1400">
          <cell r="C1400" t="str">
            <v>HY</v>
          </cell>
          <cell r="D1400">
            <v>15.3</v>
          </cell>
          <cell r="H1400" t="str">
            <v>hydro</v>
          </cell>
        </row>
        <row r="1401">
          <cell r="C1401" t="str">
            <v>HY</v>
          </cell>
          <cell r="D1401">
            <v>18.100000000000001</v>
          </cell>
          <cell r="H1401" t="str">
            <v>hydro</v>
          </cell>
        </row>
        <row r="1402">
          <cell r="C1402" t="str">
            <v>HY</v>
          </cell>
          <cell r="D1402">
            <v>18</v>
          </cell>
          <cell r="H1402" t="str">
            <v>hydro</v>
          </cell>
        </row>
        <row r="1403">
          <cell r="C1403" t="str">
            <v>HY</v>
          </cell>
          <cell r="D1403">
            <v>17.7</v>
          </cell>
          <cell r="H1403" t="str">
            <v>hydro</v>
          </cell>
        </row>
        <row r="1404">
          <cell r="C1404" t="str">
            <v>HY</v>
          </cell>
          <cell r="D1404">
            <v>18.100000000000001</v>
          </cell>
          <cell r="H1404" t="str">
            <v>hydro</v>
          </cell>
        </row>
        <row r="1405">
          <cell r="C1405" t="str">
            <v>IC</v>
          </cell>
          <cell r="D1405">
            <v>2.7</v>
          </cell>
          <cell r="H1405" t="str">
            <v>petroleum</v>
          </cell>
        </row>
        <row r="1406">
          <cell r="C1406" t="str">
            <v>IC</v>
          </cell>
          <cell r="D1406">
            <v>2.7</v>
          </cell>
          <cell r="H1406" t="str">
            <v>petroleum</v>
          </cell>
        </row>
        <row r="1407">
          <cell r="C1407" t="str">
            <v>HY</v>
          </cell>
          <cell r="D1407">
            <v>12.8</v>
          </cell>
          <cell r="H1407" t="str">
            <v>hydro</v>
          </cell>
        </row>
        <row r="1408">
          <cell r="C1408" t="str">
            <v>HY</v>
          </cell>
          <cell r="D1408">
            <v>14.9</v>
          </cell>
          <cell r="H1408" t="str">
            <v>hydro</v>
          </cell>
        </row>
        <row r="1409">
          <cell r="C1409" t="str">
            <v>HY</v>
          </cell>
          <cell r="D1409">
            <v>14.5</v>
          </cell>
          <cell r="H1409" t="str">
            <v>hydro</v>
          </cell>
        </row>
        <row r="1410">
          <cell r="C1410" t="str">
            <v>HY</v>
          </cell>
          <cell r="D1410">
            <v>6.4</v>
          </cell>
          <cell r="H1410" t="str">
            <v>hydro</v>
          </cell>
        </row>
        <row r="1411">
          <cell r="C1411" t="str">
            <v>HY</v>
          </cell>
          <cell r="D1411">
            <v>10.1</v>
          </cell>
          <cell r="H1411" t="str">
            <v>hydro</v>
          </cell>
        </row>
        <row r="1412">
          <cell r="C1412" t="str">
            <v>HY</v>
          </cell>
          <cell r="D1412">
            <v>43.1</v>
          </cell>
          <cell r="H1412" t="str">
            <v>hydro</v>
          </cell>
        </row>
        <row r="1413">
          <cell r="C1413" t="str">
            <v>HY</v>
          </cell>
          <cell r="D1413">
            <v>9.5</v>
          </cell>
          <cell r="H1413" t="str">
            <v>hydro</v>
          </cell>
        </row>
        <row r="1414">
          <cell r="C1414" t="str">
            <v>HY</v>
          </cell>
          <cell r="D1414">
            <v>8.6999999999999993</v>
          </cell>
          <cell r="H1414" t="str">
            <v>hydro</v>
          </cell>
        </row>
        <row r="1415">
          <cell r="C1415" t="str">
            <v>HY</v>
          </cell>
          <cell r="D1415">
            <v>8.1</v>
          </cell>
          <cell r="H1415" t="str">
            <v>hydro</v>
          </cell>
        </row>
        <row r="1416">
          <cell r="C1416" t="str">
            <v>HY</v>
          </cell>
          <cell r="D1416">
            <v>2.7</v>
          </cell>
          <cell r="H1416" t="str">
            <v>hydro</v>
          </cell>
        </row>
        <row r="1417">
          <cell r="C1417" t="str">
            <v>HY</v>
          </cell>
          <cell r="D1417">
            <v>2.2000000000000002</v>
          </cell>
          <cell r="H1417" t="str">
            <v>hydro</v>
          </cell>
        </row>
        <row r="1418">
          <cell r="C1418" t="str">
            <v>HY</v>
          </cell>
          <cell r="D1418">
            <v>2.2000000000000002</v>
          </cell>
          <cell r="H1418" t="str">
            <v>hydro</v>
          </cell>
        </row>
        <row r="1419">
          <cell r="C1419" t="str">
            <v>HY</v>
          </cell>
          <cell r="D1419">
            <v>11</v>
          </cell>
          <cell r="H1419" t="str">
            <v>hydro</v>
          </cell>
        </row>
        <row r="1420">
          <cell r="C1420" t="str">
            <v>HY</v>
          </cell>
          <cell r="D1420">
            <v>11</v>
          </cell>
          <cell r="H1420" t="str">
            <v>hydro</v>
          </cell>
        </row>
        <row r="1421">
          <cell r="C1421" t="str">
            <v>HY</v>
          </cell>
          <cell r="D1421">
            <v>11</v>
          </cell>
          <cell r="H1421" t="str">
            <v>hydro</v>
          </cell>
        </row>
        <row r="1422">
          <cell r="C1422" t="str">
            <v>HY</v>
          </cell>
          <cell r="D1422">
            <v>9.3000000000000007</v>
          </cell>
          <cell r="H1422" t="str">
            <v>hydro</v>
          </cell>
        </row>
        <row r="1423">
          <cell r="C1423" t="str">
            <v>HY</v>
          </cell>
          <cell r="D1423">
            <v>9.3000000000000007</v>
          </cell>
          <cell r="H1423" t="str">
            <v>hydro</v>
          </cell>
        </row>
        <row r="1424">
          <cell r="C1424" t="str">
            <v>HY</v>
          </cell>
          <cell r="D1424">
            <v>9.3000000000000007</v>
          </cell>
          <cell r="H1424" t="str">
            <v>hydro</v>
          </cell>
        </row>
        <row r="1425">
          <cell r="C1425" t="str">
            <v>HY</v>
          </cell>
          <cell r="D1425">
            <v>7.6</v>
          </cell>
          <cell r="H1425" t="str">
            <v>hydro</v>
          </cell>
        </row>
        <row r="1426">
          <cell r="C1426" t="str">
            <v>HY</v>
          </cell>
          <cell r="D1426">
            <v>7.6</v>
          </cell>
          <cell r="H1426" t="str">
            <v>hydro</v>
          </cell>
        </row>
        <row r="1427">
          <cell r="C1427" t="str">
            <v>HY</v>
          </cell>
          <cell r="D1427">
            <v>44.3</v>
          </cell>
          <cell r="H1427" t="str">
            <v>hydro</v>
          </cell>
        </row>
        <row r="1428">
          <cell r="C1428" t="str">
            <v>HY</v>
          </cell>
          <cell r="D1428">
            <v>73.900000000000006</v>
          </cell>
          <cell r="H1428" t="str">
            <v>hydro</v>
          </cell>
        </row>
        <row r="1429">
          <cell r="C1429" t="str">
            <v>HY</v>
          </cell>
          <cell r="D1429">
            <v>73.400000000000006</v>
          </cell>
          <cell r="H1429" t="str">
            <v>hydro</v>
          </cell>
        </row>
        <row r="1430">
          <cell r="C1430" t="str">
            <v>HY</v>
          </cell>
          <cell r="D1430">
            <v>63</v>
          </cell>
          <cell r="H1430" t="str">
            <v>hydro</v>
          </cell>
        </row>
        <row r="1431">
          <cell r="C1431" t="str">
            <v>HY</v>
          </cell>
          <cell r="D1431">
            <v>2.8</v>
          </cell>
          <cell r="H1431" t="str">
            <v>hydro</v>
          </cell>
        </row>
        <row r="1432">
          <cell r="C1432" t="str">
            <v>HY</v>
          </cell>
          <cell r="D1432">
            <v>2.8</v>
          </cell>
          <cell r="H1432" t="str">
            <v>hydro</v>
          </cell>
        </row>
        <row r="1433">
          <cell r="C1433" t="str">
            <v>HY</v>
          </cell>
          <cell r="D1433">
            <v>2.8</v>
          </cell>
          <cell r="H1433" t="str">
            <v>hydro</v>
          </cell>
        </row>
        <row r="1434">
          <cell r="C1434" t="str">
            <v>HY</v>
          </cell>
          <cell r="D1434">
            <v>2.8</v>
          </cell>
          <cell r="H1434" t="str">
            <v>hydro</v>
          </cell>
        </row>
        <row r="1435">
          <cell r="C1435" t="str">
            <v>HY</v>
          </cell>
          <cell r="D1435">
            <v>2.8</v>
          </cell>
          <cell r="H1435" t="str">
            <v>hydro</v>
          </cell>
        </row>
        <row r="1436">
          <cell r="C1436" t="str">
            <v>HY</v>
          </cell>
          <cell r="D1436">
            <v>3.5</v>
          </cell>
          <cell r="H1436" t="str">
            <v>hydro</v>
          </cell>
        </row>
        <row r="1437">
          <cell r="C1437" t="str">
            <v>HY</v>
          </cell>
          <cell r="D1437">
            <v>0.9</v>
          </cell>
          <cell r="H1437" t="str">
            <v>hydro</v>
          </cell>
        </row>
        <row r="1438">
          <cell r="C1438" t="str">
            <v>HY</v>
          </cell>
          <cell r="D1438">
            <v>103</v>
          </cell>
          <cell r="H1438" t="str">
            <v>hydro</v>
          </cell>
        </row>
        <row r="1439">
          <cell r="C1439" t="str">
            <v>HY</v>
          </cell>
          <cell r="D1439">
            <v>103</v>
          </cell>
          <cell r="H1439" t="str">
            <v>hydro</v>
          </cell>
        </row>
        <row r="1440">
          <cell r="C1440" t="str">
            <v>HY</v>
          </cell>
          <cell r="D1440">
            <v>259</v>
          </cell>
          <cell r="H1440" t="str">
            <v>hydro</v>
          </cell>
        </row>
        <row r="1441">
          <cell r="C1441" t="str">
            <v>HY</v>
          </cell>
          <cell r="D1441">
            <v>8</v>
          </cell>
          <cell r="H1441" t="str">
            <v>hydro</v>
          </cell>
        </row>
        <row r="1442">
          <cell r="C1442" t="str">
            <v>HY</v>
          </cell>
          <cell r="D1442">
            <v>3</v>
          </cell>
          <cell r="H1442" t="str">
            <v>hydro</v>
          </cell>
        </row>
        <row r="1443">
          <cell r="C1443" t="str">
            <v>HY</v>
          </cell>
          <cell r="D1443">
            <v>8</v>
          </cell>
          <cell r="H1443" t="str">
            <v>hydro</v>
          </cell>
        </row>
        <row r="1444">
          <cell r="C1444" t="str">
            <v>HY</v>
          </cell>
          <cell r="D1444">
            <v>0.5</v>
          </cell>
          <cell r="H1444" t="str">
            <v>hydro</v>
          </cell>
        </row>
        <row r="1445">
          <cell r="C1445" t="str">
            <v>HY</v>
          </cell>
          <cell r="D1445">
            <v>0.5</v>
          </cell>
          <cell r="H1445" t="str">
            <v>hydro</v>
          </cell>
        </row>
        <row r="1446">
          <cell r="C1446" t="str">
            <v>HY</v>
          </cell>
          <cell r="D1446">
            <v>0.5</v>
          </cell>
          <cell r="H1446" t="str">
            <v>hydro</v>
          </cell>
        </row>
        <row r="1447">
          <cell r="C1447" t="str">
            <v>HY</v>
          </cell>
          <cell r="D1447">
            <v>44.1</v>
          </cell>
          <cell r="H1447" t="str">
            <v>hydro</v>
          </cell>
        </row>
        <row r="1448">
          <cell r="C1448" t="str">
            <v>HY</v>
          </cell>
          <cell r="D1448">
            <v>44.1</v>
          </cell>
          <cell r="H1448" t="str">
            <v>hydro</v>
          </cell>
        </row>
        <row r="1449">
          <cell r="C1449" t="str">
            <v>HY</v>
          </cell>
          <cell r="D1449">
            <v>44.1</v>
          </cell>
          <cell r="H1449" t="str">
            <v>hydro</v>
          </cell>
        </row>
        <row r="1450">
          <cell r="C1450" t="str">
            <v>HY</v>
          </cell>
          <cell r="D1450">
            <v>44.1</v>
          </cell>
          <cell r="H1450" t="str">
            <v>hydro</v>
          </cell>
        </row>
        <row r="1451">
          <cell r="C1451" t="str">
            <v>HY</v>
          </cell>
          <cell r="D1451">
            <v>14</v>
          </cell>
          <cell r="H1451" t="str">
            <v>hydro</v>
          </cell>
        </row>
        <row r="1452">
          <cell r="C1452" t="str">
            <v>HY</v>
          </cell>
          <cell r="D1452">
            <v>14</v>
          </cell>
          <cell r="H1452" t="str">
            <v>hydro</v>
          </cell>
        </row>
        <row r="1453">
          <cell r="C1453" t="str">
            <v>HY</v>
          </cell>
          <cell r="D1453">
            <v>14</v>
          </cell>
          <cell r="H1453" t="str">
            <v>hydro</v>
          </cell>
        </row>
        <row r="1454">
          <cell r="C1454" t="str">
            <v>ST</v>
          </cell>
          <cell r="D1454">
            <v>245</v>
          </cell>
          <cell r="H1454" t="str">
            <v>hard coal</v>
          </cell>
        </row>
        <row r="1455">
          <cell r="C1455" t="str">
            <v>ST</v>
          </cell>
          <cell r="D1455">
            <v>315</v>
          </cell>
          <cell r="H1455" t="str">
            <v>hard coal</v>
          </cell>
        </row>
        <row r="1456">
          <cell r="C1456" t="str">
            <v>CT</v>
          </cell>
          <cell r="D1456">
            <v>161</v>
          </cell>
          <cell r="H1456" t="str">
            <v>natural gas nonpeaker</v>
          </cell>
        </row>
        <row r="1457">
          <cell r="C1457" t="str">
            <v>CT</v>
          </cell>
          <cell r="D1457">
            <v>159</v>
          </cell>
          <cell r="H1457" t="str">
            <v>natural gas nonpeaker</v>
          </cell>
        </row>
        <row r="1458">
          <cell r="C1458" t="str">
            <v>CA</v>
          </cell>
          <cell r="D1458">
            <v>86</v>
          </cell>
          <cell r="H1458" t="str">
            <v>natural gas nonpeaker</v>
          </cell>
        </row>
        <row r="1459">
          <cell r="C1459" t="str">
            <v>CA</v>
          </cell>
          <cell r="D1459">
            <v>105</v>
          </cell>
          <cell r="H1459" t="str">
            <v>natural gas nonpeaker</v>
          </cell>
        </row>
        <row r="1460">
          <cell r="C1460" t="str">
            <v>ST</v>
          </cell>
          <cell r="D1460">
            <v>902</v>
          </cell>
          <cell r="H1460" t="str">
            <v>nuclear</v>
          </cell>
        </row>
        <row r="1461">
          <cell r="C1461" t="str">
            <v>ST</v>
          </cell>
          <cell r="D1461">
            <v>895</v>
          </cell>
          <cell r="H1461" t="str">
            <v>nuclear</v>
          </cell>
        </row>
        <row r="1462">
          <cell r="C1462" t="str">
            <v>ST</v>
          </cell>
          <cell r="D1462">
            <v>314</v>
          </cell>
          <cell r="H1462" t="str">
            <v>natural gas peaker</v>
          </cell>
        </row>
        <row r="1463">
          <cell r="C1463" t="str">
            <v>ST</v>
          </cell>
          <cell r="D1463">
            <v>554</v>
          </cell>
          <cell r="H1463" t="str">
            <v>hard coal</v>
          </cell>
        </row>
        <row r="1464">
          <cell r="C1464" t="str">
            <v>ST</v>
          </cell>
          <cell r="D1464">
            <v>554</v>
          </cell>
          <cell r="H1464" t="str">
            <v>hard coal</v>
          </cell>
        </row>
        <row r="1465">
          <cell r="C1465" t="str">
            <v>ST</v>
          </cell>
          <cell r="D1465">
            <v>769</v>
          </cell>
          <cell r="H1465" t="str">
            <v>hard coal</v>
          </cell>
        </row>
        <row r="1466">
          <cell r="C1466" t="str">
            <v>ST</v>
          </cell>
          <cell r="D1466">
            <v>769</v>
          </cell>
          <cell r="H1466" t="str">
            <v>hard coal</v>
          </cell>
        </row>
        <row r="1467">
          <cell r="C1467" t="str">
            <v>ST</v>
          </cell>
          <cell r="D1467">
            <v>908</v>
          </cell>
          <cell r="H1467" t="str">
            <v>nuclear</v>
          </cell>
        </row>
        <row r="1468">
          <cell r="C1468" t="str">
            <v>ST</v>
          </cell>
          <cell r="D1468">
            <v>911</v>
          </cell>
          <cell r="H1468" t="str">
            <v>nuclear</v>
          </cell>
        </row>
        <row r="1469">
          <cell r="C1469" t="str">
            <v>GT</v>
          </cell>
          <cell r="D1469">
            <v>24.6</v>
          </cell>
          <cell r="H1469" t="str">
            <v>petroleum</v>
          </cell>
        </row>
        <row r="1470">
          <cell r="C1470" t="str">
            <v>GT</v>
          </cell>
          <cell r="D1470">
            <v>28.5</v>
          </cell>
          <cell r="H1470" t="str">
            <v>petroleum</v>
          </cell>
        </row>
        <row r="1471">
          <cell r="C1471" t="str">
            <v>GT</v>
          </cell>
          <cell r="D1471">
            <v>28</v>
          </cell>
          <cell r="H1471" t="str">
            <v>petroleum</v>
          </cell>
        </row>
        <row r="1472">
          <cell r="C1472" t="str">
            <v>GT</v>
          </cell>
          <cell r="D1472">
            <v>26.7</v>
          </cell>
          <cell r="H1472" t="str">
            <v>petroleum</v>
          </cell>
        </row>
        <row r="1473">
          <cell r="C1473" t="str">
            <v>ST</v>
          </cell>
          <cell r="D1473">
            <v>328</v>
          </cell>
          <cell r="H1473" t="str">
            <v>hard coal</v>
          </cell>
        </row>
        <row r="1474">
          <cell r="C1474" t="str">
            <v>ST</v>
          </cell>
          <cell r="D1474">
            <v>361</v>
          </cell>
          <cell r="H1474" t="str">
            <v>hard coal</v>
          </cell>
        </row>
        <row r="1475">
          <cell r="C1475" t="str">
            <v>ST</v>
          </cell>
          <cell r="D1475">
            <v>510</v>
          </cell>
          <cell r="H1475" t="str">
            <v>hard coal</v>
          </cell>
        </row>
        <row r="1476">
          <cell r="C1476" t="str">
            <v>GT</v>
          </cell>
          <cell r="D1476">
            <v>25.4</v>
          </cell>
          <cell r="H1476" t="str">
            <v>petroleum</v>
          </cell>
        </row>
        <row r="1477">
          <cell r="C1477" t="str">
            <v>GT</v>
          </cell>
          <cell r="D1477">
            <v>23.7</v>
          </cell>
          <cell r="H1477" t="str">
            <v>petroleum</v>
          </cell>
        </row>
        <row r="1478">
          <cell r="C1478" t="str">
            <v>GT</v>
          </cell>
          <cell r="D1478">
            <v>25.4</v>
          </cell>
          <cell r="H1478" t="str">
            <v>petroleum</v>
          </cell>
        </row>
        <row r="1479">
          <cell r="C1479" t="str">
            <v>GT</v>
          </cell>
          <cell r="D1479">
            <v>25.4</v>
          </cell>
          <cell r="H1479" t="str">
            <v>petroleum</v>
          </cell>
        </row>
        <row r="1480">
          <cell r="C1480" t="str">
            <v>GT</v>
          </cell>
          <cell r="D1480">
            <v>23.7</v>
          </cell>
          <cell r="H1480" t="str">
            <v>petroleum</v>
          </cell>
        </row>
        <row r="1481">
          <cell r="C1481" t="str">
            <v>GT</v>
          </cell>
          <cell r="D1481">
            <v>25.4</v>
          </cell>
          <cell r="H1481" t="str">
            <v>petroleum</v>
          </cell>
        </row>
        <row r="1482">
          <cell r="C1482" t="str">
            <v>GT</v>
          </cell>
          <cell r="D1482">
            <v>25.4</v>
          </cell>
          <cell r="H1482" t="str">
            <v>petroleum</v>
          </cell>
        </row>
        <row r="1483">
          <cell r="C1483" t="str">
            <v>GT</v>
          </cell>
          <cell r="D1483">
            <v>22.8</v>
          </cell>
          <cell r="H1483" t="str">
            <v>petroleum</v>
          </cell>
        </row>
        <row r="1484">
          <cell r="C1484" t="str">
            <v>ST</v>
          </cell>
          <cell r="D1484">
            <v>158</v>
          </cell>
          <cell r="H1484" t="str">
            <v>hard coal</v>
          </cell>
        </row>
        <row r="1485">
          <cell r="C1485" t="str">
            <v>ST</v>
          </cell>
          <cell r="D1485">
            <v>158</v>
          </cell>
          <cell r="H1485" t="str">
            <v>hard coal</v>
          </cell>
        </row>
        <row r="1486">
          <cell r="C1486" t="str">
            <v>ST</v>
          </cell>
          <cell r="D1486">
            <v>158</v>
          </cell>
          <cell r="H1486" t="str">
            <v>hard coal</v>
          </cell>
        </row>
        <row r="1487">
          <cell r="C1487" t="str">
            <v>ST</v>
          </cell>
          <cell r="D1487">
            <v>158</v>
          </cell>
          <cell r="H1487" t="str">
            <v>hard coal</v>
          </cell>
        </row>
        <row r="1488">
          <cell r="C1488" t="str">
            <v>ST</v>
          </cell>
          <cell r="D1488">
            <v>158</v>
          </cell>
          <cell r="H1488" t="str">
            <v>hard coal</v>
          </cell>
        </row>
        <row r="1489">
          <cell r="C1489" t="str">
            <v>ST</v>
          </cell>
          <cell r="D1489">
            <v>158</v>
          </cell>
          <cell r="H1489" t="str">
            <v>hard coal</v>
          </cell>
        </row>
        <row r="1490">
          <cell r="C1490" t="str">
            <v>ST</v>
          </cell>
          <cell r="D1490">
            <v>576</v>
          </cell>
          <cell r="H1490" t="str">
            <v>hard coal</v>
          </cell>
        </row>
        <row r="1491">
          <cell r="C1491" t="str">
            <v>ST</v>
          </cell>
          <cell r="D1491">
            <v>581</v>
          </cell>
          <cell r="H1491" t="str">
            <v>hard coal</v>
          </cell>
        </row>
        <row r="1492">
          <cell r="C1492" t="str">
            <v>ST</v>
          </cell>
          <cell r="D1492">
            <v>621</v>
          </cell>
          <cell r="H1492" t="str">
            <v>hard coal</v>
          </cell>
        </row>
        <row r="1493">
          <cell r="C1493" t="str">
            <v>GT</v>
          </cell>
          <cell r="D1493">
            <v>16</v>
          </cell>
          <cell r="H1493" t="str">
            <v>natural gas peaker</v>
          </cell>
        </row>
        <row r="1494">
          <cell r="C1494" t="str">
            <v>GT</v>
          </cell>
          <cell r="D1494">
            <v>16</v>
          </cell>
          <cell r="H1494" t="str">
            <v>natural gas peaker</v>
          </cell>
        </row>
        <row r="1495">
          <cell r="C1495" t="str">
            <v>GT</v>
          </cell>
          <cell r="D1495">
            <v>16</v>
          </cell>
          <cell r="H1495" t="str">
            <v>natural gas peaker</v>
          </cell>
        </row>
        <row r="1496">
          <cell r="C1496" t="str">
            <v>GT</v>
          </cell>
          <cell r="D1496">
            <v>16</v>
          </cell>
          <cell r="H1496" t="str">
            <v>natural gas peaker</v>
          </cell>
        </row>
        <row r="1497">
          <cell r="C1497" t="str">
            <v>HY</v>
          </cell>
          <cell r="D1497">
            <v>0.8</v>
          </cell>
          <cell r="H1497" t="str">
            <v>hydro</v>
          </cell>
        </row>
        <row r="1498">
          <cell r="C1498" t="str">
            <v>HY</v>
          </cell>
          <cell r="D1498">
            <v>0.8</v>
          </cell>
          <cell r="H1498" t="str">
            <v>hydro</v>
          </cell>
        </row>
        <row r="1499">
          <cell r="C1499" t="str">
            <v>HY</v>
          </cell>
          <cell r="D1499">
            <v>0.8</v>
          </cell>
          <cell r="H1499" t="str">
            <v>hydro</v>
          </cell>
        </row>
        <row r="1500">
          <cell r="C1500" t="str">
            <v>HY</v>
          </cell>
          <cell r="D1500">
            <v>0.8</v>
          </cell>
          <cell r="H1500" t="str">
            <v>hydro</v>
          </cell>
        </row>
        <row r="1501">
          <cell r="C1501" t="str">
            <v>ST</v>
          </cell>
          <cell r="D1501">
            <v>9</v>
          </cell>
          <cell r="H1501" t="str">
            <v>geothermal</v>
          </cell>
        </row>
        <row r="1502">
          <cell r="C1502" t="str">
            <v>HY</v>
          </cell>
          <cell r="D1502">
            <v>0.6</v>
          </cell>
          <cell r="H1502" t="str">
            <v>hydro</v>
          </cell>
        </row>
        <row r="1503">
          <cell r="C1503" t="str">
            <v>HY</v>
          </cell>
          <cell r="D1503">
            <v>0.5</v>
          </cell>
          <cell r="H1503" t="str">
            <v>hydro</v>
          </cell>
        </row>
        <row r="1504">
          <cell r="C1504" t="str">
            <v>HY</v>
          </cell>
          <cell r="D1504">
            <v>17</v>
          </cell>
          <cell r="H1504" t="str">
            <v>hydro</v>
          </cell>
        </row>
        <row r="1505">
          <cell r="C1505" t="str">
            <v>GT</v>
          </cell>
          <cell r="D1505">
            <v>48</v>
          </cell>
          <cell r="H1505" t="str">
            <v>natural gas peaker</v>
          </cell>
        </row>
        <row r="1506">
          <cell r="C1506" t="str">
            <v>GT</v>
          </cell>
          <cell r="D1506">
            <v>168</v>
          </cell>
          <cell r="H1506" t="str">
            <v>natural gas peaker</v>
          </cell>
        </row>
        <row r="1507">
          <cell r="C1507" t="str">
            <v>GT</v>
          </cell>
          <cell r="D1507">
            <v>168</v>
          </cell>
          <cell r="H1507" t="str">
            <v>natural gas peaker</v>
          </cell>
        </row>
        <row r="1508">
          <cell r="C1508" t="str">
            <v>GT</v>
          </cell>
          <cell r="D1508">
            <v>103</v>
          </cell>
          <cell r="H1508" t="str">
            <v>natural gas peaker</v>
          </cell>
        </row>
        <row r="1509">
          <cell r="C1509" t="str">
            <v>HY</v>
          </cell>
          <cell r="D1509">
            <v>9.4</v>
          </cell>
          <cell r="H1509" t="str">
            <v>hydro</v>
          </cell>
        </row>
        <row r="1510">
          <cell r="C1510" t="str">
            <v>HY</v>
          </cell>
          <cell r="D1510">
            <v>0.6</v>
          </cell>
          <cell r="H1510" t="str">
            <v>hydro</v>
          </cell>
        </row>
        <row r="1511">
          <cell r="C1511" t="str">
            <v>HY</v>
          </cell>
          <cell r="D1511">
            <v>2</v>
          </cell>
          <cell r="H1511" t="str">
            <v>hydro</v>
          </cell>
        </row>
        <row r="1512">
          <cell r="C1512" t="str">
            <v>IC</v>
          </cell>
          <cell r="D1512">
            <v>3</v>
          </cell>
          <cell r="H1512" t="str">
            <v>petroleum</v>
          </cell>
        </row>
        <row r="1513">
          <cell r="C1513" t="str">
            <v>IC</v>
          </cell>
          <cell r="D1513">
            <v>2.5</v>
          </cell>
          <cell r="H1513" t="str">
            <v>petroleum</v>
          </cell>
        </row>
        <row r="1514">
          <cell r="C1514" t="str">
            <v>IC</v>
          </cell>
          <cell r="D1514">
            <v>2.5</v>
          </cell>
          <cell r="H1514" t="str">
            <v>petroleum</v>
          </cell>
        </row>
        <row r="1515">
          <cell r="C1515" t="str">
            <v>IC</v>
          </cell>
          <cell r="D1515">
            <v>2.5</v>
          </cell>
          <cell r="H1515" t="str">
            <v>petroleum</v>
          </cell>
        </row>
        <row r="1516">
          <cell r="C1516" t="str">
            <v>IC</v>
          </cell>
          <cell r="D1516">
            <v>2.5</v>
          </cell>
          <cell r="H1516" t="str">
            <v>petroleum</v>
          </cell>
        </row>
        <row r="1517">
          <cell r="C1517" t="str">
            <v>IC</v>
          </cell>
          <cell r="D1517">
            <v>1</v>
          </cell>
          <cell r="H1517" t="str">
            <v>petroleum</v>
          </cell>
        </row>
        <row r="1518">
          <cell r="C1518" t="str">
            <v>IC</v>
          </cell>
          <cell r="D1518">
            <v>3</v>
          </cell>
          <cell r="H1518" t="str">
            <v>petroleum</v>
          </cell>
        </row>
        <row r="1519">
          <cell r="C1519" t="str">
            <v>IC</v>
          </cell>
          <cell r="D1519">
            <v>0.2</v>
          </cell>
          <cell r="H1519" t="str">
            <v>petroleum</v>
          </cell>
        </row>
        <row r="1520">
          <cell r="C1520" t="str">
            <v>IC</v>
          </cell>
          <cell r="D1520">
            <v>0.2</v>
          </cell>
          <cell r="H1520" t="str">
            <v>petroleum</v>
          </cell>
        </row>
        <row r="1521">
          <cell r="C1521" t="str">
            <v>IC</v>
          </cell>
          <cell r="D1521">
            <v>2.2000000000000002</v>
          </cell>
          <cell r="H1521" t="str">
            <v>petroleum</v>
          </cell>
        </row>
        <row r="1522">
          <cell r="C1522" t="str">
            <v>IC</v>
          </cell>
          <cell r="D1522">
            <v>2.2000000000000002</v>
          </cell>
          <cell r="H1522" t="str">
            <v>petroleum</v>
          </cell>
        </row>
        <row r="1523">
          <cell r="C1523" t="str">
            <v>IC</v>
          </cell>
          <cell r="D1523">
            <v>1</v>
          </cell>
          <cell r="H1523" t="str">
            <v>petroleum</v>
          </cell>
        </row>
        <row r="1524">
          <cell r="C1524" t="str">
            <v>IC</v>
          </cell>
          <cell r="D1524">
            <v>2.5</v>
          </cell>
          <cell r="H1524" t="str">
            <v>petroleum</v>
          </cell>
        </row>
        <row r="1525">
          <cell r="C1525" t="str">
            <v>IC</v>
          </cell>
          <cell r="D1525">
            <v>2.5</v>
          </cell>
          <cell r="H1525" t="str">
            <v>petroleum</v>
          </cell>
        </row>
        <row r="1526">
          <cell r="C1526" t="str">
            <v>IC</v>
          </cell>
          <cell r="D1526">
            <v>2.5</v>
          </cell>
          <cell r="H1526" t="str">
            <v>petroleum</v>
          </cell>
        </row>
        <row r="1527">
          <cell r="C1527" t="str">
            <v>IC</v>
          </cell>
          <cell r="D1527">
            <v>2.8</v>
          </cell>
          <cell r="H1527" t="str">
            <v>petroleum</v>
          </cell>
        </row>
        <row r="1528">
          <cell r="C1528" t="str">
            <v>IC</v>
          </cell>
          <cell r="D1528">
            <v>2</v>
          </cell>
          <cell r="H1528" t="str">
            <v>petroleum</v>
          </cell>
        </row>
        <row r="1529">
          <cell r="C1529" t="str">
            <v>IC</v>
          </cell>
          <cell r="D1529">
            <v>2.5</v>
          </cell>
          <cell r="H1529" t="str">
            <v>petroleum</v>
          </cell>
        </row>
        <row r="1530">
          <cell r="C1530" t="str">
            <v>IC</v>
          </cell>
          <cell r="D1530">
            <v>2.5</v>
          </cell>
          <cell r="H1530" t="str">
            <v>petroleum</v>
          </cell>
        </row>
        <row r="1531">
          <cell r="C1531" t="str">
            <v>IC</v>
          </cell>
          <cell r="D1531">
            <v>1.6</v>
          </cell>
          <cell r="H1531" t="str">
            <v>petroleum</v>
          </cell>
        </row>
        <row r="1532">
          <cell r="C1532" t="str">
            <v>IC</v>
          </cell>
          <cell r="D1532">
            <v>1.1000000000000001</v>
          </cell>
          <cell r="H1532" t="str">
            <v>petroleum</v>
          </cell>
        </row>
        <row r="1533">
          <cell r="C1533" t="str">
            <v>IC</v>
          </cell>
          <cell r="D1533">
            <v>4.3</v>
          </cell>
          <cell r="H1533" t="str">
            <v>petroleum</v>
          </cell>
        </row>
        <row r="1534">
          <cell r="C1534" t="str">
            <v>IC</v>
          </cell>
          <cell r="D1534">
            <v>1.1000000000000001</v>
          </cell>
          <cell r="H1534" t="str">
            <v>petroleum</v>
          </cell>
        </row>
        <row r="1535">
          <cell r="C1535" t="str">
            <v>IC</v>
          </cell>
          <cell r="D1535">
            <v>1</v>
          </cell>
          <cell r="H1535" t="str">
            <v>petroleum</v>
          </cell>
        </row>
        <row r="1536">
          <cell r="C1536" t="str">
            <v>IC</v>
          </cell>
          <cell r="D1536">
            <v>1.2</v>
          </cell>
          <cell r="H1536" t="str">
            <v>petroleum</v>
          </cell>
        </row>
        <row r="1537">
          <cell r="C1537" t="str">
            <v>IC</v>
          </cell>
          <cell r="D1537">
            <v>1.7</v>
          </cell>
          <cell r="H1537" t="str">
            <v>petroleum</v>
          </cell>
        </row>
        <row r="1538">
          <cell r="C1538" t="str">
            <v>IC</v>
          </cell>
          <cell r="D1538">
            <v>2.4</v>
          </cell>
          <cell r="H1538" t="str">
            <v>petroleum</v>
          </cell>
        </row>
        <row r="1539">
          <cell r="C1539" t="str">
            <v>IC</v>
          </cell>
          <cell r="D1539">
            <v>2.4</v>
          </cell>
          <cell r="H1539" t="str">
            <v>petroleum</v>
          </cell>
        </row>
        <row r="1540">
          <cell r="C1540" t="str">
            <v>IC</v>
          </cell>
          <cell r="D1540">
            <v>2.7</v>
          </cell>
          <cell r="H1540" t="str">
            <v>petroleum</v>
          </cell>
        </row>
        <row r="1541">
          <cell r="C1541" t="str">
            <v>IC</v>
          </cell>
          <cell r="D1541">
            <v>1.3</v>
          </cell>
          <cell r="H1541" t="str">
            <v>natural gas peaker</v>
          </cell>
        </row>
        <row r="1542">
          <cell r="C1542" t="str">
            <v>IC</v>
          </cell>
          <cell r="D1542">
            <v>0.9</v>
          </cell>
          <cell r="H1542" t="str">
            <v>petroleum</v>
          </cell>
        </row>
        <row r="1543">
          <cell r="C1543" t="str">
            <v>IC</v>
          </cell>
          <cell r="D1543">
            <v>0.7</v>
          </cell>
          <cell r="H1543" t="str">
            <v>petroleum</v>
          </cell>
        </row>
        <row r="1544">
          <cell r="C1544" t="str">
            <v>IC</v>
          </cell>
          <cell r="D1544">
            <v>2.8</v>
          </cell>
          <cell r="H1544" t="str">
            <v>natural gas peaker</v>
          </cell>
        </row>
        <row r="1545">
          <cell r="C1545" t="str">
            <v>IC</v>
          </cell>
          <cell r="D1545">
            <v>2</v>
          </cell>
          <cell r="H1545" t="str">
            <v>petroleum</v>
          </cell>
        </row>
        <row r="1546">
          <cell r="C1546" t="str">
            <v>IC</v>
          </cell>
          <cell r="D1546">
            <v>2</v>
          </cell>
          <cell r="H1546" t="str">
            <v>petroleum</v>
          </cell>
        </row>
        <row r="1547">
          <cell r="C1547" t="str">
            <v>IC</v>
          </cell>
          <cell r="D1547">
            <v>0.4</v>
          </cell>
          <cell r="H1547" t="str">
            <v>petroleum</v>
          </cell>
        </row>
        <row r="1548">
          <cell r="C1548" t="str">
            <v>IC</v>
          </cell>
          <cell r="D1548">
            <v>1.8</v>
          </cell>
          <cell r="H1548" t="str">
            <v>petroleum</v>
          </cell>
        </row>
        <row r="1549">
          <cell r="C1549" t="str">
            <v>IC</v>
          </cell>
          <cell r="D1549">
            <v>1.8</v>
          </cell>
          <cell r="H1549" t="str">
            <v>petroleum</v>
          </cell>
        </row>
        <row r="1550">
          <cell r="C1550" t="str">
            <v>IC</v>
          </cell>
          <cell r="D1550">
            <v>1.8</v>
          </cell>
          <cell r="H1550" t="str">
            <v>petroleum</v>
          </cell>
        </row>
        <row r="1551">
          <cell r="C1551" t="str">
            <v>IC</v>
          </cell>
          <cell r="D1551">
            <v>0.4</v>
          </cell>
          <cell r="H1551" t="str">
            <v>petroleum</v>
          </cell>
        </row>
        <row r="1552">
          <cell r="C1552" t="str">
            <v>IC</v>
          </cell>
          <cell r="D1552">
            <v>0.6</v>
          </cell>
          <cell r="H1552" t="str">
            <v>petroleum</v>
          </cell>
        </row>
        <row r="1553">
          <cell r="C1553" t="str">
            <v>IC</v>
          </cell>
          <cell r="D1553">
            <v>1</v>
          </cell>
          <cell r="H1553" t="str">
            <v>petroleum</v>
          </cell>
        </row>
        <row r="1554">
          <cell r="C1554" t="str">
            <v>IC</v>
          </cell>
          <cell r="D1554">
            <v>1.8</v>
          </cell>
          <cell r="H1554" t="str">
            <v>petroleum</v>
          </cell>
        </row>
        <row r="1555">
          <cell r="C1555" t="str">
            <v>IC</v>
          </cell>
          <cell r="D1555">
            <v>2.6</v>
          </cell>
          <cell r="H1555" t="str">
            <v>petroleum</v>
          </cell>
        </row>
        <row r="1556">
          <cell r="C1556" t="str">
            <v>IC</v>
          </cell>
          <cell r="D1556">
            <v>1.8</v>
          </cell>
          <cell r="H1556" t="str">
            <v>petroleum</v>
          </cell>
        </row>
        <row r="1557">
          <cell r="C1557" t="str">
            <v>IC</v>
          </cell>
          <cell r="D1557">
            <v>1.8</v>
          </cell>
          <cell r="H1557" t="str">
            <v>petroleum</v>
          </cell>
        </row>
        <row r="1558">
          <cell r="C1558" t="str">
            <v>IC</v>
          </cell>
          <cell r="D1558">
            <v>4.4000000000000004</v>
          </cell>
          <cell r="H1558" t="str">
            <v>natural gas peaker</v>
          </cell>
        </row>
        <row r="1559">
          <cell r="C1559" t="str">
            <v>WT</v>
          </cell>
          <cell r="D1559">
            <v>1.5</v>
          </cell>
          <cell r="H1559" t="str">
            <v>onshore wind</v>
          </cell>
        </row>
        <row r="1560">
          <cell r="C1560" t="str">
            <v>WT</v>
          </cell>
          <cell r="D1560">
            <v>1.5</v>
          </cell>
          <cell r="H1560" t="str">
            <v>onshore wind</v>
          </cell>
        </row>
        <row r="1561">
          <cell r="C1561" t="str">
            <v>PV</v>
          </cell>
          <cell r="D1561">
            <v>0.9</v>
          </cell>
          <cell r="H1561" t="str">
            <v>solar PV</v>
          </cell>
        </row>
        <row r="1562">
          <cell r="C1562" t="str">
            <v>IC</v>
          </cell>
          <cell r="D1562">
            <v>2.8</v>
          </cell>
          <cell r="H1562" t="str">
            <v>natural gas peaker</v>
          </cell>
        </row>
        <row r="1563">
          <cell r="C1563" t="str">
            <v>IC</v>
          </cell>
          <cell r="D1563">
            <v>2.8</v>
          </cell>
          <cell r="H1563" t="str">
            <v>natural gas peaker</v>
          </cell>
        </row>
        <row r="1564">
          <cell r="C1564" t="str">
            <v>IC</v>
          </cell>
          <cell r="D1564">
            <v>1.3</v>
          </cell>
          <cell r="H1564" t="str">
            <v>natural gas peaker</v>
          </cell>
        </row>
        <row r="1565">
          <cell r="C1565" t="str">
            <v>IC</v>
          </cell>
          <cell r="D1565">
            <v>3.4</v>
          </cell>
          <cell r="H1565" t="str">
            <v>natural gas peaker</v>
          </cell>
        </row>
        <row r="1566">
          <cell r="C1566" t="str">
            <v>IC</v>
          </cell>
          <cell r="D1566">
            <v>2.4</v>
          </cell>
          <cell r="H1566" t="str">
            <v>natural gas peaker</v>
          </cell>
        </row>
        <row r="1567">
          <cell r="C1567" t="str">
            <v>IC</v>
          </cell>
          <cell r="D1567">
            <v>2.4</v>
          </cell>
          <cell r="H1567" t="str">
            <v>natural gas peaker</v>
          </cell>
        </row>
        <row r="1568">
          <cell r="C1568" t="str">
            <v>IC</v>
          </cell>
          <cell r="D1568">
            <v>3.8</v>
          </cell>
          <cell r="H1568" t="str">
            <v>petroleum</v>
          </cell>
        </row>
        <row r="1569">
          <cell r="C1569" t="str">
            <v>IC</v>
          </cell>
          <cell r="D1569">
            <v>1.6</v>
          </cell>
          <cell r="H1569" t="str">
            <v>petroleum</v>
          </cell>
        </row>
        <row r="1570">
          <cell r="C1570" t="str">
            <v>IC</v>
          </cell>
          <cell r="D1570">
            <v>1.6</v>
          </cell>
          <cell r="H1570" t="str">
            <v>petroleum</v>
          </cell>
        </row>
        <row r="1571">
          <cell r="C1571" t="str">
            <v>IC</v>
          </cell>
          <cell r="D1571">
            <v>1.6</v>
          </cell>
          <cell r="H1571" t="str">
            <v>petroleum</v>
          </cell>
        </row>
        <row r="1572">
          <cell r="C1572" t="str">
            <v>IC</v>
          </cell>
          <cell r="D1572">
            <v>2</v>
          </cell>
          <cell r="H1572" t="str">
            <v>petroleum</v>
          </cell>
        </row>
        <row r="1573">
          <cell r="C1573" t="str">
            <v>IC</v>
          </cell>
          <cell r="D1573">
            <v>2</v>
          </cell>
          <cell r="H1573" t="str">
            <v>petroleum</v>
          </cell>
        </row>
        <row r="1574">
          <cell r="C1574" t="str">
            <v>IC</v>
          </cell>
          <cell r="D1574">
            <v>4</v>
          </cell>
          <cell r="H1574" t="str">
            <v>petroleum</v>
          </cell>
        </row>
        <row r="1575">
          <cell r="C1575" t="str">
            <v>IC</v>
          </cell>
          <cell r="D1575">
            <v>4</v>
          </cell>
          <cell r="H1575" t="str">
            <v>petroleum</v>
          </cell>
        </row>
        <row r="1576">
          <cell r="C1576" t="str">
            <v>IC</v>
          </cell>
          <cell r="D1576">
            <v>0.4</v>
          </cell>
          <cell r="H1576" t="str">
            <v>petroleum</v>
          </cell>
        </row>
        <row r="1577">
          <cell r="C1577" t="str">
            <v>IC</v>
          </cell>
          <cell r="D1577">
            <v>1.8</v>
          </cell>
          <cell r="H1577" t="str">
            <v>petroleum</v>
          </cell>
        </row>
        <row r="1578">
          <cell r="C1578" t="str">
            <v>IC</v>
          </cell>
          <cell r="D1578">
            <v>2.2000000000000002</v>
          </cell>
          <cell r="H1578" t="str">
            <v>petroleum</v>
          </cell>
        </row>
        <row r="1579">
          <cell r="C1579" t="str">
            <v>IC</v>
          </cell>
          <cell r="D1579">
            <v>1</v>
          </cell>
          <cell r="H1579" t="str">
            <v>petroleum</v>
          </cell>
        </row>
        <row r="1580">
          <cell r="C1580" t="str">
            <v>IC</v>
          </cell>
          <cell r="D1580">
            <v>1</v>
          </cell>
          <cell r="H1580" t="str">
            <v>petroleum</v>
          </cell>
        </row>
        <row r="1581">
          <cell r="C1581" t="str">
            <v>IC</v>
          </cell>
          <cell r="D1581">
            <v>2</v>
          </cell>
          <cell r="H1581" t="str">
            <v>petroleum</v>
          </cell>
        </row>
        <row r="1582">
          <cell r="C1582" t="str">
            <v>IC</v>
          </cell>
          <cell r="D1582">
            <v>1.8</v>
          </cell>
          <cell r="H1582" t="str">
            <v>petroleum</v>
          </cell>
        </row>
        <row r="1583">
          <cell r="C1583" t="str">
            <v>IC</v>
          </cell>
          <cell r="D1583">
            <v>1.8</v>
          </cell>
          <cell r="H1583" t="str">
            <v>petroleum</v>
          </cell>
        </row>
        <row r="1584">
          <cell r="C1584" t="str">
            <v>IC</v>
          </cell>
          <cell r="D1584">
            <v>1.8</v>
          </cell>
          <cell r="H1584" t="str">
            <v>petroleum</v>
          </cell>
        </row>
        <row r="1585">
          <cell r="C1585" t="str">
            <v>IC</v>
          </cell>
          <cell r="D1585">
            <v>1.8</v>
          </cell>
          <cell r="H1585" t="str">
            <v>petroleum</v>
          </cell>
        </row>
        <row r="1586">
          <cell r="C1586" t="str">
            <v>IC</v>
          </cell>
          <cell r="D1586">
            <v>2.5</v>
          </cell>
          <cell r="H1586" t="str">
            <v>petroleum</v>
          </cell>
        </row>
        <row r="1587">
          <cell r="C1587" t="str">
            <v>IC</v>
          </cell>
          <cell r="D1587">
            <v>1.8</v>
          </cell>
          <cell r="H1587" t="str">
            <v>petroleum</v>
          </cell>
        </row>
        <row r="1588">
          <cell r="C1588" t="str">
            <v>IC</v>
          </cell>
          <cell r="D1588">
            <v>1.8</v>
          </cell>
          <cell r="H1588" t="str">
            <v>petroleum</v>
          </cell>
        </row>
        <row r="1589">
          <cell r="C1589" t="str">
            <v>IC</v>
          </cell>
          <cell r="D1589">
            <v>1.8</v>
          </cell>
          <cell r="H1589" t="str">
            <v>petroleum</v>
          </cell>
        </row>
        <row r="1590">
          <cell r="C1590" t="str">
            <v>IC</v>
          </cell>
          <cell r="D1590">
            <v>1.8</v>
          </cell>
          <cell r="H1590" t="str">
            <v>petroleum</v>
          </cell>
        </row>
        <row r="1591">
          <cell r="C1591" t="str">
            <v>IC</v>
          </cell>
          <cell r="D1591">
            <v>2.7</v>
          </cell>
          <cell r="H1591" t="str">
            <v>petroleum</v>
          </cell>
        </row>
        <row r="1592">
          <cell r="C1592" t="str">
            <v>IC</v>
          </cell>
          <cell r="D1592">
            <v>2.7</v>
          </cell>
          <cell r="H1592" t="str">
            <v>petroleum</v>
          </cell>
        </row>
        <row r="1593">
          <cell r="C1593" t="str">
            <v>IC</v>
          </cell>
          <cell r="D1593">
            <v>2.7</v>
          </cell>
          <cell r="H1593" t="str">
            <v>petroleum</v>
          </cell>
        </row>
        <row r="1594">
          <cell r="C1594" t="str">
            <v>IC</v>
          </cell>
          <cell r="D1594">
            <v>2.7</v>
          </cell>
          <cell r="H1594" t="str">
            <v>petroleum</v>
          </cell>
        </row>
        <row r="1595">
          <cell r="C1595" t="str">
            <v>IC</v>
          </cell>
          <cell r="D1595">
            <v>2.7</v>
          </cell>
          <cell r="H1595" t="str">
            <v>petroleum</v>
          </cell>
        </row>
        <row r="1596">
          <cell r="C1596" t="str">
            <v>IC</v>
          </cell>
          <cell r="D1596">
            <v>2.7</v>
          </cell>
          <cell r="H1596" t="str">
            <v>petroleum</v>
          </cell>
        </row>
        <row r="1597">
          <cell r="C1597" t="str">
            <v>IC</v>
          </cell>
          <cell r="D1597">
            <v>2.7</v>
          </cell>
          <cell r="H1597" t="str">
            <v>petroleum</v>
          </cell>
        </row>
        <row r="1598">
          <cell r="C1598" t="str">
            <v>GT</v>
          </cell>
          <cell r="D1598">
            <v>8.6</v>
          </cell>
          <cell r="H1598" t="str">
            <v>petroleum</v>
          </cell>
        </row>
        <row r="1599">
          <cell r="C1599" t="str">
            <v>HY</v>
          </cell>
          <cell r="D1599">
            <v>1.7</v>
          </cell>
          <cell r="H1599" t="str">
            <v>hydro</v>
          </cell>
        </row>
        <row r="1600">
          <cell r="C1600" t="str">
            <v>HY</v>
          </cell>
          <cell r="D1600">
            <v>1.7</v>
          </cell>
          <cell r="H1600" t="str">
            <v>hydro</v>
          </cell>
        </row>
        <row r="1601">
          <cell r="C1601" t="str">
            <v>HY</v>
          </cell>
          <cell r="D1601">
            <v>1.7</v>
          </cell>
          <cell r="H1601" t="str">
            <v>hydro</v>
          </cell>
        </row>
        <row r="1602">
          <cell r="C1602" t="str">
            <v>HY</v>
          </cell>
          <cell r="D1602">
            <v>1.7</v>
          </cell>
          <cell r="H1602" t="str">
            <v>hydro</v>
          </cell>
        </row>
        <row r="1603">
          <cell r="C1603" t="str">
            <v>IC</v>
          </cell>
          <cell r="D1603">
            <v>2.2999999999999998</v>
          </cell>
          <cell r="H1603" t="str">
            <v>natural gas peaker</v>
          </cell>
        </row>
        <row r="1604">
          <cell r="C1604" t="str">
            <v>IC</v>
          </cell>
          <cell r="D1604">
            <v>3</v>
          </cell>
          <cell r="H1604" t="str">
            <v>natural gas peaker</v>
          </cell>
        </row>
        <row r="1605">
          <cell r="C1605" t="str">
            <v>IC</v>
          </cell>
          <cell r="D1605">
            <v>3.4</v>
          </cell>
          <cell r="H1605" t="str">
            <v>natural gas peaker</v>
          </cell>
        </row>
        <row r="1606">
          <cell r="C1606" t="str">
            <v>IC</v>
          </cell>
          <cell r="D1606">
            <v>3.4</v>
          </cell>
          <cell r="H1606" t="str">
            <v>natural gas peaker</v>
          </cell>
        </row>
        <row r="1607">
          <cell r="C1607" t="str">
            <v>IC</v>
          </cell>
          <cell r="D1607">
            <v>4.4000000000000004</v>
          </cell>
          <cell r="H1607" t="str">
            <v>natural gas peaker</v>
          </cell>
        </row>
        <row r="1608">
          <cell r="C1608" t="str">
            <v>IC</v>
          </cell>
          <cell r="D1608">
            <v>5.5</v>
          </cell>
          <cell r="H1608" t="str">
            <v>natural gas peaker</v>
          </cell>
        </row>
        <row r="1609">
          <cell r="C1609" t="str">
            <v>IC</v>
          </cell>
          <cell r="D1609">
            <v>7</v>
          </cell>
          <cell r="H1609" t="str">
            <v>natural gas peaker</v>
          </cell>
        </row>
        <row r="1610">
          <cell r="C1610" t="str">
            <v>IC</v>
          </cell>
          <cell r="D1610">
            <v>8.6999999999999993</v>
          </cell>
          <cell r="H1610" t="str">
            <v>natural gas peaker</v>
          </cell>
        </row>
        <row r="1611">
          <cell r="C1611" t="str">
            <v>IC</v>
          </cell>
          <cell r="D1611">
            <v>1.8</v>
          </cell>
          <cell r="H1611" t="str">
            <v>petroleum</v>
          </cell>
        </row>
        <row r="1612">
          <cell r="C1612" t="str">
            <v>IC</v>
          </cell>
          <cell r="D1612">
            <v>1.8</v>
          </cell>
          <cell r="H1612" t="str">
            <v>petroleum</v>
          </cell>
        </row>
        <row r="1613">
          <cell r="C1613" t="str">
            <v>IC</v>
          </cell>
          <cell r="D1613">
            <v>1.8</v>
          </cell>
          <cell r="H1613" t="str">
            <v>petroleum</v>
          </cell>
        </row>
        <row r="1614">
          <cell r="C1614" t="str">
            <v>IC</v>
          </cell>
          <cell r="D1614">
            <v>1.8</v>
          </cell>
          <cell r="H1614" t="str">
            <v>petroleum</v>
          </cell>
        </row>
        <row r="1615">
          <cell r="C1615" t="str">
            <v>IC</v>
          </cell>
          <cell r="D1615">
            <v>1.8</v>
          </cell>
          <cell r="H1615" t="str">
            <v>petroleum</v>
          </cell>
        </row>
        <row r="1616">
          <cell r="C1616" t="str">
            <v>IC</v>
          </cell>
          <cell r="D1616">
            <v>1.8</v>
          </cell>
          <cell r="H1616" t="str">
            <v>petroleum</v>
          </cell>
        </row>
        <row r="1617">
          <cell r="C1617" t="str">
            <v>IC</v>
          </cell>
          <cell r="D1617">
            <v>1.8</v>
          </cell>
          <cell r="H1617" t="str">
            <v>petroleum</v>
          </cell>
        </row>
        <row r="1618">
          <cell r="C1618" t="str">
            <v>IC</v>
          </cell>
          <cell r="D1618">
            <v>1.8</v>
          </cell>
          <cell r="H1618" t="str">
            <v>petroleum</v>
          </cell>
        </row>
        <row r="1619">
          <cell r="C1619" t="str">
            <v>IC</v>
          </cell>
          <cell r="D1619">
            <v>2.2000000000000002</v>
          </cell>
          <cell r="H1619" t="str">
            <v>petroleum</v>
          </cell>
        </row>
        <row r="1620">
          <cell r="C1620" t="str">
            <v>IC</v>
          </cell>
          <cell r="D1620">
            <v>0.9</v>
          </cell>
          <cell r="H1620" t="str">
            <v>petroleum</v>
          </cell>
        </row>
        <row r="1621">
          <cell r="C1621" t="str">
            <v>IC</v>
          </cell>
          <cell r="D1621">
            <v>2.2000000000000002</v>
          </cell>
          <cell r="H1621" t="str">
            <v>petroleum</v>
          </cell>
        </row>
        <row r="1622">
          <cell r="C1622" t="str">
            <v>IC</v>
          </cell>
          <cell r="D1622">
            <v>3</v>
          </cell>
          <cell r="H1622" t="str">
            <v>petroleum</v>
          </cell>
        </row>
        <row r="1623">
          <cell r="C1623" t="str">
            <v>IC</v>
          </cell>
          <cell r="D1623">
            <v>3</v>
          </cell>
          <cell r="H1623" t="str">
            <v>petroleum</v>
          </cell>
        </row>
        <row r="1624">
          <cell r="C1624" t="str">
            <v>IC</v>
          </cell>
          <cell r="D1624">
            <v>3</v>
          </cell>
          <cell r="H1624" t="str">
            <v>petroleum</v>
          </cell>
        </row>
        <row r="1625">
          <cell r="C1625" t="str">
            <v>IC</v>
          </cell>
          <cell r="D1625">
            <v>0.6</v>
          </cell>
          <cell r="H1625" t="str">
            <v>petroleum</v>
          </cell>
        </row>
        <row r="1626">
          <cell r="C1626" t="str">
            <v>IC</v>
          </cell>
          <cell r="D1626">
            <v>2</v>
          </cell>
          <cell r="H1626" t="str">
            <v>natural gas peaker</v>
          </cell>
        </row>
        <row r="1627">
          <cell r="C1627" t="str">
            <v>IC</v>
          </cell>
          <cell r="D1627">
            <v>2</v>
          </cell>
          <cell r="H1627" t="str">
            <v>natural gas peaker</v>
          </cell>
        </row>
        <row r="1628">
          <cell r="C1628" t="str">
            <v>IC</v>
          </cell>
          <cell r="D1628">
            <v>0.7</v>
          </cell>
          <cell r="H1628" t="str">
            <v>petroleum</v>
          </cell>
        </row>
        <row r="1629">
          <cell r="C1629" t="str">
            <v>IC</v>
          </cell>
          <cell r="D1629">
            <v>2</v>
          </cell>
          <cell r="H1629" t="str">
            <v>natural gas peaker</v>
          </cell>
        </row>
        <row r="1630">
          <cell r="C1630" t="str">
            <v>IC</v>
          </cell>
          <cell r="D1630">
            <v>3.5</v>
          </cell>
          <cell r="H1630" t="str">
            <v>natural gas peaker</v>
          </cell>
        </row>
        <row r="1631">
          <cell r="C1631" t="str">
            <v>IC</v>
          </cell>
          <cell r="D1631">
            <v>0.5</v>
          </cell>
          <cell r="H1631" t="str">
            <v>petroleum</v>
          </cell>
        </row>
        <row r="1632">
          <cell r="C1632" t="str">
            <v>IC</v>
          </cell>
          <cell r="D1632">
            <v>3</v>
          </cell>
          <cell r="H1632" t="str">
            <v>natural gas peaker</v>
          </cell>
        </row>
        <row r="1633">
          <cell r="C1633" t="str">
            <v>PV</v>
          </cell>
          <cell r="D1633">
            <v>0.3</v>
          </cell>
          <cell r="H1633" t="str">
            <v>solar PV</v>
          </cell>
        </row>
        <row r="1634">
          <cell r="C1634" t="str">
            <v>IC</v>
          </cell>
          <cell r="D1634">
            <v>1.6</v>
          </cell>
          <cell r="H1634" t="str">
            <v>natural gas peaker</v>
          </cell>
        </row>
        <row r="1635">
          <cell r="C1635" t="str">
            <v>IC</v>
          </cell>
          <cell r="D1635">
            <v>1.8</v>
          </cell>
          <cell r="H1635" t="str">
            <v>petroleum</v>
          </cell>
        </row>
        <row r="1636">
          <cell r="C1636" t="str">
            <v>IC</v>
          </cell>
          <cell r="D1636">
            <v>1.8</v>
          </cell>
          <cell r="H1636" t="str">
            <v>petroleum</v>
          </cell>
        </row>
        <row r="1637">
          <cell r="C1637" t="str">
            <v>IC</v>
          </cell>
          <cell r="D1637">
            <v>1.8</v>
          </cell>
          <cell r="H1637" t="str">
            <v>petroleum</v>
          </cell>
        </row>
        <row r="1638">
          <cell r="C1638" t="str">
            <v>IC</v>
          </cell>
          <cell r="D1638">
            <v>1.8</v>
          </cell>
          <cell r="H1638" t="str">
            <v>petroleum</v>
          </cell>
        </row>
        <row r="1639">
          <cell r="C1639" t="str">
            <v>IC</v>
          </cell>
          <cell r="D1639">
            <v>1.8</v>
          </cell>
          <cell r="H1639" t="str">
            <v>petroleum</v>
          </cell>
        </row>
        <row r="1640">
          <cell r="C1640" t="str">
            <v>IC</v>
          </cell>
          <cell r="D1640">
            <v>1.8</v>
          </cell>
          <cell r="H1640" t="str">
            <v>petroleum</v>
          </cell>
        </row>
        <row r="1641">
          <cell r="C1641" t="str">
            <v>IC</v>
          </cell>
          <cell r="D1641">
            <v>2</v>
          </cell>
          <cell r="H1641" t="str">
            <v>natural gas peaker</v>
          </cell>
        </row>
        <row r="1642">
          <cell r="C1642" t="str">
            <v>ST</v>
          </cell>
          <cell r="D1642">
            <v>73</v>
          </cell>
          <cell r="H1642" t="str">
            <v>hard coal</v>
          </cell>
        </row>
        <row r="1643">
          <cell r="C1643" t="str">
            <v>ST</v>
          </cell>
          <cell r="D1643">
            <v>70.5</v>
          </cell>
          <cell r="H1643" t="str">
            <v>hard coal</v>
          </cell>
        </row>
        <row r="1644">
          <cell r="C1644" t="str">
            <v>ST</v>
          </cell>
          <cell r="D1644">
            <v>177.7</v>
          </cell>
          <cell r="H1644" t="str">
            <v>hard coal</v>
          </cell>
        </row>
        <row r="1645">
          <cell r="C1645" t="str">
            <v>ST</v>
          </cell>
          <cell r="D1645">
            <v>206.3</v>
          </cell>
          <cell r="H1645" t="str">
            <v>hard coal</v>
          </cell>
        </row>
        <row r="1646">
          <cell r="C1646" t="str">
            <v>IC</v>
          </cell>
          <cell r="D1646">
            <v>1.7</v>
          </cell>
          <cell r="H1646" t="str">
            <v>petroleum</v>
          </cell>
        </row>
        <row r="1647">
          <cell r="C1647" t="str">
            <v>IC</v>
          </cell>
          <cell r="D1647">
            <v>1.7</v>
          </cell>
          <cell r="H1647" t="str">
            <v>petroleum</v>
          </cell>
        </row>
        <row r="1648">
          <cell r="C1648" t="str">
            <v>IC</v>
          </cell>
          <cell r="D1648">
            <v>1.7</v>
          </cell>
          <cell r="H1648" t="str">
            <v>petroleum</v>
          </cell>
        </row>
        <row r="1649">
          <cell r="C1649" t="str">
            <v>GT</v>
          </cell>
          <cell r="D1649">
            <v>13.4</v>
          </cell>
          <cell r="H1649" t="str">
            <v>petroleum</v>
          </cell>
        </row>
        <row r="1650">
          <cell r="C1650" t="str">
            <v>IC</v>
          </cell>
          <cell r="D1650">
            <v>4.3</v>
          </cell>
          <cell r="H1650" t="str">
            <v>petroleum</v>
          </cell>
        </row>
        <row r="1651">
          <cell r="C1651" t="str">
            <v>IC</v>
          </cell>
          <cell r="D1651">
            <v>2.2000000000000002</v>
          </cell>
          <cell r="H1651" t="str">
            <v>petroleum</v>
          </cell>
        </row>
        <row r="1652">
          <cell r="C1652" t="str">
            <v>IC</v>
          </cell>
          <cell r="D1652">
            <v>2</v>
          </cell>
          <cell r="H1652" t="str">
            <v>petroleum</v>
          </cell>
        </row>
        <row r="1653">
          <cell r="C1653" t="str">
            <v>IC</v>
          </cell>
          <cell r="D1653">
            <v>1</v>
          </cell>
          <cell r="H1653" t="str">
            <v>petroleum</v>
          </cell>
        </row>
        <row r="1654">
          <cell r="C1654" t="str">
            <v>IC</v>
          </cell>
          <cell r="D1654">
            <v>2.2999999999999998</v>
          </cell>
          <cell r="H1654" t="str">
            <v>petroleum</v>
          </cell>
        </row>
        <row r="1655">
          <cell r="C1655" t="str">
            <v>IC</v>
          </cell>
          <cell r="D1655">
            <v>2.2999999999999998</v>
          </cell>
          <cell r="H1655" t="str">
            <v>petroleum</v>
          </cell>
        </row>
        <row r="1656">
          <cell r="C1656" t="str">
            <v>IC</v>
          </cell>
          <cell r="D1656">
            <v>2.2999999999999998</v>
          </cell>
          <cell r="H1656" t="str">
            <v>petroleum</v>
          </cell>
        </row>
        <row r="1657">
          <cell r="C1657" t="str">
            <v>IC</v>
          </cell>
          <cell r="D1657">
            <v>2</v>
          </cell>
          <cell r="H1657" t="str">
            <v>petroleum</v>
          </cell>
        </row>
        <row r="1658">
          <cell r="C1658" t="str">
            <v>IC</v>
          </cell>
          <cell r="D1658">
            <v>1.3</v>
          </cell>
          <cell r="H1658" t="str">
            <v>petroleum</v>
          </cell>
        </row>
        <row r="1659">
          <cell r="C1659" t="str">
            <v>IC</v>
          </cell>
          <cell r="D1659">
            <v>0.9</v>
          </cell>
          <cell r="H1659" t="str">
            <v>petroleum</v>
          </cell>
        </row>
        <row r="1660">
          <cell r="C1660" t="str">
            <v>IC</v>
          </cell>
          <cell r="D1660">
            <v>1.1000000000000001</v>
          </cell>
          <cell r="H1660" t="str">
            <v>petroleum</v>
          </cell>
        </row>
        <row r="1661">
          <cell r="C1661" t="str">
            <v>IC</v>
          </cell>
          <cell r="D1661">
            <v>0.6</v>
          </cell>
          <cell r="H1661" t="str">
            <v>petroleum</v>
          </cell>
        </row>
        <row r="1662">
          <cell r="C1662" t="str">
            <v>IC</v>
          </cell>
          <cell r="D1662">
            <v>2.2000000000000002</v>
          </cell>
          <cell r="H1662" t="str">
            <v>petroleum</v>
          </cell>
        </row>
        <row r="1663">
          <cell r="C1663" t="str">
            <v>IC</v>
          </cell>
          <cell r="D1663">
            <v>2.7</v>
          </cell>
          <cell r="H1663" t="str">
            <v>petroleum</v>
          </cell>
        </row>
        <row r="1664">
          <cell r="C1664" t="str">
            <v>IC</v>
          </cell>
          <cell r="D1664">
            <v>1.8</v>
          </cell>
          <cell r="H1664" t="str">
            <v>petroleum</v>
          </cell>
        </row>
        <row r="1665">
          <cell r="C1665" t="str">
            <v>IC</v>
          </cell>
          <cell r="D1665">
            <v>1.8</v>
          </cell>
          <cell r="H1665" t="str">
            <v>petroleum</v>
          </cell>
        </row>
        <row r="1666">
          <cell r="C1666" t="str">
            <v>GT</v>
          </cell>
          <cell r="D1666">
            <v>6.6</v>
          </cell>
          <cell r="H1666" t="str">
            <v>natural gas peaker</v>
          </cell>
        </row>
        <row r="1667">
          <cell r="C1667" t="str">
            <v>GT</v>
          </cell>
          <cell r="D1667">
            <v>6.6</v>
          </cell>
          <cell r="H1667" t="str">
            <v>natural gas peaker</v>
          </cell>
        </row>
        <row r="1668">
          <cell r="C1668" t="str">
            <v>IC</v>
          </cell>
          <cell r="D1668">
            <v>0.2</v>
          </cell>
          <cell r="H1668" t="str">
            <v>petroleum</v>
          </cell>
        </row>
        <row r="1669">
          <cell r="C1669" t="str">
            <v>IC</v>
          </cell>
          <cell r="D1669">
            <v>0.2</v>
          </cell>
          <cell r="H1669" t="str">
            <v>petroleum</v>
          </cell>
        </row>
        <row r="1670">
          <cell r="C1670" t="str">
            <v>IC</v>
          </cell>
          <cell r="D1670">
            <v>1.8</v>
          </cell>
          <cell r="H1670" t="str">
            <v>petroleum</v>
          </cell>
        </row>
        <row r="1671">
          <cell r="C1671" t="str">
            <v>IC</v>
          </cell>
          <cell r="D1671">
            <v>0.4</v>
          </cell>
          <cell r="H1671" t="str">
            <v>petroleum</v>
          </cell>
        </row>
        <row r="1672">
          <cell r="C1672" t="str">
            <v>IC</v>
          </cell>
          <cell r="D1672">
            <v>0.5</v>
          </cell>
          <cell r="H1672" t="str">
            <v>petroleum</v>
          </cell>
        </row>
        <row r="1673">
          <cell r="C1673" t="str">
            <v>IC</v>
          </cell>
          <cell r="D1673">
            <v>1.5</v>
          </cell>
          <cell r="H1673" t="str">
            <v>petroleum</v>
          </cell>
        </row>
        <row r="1674">
          <cell r="C1674" t="str">
            <v>IC</v>
          </cell>
          <cell r="D1674">
            <v>2.4</v>
          </cell>
          <cell r="H1674" t="str">
            <v>petroleum</v>
          </cell>
        </row>
        <row r="1675">
          <cell r="C1675" t="str">
            <v>IC</v>
          </cell>
          <cell r="D1675">
            <v>1.8</v>
          </cell>
          <cell r="H1675" t="str">
            <v>petroleum</v>
          </cell>
        </row>
        <row r="1676">
          <cell r="C1676" t="str">
            <v>ST</v>
          </cell>
          <cell r="D1676">
            <v>9.4</v>
          </cell>
          <cell r="H1676" t="str">
            <v>natural gas peaker</v>
          </cell>
        </row>
        <row r="1677">
          <cell r="C1677" t="str">
            <v>ST</v>
          </cell>
          <cell r="D1677">
            <v>6.3</v>
          </cell>
          <cell r="H1677" t="str">
            <v>natural gas peaker</v>
          </cell>
        </row>
        <row r="1678">
          <cell r="C1678" t="str">
            <v>ST</v>
          </cell>
          <cell r="D1678">
            <v>12.5</v>
          </cell>
          <cell r="H1678" t="str">
            <v>natural gas peaker</v>
          </cell>
        </row>
        <row r="1679">
          <cell r="C1679" t="str">
            <v>IC</v>
          </cell>
          <cell r="D1679">
            <v>2.6</v>
          </cell>
          <cell r="H1679" t="str">
            <v>petroleum</v>
          </cell>
        </row>
        <row r="1680">
          <cell r="C1680" t="str">
            <v>IC</v>
          </cell>
          <cell r="D1680">
            <v>2.6</v>
          </cell>
          <cell r="H1680" t="str">
            <v>petroleum</v>
          </cell>
        </row>
        <row r="1681">
          <cell r="C1681" t="str">
            <v>ST</v>
          </cell>
          <cell r="D1681">
            <v>40</v>
          </cell>
          <cell r="H1681" t="str">
            <v>hard coal</v>
          </cell>
        </row>
        <row r="1682">
          <cell r="C1682" t="str">
            <v>ST</v>
          </cell>
          <cell r="D1682">
            <v>40</v>
          </cell>
          <cell r="H1682" t="str">
            <v>hard coal</v>
          </cell>
        </row>
        <row r="1683">
          <cell r="C1683" t="str">
            <v>ST</v>
          </cell>
          <cell r="D1683">
            <v>40</v>
          </cell>
          <cell r="H1683" t="str">
            <v>hard coal</v>
          </cell>
        </row>
        <row r="1684">
          <cell r="C1684" t="str">
            <v>ST</v>
          </cell>
          <cell r="D1684">
            <v>170</v>
          </cell>
          <cell r="H1684" t="str">
            <v>hard coal</v>
          </cell>
        </row>
        <row r="1685">
          <cell r="C1685" t="str">
            <v>GT</v>
          </cell>
          <cell r="D1685">
            <v>70</v>
          </cell>
          <cell r="H1685" t="str">
            <v>natural gas peaker</v>
          </cell>
        </row>
        <row r="1686">
          <cell r="C1686" t="str">
            <v>GT</v>
          </cell>
          <cell r="D1686">
            <v>70</v>
          </cell>
          <cell r="H1686" t="str">
            <v>natural gas peaker</v>
          </cell>
        </row>
        <row r="1687">
          <cell r="C1687" t="str">
            <v>ST</v>
          </cell>
          <cell r="D1687">
            <v>195.5</v>
          </cell>
          <cell r="H1687" t="str">
            <v>hard coal</v>
          </cell>
        </row>
        <row r="1688">
          <cell r="C1688" t="str">
            <v>ST</v>
          </cell>
          <cell r="D1688">
            <v>195.5</v>
          </cell>
          <cell r="H1688" t="str">
            <v>hard coal</v>
          </cell>
        </row>
        <row r="1689">
          <cell r="C1689" t="str">
            <v>ST</v>
          </cell>
          <cell r="D1689">
            <v>195.5</v>
          </cell>
          <cell r="H1689" t="str">
            <v>hard coal</v>
          </cell>
        </row>
        <row r="1690">
          <cell r="C1690" t="str">
            <v>ST</v>
          </cell>
          <cell r="D1690">
            <v>195.5</v>
          </cell>
          <cell r="H1690" t="str">
            <v>hard coal</v>
          </cell>
        </row>
        <row r="1691">
          <cell r="C1691" t="str">
            <v>ST</v>
          </cell>
          <cell r="D1691">
            <v>195.5</v>
          </cell>
          <cell r="H1691" t="str">
            <v>hard coal</v>
          </cell>
        </row>
        <row r="1692">
          <cell r="C1692" t="str">
            <v>ST</v>
          </cell>
          <cell r="D1692">
            <v>195.5</v>
          </cell>
          <cell r="H1692" t="str">
            <v>hard coal</v>
          </cell>
        </row>
        <row r="1693">
          <cell r="C1693" t="str">
            <v>HY</v>
          </cell>
          <cell r="D1693">
            <v>0.6</v>
          </cell>
          <cell r="H1693" t="str">
            <v>hydro</v>
          </cell>
        </row>
        <row r="1694">
          <cell r="C1694" t="str">
            <v>HY</v>
          </cell>
          <cell r="D1694">
            <v>0.4</v>
          </cell>
          <cell r="H1694" t="str">
            <v>hydro</v>
          </cell>
        </row>
        <row r="1695">
          <cell r="C1695" t="str">
            <v>HY</v>
          </cell>
          <cell r="D1695">
            <v>0.4</v>
          </cell>
          <cell r="H1695" t="str">
            <v>hydro</v>
          </cell>
        </row>
        <row r="1696">
          <cell r="C1696" t="str">
            <v>HY</v>
          </cell>
          <cell r="D1696">
            <v>0.2</v>
          </cell>
          <cell r="H1696" t="str">
            <v>hydro</v>
          </cell>
        </row>
        <row r="1697">
          <cell r="C1697" t="str">
            <v>HY</v>
          </cell>
          <cell r="D1697">
            <v>0.4</v>
          </cell>
          <cell r="H1697" t="str">
            <v>hydro</v>
          </cell>
        </row>
        <row r="1698">
          <cell r="C1698" t="str">
            <v>HY</v>
          </cell>
          <cell r="D1698">
            <v>0.8</v>
          </cell>
          <cell r="H1698" t="str">
            <v>hydro</v>
          </cell>
        </row>
        <row r="1699">
          <cell r="C1699" t="str">
            <v>HY</v>
          </cell>
          <cell r="D1699">
            <v>0.5</v>
          </cell>
          <cell r="H1699" t="str">
            <v>hydro</v>
          </cell>
        </row>
        <row r="1700">
          <cell r="C1700" t="str">
            <v>HY</v>
          </cell>
          <cell r="D1700">
            <v>0.5</v>
          </cell>
          <cell r="H1700" t="str">
            <v>hydro</v>
          </cell>
        </row>
        <row r="1701">
          <cell r="C1701" t="str">
            <v>HY</v>
          </cell>
          <cell r="D1701">
            <v>0.5</v>
          </cell>
          <cell r="H1701" t="str">
            <v>hydro</v>
          </cell>
        </row>
        <row r="1702">
          <cell r="C1702" t="str">
            <v>HY</v>
          </cell>
          <cell r="D1702">
            <v>0.5</v>
          </cell>
          <cell r="H1702" t="str">
            <v>hydro</v>
          </cell>
        </row>
        <row r="1703">
          <cell r="C1703" t="str">
            <v>HY</v>
          </cell>
          <cell r="D1703">
            <v>0.5</v>
          </cell>
          <cell r="H1703" t="str">
            <v>hydro</v>
          </cell>
        </row>
        <row r="1704">
          <cell r="C1704" t="str">
            <v>HY</v>
          </cell>
          <cell r="D1704">
            <v>0.5</v>
          </cell>
          <cell r="H1704" t="str">
            <v>hydro</v>
          </cell>
        </row>
        <row r="1705">
          <cell r="C1705" t="str">
            <v>HY</v>
          </cell>
          <cell r="D1705">
            <v>0.5</v>
          </cell>
          <cell r="H1705" t="str">
            <v>hydro</v>
          </cell>
        </row>
        <row r="1706">
          <cell r="C1706" t="str">
            <v>HY</v>
          </cell>
          <cell r="D1706">
            <v>0.5</v>
          </cell>
          <cell r="H1706" t="str">
            <v>hydro</v>
          </cell>
        </row>
        <row r="1707">
          <cell r="C1707" t="str">
            <v>ST</v>
          </cell>
          <cell r="D1707">
            <v>101</v>
          </cell>
          <cell r="H1707" t="str">
            <v>natural gas peaker</v>
          </cell>
        </row>
        <row r="1708">
          <cell r="C1708" t="str">
            <v>ST</v>
          </cell>
          <cell r="D1708">
            <v>99</v>
          </cell>
          <cell r="H1708" t="str">
            <v>natural gas peaker</v>
          </cell>
        </row>
        <row r="1709">
          <cell r="C1709" t="str">
            <v>ST</v>
          </cell>
          <cell r="D1709">
            <v>418</v>
          </cell>
          <cell r="H1709" t="str">
            <v>natural gas peaker</v>
          </cell>
        </row>
        <row r="1710">
          <cell r="C1710" t="str">
            <v>BA</v>
          </cell>
          <cell r="D1710">
            <v>20</v>
          </cell>
          <cell r="H1710" t="str">
            <v>other</v>
          </cell>
        </row>
        <row r="1711">
          <cell r="C1711" t="str">
            <v>GT</v>
          </cell>
          <cell r="D1711">
            <v>19.100000000000001</v>
          </cell>
          <cell r="H1711" t="str">
            <v>petroleum</v>
          </cell>
        </row>
        <row r="1712">
          <cell r="C1712" t="str">
            <v>GT</v>
          </cell>
          <cell r="D1712">
            <v>17.899999999999999</v>
          </cell>
          <cell r="H1712" t="str">
            <v>petroleum</v>
          </cell>
        </row>
        <row r="1713">
          <cell r="C1713" t="str">
            <v>GT</v>
          </cell>
          <cell r="D1713">
            <v>67</v>
          </cell>
          <cell r="H1713" t="str">
            <v>natural gas peaker</v>
          </cell>
        </row>
        <row r="1714">
          <cell r="C1714" t="str">
            <v>GT</v>
          </cell>
          <cell r="D1714">
            <v>67</v>
          </cell>
          <cell r="H1714" t="str">
            <v>natural gas peaker</v>
          </cell>
        </row>
        <row r="1715">
          <cell r="C1715" t="str">
            <v>GT</v>
          </cell>
          <cell r="D1715">
            <v>154</v>
          </cell>
          <cell r="H1715" t="str">
            <v>natural gas peaker</v>
          </cell>
        </row>
        <row r="1716">
          <cell r="C1716" t="str">
            <v>IC</v>
          </cell>
          <cell r="D1716">
            <v>3</v>
          </cell>
          <cell r="H1716" t="str">
            <v>petroleum</v>
          </cell>
        </row>
        <row r="1717">
          <cell r="C1717" t="str">
            <v>CT</v>
          </cell>
          <cell r="D1717">
            <v>207</v>
          </cell>
          <cell r="H1717" t="str">
            <v>natural gas nonpeaker</v>
          </cell>
        </row>
        <row r="1718">
          <cell r="C1718" t="str">
            <v>CT</v>
          </cell>
          <cell r="D1718">
            <v>207</v>
          </cell>
          <cell r="H1718" t="str">
            <v>natural gas nonpeaker</v>
          </cell>
        </row>
        <row r="1719">
          <cell r="C1719" t="str">
            <v>CA</v>
          </cell>
          <cell r="D1719">
            <v>230</v>
          </cell>
          <cell r="H1719" t="str">
            <v>natural gas nonpeaker</v>
          </cell>
        </row>
        <row r="1720">
          <cell r="C1720" t="str">
            <v>ST</v>
          </cell>
          <cell r="D1720">
            <v>10</v>
          </cell>
          <cell r="H1720" t="str">
            <v>natural gas peaker</v>
          </cell>
        </row>
        <row r="1721">
          <cell r="C1721" t="str">
            <v>ST</v>
          </cell>
          <cell r="D1721">
            <v>3</v>
          </cell>
          <cell r="H1721" t="str">
            <v>natural gas peaker</v>
          </cell>
        </row>
        <row r="1722">
          <cell r="C1722" t="str">
            <v>ST</v>
          </cell>
          <cell r="D1722">
            <v>1.7</v>
          </cell>
          <cell r="H1722" t="str">
            <v>natural gas peaker</v>
          </cell>
        </row>
        <row r="1723">
          <cell r="C1723" t="str">
            <v>ST</v>
          </cell>
          <cell r="D1723">
            <v>1.7</v>
          </cell>
          <cell r="H1723" t="str">
            <v>natural gas peaker</v>
          </cell>
        </row>
        <row r="1724">
          <cell r="C1724" t="str">
            <v>ST</v>
          </cell>
          <cell r="D1724">
            <v>529.6</v>
          </cell>
          <cell r="H1724" t="str">
            <v>hard coal</v>
          </cell>
        </row>
        <row r="1725">
          <cell r="C1725" t="str">
            <v>IC</v>
          </cell>
          <cell r="D1725">
            <v>3</v>
          </cell>
          <cell r="H1725" t="str">
            <v>petroleum</v>
          </cell>
        </row>
        <row r="1726">
          <cell r="C1726" t="str">
            <v>IC</v>
          </cell>
          <cell r="D1726">
            <v>3</v>
          </cell>
          <cell r="H1726" t="str">
            <v>petroleum</v>
          </cell>
        </row>
        <row r="1727">
          <cell r="C1727" t="str">
            <v>IC</v>
          </cell>
          <cell r="D1727">
            <v>3</v>
          </cell>
          <cell r="H1727" t="str">
            <v>petroleum</v>
          </cell>
        </row>
        <row r="1728">
          <cell r="C1728" t="str">
            <v>ST</v>
          </cell>
          <cell r="D1728">
            <v>222.5</v>
          </cell>
          <cell r="H1728" t="str">
            <v>hard coal</v>
          </cell>
        </row>
        <row r="1729">
          <cell r="C1729" t="str">
            <v>ST</v>
          </cell>
          <cell r="D1729">
            <v>421.8</v>
          </cell>
          <cell r="H1729" t="str">
            <v>hard coal</v>
          </cell>
        </row>
        <row r="1730">
          <cell r="C1730" t="str">
            <v>ST</v>
          </cell>
          <cell r="D1730">
            <v>527.6</v>
          </cell>
          <cell r="H1730" t="str">
            <v>hard coal</v>
          </cell>
        </row>
        <row r="1731">
          <cell r="C1731" t="str">
            <v>GT</v>
          </cell>
          <cell r="D1731">
            <v>31</v>
          </cell>
          <cell r="H1731" t="str">
            <v>natural gas peaker</v>
          </cell>
        </row>
        <row r="1732">
          <cell r="C1732" t="str">
            <v>ST</v>
          </cell>
          <cell r="D1732">
            <v>455</v>
          </cell>
          <cell r="H1732" t="str">
            <v>hard coal</v>
          </cell>
        </row>
        <row r="1733">
          <cell r="C1733" t="str">
            <v>HY</v>
          </cell>
          <cell r="D1733">
            <v>1.1000000000000001</v>
          </cell>
          <cell r="H1733" t="str">
            <v>hydro</v>
          </cell>
        </row>
        <row r="1734">
          <cell r="C1734" t="str">
            <v>HY</v>
          </cell>
          <cell r="D1734">
            <v>1.1000000000000001</v>
          </cell>
          <cell r="H1734" t="str">
            <v>hydro</v>
          </cell>
        </row>
        <row r="1735">
          <cell r="C1735" t="str">
            <v>HY</v>
          </cell>
          <cell r="D1735">
            <v>1.1000000000000001</v>
          </cell>
          <cell r="H1735" t="str">
            <v>hydro</v>
          </cell>
        </row>
        <row r="1736">
          <cell r="C1736" t="str">
            <v>HY</v>
          </cell>
          <cell r="D1736">
            <v>0.7</v>
          </cell>
          <cell r="H1736" t="str">
            <v>hydro</v>
          </cell>
        </row>
        <row r="1737">
          <cell r="C1737" t="str">
            <v>HY</v>
          </cell>
          <cell r="D1737">
            <v>2.9</v>
          </cell>
          <cell r="H1737" t="str">
            <v>hydro</v>
          </cell>
        </row>
        <row r="1738">
          <cell r="C1738" t="str">
            <v>HY</v>
          </cell>
          <cell r="D1738">
            <v>2.2000000000000002</v>
          </cell>
          <cell r="H1738" t="str">
            <v>hydro</v>
          </cell>
        </row>
        <row r="1739">
          <cell r="C1739" t="str">
            <v>HY</v>
          </cell>
          <cell r="D1739">
            <v>0.9</v>
          </cell>
          <cell r="H1739" t="str">
            <v>hydro</v>
          </cell>
        </row>
        <row r="1740">
          <cell r="C1740" t="str">
            <v>ST</v>
          </cell>
          <cell r="D1740">
            <v>500</v>
          </cell>
          <cell r="H1740" t="str">
            <v>hard coal</v>
          </cell>
        </row>
        <row r="1741">
          <cell r="C1741" t="str">
            <v>ST</v>
          </cell>
          <cell r="D1741">
            <v>495</v>
          </cell>
          <cell r="H1741" t="str">
            <v>hard coal</v>
          </cell>
        </row>
        <row r="1742">
          <cell r="C1742" t="str">
            <v>IC</v>
          </cell>
          <cell r="D1742">
            <v>3</v>
          </cell>
          <cell r="H1742" t="str">
            <v>petroleum</v>
          </cell>
        </row>
        <row r="1743">
          <cell r="C1743" t="str">
            <v>IC</v>
          </cell>
          <cell r="D1743">
            <v>3</v>
          </cell>
          <cell r="H1743" t="str">
            <v>petroleum</v>
          </cell>
        </row>
        <row r="1744">
          <cell r="C1744" t="str">
            <v>IC</v>
          </cell>
          <cell r="D1744">
            <v>2</v>
          </cell>
          <cell r="H1744" t="str">
            <v>petroleum</v>
          </cell>
        </row>
        <row r="1745">
          <cell r="C1745" t="str">
            <v>IC</v>
          </cell>
          <cell r="D1745">
            <v>2</v>
          </cell>
          <cell r="H1745" t="str">
            <v>petroleum</v>
          </cell>
        </row>
        <row r="1746">
          <cell r="C1746" t="str">
            <v>GT</v>
          </cell>
          <cell r="D1746">
            <v>86</v>
          </cell>
          <cell r="H1746" t="str">
            <v>natural gas peaker</v>
          </cell>
        </row>
        <row r="1747">
          <cell r="C1747" t="str">
            <v>CT</v>
          </cell>
          <cell r="D1747" t="str">
            <v xml:space="preserve"> </v>
          </cell>
          <cell r="H1747" t="str">
            <v>hard coal</v>
          </cell>
        </row>
        <row r="1748">
          <cell r="C1748" t="str">
            <v>CT</v>
          </cell>
          <cell r="D1748" t="str">
            <v xml:space="preserve"> </v>
          </cell>
          <cell r="H1748" t="str">
            <v>hard coal</v>
          </cell>
        </row>
        <row r="1749">
          <cell r="C1749" t="str">
            <v>CA</v>
          </cell>
          <cell r="D1749">
            <v>595</v>
          </cell>
          <cell r="H1749" t="str">
            <v>hard coal</v>
          </cell>
        </row>
        <row r="1750">
          <cell r="C1750" t="str">
            <v>HY</v>
          </cell>
          <cell r="D1750">
            <v>15</v>
          </cell>
          <cell r="H1750" t="str">
            <v>hydro</v>
          </cell>
        </row>
        <row r="1751">
          <cell r="C1751" t="str">
            <v>HY</v>
          </cell>
          <cell r="D1751">
            <v>17.899999999999999</v>
          </cell>
          <cell r="H1751" t="str">
            <v>hydro</v>
          </cell>
        </row>
        <row r="1752">
          <cell r="C1752" t="str">
            <v>HY</v>
          </cell>
          <cell r="D1752">
            <v>17.899999999999999</v>
          </cell>
          <cell r="H1752" t="str">
            <v>hydro</v>
          </cell>
        </row>
        <row r="1753">
          <cell r="C1753" t="str">
            <v>CA</v>
          </cell>
          <cell r="D1753">
            <v>43</v>
          </cell>
          <cell r="H1753" t="str">
            <v>natural gas nonpeaker</v>
          </cell>
        </row>
        <row r="1754">
          <cell r="C1754" t="str">
            <v>CA</v>
          </cell>
          <cell r="D1754">
            <v>44</v>
          </cell>
          <cell r="H1754" t="str">
            <v>natural gas nonpeaker</v>
          </cell>
        </row>
        <row r="1755">
          <cell r="C1755" t="str">
            <v>CT</v>
          </cell>
          <cell r="D1755">
            <v>59</v>
          </cell>
          <cell r="H1755" t="str">
            <v>natural gas nonpeaker</v>
          </cell>
        </row>
        <row r="1756">
          <cell r="C1756" t="str">
            <v>CT</v>
          </cell>
          <cell r="D1756">
            <v>60</v>
          </cell>
          <cell r="H1756" t="str">
            <v>natural gas nonpeaker</v>
          </cell>
        </row>
        <row r="1757">
          <cell r="C1757" t="str">
            <v>CT</v>
          </cell>
          <cell r="D1757">
            <v>58</v>
          </cell>
          <cell r="H1757" t="str">
            <v>natural gas nonpeaker</v>
          </cell>
        </row>
        <row r="1758">
          <cell r="C1758" t="str">
            <v>ST</v>
          </cell>
          <cell r="D1758">
            <v>140</v>
          </cell>
          <cell r="H1758" t="str">
            <v>hard coal</v>
          </cell>
        </row>
        <row r="1759">
          <cell r="C1759" t="str">
            <v>ST</v>
          </cell>
          <cell r="D1759">
            <v>140</v>
          </cell>
          <cell r="H1759" t="str">
            <v>hard coal</v>
          </cell>
        </row>
        <row r="1760">
          <cell r="C1760" t="str">
            <v>ST</v>
          </cell>
          <cell r="D1760">
            <v>90</v>
          </cell>
          <cell r="H1760" t="str">
            <v>hard coal</v>
          </cell>
        </row>
        <row r="1761">
          <cell r="C1761" t="str">
            <v>ST</v>
          </cell>
          <cell r="D1761">
            <v>270</v>
          </cell>
          <cell r="H1761" t="str">
            <v>hard coal</v>
          </cell>
        </row>
        <row r="1762">
          <cell r="C1762" t="str">
            <v>CT</v>
          </cell>
          <cell r="D1762">
            <v>20</v>
          </cell>
          <cell r="H1762" t="str">
            <v>natural gas nonpeaker</v>
          </cell>
        </row>
        <row r="1763">
          <cell r="C1763" t="str">
            <v>CT</v>
          </cell>
          <cell r="D1763">
            <v>20</v>
          </cell>
          <cell r="H1763" t="str">
            <v>natural gas nonpeaker</v>
          </cell>
        </row>
        <row r="1764">
          <cell r="C1764" t="str">
            <v>CT</v>
          </cell>
          <cell r="D1764">
            <v>20</v>
          </cell>
          <cell r="H1764" t="str">
            <v>natural gas nonpeaker</v>
          </cell>
        </row>
        <row r="1765">
          <cell r="C1765" t="str">
            <v>GT</v>
          </cell>
          <cell r="D1765">
            <v>20</v>
          </cell>
          <cell r="H1765" t="str">
            <v>natural gas peaker</v>
          </cell>
        </row>
        <row r="1766">
          <cell r="C1766" t="str">
            <v>GT</v>
          </cell>
          <cell r="D1766">
            <v>20</v>
          </cell>
          <cell r="H1766" t="str">
            <v>natural gas peaker</v>
          </cell>
        </row>
        <row r="1767">
          <cell r="C1767" t="str">
            <v>CT</v>
          </cell>
          <cell r="D1767">
            <v>20</v>
          </cell>
          <cell r="H1767" t="str">
            <v>natural gas nonpeaker</v>
          </cell>
        </row>
        <row r="1768">
          <cell r="C1768" t="str">
            <v>CT</v>
          </cell>
          <cell r="D1768">
            <v>20</v>
          </cell>
          <cell r="H1768" t="str">
            <v>natural gas nonpeaker</v>
          </cell>
        </row>
        <row r="1769">
          <cell r="C1769" t="str">
            <v>CT</v>
          </cell>
          <cell r="D1769">
            <v>20</v>
          </cell>
          <cell r="H1769" t="str">
            <v>natural gas nonpeaker</v>
          </cell>
        </row>
        <row r="1770">
          <cell r="C1770" t="str">
            <v>CA</v>
          </cell>
          <cell r="D1770">
            <v>65</v>
          </cell>
          <cell r="H1770" t="str">
            <v>natural gas nonpeaker</v>
          </cell>
        </row>
        <row r="1771">
          <cell r="C1771" t="str">
            <v>HY</v>
          </cell>
          <cell r="D1771">
            <v>0.5</v>
          </cell>
          <cell r="H1771" t="str">
            <v>hydro</v>
          </cell>
        </row>
        <row r="1772">
          <cell r="C1772" t="str">
            <v>HY</v>
          </cell>
          <cell r="D1772">
            <v>0.5</v>
          </cell>
          <cell r="H1772" t="str">
            <v>hydro</v>
          </cell>
        </row>
        <row r="1773">
          <cell r="C1773" t="str">
            <v>ST</v>
          </cell>
          <cell r="D1773">
            <v>10.6</v>
          </cell>
          <cell r="H1773" t="str">
            <v>hard coal</v>
          </cell>
        </row>
        <row r="1774">
          <cell r="C1774" t="str">
            <v>ST</v>
          </cell>
          <cell r="D1774">
            <v>12.6</v>
          </cell>
          <cell r="H1774" t="str">
            <v>hard coal</v>
          </cell>
        </row>
        <row r="1775">
          <cell r="C1775" t="str">
            <v>IC</v>
          </cell>
          <cell r="D1775">
            <v>0.9</v>
          </cell>
          <cell r="H1775" t="str">
            <v>petroleum</v>
          </cell>
        </row>
        <row r="1776">
          <cell r="C1776" t="str">
            <v>IC</v>
          </cell>
          <cell r="D1776">
            <v>1.8</v>
          </cell>
          <cell r="H1776" t="str">
            <v>petroleum</v>
          </cell>
        </row>
        <row r="1777">
          <cell r="C1777" t="str">
            <v>IC</v>
          </cell>
          <cell r="D1777">
            <v>1.9</v>
          </cell>
          <cell r="H1777" t="str">
            <v>petroleum</v>
          </cell>
        </row>
        <row r="1778">
          <cell r="C1778" t="str">
            <v>IC</v>
          </cell>
          <cell r="D1778">
            <v>1.9</v>
          </cell>
          <cell r="H1778" t="str">
            <v>petroleum</v>
          </cell>
        </row>
        <row r="1779">
          <cell r="C1779" t="str">
            <v>IC</v>
          </cell>
          <cell r="D1779">
            <v>4.8</v>
          </cell>
          <cell r="H1779" t="str">
            <v>natural gas peaker</v>
          </cell>
        </row>
        <row r="1780">
          <cell r="C1780" t="str">
            <v>IC</v>
          </cell>
          <cell r="D1780">
            <v>8.3000000000000007</v>
          </cell>
          <cell r="H1780" t="str">
            <v>natural gas peaker</v>
          </cell>
        </row>
        <row r="1781">
          <cell r="C1781" t="str">
            <v>IC</v>
          </cell>
          <cell r="D1781">
            <v>1.8</v>
          </cell>
          <cell r="H1781" t="str">
            <v>petroleum</v>
          </cell>
        </row>
        <row r="1782">
          <cell r="C1782" t="str">
            <v>IC</v>
          </cell>
          <cell r="D1782">
            <v>2.4</v>
          </cell>
          <cell r="H1782" t="str">
            <v>petroleum</v>
          </cell>
        </row>
        <row r="1783">
          <cell r="C1783" t="str">
            <v>ST</v>
          </cell>
          <cell r="D1783">
            <v>34.700000000000003</v>
          </cell>
          <cell r="H1783" t="str">
            <v>hard coal</v>
          </cell>
        </row>
        <row r="1784">
          <cell r="C1784" t="str">
            <v>ST</v>
          </cell>
          <cell r="D1784">
            <v>65</v>
          </cell>
          <cell r="H1784" t="str">
            <v>hard coal</v>
          </cell>
        </row>
        <row r="1785">
          <cell r="C1785" t="str">
            <v>ST</v>
          </cell>
          <cell r="D1785">
            <v>247.8</v>
          </cell>
          <cell r="H1785" t="str">
            <v>hard coal</v>
          </cell>
        </row>
        <row r="1786">
          <cell r="C1786" t="str">
            <v>ST</v>
          </cell>
          <cell r="D1786">
            <v>601.4</v>
          </cell>
          <cell r="H1786" t="str">
            <v>nuclear</v>
          </cell>
        </row>
        <row r="1787">
          <cell r="C1787" t="str">
            <v>HY</v>
          </cell>
          <cell r="D1787">
            <v>0.6</v>
          </cell>
          <cell r="H1787" t="str">
            <v>hydro</v>
          </cell>
        </row>
        <row r="1788">
          <cell r="C1788" t="str">
            <v>HY</v>
          </cell>
          <cell r="D1788">
            <v>0.6</v>
          </cell>
          <cell r="H1788" t="str">
            <v>hydro</v>
          </cell>
        </row>
        <row r="1789">
          <cell r="C1789" t="str">
            <v>GT</v>
          </cell>
          <cell r="D1789">
            <v>51.3</v>
          </cell>
          <cell r="H1789" t="str">
            <v>natural gas peaker</v>
          </cell>
        </row>
        <row r="1790">
          <cell r="C1790" t="str">
            <v>GT</v>
          </cell>
          <cell r="D1790">
            <v>58.4</v>
          </cell>
          <cell r="H1790" t="str">
            <v>natural gas peaker</v>
          </cell>
        </row>
        <row r="1791">
          <cell r="C1791" t="str">
            <v>GT</v>
          </cell>
          <cell r="D1791">
            <v>61.1</v>
          </cell>
          <cell r="H1791" t="str">
            <v>natural gas peaker</v>
          </cell>
        </row>
        <row r="1792">
          <cell r="C1792" t="str">
            <v>ST</v>
          </cell>
          <cell r="D1792">
            <v>2.9</v>
          </cell>
          <cell r="H1792" t="str">
            <v>hard coal</v>
          </cell>
        </row>
        <row r="1793">
          <cell r="C1793" t="str">
            <v>ST</v>
          </cell>
          <cell r="D1793">
            <v>25.8</v>
          </cell>
          <cell r="H1793" t="str">
            <v>hard coal</v>
          </cell>
        </row>
        <row r="1794">
          <cell r="C1794" t="str">
            <v>ST</v>
          </cell>
          <cell r="D1794">
            <v>112.9</v>
          </cell>
          <cell r="H1794" t="str">
            <v>natural gas peaker</v>
          </cell>
        </row>
        <row r="1795">
          <cell r="C1795" t="str">
            <v>GT</v>
          </cell>
          <cell r="D1795">
            <v>16.7</v>
          </cell>
          <cell r="H1795" t="str">
            <v>natural gas peaker</v>
          </cell>
        </row>
        <row r="1796">
          <cell r="C1796" t="str">
            <v>GT</v>
          </cell>
          <cell r="D1796">
            <v>17.2</v>
          </cell>
          <cell r="H1796" t="str">
            <v>natural gas peaker</v>
          </cell>
        </row>
        <row r="1797">
          <cell r="C1797" t="str">
            <v>GT</v>
          </cell>
          <cell r="D1797">
            <v>16</v>
          </cell>
          <cell r="H1797" t="str">
            <v>natural gas peaker</v>
          </cell>
        </row>
        <row r="1798">
          <cell r="C1798" t="str">
            <v>GT</v>
          </cell>
          <cell r="D1798">
            <v>16.399999999999999</v>
          </cell>
          <cell r="H1798" t="str">
            <v>natural gas peaker</v>
          </cell>
        </row>
        <row r="1799">
          <cell r="C1799" t="str">
            <v>ST</v>
          </cell>
          <cell r="D1799">
            <v>113.7</v>
          </cell>
          <cell r="H1799" t="str">
            <v>natural gas peaker</v>
          </cell>
        </row>
        <row r="1800">
          <cell r="C1800" t="str">
            <v>ST</v>
          </cell>
          <cell r="D1800">
            <v>697.3</v>
          </cell>
          <cell r="H1800" t="str">
            <v>hard coal</v>
          </cell>
        </row>
        <row r="1801">
          <cell r="C1801" t="str">
            <v>ST</v>
          </cell>
          <cell r="D1801">
            <v>817.1</v>
          </cell>
          <cell r="H1801" t="str">
            <v>hard coal</v>
          </cell>
        </row>
        <row r="1802">
          <cell r="C1802" t="str">
            <v>GT</v>
          </cell>
          <cell r="D1802">
            <v>14.6</v>
          </cell>
          <cell r="H1802" t="str">
            <v>natural gas peaker</v>
          </cell>
        </row>
        <row r="1803">
          <cell r="C1803" t="str">
            <v>GT</v>
          </cell>
          <cell r="D1803">
            <v>14.7</v>
          </cell>
          <cell r="H1803" t="str">
            <v>natural gas peaker</v>
          </cell>
        </row>
        <row r="1804">
          <cell r="C1804" t="str">
            <v>GT</v>
          </cell>
          <cell r="D1804">
            <v>14.4</v>
          </cell>
          <cell r="H1804" t="str">
            <v>natural gas peaker</v>
          </cell>
        </row>
        <row r="1805">
          <cell r="C1805" t="str">
            <v>GT</v>
          </cell>
          <cell r="D1805">
            <v>16.399999999999999</v>
          </cell>
          <cell r="H1805" t="str">
            <v>natural gas peaker</v>
          </cell>
        </row>
        <row r="1806">
          <cell r="C1806" t="str">
            <v>GT</v>
          </cell>
          <cell r="D1806">
            <v>14.3</v>
          </cell>
          <cell r="H1806" t="str">
            <v>natural gas peaker</v>
          </cell>
        </row>
        <row r="1807">
          <cell r="C1807" t="str">
            <v>GT</v>
          </cell>
          <cell r="D1807">
            <v>14.2</v>
          </cell>
          <cell r="H1807" t="str">
            <v>natural gas peaker</v>
          </cell>
        </row>
        <row r="1808">
          <cell r="C1808" t="str">
            <v>GT</v>
          </cell>
          <cell r="D1808">
            <v>13.7</v>
          </cell>
          <cell r="H1808" t="str">
            <v>natural gas peaker</v>
          </cell>
        </row>
        <row r="1809">
          <cell r="C1809" t="str">
            <v>GT</v>
          </cell>
          <cell r="D1809">
            <v>15.3</v>
          </cell>
          <cell r="H1809" t="str">
            <v>natural gas peaker</v>
          </cell>
        </row>
        <row r="1810">
          <cell r="C1810" t="str">
            <v>ST</v>
          </cell>
          <cell r="D1810">
            <v>510.1</v>
          </cell>
          <cell r="H1810" t="str">
            <v>hard coal</v>
          </cell>
        </row>
        <row r="1811">
          <cell r="C1811" t="str">
            <v>GT</v>
          </cell>
          <cell r="D1811">
            <v>16.3</v>
          </cell>
          <cell r="H1811" t="str">
            <v>natural gas peaker</v>
          </cell>
        </row>
        <row r="1812">
          <cell r="C1812" t="str">
            <v>GT</v>
          </cell>
          <cell r="D1812">
            <v>16.7</v>
          </cell>
          <cell r="H1812" t="str">
            <v>natural gas peaker</v>
          </cell>
        </row>
        <row r="1813">
          <cell r="C1813" t="str">
            <v>ST</v>
          </cell>
          <cell r="D1813">
            <v>205.3</v>
          </cell>
          <cell r="H1813" t="str">
            <v>hard coal</v>
          </cell>
        </row>
        <row r="1814">
          <cell r="C1814" t="str">
            <v>GT</v>
          </cell>
          <cell r="D1814">
            <v>14</v>
          </cell>
          <cell r="H1814" t="str">
            <v>natural gas peaker</v>
          </cell>
        </row>
        <row r="1815">
          <cell r="C1815" t="str">
            <v>GT</v>
          </cell>
          <cell r="D1815">
            <v>12.7</v>
          </cell>
          <cell r="H1815" t="str">
            <v>natural gas peaker</v>
          </cell>
        </row>
        <row r="1816">
          <cell r="C1816" t="str">
            <v>GT</v>
          </cell>
          <cell r="D1816">
            <v>13.7</v>
          </cell>
          <cell r="H1816" t="str">
            <v>natural gas peaker</v>
          </cell>
        </row>
        <row r="1817">
          <cell r="C1817" t="str">
            <v>GT</v>
          </cell>
          <cell r="D1817">
            <v>5</v>
          </cell>
          <cell r="H1817" t="str">
            <v>natural gas peaker</v>
          </cell>
        </row>
        <row r="1818">
          <cell r="C1818" t="str">
            <v>HY</v>
          </cell>
          <cell r="D1818">
            <v>10</v>
          </cell>
          <cell r="H1818" t="str">
            <v>hydro</v>
          </cell>
        </row>
        <row r="1819">
          <cell r="C1819" t="str">
            <v>HY</v>
          </cell>
          <cell r="D1819">
            <v>10</v>
          </cell>
          <cell r="H1819" t="str">
            <v>hydro</v>
          </cell>
        </row>
        <row r="1820">
          <cell r="C1820" t="str">
            <v>HY</v>
          </cell>
          <cell r="D1820">
            <v>10</v>
          </cell>
          <cell r="H1820" t="str">
            <v>hydro</v>
          </cell>
        </row>
        <row r="1821">
          <cell r="C1821" t="str">
            <v>HY</v>
          </cell>
          <cell r="D1821">
            <v>10</v>
          </cell>
          <cell r="H1821" t="str">
            <v>hydro</v>
          </cell>
        </row>
        <row r="1822">
          <cell r="C1822" t="str">
            <v>HY</v>
          </cell>
          <cell r="D1822">
            <v>10</v>
          </cell>
          <cell r="H1822" t="str">
            <v>hydro</v>
          </cell>
        </row>
        <row r="1823">
          <cell r="C1823" t="str">
            <v>HY</v>
          </cell>
          <cell r="D1823">
            <v>8</v>
          </cell>
          <cell r="H1823" t="str">
            <v>hydro</v>
          </cell>
        </row>
        <row r="1824">
          <cell r="C1824" t="str">
            <v>HY</v>
          </cell>
          <cell r="D1824">
            <v>8</v>
          </cell>
          <cell r="H1824" t="str">
            <v>hydro</v>
          </cell>
        </row>
        <row r="1825">
          <cell r="C1825" t="str">
            <v>HY</v>
          </cell>
          <cell r="D1825">
            <v>10</v>
          </cell>
          <cell r="H1825" t="str">
            <v>hydro</v>
          </cell>
        </row>
        <row r="1826">
          <cell r="C1826" t="str">
            <v>HY</v>
          </cell>
          <cell r="D1826">
            <v>10</v>
          </cell>
          <cell r="H1826" t="str">
            <v>hydro</v>
          </cell>
        </row>
        <row r="1827">
          <cell r="C1827" t="str">
            <v>HY</v>
          </cell>
          <cell r="D1827">
            <v>10</v>
          </cell>
          <cell r="H1827" t="str">
            <v>hydro</v>
          </cell>
        </row>
        <row r="1828">
          <cell r="C1828" t="str">
            <v>HY</v>
          </cell>
          <cell r="D1828">
            <v>8</v>
          </cell>
          <cell r="H1828" t="str">
            <v>hydro</v>
          </cell>
        </row>
        <row r="1829">
          <cell r="C1829" t="str">
            <v>HY</v>
          </cell>
          <cell r="D1829">
            <v>8</v>
          </cell>
          <cell r="H1829" t="str">
            <v>hydro</v>
          </cell>
        </row>
        <row r="1830">
          <cell r="C1830" t="str">
            <v>HY</v>
          </cell>
          <cell r="D1830">
            <v>10</v>
          </cell>
          <cell r="H1830" t="str">
            <v>hydro</v>
          </cell>
        </row>
        <row r="1831">
          <cell r="C1831" t="str">
            <v>HY</v>
          </cell>
          <cell r="D1831">
            <v>10</v>
          </cell>
          <cell r="H1831" t="str">
            <v>hydro</v>
          </cell>
        </row>
        <row r="1832">
          <cell r="C1832" t="str">
            <v>HY</v>
          </cell>
          <cell r="D1832">
            <v>10</v>
          </cell>
          <cell r="H1832" t="str">
            <v>hydro</v>
          </cell>
        </row>
        <row r="1833">
          <cell r="C1833" t="str">
            <v>IC</v>
          </cell>
          <cell r="D1833">
            <v>3.2</v>
          </cell>
          <cell r="H1833" t="str">
            <v>petroleum</v>
          </cell>
        </row>
        <row r="1834">
          <cell r="C1834" t="str">
            <v>IC</v>
          </cell>
          <cell r="D1834">
            <v>4.0999999999999996</v>
          </cell>
          <cell r="H1834" t="str">
            <v>petroleum</v>
          </cell>
        </row>
        <row r="1835">
          <cell r="C1835" t="str">
            <v>IC</v>
          </cell>
          <cell r="D1835">
            <v>4.4000000000000004</v>
          </cell>
          <cell r="H1835" t="str">
            <v>petroleum</v>
          </cell>
        </row>
        <row r="1836">
          <cell r="C1836" t="str">
            <v>IC</v>
          </cell>
          <cell r="D1836">
            <v>4.4000000000000004</v>
          </cell>
          <cell r="H1836" t="str">
            <v>petroleum</v>
          </cell>
        </row>
        <row r="1837">
          <cell r="C1837" t="str">
            <v>IC</v>
          </cell>
          <cell r="D1837">
            <v>0.9</v>
          </cell>
          <cell r="H1837" t="str">
            <v>petroleum</v>
          </cell>
        </row>
        <row r="1838">
          <cell r="C1838" t="str">
            <v>IC</v>
          </cell>
          <cell r="D1838">
            <v>2</v>
          </cell>
          <cell r="H1838" t="str">
            <v>petroleum</v>
          </cell>
        </row>
        <row r="1839">
          <cell r="C1839" t="str">
            <v>IC</v>
          </cell>
          <cell r="D1839">
            <v>2</v>
          </cell>
          <cell r="H1839" t="str">
            <v>petroleum</v>
          </cell>
        </row>
        <row r="1840">
          <cell r="C1840" t="str">
            <v>ST</v>
          </cell>
          <cell r="D1840">
            <v>31.8</v>
          </cell>
          <cell r="H1840" t="str">
            <v>natural gas peaker</v>
          </cell>
        </row>
        <row r="1841">
          <cell r="C1841" t="str">
            <v>ST</v>
          </cell>
          <cell r="D1841">
            <v>63.4</v>
          </cell>
          <cell r="H1841" t="str">
            <v>natural gas peaker</v>
          </cell>
        </row>
        <row r="1842">
          <cell r="C1842" t="str">
            <v>IC</v>
          </cell>
          <cell r="D1842">
            <v>0.1</v>
          </cell>
          <cell r="H1842" t="str">
            <v>petroleum</v>
          </cell>
        </row>
        <row r="1843">
          <cell r="C1843" t="str">
            <v>IC</v>
          </cell>
          <cell r="D1843">
            <v>0.2</v>
          </cell>
          <cell r="H1843" t="str">
            <v>petroleum</v>
          </cell>
        </row>
        <row r="1844">
          <cell r="C1844" t="str">
            <v>IC</v>
          </cell>
          <cell r="D1844">
            <v>0.2</v>
          </cell>
          <cell r="H1844" t="str">
            <v>petroleum</v>
          </cell>
        </row>
        <row r="1845">
          <cell r="C1845" t="str">
            <v>IC</v>
          </cell>
          <cell r="D1845">
            <v>0.2</v>
          </cell>
          <cell r="H1845" t="str">
            <v>petroleum</v>
          </cell>
        </row>
        <row r="1846">
          <cell r="C1846" t="str">
            <v>IC</v>
          </cell>
          <cell r="D1846">
            <v>2</v>
          </cell>
          <cell r="H1846" t="str">
            <v>petroleum</v>
          </cell>
        </row>
        <row r="1847">
          <cell r="C1847" t="str">
            <v>GT</v>
          </cell>
          <cell r="D1847">
            <v>9.8000000000000007</v>
          </cell>
          <cell r="H1847" t="str">
            <v>natural gas peaker</v>
          </cell>
        </row>
        <row r="1848">
          <cell r="C1848" t="str">
            <v>IC</v>
          </cell>
          <cell r="D1848">
            <v>0.5</v>
          </cell>
          <cell r="H1848" t="str">
            <v>petroleum</v>
          </cell>
        </row>
        <row r="1849">
          <cell r="C1849" t="str">
            <v>IC</v>
          </cell>
          <cell r="D1849">
            <v>1.8</v>
          </cell>
          <cell r="H1849" t="str">
            <v>petroleum</v>
          </cell>
        </row>
        <row r="1850">
          <cell r="C1850" t="str">
            <v>IC</v>
          </cell>
          <cell r="D1850">
            <v>1.8</v>
          </cell>
          <cell r="H1850" t="str">
            <v>petroleum</v>
          </cell>
        </row>
        <row r="1851">
          <cell r="C1851" t="str">
            <v>IC</v>
          </cell>
          <cell r="D1851">
            <v>1.6</v>
          </cell>
          <cell r="H1851" t="str">
            <v>petroleum</v>
          </cell>
        </row>
        <row r="1852">
          <cell r="C1852" t="str">
            <v>IC</v>
          </cell>
          <cell r="D1852">
            <v>1.7</v>
          </cell>
          <cell r="H1852" t="str">
            <v>petroleum</v>
          </cell>
        </row>
        <row r="1853">
          <cell r="C1853" t="str">
            <v>IC</v>
          </cell>
          <cell r="D1853">
            <v>0.6</v>
          </cell>
          <cell r="H1853" t="str">
            <v>petroleum</v>
          </cell>
        </row>
        <row r="1854">
          <cell r="C1854" t="str">
            <v>IC</v>
          </cell>
          <cell r="D1854">
            <v>0.7</v>
          </cell>
          <cell r="H1854" t="str">
            <v>petroleum</v>
          </cell>
        </row>
        <row r="1855">
          <cell r="C1855" t="str">
            <v>IC</v>
          </cell>
          <cell r="D1855">
            <v>2.4</v>
          </cell>
          <cell r="H1855" t="str">
            <v>petroleum</v>
          </cell>
        </row>
        <row r="1856">
          <cell r="C1856" t="str">
            <v>IC</v>
          </cell>
          <cell r="D1856">
            <v>2.2999999999999998</v>
          </cell>
          <cell r="H1856" t="str">
            <v>natural gas peaker</v>
          </cell>
        </row>
        <row r="1857">
          <cell r="C1857" t="str">
            <v>IC</v>
          </cell>
          <cell r="D1857">
            <v>0.2</v>
          </cell>
          <cell r="H1857" t="str">
            <v>petroleum</v>
          </cell>
        </row>
        <row r="1858">
          <cell r="C1858" t="str">
            <v>IC</v>
          </cell>
          <cell r="D1858">
            <v>2.2000000000000002</v>
          </cell>
          <cell r="H1858" t="str">
            <v>natural gas peaker</v>
          </cell>
        </row>
        <row r="1859">
          <cell r="C1859" t="str">
            <v>IC</v>
          </cell>
          <cell r="D1859">
            <v>0.2</v>
          </cell>
          <cell r="H1859" t="str">
            <v>petroleum</v>
          </cell>
        </row>
        <row r="1860">
          <cell r="C1860" t="str">
            <v>IC</v>
          </cell>
          <cell r="D1860">
            <v>0.8</v>
          </cell>
          <cell r="H1860" t="str">
            <v>natural gas peaker</v>
          </cell>
        </row>
        <row r="1861">
          <cell r="C1861" t="str">
            <v>IC</v>
          </cell>
          <cell r="D1861">
            <v>1.2</v>
          </cell>
          <cell r="H1861" t="str">
            <v>natural gas peaker</v>
          </cell>
        </row>
        <row r="1862">
          <cell r="C1862" t="str">
            <v>IC</v>
          </cell>
          <cell r="D1862">
            <v>2</v>
          </cell>
          <cell r="H1862" t="str">
            <v>petroleum</v>
          </cell>
        </row>
        <row r="1863">
          <cell r="C1863" t="str">
            <v>IC</v>
          </cell>
          <cell r="D1863">
            <v>0.7</v>
          </cell>
          <cell r="H1863" t="str">
            <v>petroleum</v>
          </cell>
        </row>
        <row r="1864">
          <cell r="C1864" t="str">
            <v>IC</v>
          </cell>
          <cell r="D1864">
            <v>1.9</v>
          </cell>
          <cell r="H1864" t="str">
            <v>petroleum</v>
          </cell>
        </row>
        <row r="1865">
          <cell r="C1865" t="str">
            <v>IC</v>
          </cell>
          <cell r="D1865">
            <v>1.8</v>
          </cell>
          <cell r="H1865" t="str">
            <v>petroleum</v>
          </cell>
        </row>
        <row r="1866">
          <cell r="C1866" t="str">
            <v>IC</v>
          </cell>
          <cell r="D1866">
            <v>0.5</v>
          </cell>
          <cell r="H1866" t="str">
            <v>petroleum</v>
          </cell>
        </row>
        <row r="1867">
          <cell r="C1867" t="str">
            <v>GT</v>
          </cell>
          <cell r="D1867">
            <v>18.8</v>
          </cell>
          <cell r="H1867" t="str">
            <v>natural gas peaker</v>
          </cell>
        </row>
        <row r="1868">
          <cell r="C1868" t="str">
            <v>GT</v>
          </cell>
          <cell r="D1868">
            <v>23.6</v>
          </cell>
          <cell r="H1868" t="str">
            <v>natural gas peaker</v>
          </cell>
        </row>
        <row r="1869">
          <cell r="C1869" t="str">
            <v>ST</v>
          </cell>
          <cell r="D1869">
            <v>19.5</v>
          </cell>
          <cell r="H1869" t="str">
            <v>natural gas peaker</v>
          </cell>
        </row>
        <row r="1870">
          <cell r="C1870" t="str">
            <v>ST</v>
          </cell>
          <cell r="D1870">
            <v>36</v>
          </cell>
          <cell r="H1870" t="str">
            <v>natural gas peaker</v>
          </cell>
        </row>
        <row r="1871">
          <cell r="C1871" t="str">
            <v>IC</v>
          </cell>
          <cell r="D1871">
            <v>1.8</v>
          </cell>
          <cell r="H1871" t="str">
            <v>petroleum</v>
          </cell>
        </row>
        <row r="1872">
          <cell r="C1872" t="str">
            <v>IC</v>
          </cell>
          <cell r="D1872">
            <v>2.8</v>
          </cell>
          <cell r="H1872" t="str">
            <v>petroleum</v>
          </cell>
        </row>
        <row r="1873">
          <cell r="C1873" t="str">
            <v>IC</v>
          </cell>
          <cell r="D1873">
            <v>2</v>
          </cell>
          <cell r="H1873" t="str">
            <v>petroleum</v>
          </cell>
        </row>
        <row r="1874">
          <cell r="C1874" t="str">
            <v>IC</v>
          </cell>
          <cell r="D1874">
            <v>2</v>
          </cell>
          <cell r="H1874" t="str">
            <v>petroleum</v>
          </cell>
        </row>
        <row r="1875">
          <cell r="C1875" t="str">
            <v>IC</v>
          </cell>
          <cell r="D1875">
            <v>1.8</v>
          </cell>
          <cell r="H1875" t="str">
            <v>petroleum</v>
          </cell>
        </row>
        <row r="1876">
          <cell r="C1876" t="str">
            <v>IC</v>
          </cell>
          <cell r="D1876">
            <v>1.1000000000000001</v>
          </cell>
          <cell r="H1876" t="str">
            <v>petroleum</v>
          </cell>
        </row>
        <row r="1877">
          <cell r="C1877" t="str">
            <v>IC</v>
          </cell>
          <cell r="D1877">
            <v>2.7</v>
          </cell>
          <cell r="H1877" t="str">
            <v>natural gas peaker</v>
          </cell>
        </row>
        <row r="1878">
          <cell r="C1878" t="str">
            <v>IC</v>
          </cell>
          <cell r="D1878">
            <v>3.6</v>
          </cell>
          <cell r="H1878" t="str">
            <v>natural gas peaker</v>
          </cell>
        </row>
        <row r="1879">
          <cell r="C1879" t="str">
            <v>IC</v>
          </cell>
          <cell r="D1879">
            <v>3.6</v>
          </cell>
          <cell r="H1879" t="str">
            <v>natural gas peaker</v>
          </cell>
        </row>
        <row r="1880">
          <cell r="C1880" t="str">
            <v>IC</v>
          </cell>
          <cell r="D1880">
            <v>2.7</v>
          </cell>
          <cell r="H1880" t="str">
            <v>natural gas peaker</v>
          </cell>
        </row>
        <row r="1881">
          <cell r="C1881" t="str">
            <v>IC</v>
          </cell>
          <cell r="D1881">
            <v>1.3</v>
          </cell>
          <cell r="H1881" t="str">
            <v>petroleum</v>
          </cell>
        </row>
        <row r="1882">
          <cell r="C1882" t="str">
            <v>IC</v>
          </cell>
          <cell r="D1882">
            <v>2.2000000000000002</v>
          </cell>
          <cell r="H1882" t="str">
            <v>petroleum</v>
          </cell>
        </row>
        <row r="1883">
          <cell r="C1883" t="str">
            <v>IC</v>
          </cell>
          <cell r="D1883">
            <v>3.3</v>
          </cell>
          <cell r="H1883" t="str">
            <v>petroleum</v>
          </cell>
        </row>
        <row r="1884">
          <cell r="C1884" t="str">
            <v>IC</v>
          </cell>
          <cell r="D1884">
            <v>6.1</v>
          </cell>
          <cell r="H1884" t="str">
            <v>petroleum</v>
          </cell>
        </row>
        <row r="1885">
          <cell r="C1885" t="str">
            <v>IC</v>
          </cell>
          <cell r="D1885">
            <v>0.7</v>
          </cell>
          <cell r="H1885" t="str">
            <v>petroleum</v>
          </cell>
        </row>
        <row r="1886">
          <cell r="C1886" t="str">
            <v>IC</v>
          </cell>
          <cell r="D1886">
            <v>7.6</v>
          </cell>
          <cell r="H1886" t="str">
            <v>petroleum</v>
          </cell>
        </row>
        <row r="1887">
          <cell r="C1887" t="str">
            <v>IC</v>
          </cell>
          <cell r="D1887">
            <v>2.2000000000000002</v>
          </cell>
          <cell r="H1887" t="str">
            <v>petroleum</v>
          </cell>
        </row>
        <row r="1888">
          <cell r="C1888" t="str">
            <v>IC</v>
          </cell>
          <cell r="D1888">
            <v>0.5</v>
          </cell>
          <cell r="H1888" t="str">
            <v>petroleum</v>
          </cell>
        </row>
        <row r="1889">
          <cell r="C1889" t="str">
            <v>IC</v>
          </cell>
          <cell r="D1889">
            <v>1.1000000000000001</v>
          </cell>
          <cell r="H1889" t="str">
            <v>petroleum</v>
          </cell>
        </row>
        <row r="1890">
          <cell r="C1890" t="str">
            <v>IC</v>
          </cell>
          <cell r="D1890">
            <v>2</v>
          </cell>
          <cell r="H1890" t="str">
            <v>petroleum</v>
          </cell>
        </row>
        <row r="1891">
          <cell r="C1891" t="str">
            <v>IC</v>
          </cell>
          <cell r="D1891">
            <v>1.7</v>
          </cell>
          <cell r="H1891" t="str">
            <v>petroleum</v>
          </cell>
        </row>
        <row r="1892">
          <cell r="C1892" t="str">
            <v>IC</v>
          </cell>
          <cell r="D1892">
            <v>2.2000000000000002</v>
          </cell>
          <cell r="H1892" t="str">
            <v>petroleum</v>
          </cell>
        </row>
        <row r="1893">
          <cell r="C1893" t="str">
            <v>IC</v>
          </cell>
          <cell r="D1893">
            <v>3.5</v>
          </cell>
          <cell r="H1893" t="str">
            <v>petroleum</v>
          </cell>
        </row>
        <row r="1894">
          <cell r="C1894" t="str">
            <v>IC</v>
          </cell>
          <cell r="D1894">
            <v>3</v>
          </cell>
          <cell r="H1894" t="str">
            <v>petroleum</v>
          </cell>
        </row>
        <row r="1895">
          <cell r="C1895" t="str">
            <v>IC</v>
          </cell>
          <cell r="D1895">
            <v>1.6</v>
          </cell>
          <cell r="H1895" t="str">
            <v>petroleum</v>
          </cell>
        </row>
        <row r="1896">
          <cell r="C1896" t="str">
            <v>IC</v>
          </cell>
          <cell r="D1896">
            <v>1.6</v>
          </cell>
          <cell r="H1896" t="str">
            <v>petroleum</v>
          </cell>
        </row>
        <row r="1897">
          <cell r="C1897" t="str">
            <v>IC</v>
          </cell>
          <cell r="D1897">
            <v>4</v>
          </cell>
          <cell r="H1897" t="str">
            <v>petroleum</v>
          </cell>
        </row>
        <row r="1898">
          <cell r="C1898" t="str">
            <v>IC</v>
          </cell>
          <cell r="D1898">
            <v>5</v>
          </cell>
          <cell r="H1898" t="str">
            <v>petroleum</v>
          </cell>
        </row>
        <row r="1899">
          <cell r="C1899" t="str">
            <v>GT</v>
          </cell>
          <cell r="D1899">
            <v>19.399999999999999</v>
          </cell>
          <cell r="H1899" t="str">
            <v>petroleum</v>
          </cell>
        </row>
        <row r="1900">
          <cell r="C1900" t="str">
            <v>GT</v>
          </cell>
          <cell r="D1900">
            <v>22.8</v>
          </cell>
          <cell r="H1900" t="str">
            <v>petroleum</v>
          </cell>
        </row>
        <row r="1901">
          <cell r="C1901" t="str">
            <v>IC</v>
          </cell>
          <cell r="D1901">
            <v>2</v>
          </cell>
          <cell r="H1901" t="str">
            <v>petroleum</v>
          </cell>
        </row>
        <row r="1902">
          <cell r="C1902" t="str">
            <v>IC</v>
          </cell>
          <cell r="D1902">
            <v>2</v>
          </cell>
          <cell r="H1902" t="str">
            <v>petroleum</v>
          </cell>
        </row>
        <row r="1903">
          <cell r="C1903" t="str">
            <v>IC</v>
          </cell>
          <cell r="D1903">
            <v>3</v>
          </cell>
          <cell r="H1903" t="str">
            <v>petroleum</v>
          </cell>
        </row>
        <row r="1904">
          <cell r="C1904" t="str">
            <v>IC</v>
          </cell>
          <cell r="D1904">
            <v>1.3</v>
          </cell>
          <cell r="H1904" t="str">
            <v>petroleum</v>
          </cell>
        </row>
        <row r="1905">
          <cell r="C1905" t="str">
            <v>IC</v>
          </cell>
          <cell r="D1905">
            <v>0.9</v>
          </cell>
          <cell r="H1905" t="str">
            <v>petroleum</v>
          </cell>
        </row>
        <row r="1906">
          <cell r="C1906" t="str">
            <v>IC</v>
          </cell>
          <cell r="D1906">
            <v>5.7</v>
          </cell>
          <cell r="H1906" t="str">
            <v>petroleum</v>
          </cell>
        </row>
        <row r="1907">
          <cell r="C1907" t="str">
            <v>IC</v>
          </cell>
          <cell r="D1907">
            <v>7.6</v>
          </cell>
          <cell r="H1907" t="str">
            <v>petroleum</v>
          </cell>
        </row>
        <row r="1908">
          <cell r="C1908" t="str">
            <v>IC</v>
          </cell>
          <cell r="D1908">
            <v>2.7</v>
          </cell>
          <cell r="H1908" t="str">
            <v>petroleum</v>
          </cell>
        </row>
        <row r="1909">
          <cell r="C1909" t="str">
            <v>IC</v>
          </cell>
          <cell r="D1909">
            <v>0.2</v>
          </cell>
          <cell r="H1909" t="str">
            <v>petroleum</v>
          </cell>
        </row>
        <row r="1910">
          <cell r="C1910" t="str">
            <v>IC</v>
          </cell>
          <cell r="D1910">
            <v>0.3</v>
          </cell>
          <cell r="H1910" t="str">
            <v>petroleum</v>
          </cell>
        </row>
        <row r="1911">
          <cell r="C1911" t="str">
            <v>IC</v>
          </cell>
          <cell r="D1911">
            <v>0.6</v>
          </cell>
          <cell r="H1911" t="str">
            <v>petroleum</v>
          </cell>
        </row>
        <row r="1912">
          <cell r="C1912" t="str">
            <v>IC</v>
          </cell>
          <cell r="D1912">
            <v>1.1000000000000001</v>
          </cell>
          <cell r="H1912" t="str">
            <v>petroleum</v>
          </cell>
        </row>
        <row r="1913">
          <cell r="C1913" t="str">
            <v>IC</v>
          </cell>
          <cell r="D1913">
            <v>0.5</v>
          </cell>
          <cell r="H1913" t="str">
            <v>petroleum</v>
          </cell>
        </row>
        <row r="1914">
          <cell r="C1914" t="str">
            <v>IC</v>
          </cell>
          <cell r="D1914">
            <v>2.2999999999999998</v>
          </cell>
          <cell r="H1914" t="str">
            <v>petroleum</v>
          </cell>
        </row>
        <row r="1915">
          <cell r="C1915" t="str">
            <v>IC</v>
          </cell>
          <cell r="D1915">
            <v>2.2999999999999998</v>
          </cell>
          <cell r="H1915" t="str">
            <v>petroleum</v>
          </cell>
        </row>
        <row r="1916">
          <cell r="C1916" t="str">
            <v>IC</v>
          </cell>
          <cell r="D1916">
            <v>1.8</v>
          </cell>
          <cell r="H1916" t="str">
            <v>petroleum</v>
          </cell>
        </row>
        <row r="1917">
          <cell r="C1917" t="str">
            <v>IC</v>
          </cell>
          <cell r="D1917">
            <v>1.8</v>
          </cell>
          <cell r="H1917" t="str">
            <v>petroleum</v>
          </cell>
        </row>
        <row r="1918">
          <cell r="C1918" t="str">
            <v>IC</v>
          </cell>
          <cell r="D1918">
            <v>1.8</v>
          </cell>
          <cell r="H1918" t="str">
            <v>petroleum</v>
          </cell>
        </row>
        <row r="1919">
          <cell r="C1919" t="str">
            <v>IC</v>
          </cell>
          <cell r="D1919">
            <v>0.7</v>
          </cell>
          <cell r="H1919" t="str">
            <v>petroleum</v>
          </cell>
        </row>
        <row r="1920">
          <cell r="C1920" t="str">
            <v>IC</v>
          </cell>
          <cell r="D1920">
            <v>0.7</v>
          </cell>
          <cell r="H1920" t="str">
            <v>petroleum</v>
          </cell>
        </row>
        <row r="1921">
          <cell r="C1921" t="str">
            <v>IC</v>
          </cell>
          <cell r="D1921">
            <v>2.2999999999999998</v>
          </cell>
          <cell r="H1921" t="str">
            <v>petroleum</v>
          </cell>
        </row>
        <row r="1922">
          <cell r="C1922" t="str">
            <v>IC</v>
          </cell>
          <cell r="D1922">
            <v>2.2999999999999998</v>
          </cell>
          <cell r="H1922" t="str">
            <v>petroleum</v>
          </cell>
        </row>
        <row r="1923">
          <cell r="C1923" t="str">
            <v>IC</v>
          </cell>
          <cell r="D1923">
            <v>2.2999999999999998</v>
          </cell>
          <cell r="H1923" t="str">
            <v>petroleum</v>
          </cell>
        </row>
        <row r="1924">
          <cell r="C1924" t="str">
            <v>IC</v>
          </cell>
          <cell r="D1924">
            <v>0.3</v>
          </cell>
          <cell r="H1924" t="str">
            <v>petroleum</v>
          </cell>
        </row>
        <row r="1925">
          <cell r="C1925" t="str">
            <v>IC</v>
          </cell>
          <cell r="D1925">
            <v>1.1000000000000001</v>
          </cell>
          <cell r="H1925" t="str">
            <v>petroleum</v>
          </cell>
        </row>
        <row r="1926">
          <cell r="C1926" t="str">
            <v>IC</v>
          </cell>
          <cell r="D1926">
            <v>0.9</v>
          </cell>
          <cell r="H1926" t="str">
            <v>petroleum</v>
          </cell>
        </row>
        <row r="1927">
          <cell r="C1927" t="str">
            <v>IC</v>
          </cell>
          <cell r="D1927">
            <v>1.7</v>
          </cell>
          <cell r="H1927" t="str">
            <v>petroleum</v>
          </cell>
        </row>
        <row r="1928">
          <cell r="C1928" t="str">
            <v>IC</v>
          </cell>
          <cell r="D1928">
            <v>1.8</v>
          </cell>
          <cell r="H1928" t="str">
            <v>petroleum</v>
          </cell>
        </row>
        <row r="1929">
          <cell r="C1929" t="str">
            <v>IC</v>
          </cell>
          <cell r="D1929">
            <v>0.2</v>
          </cell>
          <cell r="H1929" t="str">
            <v>petroleum</v>
          </cell>
        </row>
        <row r="1930">
          <cell r="C1930" t="str">
            <v>IC</v>
          </cell>
          <cell r="D1930">
            <v>0.2</v>
          </cell>
          <cell r="H1930" t="str">
            <v>petroleum</v>
          </cell>
        </row>
        <row r="1931">
          <cell r="C1931" t="str">
            <v>IC</v>
          </cell>
          <cell r="D1931">
            <v>0.6</v>
          </cell>
          <cell r="H1931" t="str">
            <v>petroleum</v>
          </cell>
        </row>
        <row r="1932">
          <cell r="C1932" t="str">
            <v>IC</v>
          </cell>
          <cell r="D1932">
            <v>2.2999999999999998</v>
          </cell>
          <cell r="H1932" t="str">
            <v>petroleum</v>
          </cell>
        </row>
        <row r="1933">
          <cell r="C1933" t="str">
            <v>IC</v>
          </cell>
          <cell r="D1933">
            <v>2.2999999999999998</v>
          </cell>
          <cell r="H1933" t="str">
            <v>petroleum</v>
          </cell>
        </row>
        <row r="1934">
          <cell r="C1934" t="str">
            <v>IC</v>
          </cell>
          <cell r="D1934">
            <v>2.2999999999999998</v>
          </cell>
          <cell r="H1934" t="str">
            <v>petroleum</v>
          </cell>
        </row>
        <row r="1935">
          <cell r="C1935" t="str">
            <v>IC</v>
          </cell>
          <cell r="D1935">
            <v>2.8</v>
          </cell>
          <cell r="H1935" t="str">
            <v>natural gas peaker</v>
          </cell>
        </row>
        <row r="1936">
          <cell r="C1936" t="str">
            <v>IC</v>
          </cell>
          <cell r="D1936">
            <v>2.8</v>
          </cell>
          <cell r="H1936" t="str">
            <v>natural gas peaker</v>
          </cell>
        </row>
        <row r="1937">
          <cell r="C1937" t="str">
            <v>IC</v>
          </cell>
          <cell r="D1937">
            <v>1.8</v>
          </cell>
          <cell r="H1937" t="str">
            <v>natural gas peaker</v>
          </cell>
        </row>
        <row r="1938">
          <cell r="C1938" t="str">
            <v>IC</v>
          </cell>
          <cell r="D1938">
            <v>1.7</v>
          </cell>
          <cell r="H1938" t="str">
            <v>petroleum</v>
          </cell>
        </row>
        <row r="1939">
          <cell r="C1939" t="str">
            <v>IC</v>
          </cell>
          <cell r="D1939">
            <v>1.4</v>
          </cell>
          <cell r="H1939" t="str">
            <v>natural gas peaker</v>
          </cell>
        </row>
        <row r="1940">
          <cell r="C1940" t="str">
            <v>IC</v>
          </cell>
          <cell r="D1940">
            <v>2.1</v>
          </cell>
          <cell r="H1940" t="str">
            <v>natural gas peaker</v>
          </cell>
        </row>
        <row r="1941">
          <cell r="C1941" t="str">
            <v>IC</v>
          </cell>
          <cell r="D1941">
            <v>6</v>
          </cell>
          <cell r="H1941" t="str">
            <v>natural gas peaker</v>
          </cell>
        </row>
        <row r="1942">
          <cell r="C1942" t="str">
            <v>IC</v>
          </cell>
          <cell r="D1942">
            <v>1.7</v>
          </cell>
          <cell r="H1942" t="str">
            <v>petroleum</v>
          </cell>
        </row>
        <row r="1943">
          <cell r="C1943" t="str">
            <v>IC</v>
          </cell>
          <cell r="D1943">
            <v>1.7</v>
          </cell>
          <cell r="H1943" t="str">
            <v>petroleum</v>
          </cell>
        </row>
        <row r="1944">
          <cell r="C1944" t="str">
            <v>IC</v>
          </cell>
          <cell r="D1944">
            <v>1.2</v>
          </cell>
          <cell r="H1944" t="str">
            <v>petroleum</v>
          </cell>
        </row>
        <row r="1945">
          <cell r="C1945" t="str">
            <v>IC</v>
          </cell>
          <cell r="D1945">
            <v>0.3</v>
          </cell>
          <cell r="H1945" t="str">
            <v>petroleum</v>
          </cell>
        </row>
        <row r="1946">
          <cell r="C1946" t="str">
            <v>IC</v>
          </cell>
          <cell r="D1946">
            <v>0.6</v>
          </cell>
          <cell r="H1946" t="str">
            <v>petroleum</v>
          </cell>
        </row>
        <row r="1947">
          <cell r="C1947" t="str">
            <v>IC</v>
          </cell>
          <cell r="D1947">
            <v>0.5</v>
          </cell>
          <cell r="H1947" t="str">
            <v>petroleum</v>
          </cell>
        </row>
        <row r="1948">
          <cell r="C1948" t="str">
            <v>IC</v>
          </cell>
          <cell r="D1948">
            <v>1.8</v>
          </cell>
          <cell r="H1948" t="str">
            <v>petroleum</v>
          </cell>
        </row>
        <row r="1949">
          <cell r="C1949" t="str">
            <v>IC</v>
          </cell>
          <cell r="D1949">
            <v>1.8</v>
          </cell>
          <cell r="H1949" t="str">
            <v>petroleum</v>
          </cell>
        </row>
        <row r="1950">
          <cell r="C1950" t="str">
            <v>IC</v>
          </cell>
          <cell r="D1950">
            <v>1.8</v>
          </cell>
          <cell r="H1950" t="str">
            <v>petroleum</v>
          </cell>
        </row>
        <row r="1951">
          <cell r="C1951" t="str">
            <v>IC</v>
          </cell>
          <cell r="D1951">
            <v>0.2</v>
          </cell>
          <cell r="H1951" t="str">
            <v>petroleum</v>
          </cell>
        </row>
        <row r="1952">
          <cell r="C1952" t="str">
            <v>IC</v>
          </cell>
          <cell r="D1952">
            <v>0.2</v>
          </cell>
          <cell r="H1952" t="str">
            <v>petroleum</v>
          </cell>
        </row>
        <row r="1953">
          <cell r="C1953" t="str">
            <v>IC</v>
          </cell>
          <cell r="D1953">
            <v>0.5</v>
          </cell>
          <cell r="H1953" t="str">
            <v>petroleum</v>
          </cell>
        </row>
        <row r="1954">
          <cell r="C1954" t="str">
            <v>IC</v>
          </cell>
          <cell r="D1954">
            <v>1</v>
          </cell>
          <cell r="H1954" t="str">
            <v>petroleum</v>
          </cell>
        </row>
        <row r="1955">
          <cell r="C1955" t="str">
            <v>IC</v>
          </cell>
          <cell r="D1955">
            <v>1.6</v>
          </cell>
          <cell r="H1955" t="str">
            <v>natural gas peaker</v>
          </cell>
        </row>
        <row r="1956">
          <cell r="C1956" t="str">
            <v>IC</v>
          </cell>
          <cell r="D1956">
            <v>2.5</v>
          </cell>
          <cell r="H1956" t="str">
            <v>natural gas peaker</v>
          </cell>
        </row>
        <row r="1957">
          <cell r="C1957" t="str">
            <v>IC</v>
          </cell>
          <cell r="D1957">
            <v>1.8</v>
          </cell>
          <cell r="H1957" t="str">
            <v>petroleum</v>
          </cell>
        </row>
        <row r="1958">
          <cell r="C1958" t="str">
            <v>IC</v>
          </cell>
          <cell r="D1958">
            <v>1.8</v>
          </cell>
          <cell r="H1958" t="str">
            <v>petroleum</v>
          </cell>
        </row>
        <row r="1959">
          <cell r="C1959" t="str">
            <v>IC</v>
          </cell>
          <cell r="D1959">
            <v>2</v>
          </cell>
          <cell r="H1959" t="str">
            <v>petroleum</v>
          </cell>
        </row>
        <row r="1960">
          <cell r="C1960" t="str">
            <v>IC</v>
          </cell>
          <cell r="D1960">
            <v>2</v>
          </cell>
          <cell r="H1960" t="str">
            <v>petroleum</v>
          </cell>
        </row>
        <row r="1961">
          <cell r="C1961" t="str">
            <v>IC</v>
          </cell>
          <cell r="D1961">
            <v>2</v>
          </cell>
          <cell r="H1961" t="str">
            <v>petroleum</v>
          </cell>
        </row>
        <row r="1962">
          <cell r="C1962" t="str">
            <v>IC</v>
          </cell>
          <cell r="D1962">
            <v>2</v>
          </cell>
          <cell r="H1962" t="str">
            <v>petroleum</v>
          </cell>
        </row>
        <row r="1963">
          <cell r="C1963" t="str">
            <v>IC</v>
          </cell>
          <cell r="D1963">
            <v>2</v>
          </cell>
          <cell r="H1963" t="str">
            <v>petroleum</v>
          </cell>
        </row>
        <row r="1964">
          <cell r="C1964" t="str">
            <v>IC</v>
          </cell>
          <cell r="D1964">
            <v>2</v>
          </cell>
          <cell r="H1964" t="str">
            <v>petroleum</v>
          </cell>
        </row>
        <row r="1965">
          <cell r="C1965" t="str">
            <v>IC</v>
          </cell>
          <cell r="D1965">
            <v>2</v>
          </cell>
          <cell r="H1965" t="str">
            <v>petroleum</v>
          </cell>
        </row>
        <row r="1966">
          <cell r="C1966" t="str">
            <v>IC</v>
          </cell>
          <cell r="D1966">
            <v>2</v>
          </cell>
          <cell r="H1966" t="str">
            <v>petroleum</v>
          </cell>
        </row>
        <row r="1967">
          <cell r="C1967" t="str">
            <v>IC</v>
          </cell>
          <cell r="D1967">
            <v>2</v>
          </cell>
          <cell r="H1967" t="str">
            <v>petroleum</v>
          </cell>
        </row>
        <row r="1968">
          <cell r="C1968" t="str">
            <v>IC</v>
          </cell>
          <cell r="D1968">
            <v>2</v>
          </cell>
          <cell r="H1968" t="str">
            <v>petroleum</v>
          </cell>
        </row>
        <row r="1969">
          <cell r="C1969" t="str">
            <v>IC</v>
          </cell>
          <cell r="D1969">
            <v>2</v>
          </cell>
          <cell r="H1969" t="str">
            <v>petroleum</v>
          </cell>
        </row>
        <row r="1970">
          <cell r="C1970" t="str">
            <v>IC</v>
          </cell>
          <cell r="D1970">
            <v>2</v>
          </cell>
          <cell r="H1970" t="str">
            <v>petroleum</v>
          </cell>
        </row>
        <row r="1971">
          <cell r="C1971" t="str">
            <v>ST</v>
          </cell>
          <cell r="D1971">
            <v>19.399999999999999</v>
          </cell>
          <cell r="H1971" t="str">
            <v>hard coal</v>
          </cell>
        </row>
        <row r="1972">
          <cell r="C1972" t="str">
            <v>ST</v>
          </cell>
          <cell r="D1972">
            <v>25.1</v>
          </cell>
          <cell r="H1972" t="str">
            <v>hard coal</v>
          </cell>
        </row>
        <row r="1973">
          <cell r="C1973" t="str">
            <v>ST</v>
          </cell>
          <cell r="D1973">
            <v>18.8</v>
          </cell>
          <cell r="H1973" t="str">
            <v>hard coal</v>
          </cell>
        </row>
        <row r="1974">
          <cell r="C1974" t="str">
            <v>ST</v>
          </cell>
          <cell r="D1974">
            <v>162.69999999999999</v>
          </cell>
          <cell r="H1974" t="str">
            <v>hard coal</v>
          </cell>
        </row>
        <row r="1975">
          <cell r="C1975" t="str">
            <v>IC</v>
          </cell>
          <cell r="D1975">
            <v>3.5</v>
          </cell>
          <cell r="H1975" t="str">
            <v>natural gas peaker</v>
          </cell>
        </row>
        <row r="1976">
          <cell r="C1976" t="str">
            <v>IC</v>
          </cell>
          <cell r="D1976">
            <v>5</v>
          </cell>
          <cell r="H1976" t="str">
            <v>natural gas peaker</v>
          </cell>
        </row>
        <row r="1977">
          <cell r="C1977" t="str">
            <v>IC</v>
          </cell>
          <cell r="D1977">
            <v>5</v>
          </cell>
          <cell r="H1977" t="str">
            <v>natural gas peaker</v>
          </cell>
        </row>
        <row r="1978">
          <cell r="C1978" t="str">
            <v>IC</v>
          </cell>
          <cell r="D1978">
            <v>5.3</v>
          </cell>
          <cell r="H1978" t="str">
            <v>petroleum</v>
          </cell>
        </row>
        <row r="1979">
          <cell r="C1979" t="str">
            <v>IC</v>
          </cell>
          <cell r="D1979">
            <v>5.3</v>
          </cell>
          <cell r="H1979" t="str">
            <v>petroleum</v>
          </cell>
        </row>
        <row r="1980">
          <cell r="C1980" t="str">
            <v>IC</v>
          </cell>
          <cell r="D1980">
            <v>0.5</v>
          </cell>
          <cell r="H1980" t="str">
            <v>petroleum</v>
          </cell>
        </row>
        <row r="1981">
          <cell r="C1981" t="str">
            <v>IC</v>
          </cell>
          <cell r="D1981">
            <v>1</v>
          </cell>
          <cell r="H1981" t="str">
            <v>petroleum</v>
          </cell>
        </row>
        <row r="1982">
          <cell r="C1982" t="str">
            <v>IC</v>
          </cell>
          <cell r="D1982">
            <v>2.5</v>
          </cell>
          <cell r="H1982" t="str">
            <v>petroleum</v>
          </cell>
        </row>
        <row r="1983">
          <cell r="C1983" t="str">
            <v>IC</v>
          </cell>
          <cell r="D1983">
            <v>3.1</v>
          </cell>
          <cell r="H1983" t="str">
            <v>natural gas peaker</v>
          </cell>
        </row>
        <row r="1984">
          <cell r="C1984" t="str">
            <v>IC</v>
          </cell>
          <cell r="D1984">
            <v>6</v>
          </cell>
          <cell r="H1984" t="str">
            <v>natural gas peaker</v>
          </cell>
        </row>
        <row r="1985">
          <cell r="C1985" t="str">
            <v>IC</v>
          </cell>
          <cell r="D1985">
            <v>3.6</v>
          </cell>
          <cell r="H1985" t="str">
            <v>petroleum</v>
          </cell>
        </row>
        <row r="1986">
          <cell r="C1986" t="str">
            <v>IC</v>
          </cell>
          <cell r="D1986">
            <v>3.6</v>
          </cell>
          <cell r="H1986" t="str">
            <v>petroleum</v>
          </cell>
        </row>
        <row r="1987">
          <cell r="C1987" t="str">
            <v>PV</v>
          </cell>
          <cell r="D1987">
            <v>0.8</v>
          </cell>
          <cell r="H1987" t="str">
            <v>solar PV</v>
          </cell>
        </row>
        <row r="1988">
          <cell r="C1988" t="str">
            <v>WT</v>
          </cell>
          <cell r="D1988">
            <v>0.5</v>
          </cell>
          <cell r="H1988" t="str">
            <v>onshore wind</v>
          </cell>
        </row>
        <row r="1989">
          <cell r="C1989" t="str">
            <v>HY</v>
          </cell>
          <cell r="D1989">
            <v>1</v>
          </cell>
          <cell r="H1989" t="str">
            <v>hydro</v>
          </cell>
        </row>
        <row r="1990">
          <cell r="C1990" t="str">
            <v>HY</v>
          </cell>
          <cell r="D1990">
            <v>1.2</v>
          </cell>
          <cell r="H1990" t="str">
            <v>hydro</v>
          </cell>
        </row>
        <row r="1991">
          <cell r="C1991" t="str">
            <v>HY</v>
          </cell>
          <cell r="D1991">
            <v>1</v>
          </cell>
          <cell r="H1991" t="str">
            <v>hydro</v>
          </cell>
        </row>
        <row r="1992">
          <cell r="C1992" t="str">
            <v>IC</v>
          </cell>
          <cell r="D1992">
            <v>0.7</v>
          </cell>
          <cell r="H1992" t="str">
            <v>petroleum</v>
          </cell>
        </row>
        <row r="1993">
          <cell r="C1993" t="str">
            <v>IC</v>
          </cell>
          <cell r="D1993">
            <v>0.7</v>
          </cell>
          <cell r="H1993" t="str">
            <v>petroleum</v>
          </cell>
        </row>
        <row r="1994">
          <cell r="C1994" t="str">
            <v>IC</v>
          </cell>
          <cell r="D1994">
            <v>1.8</v>
          </cell>
          <cell r="H1994" t="str">
            <v>natural gas peaker</v>
          </cell>
        </row>
        <row r="1995">
          <cell r="C1995" t="str">
            <v>IC</v>
          </cell>
          <cell r="D1995">
            <v>0.6</v>
          </cell>
          <cell r="H1995" t="str">
            <v>petroleum</v>
          </cell>
        </row>
        <row r="1996">
          <cell r="C1996" t="str">
            <v>IC</v>
          </cell>
          <cell r="D1996">
            <v>0.9</v>
          </cell>
          <cell r="H1996" t="str">
            <v>petroleum</v>
          </cell>
        </row>
        <row r="1997">
          <cell r="C1997" t="str">
            <v>IC</v>
          </cell>
          <cell r="D1997">
            <v>0.4</v>
          </cell>
          <cell r="H1997" t="str">
            <v>petroleum</v>
          </cell>
        </row>
        <row r="1998">
          <cell r="C1998" t="str">
            <v>IC</v>
          </cell>
          <cell r="D1998">
            <v>0.9</v>
          </cell>
          <cell r="H1998" t="str">
            <v>petroleum</v>
          </cell>
        </row>
        <row r="1999">
          <cell r="C1999" t="str">
            <v>IC</v>
          </cell>
          <cell r="D1999">
            <v>1.6</v>
          </cell>
          <cell r="H1999" t="str">
            <v>petroleum</v>
          </cell>
        </row>
        <row r="2000">
          <cell r="C2000" t="str">
            <v>IC</v>
          </cell>
          <cell r="D2000">
            <v>2.5</v>
          </cell>
          <cell r="H2000" t="str">
            <v>petroleum</v>
          </cell>
        </row>
        <row r="2001">
          <cell r="C2001" t="str">
            <v>IC</v>
          </cell>
          <cell r="D2001">
            <v>1.9</v>
          </cell>
          <cell r="H2001" t="str">
            <v>natural gas peaker</v>
          </cell>
        </row>
        <row r="2002">
          <cell r="C2002" t="str">
            <v>IC</v>
          </cell>
          <cell r="D2002">
            <v>1.1000000000000001</v>
          </cell>
          <cell r="H2002" t="str">
            <v>natural gas peaker</v>
          </cell>
        </row>
        <row r="2003">
          <cell r="C2003" t="str">
            <v>IC</v>
          </cell>
          <cell r="D2003">
            <v>1.8</v>
          </cell>
          <cell r="H2003" t="str">
            <v>natural gas peaker</v>
          </cell>
        </row>
        <row r="2004">
          <cell r="C2004" t="str">
            <v>GT</v>
          </cell>
          <cell r="D2004">
            <v>17</v>
          </cell>
          <cell r="H2004" t="str">
            <v>other</v>
          </cell>
        </row>
        <row r="2005">
          <cell r="C2005" t="str">
            <v>IC</v>
          </cell>
          <cell r="D2005">
            <v>0.6</v>
          </cell>
          <cell r="H2005" t="str">
            <v>petroleum</v>
          </cell>
        </row>
        <row r="2006">
          <cell r="C2006" t="str">
            <v>IC</v>
          </cell>
          <cell r="D2006">
            <v>0.6</v>
          </cell>
          <cell r="H2006" t="str">
            <v>petroleum</v>
          </cell>
        </row>
        <row r="2007">
          <cell r="C2007" t="str">
            <v>IC</v>
          </cell>
          <cell r="D2007">
            <v>1.3</v>
          </cell>
          <cell r="H2007" t="str">
            <v>petroleum</v>
          </cell>
        </row>
        <row r="2008">
          <cell r="C2008" t="str">
            <v>IC</v>
          </cell>
          <cell r="D2008">
            <v>1.3</v>
          </cell>
          <cell r="H2008" t="str">
            <v>petroleum</v>
          </cell>
        </row>
        <row r="2009">
          <cell r="C2009" t="str">
            <v>IC</v>
          </cell>
          <cell r="D2009">
            <v>2.5</v>
          </cell>
          <cell r="H2009" t="str">
            <v>petroleum</v>
          </cell>
        </row>
        <row r="2010">
          <cell r="C2010" t="str">
            <v>IC</v>
          </cell>
          <cell r="D2010">
            <v>1.3</v>
          </cell>
          <cell r="H2010" t="str">
            <v>petroleum</v>
          </cell>
        </row>
        <row r="2011">
          <cell r="C2011" t="str">
            <v>IC</v>
          </cell>
          <cell r="D2011">
            <v>2</v>
          </cell>
          <cell r="H2011" t="str">
            <v>petroleum</v>
          </cell>
        </row>
        <row r="2012">
          <cell r="C2012" t="str">
            <v>IC</v>
          </cell>
          <cell r="D2012">
            <v>3.1</v>
          </cell>
          <cell r="H2012" t="str">
            <v>petroleum</v>
          </cell>
        </row>
        <row r="2013">
          <cell r="C2013" t="str">
            <v>IC</v>
          </cell>
          <cell r="D2013">
            <v>3.1</v>
          </cell>
          <cell r="H2013" t="str">
            <v>petroleum</v>
          </cell>
        </row>
        <row r="2014">
          <cell r="C2014" t="str">
            <v>IC</v>
          </cell>
          <cell r="D2014">
            <v>2</v>
          </cell>
          <cell r="H2014" t="str">
            <v>petroleum</v>
          </cell>
        </row>
        <row r="2015">
          <cell r="C2015" t="str">
            <v>IC</v>
          </cell>
          <cell r="D2015">
            <v>2</v>
          </cell>
          <cell r="H2015" t="str">
            <v>petroleum</v>
          </cell>
        </row>
        <row r="2016">
          <cell r="C2016" t="str">
            <v>IC</v>
          </cell>
          <cell r="D2016">
            <v>0.6</v>
          </cell>
          <cell r="H2016" t="str">
            <v>petroleum</v>
          </cell>
        </row>
        <row r="2017">
          <cell r="C2017" t="str">
            <v>IC</v>
          </cell>
          <cell r="D2017">
            <v>1.1000000000000001</v>
          </cell>
          <cell r="H2017" t="str">
            <v>petroleum</v>
          </cell>
        </row>
        <row r="2018">
          <cell r="C2018" t="str">
            <v>IC</v>
          </cell>
          <cell r="D2018">
            <v>1</v>
          </cell>
          <cell r="H2018" t="str">
            <v>petroleum</v>
          </cell>
        </row>
        <row r="2019">
          <cell r="C2019" t="str">
            <v>IC</v>
          </cell>
          <cell r="D2019">
            <v>2.6</v>
          </cell>
          <cell r="H2019" t="str">
            <v>petroleum</v>
          </cell>
        </row>
        <row r="2020">
          <cell r="C2020" t="str">
            <v>IC</v>
          </cell>
          <cell r="D2020">
            <v>1.1000000000000001</v>
          </cell>
          <cell r="H2020" t="str">
            <v>petroleum</v>
          </cell>
        </row>
        <row r="2021">
          <cell r="C2021" t="str">
            <v>IC</v>
          </cell>
          <cell r="D2021">
            <v>1.8</v>
          </cell>
          <cell r="H2021" t="str">
            <v>petroleum</v>
          </cell>
        </row>
        <row r="2022">
          <cell r="C2022" t="str">
            <v>IC</v>
          </cell>
          <cell r="D2022">
            <v>1</v>
          </cell>
          <cell r="H2022" t="str">
            <v>petroleum</v>
          </cell>
        </row>
        <row r="2023">
          <cell r="C2023" t="str">
            <v>IC</v>
          </cell>
          <cell r="D2023">
            <v>1</v>
          </cell>
          <cell r="H2023" t="str">
            <v>petroleum</v>
          </cell>
        </row>
        <row r="2024">
          <cell r="C2024" t="str">
            <v>IC</v>
          </cell>
          <cell r="D2024">
            <v>1.2</v>
          </cell>
          <cell r="H2024" t="str">
            <v>petroleum</v>
          </cell>
        </row>
        <row r="2025">
          <cell r="C2025" t="str">
            <v>IC</v>
          </cell>
          <cell r="D2025">
            <v>2</v>
          </cell>
          <cell r="H2025" t="str">
            <v>petroleum</v>
          </cell>
        </row>
        <row r="2026">
          <cell r="C2026" t="str">
            <v>IC</v>
          </cell>
          <cell r="D2026">
            <v>2</v>
          </cell>
          <cell r="H2026" t="str">
            <v>petroleum</v>
          </cell>
        </row>
        <row r="2027">
          <cell r="C2027" t="str">
            <v>IC</v>
          </cell>
          <cell r="D2027">
            <v>1.3</v>
          </cell>
          <cell r="H2027" t="str">
            <v>petroleum</v>
          </cell>
        </row>
        <row r="2028">
          <cell r="C2028" t="str">
            <v>IC</v>
          </cell>
          <cell r="D2028">
            <v>0.6</v>
          </cell>
          <cell r="H2028" t="str">
            <v>petroleum</v>
          </cell>
        </row>
        <row r="2029">
          <cell r="C2029" t="str">
            <v>IC</v>
          </cell>
          <cell r="D2029">
            <v>0.5</v>
          </cell>
          <cell r="H2029" t="str">
            <v>petroleum</v>
          </cell>
        </row>
        <row r="2030">
          <cell r="C2030" t="str">
            <v>IC</v>
          </cell>
          <cell r="D2030">
            <v>2.5</v>
          </cell>
          <cell r="H2030" t="str">
            <v>petroleum</v>
          </cell>
        </row>
        <row r="2031">
          <cell r="C2031" t="str">
            <v>IC</v>
          </cell>
          <cell r="D2031">
            <v>3.7</v>
          </cell>
          <cell r="H2031" t="str">
            <v>petroleum</v>
          </cell>
        </row>
        <row r="2032">
          <cell r="C2032" t="str">
            <v>IC</v>
          </cell>
          <cell r="D2032">
            <v>5.6</v>
          </cell>
          <cell r="H2032" t="str">
            <v>petroleum</v>
          </cell>
        </row>
        <row r="2033">
          <cell r="C2033" t="str">
            <v>IC</v>
          </cell>
          <cell r="D2033">
            <v>3</v>
          </cell>
          <cell r="H2033" t="str">
            <v>petroleum</v>
          </cell>
        </row>
        <row r="2034">
          <cell r="C2034" t="str">
            <v>GT</v>
          </cell>
          <cell r="D2034">
            <v>20.7</v>
          </cell>
          <cell r="H2034" t="str">
            <v>petroleum</v>
          </cell>
        </row>
        <row r="2035">
          <cell r="C2035" t="str">
            <v>IC</v>
          </cell>
          <cell r="D2035">
            <v>1</v>
          </cell>
          <cell r="H2035" t="str">
            <v>petroleum</v>
          </cell>
        </row>
        <row r="2036">
          <cell r="C2036" t="str">
            <v>IC</v>
          </cell>
          <cell r="D2036">
            <v>0.9</v>
          </cell>
          <cell r="H2036" t="str">
            <v>petroleum</v>
          </cell>
        </row>
        <row r="2037">
          <cell r="C2037" t="str">
            <v>IC</v>
          </cell>
          <cell r="D2037">
            <v>2</v>
          </cell>
          <cell r="H2037" t="str">
            <v>petroleum</v>
          </cell>
        </row>
        <row r="2038">
          <cell r="C2038" t="str">
            <v>IC</v>
          </cell>
          <cell r="D2038">
            <v>2.5</v>
          </cell>
          <cell r="H2038" t="str">
            <v>petroleum</v>
          </cell>
        </row>
        <row r="2039">
          <cell r="C2039" t="str">
            <v>IC</v>
          </cell>
          <cell r="D2039">
            <v>2.1</v>
          </cell>
          <cell r="H2039" t="str">
            <v>petroleum</v>
          </cell>
        </row>
        <row r="2040">
          <cell r="C2040" t="str">
            <v>IC</v>
          </cell>
          <cell r="D2040">
            <v>2.7</v>
          </cell>
          <cell r="H2040" t="str">
            <v>petroleum</v>
          </cell>
        </row>
        <row r="2041">
          <cell r="C2041" t="str">
            <v>GT</v>
          </cell>
          <cell r="D2041">
            <v>5</v>
          </cell>
          <cell r="H2041" t="str">
            <v>petroleum</v>
          </cell>
        </row>
        <row r="2042">
          <cell r="C2042" t="str">
            <v>GT</v>
          </cell>
          <cell r="D2042">
            <v>5</v>
          </cell>
          <cell r="H2042" t="str">
            <v>petroleum</v>
          </cell>
        </row>
        <row r="2043">
          <cell r="C2043" t="str">
            <v>IC</v>
          </cell>
          <cell r="D2043">
            <v>1.6</v>
          </cell>
          <cell r="H2043" t="str">
            <v>petroleum</v>
          </cell>
        </row>
        <row r="2044">
          <cell r="C2044" t="str">
            <v>IC</v>
          </cell>
          <cell r="D2044">
            <v>1.6</v>
          </cell>
          <cell r="H2044" t="str">
            <v>petroleum</v>
          </cell>
        </row>
        <row r="2045">
          <cell r="C2045" t="str">
            <v>IC</v>
          </cell>
          <cell r="D2045">
            <v>1.6</v>
          </cell>
          <cell r="H2045" t="str">
            <v>petroleum</v>
          </cell>
        </row>
        <row r="2046">
          <cell r="C2046" t="str">
            <v>IC</v>
          </cell>
          <cell r="D2046">
            <v>2.2000000000000002</v>
          </cell>
          <cell r="H2046" t="str">
            <v>petroleum</v>
          </cell>
        </row>
        <row r="2047">
          <cell r="C2047" t="str">
            <v>IC</v>
          </cell>
          <cell r="D2047">
            <v>2.2000000000000002</v>
          </cell>
          <cell r="H2047" t="str">
            <v>petroleum</v>
          </cell>
        </row>
        <row r="2048">
          <cell r="C2048" t="str">
            <v>IC</v>
          </cell>
          <cell r="D2048">
            <v>1.5</v>
          </cell>
          <cell r="H2048" t="str">
            <v>petroleum</v>
          </cell>
        </row>
        <row r="2049">
          <cell r="C2049" t="str">
            <v>IC</v>
          </cell>
          <cell r="D2049">
            <v>1.7</v>
          </cell>
          <cell r="H2049" t="str">
            <v>petroleum</v>
          </cell>
        </row>
        <row r="2050">
          <cell r="C2050" t="str">
            <v>IC</v>
          </cell>
          <cell r="D2050">
            <v>4.4000000000000004</v>
          </cell>
          <cell r="H2050" t="str">
            <v>petroleum</v>
          </cell>
        </row>
        <row r="2051">
          <cell r="C2051" t="str">
            <v>IC</v>
          </cell>
          <cell r="D2051">
            <v>2</v>
          </cell>
          <cell r="H2051" t="str">
            <v>petroleum</v>
          </cell>
        </row>
        <row r="2052">
          <cell r="C2052" t="str">
            <v>IC</v>
          </cell>
          <cell r="D2052">
            <v>2</v>
          </cell>
          <cell r="H2052" t="str">
            <v>petroleum</v>
          </cell>
        </row>
        <row r="2053">
          <cell r="C2053" t="str">
            <v>IC</v>
          </cell>
          <cell r="D2053">
            <v>2</v>
          </cell>
          <cell r="H2053" t="str">
            <v>petroleum</v>
          </cell>
        </row>
        <row r="2054">
          <cell r="C2054" t="str">
            <v>CA</v>
          </cell>
          <cell r="D2054">
            <v>6.5</v>
          </cell>
          <cell r="H2054" t="str">
            <v>natural gas nonpeaker</v>
          </cell>
        </row>
        <row r="2055">
          <cell r="C2055" t="str">
            <v>CA</v>
          </cell>
          <cell r="D2055">
            <v>6.5</v>
          </cell>
          <cell r="H2055" t="str">
            <v>natural gas nonpeaker</v>
          </cell>
        </row>
        <row r="2056">
          <cell r="C2056" t="str">
            <v>CA</v>
          </cell>
          <cell r="D2056">
            <v>7</v>
          </cell>
          <cell r="H2056" t="str">
            <v>natural gas nonpeaker</v>
          </cell>
        </row>
        <row r="2057">
          <cell r="C2057" t="str">
            <v>CT</v>
          </cell>
          <cell r="D2057">
            <v>29.2</v>
          </cell>
          <cell r="H2057" t="str">
            <v>natural gas nonpeaker</v>
          </cell>
        </row>
        <row r="2058">
          <cell r="C2058" t="str">
            <v>CT</v>
          </cell>
          <cell r="D2058">
            <v>27.4</v>
          </cell>
          <cell r="H2058" t="str">
            <v>natural gas nonpeaker</v>
          </cell>
        </row>
        <row r="2059">
          <cell r="C2059" t="str">
            <v>ST</v>
          </cell>
          <cell r="D2059">
            <v>37.5</v>
          </cell>
          <cell r="H2059" t="str">
            <v>natural gas peaker</v>
          </cell>
        </row>
        <row r="2060">
          <cell r="C2060" t="str">
            <v>GT</v>
          </cell>
          <cell r="D2060">
            <v>76</v>
          </cell>
          <cell r="H2060" t="str">
            <v>natural gas peaker</v>
          </cell>
        </row>
        <row r="2061">
          <cell r="C2061" t="str">
            <v>IC</v>
          </cell>
          <cell r="D2061">
            <v>2</v>
          </cell>
          <cell r="H2061" t="str">
            <v>petroleum</v>
          </cell>
        </row>
        <row r="2062">
          <cell r="C2062" t="str">
            <v>IC</v>
          </cell>
          <cell r="D2062">
            <v>2</v>
          </cell>
          <cell r="H2062" t="str">
            <v>petroleum</v>
          </cell>
        </row>
        <row r="2063">
          <cell r="C2063" t="str">
            <v>GT</v>
          </cell>
          <cell r="D2063">
            <v>13</v>
          </cell>
          <cell r="H2063" t="str">
            <v>natural gas peaker</v>
          </cell>
        </row>
        <row r="2064">
          <cell r="C2064" t="str">
            <v>ST</v>
          </cell>
          <cell r="D2064">
            <v>52</v>
          </cell>
          <cell r="H2064" t="str">
            <v>natural gas peaker</v>
          </cell>
        </row>
        <row r="2065">
          <cell r="C2065" t="str">
            <v>GT</v>
          </cell>
          <cell r="D2065">
            <v>13.7</v>
          </cell>
          <cell r="H2065" t="str">
            <v>natural gas peaker</v>
          </cell>
        </row>
        <row r="2066">
          <cell r="C2066" t="str">
            <v>ST</v>
          </cell>
          <cell r="D2066">
            <v>146.69999999999999</v>
          </cell>
          <cell r="H2066" t="str">
            <v>natural gas peaker</v>
          </cell>
        </row>
        <row r="2067">
          <cell r="C2067" t="str">
            <v>ST</v>
          </cell>
          <cell r="D2067">
            <v>92.7</v>
          </cell>
          <cell r="H2067" t="str">
            <v>natural gas peaker</v>
          </cell>
        </row>
        <row r="2068">
          <cell r="C2068" t="str">
            <v>GT</v>
          </cell>
          <cell r="D2068">
            <v>13</v>
          </cell>
          <cell r="H2068" t="str">
            <v>natural gas peaker</v>
          </cell>
        </row>
        <row r="2069">
          <cell r="C2069" t="str">
            <v>GT</v>
          </cell>
          <cell r="D2069">
            <v>15</v>
          </cell>
          <cell r="H2069" t="str">
            <v>natural gas peaker</v>
          </cell>
        </row>
        <row r="2070">
          <cell r="C2070" t="str">
            <v>CT</v>
          </cell>
          <cell r="D2070">
            <v>149</v>
          </cell>
          <cell r="H2070" t="str">
            <v>natural gas nonpeaker</v>
          </cell>
        </row>
        <row r="2071">
          <cell r="C2071" t="str">
            <v>CA</v>
          </cell>
          <cell r="D2071">
            <v>117</v>
          </cell>
          <cell r="H2071" t="str">
            <v>natural gas nonpeaker</v>
          </cell>
        </row>
        <row r="2072">
          <cell r="C2072" t="str">
            <v>IC</v>
          </cell>
          <cell r="D2072">
            <v>3</v>
          </cell>
          <cell r="H2072" t="str">
            <v>petroleum</v>
          </cell>
        </row>
        <row r="2073">
          <cell r="C2073" t="str">
            <v>GT</v>
          </cell>
          <cell r="D2073">
            <v>69</v>
          </cell>
          <cell r="H2073" t="str">
            <v>natural gas peaker</v>
          </cell>
        </row>
        <row r="2074">
          <cell r="C2074" t="str">
            <v>GT</v>
          </cell>
          <cell r="D2074">
            <v>71.599999999999994</v>
          </cell>
          <cell r="H2074" t="str">
            <v>natural gas peaker</v>
          </cell>
        </row>
        <row r="2075">
          <cell r="C2075" t="str">
            <v>GT</v>
          </cell>
          <cell r="D2075">
            <v>148.30000000000001</v>
          </cell>
          <cell r="H2075" t="str">
            <v>natural gas peaker</v>
          </cell>
        </row>
        <row r="2076">
          <cell r="C2076" t="str">
            <v>ST</v>
          </cell>
          <cell r="D2076">
            <v>746</v>
          </cell>
          <cell r="H2076" t="str">
            <v>hard coal</v>
          </cell>
        </row>
        <row r="2077">
          <cell r="C2077" t="str">
            <v>ST</v>
          </cell>
          <cell r="D2077">
            <v>662</v>
          </cell>
          <cell r="H2077" t="str">
            <v>hard coal</v>
          </cell>
        </row>
        <row r="2078">
          <cell r="C2078" t="str">
            <v>GT</v>
          </cell>
          <cell r="D2078">
            <v>53.7</v>
          </cell>
          <cell r="H2078" t="str">
            <v>natural gas peaker</v>
          </cell>
        </row>
        <row r="2079">
          <cell r="C2079" t="str">
            <v>GT</v>
          </cell>
          <cell r="D2079">
            <v>56.1</v>
          </cell>
          <cell r="H2079" t="str">
            <v>natural gas peaker</v>
          </cell>
        </row>
        <row r="2080">
          <cell r="C2080" t="str">
            <v>GT</v>
          </cell>
          <cell r="D2080">
            <v>55.4</v>
          </cell>
          <cell r="H2080" t="str">
            <v>natural gas peaker</v>
          </cell>
        </row>
        <row r="2081">
          <cell r="C2081" t="str">
            <v>GT</v>
          </cell>
          <cell r="D2081">
            <v>58.4</v>
          </cell>
          <cell r="H2081" t="str">
            <v>petroleum</v>
          </cell>
        </row>
        <row r="2082">
          <cell r="C2082" t="str">
            <v>IC</v>
          </cell>
          <cell r="D2082">
            <v>3</v>
          </cell>
          <cell r="H2082" t="str">
            <v>petroleum</v>
          </cell>
        </row>
        <row r="2083">
          <cell r="C2083" t="str">
            <v>ST</v>
          </cell>
          <cell r="D2083">
            <v>111.5</v>
          </cell>
          <cell r="H2083" t="str">
            <v>hard coal</v>
          </cell>
        </row>
        <row r="2084">
          <cell r="C2084" t="str">
            <v>ST</v>
          </cell>
          <cell r="D2084">
            <v>374.5</v>
          </cell>
          <cell r="H2084" t="str">
            <v>hard coal</v>
          </cell>
        </row>
        <row r="2085">
          <cell r="C2085" t="str">
            <v>IC</v>
          </cell>
          <cell r="D2085">
            <v>4.0999999999999996</v>
          </cell>
          <cell r="H2085" t="str">
            <v>natural gas peaker</v>
          </cell>
        </row>
        <row r="2086">
          <cell r="C2086" t="str">
            <v>IC</v>
          </cell>
          <cell r="D2086">
            <v>3</v>
          </cell>
          <cell r="H2086" t="str">
            <v>natural gas peaker</v>
          </cell>
        </row>
        <row r="2087">
          <cell r="C2087" t="str">
            <v>IC</v>
          </cell>
          <cell r="D2087">
            <v>4</v>
          </cell>
          <cell r="H2087" t="str">
            <v>natural gas peaker</v>
          </cell>
        </row>
        <row r="2088">
          <cell r="C2088" t="str">
            <v>IC</v>
          </cell>
          <cell r="D2088">
            <v>0.6</v>
          </cell>
          <cell r="H2088" t="str">
            <v>natural gas peaker</v>
          </cell>
        </row>
        <row r="2089">
          <cell r="C2089" t="str">
            <v>IC</v>
          </cell>
          <cell r="D2089">
            <v>0.7</v>
          </cell>
          <cell r="H2089" t="str">
            <v>natural gas peaker</v>
          </cell>
        </row>
        <row r="2090">
          <cell r="C2090" t="str">
            <v>IC</v>
          </cell>
          <cell r="D2090">
            <v>1.1000000000000001</v>
          </cell>
          <cell r="H2090" t="str">
            <v>petroleum</v>
          </cell>
        </row>
        <row r="2091">
          <cell r="C2091" t="str">
            <v>IC</v>
          </cell>
          <cell r="D2091">
            <v>1.8</v>
          </cell>
          <cell r="H2091" t="str">
            <v>petroleum</v>
          </cell>
        </row>
        <row r="2092">
          <cell r="C2092" t="str">
            <v>IC</v>
          </cell>
          <cell r="D2092">
            <v>0.7</v>
          </cell>
          <cell r="H2092" t="str">
            <v>petroleum</v>
          </cell>
        </row>
        <row r="2093">
          <cell r="C2093" t="str">
            <v>IC</v>
          </cell>
          <cell r="D2093">
            <v>1.1000000000000001</v>
          </cell>
          <cell r="H2093" t="str">
            <v>natural gas peaker</v>
          </cell>
        </row>
        <row r="2094">
          <cell r="C2094" t="str">
            <v>IC</v>
          </cell>
          <cell r="D2094">
            <v>0.3</v>
          </cell>
          <cell r="H2094" t="str">
            <v>petroleum</v>
          </cell>
        </row>
        <row r="2095">
          <cell r="C2095" t="str">
            <v>IC</v>
          </cell>
          <cell r="D2095">
            <v>1</v>
          </cell>
          <cell r="H2095" t="str">
            <v>natural gas peaker</v>
          </cell>
        </row>
        <row r="2096">
          <cell r="C2096" t="str">
            <v>IC</v>
          </cell>
          <cell r="D2096">
            <v>0.7</v>
          </cell>
          <cell r="H2096" t="str">
            <v>petroleum</v>
          </cell>
        </row>
        <row r="2097">
          <cell r="C2097" t="str">
            <v>IC</v>
          </cell>
          <cell r="D2097">
            <v>2.2000000000000002</v>
          </cell>
          <cell r="H2097" t="str">
            <v>natural gas peaker</v>
          </cell>
        </row>
        <row r="2098">
          <cell r="C2098" t="str">
            <v>IC</v>
          </cell>
          <cell r="D2098">
            <v>2.2000000000000002</v>
          </cell>
          <cell r="H2098" t="str">
            <v>natural gas peaker</v>
          </cell>
        </row>
        <row r="2099">
          <cell r="C2099" t="str">
            <v>IC</v>
          </cell>
          <cell r="D2099">
            <v>2</v>
          </cell>
          <cell r="H2099" t="str">
            <v>natural gas peaker</v>
          </cell>
        </row>
        <row r="2100">
          <cell r="C2100" t="str">
            <v>IC</v>
          </cell>
          <cell r="D2100">
            <v>2</v>
          </cell>
          <cell r="H2100" t="str">
            <v>petroleum</v>
          </cell>
        </row>
        <row r="2101">
          <cell r="C2101" t="str">
            <v>IC</v>
          </cell>
          <cell r="D2101">
            <v>1.5</v>
          </cell>
          <cell r="H2101" t="str">
            <v>petroleum</v>
          </cell>
        </row>
        <row r="2102">
          <cell r="C2102" t="str">
            <v>IC</v>
          </cell>
          <cell r="D2102">
            <v>0.7</v>
          </cell>
          <cell r="H2102" t="str">
            <v>petroleum</v>
          </cell>
        </row>
        <row r="2103">
          <cell r="C2103" t="str">
            <v>IC</v>
          </cell>
          <cell r="D2103">
            <v>0.7</v>
          </cell>
          <cell r="H2103" t="str">
            <v>petroleum</v>
          </cell>
        </row>
        <row r="2104">
          <cell r="C2104" t="str">
            <v>IC</v>
          </cell>
          <cell r="D2104">
            <v>1</v>
          </cell>
          <cell r="H2104" t="str">
            <v>petroleum</v>
          </cell>
        </row>
        <row r="2105">
          <cell r="C2105" t="str">
            <v>IC</v>
          </cell>
          <cell r="D2105">
            <v>1.7</v>
          </cell>
          <cell r="H2105" t="str">
            <v>petroleum</v>
          </cell>
        </row>
        <row r="2106">
          <cell r="C2106" t="str">
            <v>IC</v>
          </cell>
          <cell r="D2106">
            <v>3.7</v>
          </cell>
          <cell r="H2106" t="str">
            <v>petroleum</v>
          </cell>
        </row>
        <row r="2107">
          <cell r="C2107" t="str">
            <v>IC</v>
          </cell>
          <cell r="D2107">
            <v>5.0999999999999996</v>
          </cell>
          <cell r="H2107" t="str">
            <v>petroleum</v>
          </cell>
        </row>
        <row r="2108">
          <cell r="C2108" t="str">
            <v>IC</v>
          </cell>
          <cell r="D2108">
            <v>2.8</v>
          </cell>
          <cell r="H2108" t="str">
            <v>petroleum</v>
          </cell>
        </row>
        <row r="2109">
          <cell r="C2109" t="str">
            <v>IC</v>
          </cell>
          <cell r="D2109">
            <v>1.1000000000000001</v>
          </cell>
          <cell r="H2109" t="str">
            <v>petroleum</v>
          </cell>
        </row>
        <row r="2110">
          <cell r="C2110" t="str">
            <v>IC</v>
          </cell>
          <cell r="D2110">
            <v>1.1000000000000001</v>
          </cell>
          <cell r="H2110" t="str">
            <v>petroleum</v>
          </cell>
        </row>
        <row r="2111">
          <cell r="C2111" t="str">
            <v>IC</v>
          </cell>
          <cell r="D2111">
            <v>1.8</v>
          </cell>
          <cell r="H2111" t="str">
            <v>petroleum</v>
          </cell>
        </row>
        <row r="2112">
          <cell r="C2112" t="str">
            <v>IC</v>
          </cell>
          <cell r="D2112">
            <v>3</v>
          </cell>
          <cell r="H2112" t="str">
            <v>petroleum</v>
          </cell>
        </row>
        <row r="2113">
          <cell r="C2113" t="str">
            <v>IC</v>
          </cell>
          <cell r="D2113">
            <v>0.6</v>
          </cell>
          <cell r="H2113" t="str">
            <v>petroleum</v>
          </cell>
        </row>
        <row r="2114">
          <cell r="C2114" t="str">
            <v>IC</v>
          </cell>
          <cell r="D2114">
            <v>3.5</v>
          </cell>
          <cell r="H2114" t="str">
            <v>petroleum</v>
          </cell>
        </row>
        <row r="2115">
          <cell r="C2115" t="str">
            <v>IC</v>
          </cell>
          <cell r="D2115">
            <v>5.5</v>
          </cell>
          <cell r="H2115" t="str">
            <v>petroleum</v>
          </cell>
        </row>
        <row r="2116">
          <cell r="C2116" t="str">
            <v>IC</v>
          </cell>
          <cell r="D2116">
            <v>1</v>
          </cell>
          <cell r="H2116" t="str">
            <v>natural gas peaker</v>
          </cell>
        </row>
        <row r="2117">
          <cell r="C2117" t="str">
            <v>IC</v>
          </cell>
          <cell r="D2117">
            <v>0.8</v>
          </cell>
          <cell r="H2117" t="str">
            <v>natural gas peaker</v>
          </cell>
        </row>
        <row r="2118">
          <cell r="C2118" t="str">
            <v>IC</v>
          </cell>
          <cell r="D2118">
            <v>1</v>
          </cell>
          <cell r="H2118" t="str">
            <v>natural gas peaker</v>
          </cell>
        </row>
        <row r="2119">
          <cell r="C2119" t="str">
            <v>IC</v>
          </cell>
          <cell r="D2119">
            <v>0.8</v>
          </cell>
          <cell r="H2119" t="str">
            <v>natural gas peaker</v>
          </cell>
        </row>
        <row r="2120">
          <cell r="C2120" t="str">
            <v>IC</v>
          </cell>
          <cell r="D2120">
            <v>2</v>
          </cell>
          <cell r="H2120" t="str">
            <v>petroleum</v>
          </cell>
        </row>
        <row r="2121">
          <cell r="C2121" t="str">
            <v>IC</v>
          </cell>
          <cell r="D2121">
            <v>1.3</v>
          </cell>
          <cell r="H2121" t="str">
            <v>petroleum</v>
          </cell>
        </row>
        <row r="2122">
          <cell r="C2122" t="str">
            <v>IC</v>
          </cell>
          <cell r="D2122">
            <v>2.2999999999999998</v>
          </cell>
          <cell r="H2122" t="str">
            <v>petroleum</v>
          </cell>
        </row>
        <row r="2123">
          <cell r="C2123" t="str">
            <v>IC</v>
          </cell>
          <cell r="D2123">
            <v>1</v>
          </cell>
          <cell r="H2123" t="str">
            <v>natural gas peaker</v>
          </cell>
        </row>
        <row r="2124">
          <cell r="C2124" t="str">
            <v>IC</v>
          </cell>
          <cell r="D2124">
            <v>4.8</v>
          </cell>
          <cell r="H2124" t="str">
            <v>natural gas peaker</v>
          </cell>
        </row>
        <row r="2125">
          <cell r="C2125" t="str">
            <v>GT</v>
          </cell>
          <cell r="D2125">
            <v>42</v>
          </cell>
          <cell r="H2125" t="str">
            <v>natural gas peaker</v>
          </cell>
        </row>
        <row r="2126">
          <cell r="C2126" t="str">
            <v>IC</v>
          </cell>
          <cell r="D2126">
            <v>2</v>
          </cell>
          <cell r="H2126" t="str">
            <v>natural gas peaker</v>
          </cell>
        </row>
        <row r="2127">
          <cell r="C2127" t="str">
            <v>IC</v>
          </cell>
          <cell r="D2127">
            <v>2</v>
          </cell>
          <cell r="H2127" t="str">
            <v>natural gas peaker</v>
          </cell>
        </row>
        <row r="2128">
          <cell r="C2128" t="str">
            <v>ST</v>
          </cell>
          <cell r="D2128">
            <v>3</v>
          </cell>
          <cell r="H2128" t="str">
            <v>natural gas peaker</v>
          </cell>
        </row>
        <row r="2129">
          <cell r="C2129" t="str">
            <v>ST</v>
          </cell>
          <cell r="D2129">
            <v>5</v>
          </cell>
          <cell r="H2129" t="str">
            <v>natural gas peaker</v>
          </cell>
        </row>
        <row r="2130">
          <cell r="C2130" t="str">
            <v>IC</v>
          </cell>
          <cell r="D2130">
            <v>0.9</v>
          </cell>
          <cell r="H2130" t="str">
            <v>natural gas peaker</v>
          </cell>
        </row>
        <row r="2131">
          <cell r="C2131" t="str">
            <v>IC</v>
          </cell>
          <cell r="D2131">
            <v>2</v>
          </cell>
          <cell r="H2131" t="str">
            <v>natural gas peaker</v>
          </cell>
        </row>
        <row r="2132">
          <cell r="C2132" t="str">
            <v>IC</v>
          </cell>
          <cell r="D2132">
            <v>5</v>
          </cell>
          <cell r="H2132" t="str">
            <v>natural gas peaker</v>
          </cell>
        </row>
        <row r="2133">
          <cell r="C2133" t="str">
            <v>IC</v>
          </cell>
          <cell r="D2133">
            <v>3.5</v>
          </cell>
          <cell r="H2133" t="str">
            <v>natural gas peaker</v>
          </cell>
        </row>
        <row r="2134">
          <cell r="C2134" t="str">
            <v>IC</v>
          </cell>
          <cell r="D2134">
            <v>3.5</v>
          </cell>
          <cell r="H2134" t="str">
            <v>natural gas peaker</v>
          </cell>
        </row>
        <row r="2135">
          <cell r="C2135" t="str">
            <v>IC</v>
          </cell>
          <cell r="D2135">
            <v>6.8</v>
          </cell>
          <cell r="H2135" t="str">
            <v>natural gas peaker</v>
          </cell>
        </row>
        <row r="2136">
          <cell r="C2136" t="str">
            <v>IC</v>
          </cell>
          <cell r="D2136">
            <v>2</v>
          </cell>
          <cell r="H2136" t="str">
            <v>petroleum</v>
          </cell>
        </row>
        <row r="2137">
          <cell r="C2137" t="str">
            <v>IC</v>
          </cell>
          <cell r="D2137">
            <v>2</v>
          </cell>
          <cell r="H2137" t="str">
            <v>petroleum</v>
          </cell>
        </row>
        <row r="2138">
          <cell r="C2138" t="str">
            <v>ST</v>
          </cell>
          <cell r="D2138">
            <v>37</v>
          </cell>
          <cell r="H2138" t="str">
            <v>natural gas peaker</v>
          </cell>
        </row>
        <row r="2139">
          <cell r="C2139" t="str">
            <v>IC</v>
          </cell>
          <cell r="D2139">
            <v>1.2</v>
          </cell>
          <cell r="H2139" t="str">
            <v>petroleum</v>
          </cell>
        </row>
        <row r="2140">
          <cell r="C2140" t="str">
            <v>IC</v>
          </cell>
          <cell r="D2140">
            <v>1</v>
          </cell>
          <cell r="H2140" t="str">
            <v>petroleum</v>
          </cell>
        </row>
        <row r="2141">
          <cell r="C2141" t="str">
            <v>IC</v>
          </cell>
          <cell r="D2141">
            <v>3.5</v>
          </cell>
          <cell r="H2141" t="str">
            <v>petroleum</v>
          </cell>
        </row>
        <row r="2142">
          <cell r="C2142" t="str">
            <v>IC</v>
          </cell>
          <cell r="D2142">
            <v>3.5</v>
          </cell>
          <cell r="H2142" t="str">
            <v>petroleum</v>
          </cell>
        </row>
        <row r="2143">
          <cell r="C2143" t="str">
            <v>IC</v>
          </cell>
          <cell r="D2143">
            <v>2.5</v>
          </cell>
          <cell r="H2143" t="str">
            <v>petroleum</v>
          </cell>
        </row>
        <row r="2144">
          <cell r="C2144" t="str">
            <v>IC</v>
          </cell>
          <cell r="D2144">
            <v>3</v>
          </cell>
          <cell r="H2144" t="str">
            <v>petroleum</v>
          </cell>
        </row>
        <row r="2145">
          <cell r="C2145" t="str">
            <v>IC</v>
          </cell>
          <cell r="D2145">
            <v>1.8</v>
          </cell>
          <cell r="H2145" t="str">
            <v>petroleum</v>
          </cell>
        </row>
        <row r="2146">
          <cell r="C2146" t="str">
            <v>IC</v>
          </cell>
          <cell r="D2146">
            <v>1.3</v>
          </cell>
          <cell r="H2146" t="str">
            <v>petroleum</v>
          </cell>
        </row>
        <row r="2147">
          <cell r="C2147" t="str">
            <v>IC</v>
          </cell>
          <cell r="D2147">
            <v>0.4</v>
          </cell>
          <cell r="H2147" t="str">
            <v>petroleum</v>
          </cell>
        </row>
        <row r="2148">
          <cell r="C2148" t="str">
            <v>IC</v>
          </cell>
          <cell r="D2148">
            <v>1</v>
          </cell>
          <cell r="H2148" t="str">
            <v>petroleum</v>
          </cell>
        </row>
        <row r="2149">
          <cell r="C2149" t="str">
            <v>IC</v>
          </cell>
          <cell r="D2149">
            <v>2.7</v>
          </cell>
          <cell r="H2149" t="str">
            <v>petroleum</v>
          </cell>
        </row>
        <row r="2150">
          <cell r="C2150" t="str">
            <v>IC</v>
          </cell>
          <cell r="D2150">
            <v>0.9</v>
          </cell>
          <cell r="H2150" t="str">
            <v>petroleum</v>
          </cell>
        </row>
        <row r="2151">
          <cell r="C2151" t="str">
            <v>IC</v>
          </cell>
          <cell r="D2151">
            <v>1</v>
          </cell>
          <cell r="H2151" t="str">
            <v>petroleum</v>
          </cell>
        </row>
        <row r="2152">
          <cell r="C2152" t="str">
            <v>IC</v>
          </cell>
          <cell r="D2152">
            <v>1</v>
          </cell>
          <cell r="H2152" t="str">
            <v>petroleum</v>
          </cell>
        </row>
        <row r="2153">
          <cell r="C2153" t="str">
            <v>IC</v>
          </cell>
          <cell r="D2153">
            <v>1</v>
          </cell>
          <cell r="H2153" t="str">
            <v>petroleum</v>
          </cell>
        </row>
        <row r="2154">
          <cell r="C2154" t="str">
            <v>IC</v>
          </cell>
          <cell r="D2154">
            <v>1.3</v>
          </cell>
          <cell r="H2154" t="str">
            <v>petroleum</v>
          </cell>
        </row>
        <row r="2155">
          <cell r="C2155" t="str">
            <v>IC</v>
          </cell>
          <cell r="D2155">
            <v>0.3</v>
          </cell>
          <cell r="H2155" t="str">
            <v>petroleum</v>
          </cell>
        </row>
        <row r="2156">
          <cell r="C2156" t="str">
            <v>IC</v>
          </cell>
          <cell r="D2156">
            <v>1.3</v>
          </cell>
          <cell r="H2156" t="str">
            <v>petroleum</v>
          </cell>
        </row>
        <row r="2157">
          <cell r="C2157" t="str">
            <v>IC</v>
          </cell>
          <cell r="D2157">
            <v>0.8</v>
          </cell>
          <cell r="H2157" t="str">
            <v>petroleum</v>
          </cell>
        </row>
        <row r="2158">
          <cell r="C2158" t="str">
            <v>IC</v>
          </cell>
          <cell r="D2158">
            <v>2.2000000000000002</v>
          </cell>
          <cell r="H2158" t="str">
            <v>petroleum</v>
          </cell>
        </row>
        <row r="2159">
          <cell r="C2159" t="str">
            <v>IC</v>
          </cell>
          <cell r="D2159">
            <v>2.1</v>
          </cell>
          <cell r="H2159" t="str">
            <v>petroleum</v>
          </cell>
        </row>
        <row r="2160">
          <cell r="C2160" t="str">
            <v>IC</v>
          </cell>
          <cell r="D2160">
            <v>2.2000000000000002</v>
          </cell>
          <cell r="H2160" t="str">
            <v>petroleum</v>
          </cell>
        </row>
        <row r="2161">
          <cell r="C2161" t="str">
            <v>IC</v>
          </cell>
          <cell r="D2161">
            <v>1.1000000000000001</v>
          </cell>
          <cell r="H2161" t="str">
            <v>natural gas peaker</v>
          </cell>
        </row>
        <row r="2162">
          <cell r="C2162" t="str">
            <v>IC</v>
          </cell>
          <cell r="D2162">
            <v>1.8</v>
          </cell>
          <cell r="H2162" t="str">
            <v>natural gas peaker</v>
          </cell>
        </row>
        <row r="2163">
          <cell r="C2163" t="str">
            <v>IC</v>
          </cell>
          <cell r="D2163">
            <v>3.2</v>
          </cell>
          <cell r="H2163" t="str">
            <v>natural gas peaker</v>
          </cell>
        </row>
        <row r="2164">
          <cell r="C2164" t="str">
            <v>IC</v>
          </cell>
          <cell r="D2164">
            <v>3.4</v>
          </cell>
          <cell r="H2164" t="str">
            <v>natural gas peaker</v>
          </cell>
        </row>
        <row r="2165">
          <cell r="C2165" t="str">
            <v>IC</v>
          </cell>
          <cell r="D2165">
            <v>1.8</v>
          </cell>
          <cell r="H2165" t="str">
            <v>natural gas peaker</v>
          </cell>
        </row>
        <row r="2166">
          <cell r="C2166" t="str">
            <v>IC</v>
          </cell>
          <cell r="D2166">
            <v>3.5</v>
          </cell>
          <cell r="H2166" t="str">
            <v>natural gas peaker</v>
          </cell>
        </row>
        <row r="2167">
          <cell r="C2167" t="str">
            <v>IC</v>
          </cell>
          <cell r="D2167">
            <v>0.8</v>
          </cell>
          <cell r="H2167" t="str">
            <v>natural gas peaker</v>
          </cell>
        </row>
        <row r="2168">
          <cell r="C2168" t="str">
            <v>IC</v>
          </cell>
          <cell r="D2168">
            <v>1.1000000000000001</v>
          </cell>
          <cell r="H2168" t="str">
            <v>natural gas peaker</v>
          </cell>
        </row>
        <row r="2169">
          <cell r="C2169" t="str">
            <v>IC</v>
          </cell>
          <cell r="D2169">
            <v>0.7</v>
          </cell>
          <cell r="H2169" t="str">
            <v>petroleum</v>
          </cell>
        </row>
        <row r="2170">
          <cell r="C2170" t="str">
            <v>IC</v>
          </cell>
          <cell r="D2170">
            <v>1.8</v>
          </cell>
          <cell r="H2170" t="str">
            <v>natural gas peaker</v>
          </cell>
        </row>
        <row r="2171">
          <cell r="C2171" t="str">
            <v>IC</v>
          </cell>
          <cell r="D2171">
            <v>1.8</v>
          </cell>
          <cell r="H2171" t="str">
            <v>natural gas peaker</v>
          </cell>
        </row>
        <row r="2172">
          <cell r="C2172" t="str">
            <v>IC</v>
          </cell>
          <cell r="D2172">
            <v>4.5999999999999996</v>
          </cell>
          <cell r="H2172" t="str">
            <v>natural gas peaker</v>
          </cell>
        </row>
        <row r="2173">
          <cell r="C2173" t="str">
            <v>IC</v>
          </cell>
          <cell r="D2173">
            <v>1.5</v>
          </cell>
          <cell r="H2173" t="str">
            <v>petroleum</v>
          </cell>
        </row>
        <row r="2174">
          <cell r="C2174" t="str">
            <v>IC</v>
          </cell>
          <cell r="D2174">
            <v>1.1000000000000001</v>
          </cell>
          <cell r="H2174" t="str">
            <v>natural gas peaker</v>
          </cell>
        </row>
        <row r="2175">
          <cell r="C2175" t="str">
            <v>IC</v>
          </cell>
          <cell r="D2175">
            <v>1.1000000000000001</v>
          </cell>
          <cell r="H2175" t="str">
            <v>natural gas peaker</v>
          </cell>
        </row>
        <row r="2176">
          <cell r="C2176" t="str">
            <v>IC</v>
          </cell>
          <cell r="D2176">
            <v>0.6</v>
          </cell>
          <cell r="H2176" t="str">
            <v>natural gas peaker</v>
          </cell>
        </row>
        <row r="2177">
          <cell r="C2177" t="str">
            <v>IC</v>
          </cell>
          <cell r="D2177">
            <v>1</v>
          </cell>
          <cell r="H2177" t="str">
            <v>natural gas peaker</v>
          </cell>
        </row>
        <row r="2178">
          <cell r="C2178" t="str">
            <v>IC</v>
          </cell>
          <cell r="D2178">
            <v>1.2</v>
          </cell>
          <cell r="H2178" t="str">
            <v>natural gas peaker</v>
          </cell>
        </row>
        <row r="2179">
          <cell r="C2179" t="str">
            <v>IC</v>
          </cell>
          <cell r="D2179">
            <v>1.2</v>
          </cell>
          <cell r="H2179" t="str">
            <v>natural gas peaker</v>
          </cell>
        </row>
        <row r="2180">
          <cell r="C2180" t="str">
            <v>IC</v>
          </cell>
          <cell r="D2180">
            <v>1.1000000000000001</v>
          </cell>
          <cell r="H2180" t="str">
            <v>petroleum</v>
          </cell>
        </row>
        <row r="2181">
          <cell r="C2181" t="str">
            <v>IC</v>
          </cell>
          <cell r="D2181">
            <v>2</v>
          </cell>
          <cell r="H2181" t="str">
            <v>natural gas peaker</v>
          </cell>
        </row>
        <row r="2182">
          <cell r="C2182" t="str">
            <v>IC</v>
          </cell>
          <cell r="D2182">
            <v>4</v>
          </cell>
          <cell r="H2182" t="str">
            <v>natural gas peaker</v>
          </cell>
        </row>
        <row r="2183">
          <cell r="C2183" t="str">
            <v>IC</v>
          </cell>
          <cell r="D2183">
            <v>7</v>
          </cell>
          <cell r="H2183" t="str">
            <v>natural gas peaker</v>
          </cell>
        </row>
        <row r="2184">
          <cell r="C2184" t="str">
            <v>IC</v>
          </cell>
          <cell r="D2184">
            <v>1.8</v>
          </cell>
          <cell r="H2184" t="str">
            <v>petroleum</v>
          </cell>
        </row>
        <row r="2185">
          <cell r="C2185" t="str">
            <v>IC</v>
          </cell>
          <cell r="D2185">
            <v>2.2000000000000002</v>
          </cell>
          <cell r="H2185" t="str">
            <v>petroleum</v>
          </cell>
        </row>
        <row r="2186">
          <cell r="C2186" t="str">
            <v>IC</v>
          </cell>
          <cell r="D2186">
            <v>3</v>
          </cell>
          <cell r="H2186" t="str">
            <v>natural gas peaker</v>
          </cell>
        </row>
        <row r="2187">
          <cell r="C2187" t="str">
            <v>IC</v>
          </cell>
          <cell r="D2187">
            <v>3</v>
          </cell>
          <cell r="H2187" t="str">
            <v>natural gas peaker</v>
          </cell>
        </row>
        <row r="2188">
          <cell r="C2188" t="str">
            <v>IC</v>
          </cell>
          <cell r="D2188">
            <v>1.4</v>
          </cell>
          <cell r="H2188" t="str">
            <v>petroleum</v>
          </cell>
        </row>
        <row r="2189">
          <cell r="C2189" t="str">
            <v>IC</v>
          </cell>
          <cell r="D2189">
            <v>2.4</v>
          </cell>
          <cell r="H2189" t="str">
            <v>petroleum</v>
          </cell>
        </row>
        <row r="2190">
          <cell r="C2190" t="str">
            <v>IC</v>
          </cell>
          <cell r="D2190">
            <v>3.8</v>
          </cell>
          <cell r="H2190" t="str">
            <v>petroleum</v>
          </cell>
        </row>
        <row r="2191">
          <cell r="C2191" t="str">
            <v>IC</v>
          </cell>
          <cell r="D2191">
            <v>1.8</v>
          </cell>
          <cell r="H2191" t="str">
            <v>petroleum</v>
          </cell>
        </row>
        <row r="2192">
          <cell r="C2192" t="str">
            <v>IC</v>
          </cell>
          <cell r="D2192">
            <v>5</v>
          </cell>
          <cell r="H2192" t="str">
            <v>natural gas peaker</v>
          </cell>
        </row>
        <row r="2193">
          <cell r="C2193" t="str">
            <v>IC</v>
          </cell>
          <cell r="D2193">
            <v>2.9</v>
          </cell>
          <cell r="H2193" t="str">
            <v>petroleum</v>
          </cell>
        </row>
        <row r="2194">
          <cell r="C2194" t="str">
            <v>IC</v>
          </cell>
          <cell r="D2194">
            <v>5</v>
          </cell>
          <cell r="H2194" t="str">
            <v>natural gas peaker</v>
          </cell>
        </row>
        <row r="2195">
          <cell r="C2195" t="str">
            <v>IC</v>
          </cell>
          <cell r="D2195">
            <v>2.9</v>
          </cell>
          <cell r="H2195" t="str">
            <v>petroleum</v>
          </cell>
        </row>
        <row r="2196">
          <cell r="C2196" t="str">
            <v>IC</v>
          </cell>
          <cell r="D2196">
            <v>2.9</v>
          </cell>
          <cell r="H2196" t="str">
            <v>petroleum</v>
          </cell>
        </row>
        <row r="2197">
          <cell r="C2197" t="str">
            <v>IC</v>
          </cell>
          <cell r="D2197">
            <v>2.9</v>
          </cell>
          <cell r="H2197" t="str">
            <v>petroleum</v>
          </cell>
        </row>
        <row r="2198">
          <cell r="C2198" t="str">
            <v>IC</v>
          </cell>
          <cell r="D2198">
            <v>2.9</v>
          </cell>
          <cell r="H2198" t="str">
            <v>petroleum</v>
          </cell>
        </row>
        <row r="2199">
          <cell r="C2199" t="str">
            <v>IC</v>
          </cell>
          <cell r="D2199">
            <v>2.5</v>
          </cell>
          <cell r="H2199" t="str">
            <v>petroleum</v>
          </cell>
        </row>
        <row r="2200">
          <cell r="C2200" t="str">
            <v>ST</v>
          </cell>
          <cell r="D2200">
            <v>41.9</v>
          </cell>
          <cell r="H2200" t="str">
            <v>natural gas peaker</v>
          </cell>
        </row>
        <row r="2201">
          <cell r="C2201" t="str">
            <v>ST</v>
          </cell>
          <cell r="D2201">
            <v>41.9</v>
          </cell>
          <cell r="H2201" t="str">
            <v>natural gas peaker</v>
          </cell>
        </row>
        <row r="2202">
          <cell r="C2202" t="str">
            <v>ST</v>
          </cell>
          <cell r="D2202">
            <v>56.5</v>
          </cell>
          <cell r="H2202" t="str">
            <v>natural gas peaker</v>
          </cell>
        </row>
        <row r="2203">
          <cell r="C2203" t="str">
            <v>GT</v>
          </cell>
          <cell r="D2203">
            <v>56</v>
          </cell>
          <cell r="H2203" t="str">
            <v>petroleum</v>
          </cell>
        </row>
        <row r="2204">
          <cell r="C2204" t="str">
            <v>GT</v>
          </cell>
          <cell r="D2204">
            <v>46</v>
          </cell>
          <cell r="H2204" t="str">
            <v>petroleum</v>
          </cell>
        </row>
        <row r="2205">
          <cell r="C2205" t="str">
            <v>IC</v>
          </cell>
          <cell r="D2205">
            <v>1.9</v>
          </cell>
          <cell r="H2205" t="str">
            <v>natural gas peaker</v>
          </cell>
        </row>
        <row r="2206">
          <cell r="C2206" t="str">
            <v>IC</v>
          </cell>
          <cell r="D2206">
            <v>1.9</v>
          </cell>
          <cell r="H2206" t="str">
            <v>natural gas peaker</v>
          </cell>
        </row>
        <row r="2207">
          <cell r="C2207" t="str">
            <v>IC</v>
          </cell>
          <cell r="D2207">
            <v>3.4</v>
          </cell>
          <cell r="H2207" t="str">
            <v>natural gas peaker</v>
          </cell>
        </row>
        <row r="2208">
          <cell r="C2208" t="str">
            <v>IC</v>
          </cell>
          <cell r="D2208">
            <v>2.1</v>
          </cell>
          <cell r="H2208" t="str">
            <v>natural gas peaker</v>
          </cell>
        </row>
        <row r="2209">
          <cell r="C2209" t="str">
            <v>IC</v>
          </cell>
          <cell r="D2209">
            <v>2.4</v>
          </cell>
          <cell r="H2209" t="str">
            <v>natural gas peaker</v>
          </cell>
        </row>
        <row r="2210">
          <cell r="C2210" t="str">
            <v>IC</v>
          </cell>
          <cell r="D2210">
            <v>6.3</v>
          </cell>
          <cell r="H2210" t="str">
            <v>natural gas peaker</v>
          </cell>
        </row>
        <row r="2211">
          <cell r="C2211" t="str">
            <v>IC</v>
          </cell>
          <cell r="D2211">
            <v>1.1000000000000001</v>
          </cell>
          <cell r="H2211" t="str">
            <v>petroleum</v>
          </cell>
        </row>
        <row r="2212">
          <cell r="C2212" t="str">
            <v>IC</v>
          </cell>
          <cell r="D2212">
            <v>1.1000000000000001</v>
          </cell>
          <cell r="H2212" t="str">
            <v>petroleum</v>
          </cell>
        </row>
        <row r="2213">
          <cell r="C2213" t="str">
            <v>IC</v>
          </cell>
          <cell r="D2213">
            <v>1.5</v>
          </cell>
          <cell r="H2213" t="str">
            <v>petroleum</v>
          </cell>
        </row>
        <row r="2214">
          <cell r="C2214" t="str">
            <v>IC</v>
          </cell>
          <cell r="D2214">
            <v>1.8</v>
          </cell>
          <cell r="H2214" t="str">
            <v>petroleum</v>
          </cell>
        </row>
        <row r="2215">
          <cell r="C2215" t="str">
            <v>IC</v>
          </cell>
          <cell r="D2215">
            <v>2</v>
          </cell>
          <cell r="H2215" t="str">
            <v>petroleum</v>
          </cell>
        </row>
        <row r="2216">
          <cell r="C2216" t="str">
            <v>IC</v>
          </cell>
          <cell r="D2216">
            <v>2</v>
          </cell>
          <cell r="H2216" t="str">
            <v>petroleum</v>
          </cell>
        </row>
        <row r="2217">
          <cell r="C2217" t="str">
            <v>IC</v>
          </cell>
          <cell r="D2217">
            <v>2</v>
          </cell>
          <cell r="H2217" t="str">
            <v>petroleum</v>
          </cell>
        </row>
        <row r="2218">
          <cell r="C2218" t="str">
            <v>IC</v>
          </cell>
          <cell r="D2218">
            <v>2</v>
          </cell>
          <cell r="H2218" t="str">
            <v>petroleum</v>
          </cell>
        </row>
        <row r="2219">
          <cell r="C2219" t="str">
            <v>IC</v>
          </cell>
          <cell r="D2219">
            <v>2</v>
          </cell>
          <cell r="H2219" t="str">
            <v>petroleum</v>
          </cell>
        </row>
        <row r="2220">
          <cell r="C2220" t="str">
            <v>IC</v>
          </cell>
          <cell r="D2220">
            <v>6</v>
          </cell>
          <cell r="H2220" t="str">
            <v>petroleum</v>
          </cell>
        </row>
        <row r="2221">
          <cell r="C2221" t="str">
            <v>IC</v>
          </cell>
          <cell r="D2221">
            <v>1.1000000000000001</v>
          </cell>
          <cell r="H2221" t="str">
            <v>petroleum</v>
          </cell>
        </row>
        <row r="2222">
          <cell r="C2222" t="str">
            <v>IC</v>
          </cell>
          <cell r="D2222">
            <v>1.1000000000000001</v>
          </cell>
          <cell r="H2222" t="str">
            <v>petroleum</v>
          </cell>
        </row>
        <row r="2223">
          <cell r="C2223" t="str">
            <v>IC</v>
          </cell>
          <cell r="D2223">
            <v>0.6</v>
          </cell>
          <cell r="H2223" t="str">
            <v>petroleum</v>
          </cell>
        </row>
        <row r="2224">
          <cell r="C2224" t="str">
            <v>IC</v>
          </cell>
          <cell r="D2224">
            <v>1.1000000000000001</v>
          </cell>
          <cell r="H2224" t="str">
            <v>petroleum</v>
          </cell>
        </row>
        <row r="2225">
          <cell r="C2225" t="str">
            <v>IC</v>
          </cell>
          <cell r="D2225">
            <v>3</v>
          </cell>
          <cell r="H2225" t="str">
            <v>petroleum</v>
          </cell>
        </row>
        <row r="2226">
          <cell r="C2226" t="str">
            <v>IC</v>
          </cell>
          <cell r="D2226">
            <v>1.8</v>
          </cell>
          <cell r="H2226" t="str">
            <v>petroleum</v>
          </cell>
        </row>
        <row r="2227">
          <cell r="C2227" t="str">
            <v>GT</v>
          </cell>
          <cell r="D2227">
            <v>50.6</v>
          </cell>
          <cell r="H2227" t="str">
            <v>natural gas peaker</v>
          </cell>
        </row>
        <row r="2228">
          <cell r="C2228" t="str">
            <v>GT</v>
          </cell>
          <cell r="D2228">
            <v>52.2</v>
          </cell>
          <cell r="H2228" t="str">
            <v>petroleum</v>
          </cell>
        </row>
        <row r="2229">
          <cell r="C2229" t="str">
            <v>GT</v>
          </cell>
          <cell r="D2229">
            <v>51.9</v>
          </cell>
          <cell r="H2229" t="str">
            <v>natural gas peaker</v>
          </cell>
        </row>
        <row r="2230">
          <cell r="C2230" t="str">
            <v>IC</v>
          </cell>
          <cell r="D2230">
            <v>0.8</v>
          </cell>
          <cell r="H2230" t="str">
            <v>natural gas peaker</v>
          </cell>
        </row>
        <row r="2231">
          <cell r="C2231" t="str">
            <v>IC</v>
          </cell>
          <cell r="D2231">
            <v>1.1000000000000001</v>
          </cell>
          <cell r="H2231" t="str">
            <v>natural gas peaker</v>
          </cell>
        </row>
        <row r="2232">
          <cell r="C2232" t="str">
            <v>IC</v>
          </cell>
          <cell r="D2232">
            <v>1.3</v>
          </cell>
          <cell r="H2232" t="str">
            <v>natural gas peaker</v>
          </cell>
        </row>
        <row r="2233">
          <cell r="C2233" t="str">
            <v>IC</v>
          </cell>
          <cell r="D2233">
            <v>1.5</v>
          </cell>
          <cell r="H2233" t="str">
            <v>petroleum</v>
          </cell>
        </row>
        <row r="2234">
          <cell r="C2234" t="str">
            <v>IC</v>
          </cell>
          <cell r="D2234">
            <v>1.9</v>
          </cell>
          <cell r="H2234" t="str">
            <v>natural gas peaker</v>
          </cell>
        </row>
        <row r="2235">
          <cell r="C2235" t="str">
            <v>IC</v>
          </cell>
          <cell r="D2235">
            <v>1.2</v>
          </cell>
          <cell r="H2235" t="str">
            <v>natural gas peaker</v>
          </cell>
        </row>
        <row r="2236">
          <cell r="C2236" t="str">
            <v>IC</v>
          </cell>
          <cell r="D2236">
            <v>0.5</v>
          </cell>
          <cell r="H2236" t="str">
            <v>natural gas peaker</v>
          </cell>
        </row>
        <row r="2237">
          <cell r="C2237" t="str">
            <v>IC</v>
          </cell>
          <cell r="D2237">
            <v>1.8</v>
          </cell>
          <cell r="H2237" t="str">
            <v>natural gas peaker</v>
          </cell>
        </row>
        <row r="2238">
          <cell r="C2238" t="str">
            <v>IC</v>
          </cell>
          <cell r="D2238">
            <v>2.7</v>
          </cell>
          <cell r="H2238" t="str">
            <v>natural gas peaker</v>
          </cell>
        </row>
        <row r="2239">
          <cell r="C2239" t="str">
            <v>IC</v>
          </cell>
          <cell r="D2239">
            <v>1.8</v>
          </cell>
          <cell r="H2239" t="str">
            <v>petroleum</v>
          </cell>
        </row>
        <row r="2240">
          <cell r="C2240" t="str">
            <v>IC</v>
          </cell>
          <cell r="D2240">
            <v>0.9</v>
          </cell>
          <cell r="H2240" t="str">
            <v>petroleum</v>
          </cell>
        </row>
        <row r="2241">
          <cell r="C2241" t="str">
            <v>IC</v>
          </cell>
          <cell r="D2241">
            <v>0.6</v>
          </cell>
          <cell r="H2241" t="str">
            <v>petroleum</v>
          </cell>
        </row>
        <row r="2242">
          <cell r="C2242" t="str">
            <v>IC</v>
          </cell>
          <cell r="D2242">
            <v>1.2</v>
          </cell>
          <cell r="H2242" t="str">
            <v>petroleum</v>
          </cell>
        </row>
        <row r="2243">
          <cell r="C2243" t="str">
            <v>IC</v>
          </cell>
          <cell r="D2243">
            <v>1.3</v>
          </cell>
          <cell r="H2243" t="str">
            <v>petroleum</v>
          </cell>
        </row>
        <row r="2244">
          <cell r="C2244" t="str">
            <v>IC</v>
          </cell>
          <cell r="D2244">
            <v>1.2</v>
          </cell>
          <cell r="H2244" t="str">
            <v>petroleum</v>
          </cell>
        </row>
        <row r="2245">
          <cell r="C2245" t="str">
            <v>IC</v>
          </cell>
          <cell r="D2245">
            <v>0.9</v>
          </cell>
          <cell r="H2245" t="str">
            <v>natural gas peaker</v>
          </cell>
        </row>
        <row r="2246">
          <cell r="C2246" t="str">
            <v>IC</v>
          </cell>
          <cell r="D2246">
            <v>0.7</v>
          </cell>
          <cell r="H2246" t="str">
            <v>petroleum</v>
          </cell>
        </row>
        <row r="2247">
          <cell r="C2247" t="str">
            <v>IC</v>
          </cell>
          <cell r="D2247">
            <v>1.1000000000000001</v>
          </cell>
          <cell r="H2247" t="str">
            <v>natural gas peaker</v>
          </cell>
        </row>
        <row r="2248">
          <cell r="C2248" t="str">
            <v>IC</v>
          </cell>
          <cell r="D2248">
            <v>1.9</v>
          </cell>
          <cell r="H2248" t="str">
            <v>natural gas peaker</v>
          </cell>
        </row>
        <row r="2249">
          <cell r="C2249" t="str">
            <v>IC</v>
          </cell>
          <cell r="D2249">
            <v>1.9</v>
          </cell>
          <cell r="H2249" t="str">
            <v>natural gas peaker</v>
          </cell>
        </row>
        <row r="2250">
          <cell r="C2250" t="str">
            <v>IC</v>
          </cell>
          <cell r="D2250">
            <v>1.5</v>
          </cell>
          <cell r="H2250" t="str">
            <v>natural gas peaker</v>
          </cell>
        </row>
        <row r="2251">
          <cell r="C2251" t="str">
            <v>IC</v>
          </cell>
          <cell r="D2251">
            <v>0.7</v>
          </cell>
          <cell r="H2251" t="str">
            <v>petroleum</v>
          </cell>
        </row>
        <row r="2252">
          <cell r="C2252" t="str">
            <v>IC</v>
          </cell>
          <cell r="D2252">
            <v>1.9</v>
          </cell>
          <cell r="H2252" t="str">
            <v>natural gas peaker</v>
          </cell>
        </row>
        <row r="2253">
          <cell r="C2253" t="str">
            <v>IC</v>
          </cell>
          <cell r="D2253">
            <v>0.9</v>
          </cell>
          <cell r="H2253" t="str">
            <v>natural gas peaker</v>
          </cell>
        </row>
        <row r="2254">
          <cell r="C2254" t="str">
            <v>IC</v>
          </cell>
          <cell r="D2254">
            <v>1.8</v>
          </cell>
          <cell r="H2254" t="str">
            <v>petroleum</v>
          </cell>
        </row>
        <row r="2255">
          <cell r="C2255" t="str">
            <v>IC</v>
          </cell>
          <cell r="D2255">
            <v>1</v>
          </cell>
          <cell r="H2255" t="str">
            <v>petroleum</v>
          </cell>
        </row>
        <row r="2256">
          <cell r="C2256" t="str">
            <v>IC</v>
          </cell>
          <cell r="D2256">
            <v>2.8</v>
          </cell>
          <cell r="H2256" t="str">
            <v>petroleum</v>
          </cell>
        </row>
        <row r="2257">
          <cell r="C2257" t="str">
            <v>IC</v>
          </cell>
          <cell r="D2257">
            <v>1.4</v>
          </cell>
          <cell r="H2257" t="str">
            <v>petroleum</v>
          </cell>
        </row>
        <row r="2258">
          <cell r="C2258" t="str">
            <v>IC</v>
          </cell>
          <cell r="D2258">
            <v>1.2</v>
          </cell>
          <cell r="H2258" t="str">
            <v>petroleum</v>
          </cell>
        </row>
        <row r="2259">
          <cell r="C2259" t="str">
            <v>IC</v>
          </cell>
          <cell r="D2259">
            <v>0.6</v>
          </cell>
          <cell r="H2259" t="str">
            <v>petroleum</v>
          </cell>
        </row>
        <row r="2260">
          <cell r="C2260" t="str">
            <v>IC</v>
          </cell>
          <cell r="D2260">
            <v>0.4</v>
          </cell>
          <cell r="H2260" t="str">
            <v>natural gas peaker</v>
          </cell>
        </row>
        <row r="2261">
          <cell r="C2261" t="str">
            <v>IC</v>
          </cell>
          <cell r="D2261">
            <v>0.4</v>
          </cell>
          <cell r="H2261" t="str">
            <v>natural gas peaker</v>
          </cell>
        </row>
        <row r="2262">
          <cell r="C2262" t="str">
            <v>IC</v>
          </cell>
          <cell r="D2262">
            <v>0.6</v>
          </cell>
          <cell r="H2262" t="str">
            <v>natural gas peaker</v>
          </cell>
        </row>
        <row r="2263">
          <cell r="C2263" t="str">
            <v>GT</v>
          </cell>
          <cell r="D2263">
            <v>8</v>
          </cell>
          <cell r="H2263" t="str">
            <v>natural gas peaker</v>
          </cell>
        </row>
        <row r="2264">
          <cell r="C2264" t="str">
            <v>IC</v>
          </cell>
          <cell r="D2264">
            <v>3.2</v>
          </cell>
          <cell r="H2264" t="str">
            <v>natural gas peaker</v>
          </cell>
        </row>
        <row r="2265">
          <cell r="C2265" t="str">
            <v>IC</v>
          </cell>
          <cell r="D2265">
            <v>3</v>
          </cell>
          <cell r="H2265" t="str">
            <v>natural gas peaker</v>
          </cell>
        </row>
        <row r="2266">
          <cell r="C2266" t="str">
            <v>IC</v>
          </cell>
          <cell r="D2266">
            <v>5.9</v>
          </cell>
          <cell r="H2266" t="str">
            <v>natural gas peaker</v>
          </cell>
        </row>
        <row r="2267">
          <cell r="C2267" t="str">
            <v>IC</v>
          </cell>
          <cell r="D2267">
            <v>5.9</v>
          </cell>
          <cell r="H2267" t="str">
            <v>natural gas peaker</v>
          </cell>
        </row>
        <row r="2268">
          <cell r="C2268" t="str">
            <v>ST</v>
          </cell>
          <cell r="D2268">
            <v>13</v>
          </cell>
          <cell r="H2268" t="str">
            <v>natural gas peaker</v>
          </cell>
        </row>
        <row r="2269">
          <cell r="C2269" t="str">
            <v>IC</v>
          </cell>
          <cell r="D2269">
            <v>1.5</v>
          </cell>
          <cell r="H2269" t="str">
            <v>petroleum</v>
          </cell>
        </row>
        <row r="2270">
          <cell r="C2270" t="str">
            <v>IC</v>
          </cell>
          <cell r="D2270">
            <v>3.2</v>
          </cell>
          <cell r="H2270" t="str">
            <v>natural gas peaker</v>
          </cell>
        </row>
        <row r="2271">
          <cell r="C2271" t="str">
            <v>IC</v>
          </cell>
          <cell r="D2271">
            <v>3.2</v>
          </cell>
          <cell r="H2271" t="str">
            <v>natural gas peaker</v>
          </cell>
        </row>
        <row r="2272">
          <cell r="C2272" t="str">
            <v>IC</v>
          </cell>
          <cell r="D2272">
            <v>3</v>
          </cell>
          <cell r="H2272" t="str">
            <v>natural gas peaker</v>
          </cell>
        </row>
        <row r="2273">
          <cell r="C2273" t="str">
            <v>IC</v>
          </cell>
          <cell r="D2273">
            <v>2.5</v>
          </cell>
          <cell r="H2273" t="str">
            <v>petroleum</v>
          </cell>
        </row>
        <row r="2274">
          <cell r="C2274" t="str">
            <v>IC</v>
          </cell>
          <cell r="D2274">
            <v>2.5</v>
          </cell>
          <cell r="H2274" t="str">
            <v>petroleum</v>
          </cell>
        </row>
        <row r="2275">
          <cell r="C2275" t="str">
            <v>IC</v>
          </cell>
          <cell r="D2275">
            <v>2.7</v>
          </cell>
          <cell r="H2275" t="str">
            <v>petroleum</v>
          </cell>
        </row>
        <row r="2276">
          <cell r="C2276" t="str">
            <v>IC</v>
          </cell>
          <cell r="D2276">
            <v>4.0999999999999996</v>
          </cell>
          <cell r="H2276" t="str">
            <v>natural gas peaker</v>
          </cell>
        </row>
        <row r="2277">
          <cell r="C2277" t="str">
            <v>IC</v>
          </cell>
          <cell r="D2277">
            <v>1.2</v>
          </cell>
          <cell r="H2277" t="str">
            <v>petroleum</v>
          </cell>
        </row>
        <row r="2278">
          <cell r="C2278" t="str">
            <v>IC</v>
          </cell>
          <cell r="D2278">
            <v>0.6</v>
          </cell>
          <cell r="H2278" t="str">
            <v>petroleum</v>
          </cell>
        </row>
        <row r="2279">
          <cell r="C2279" t="str">
            <v>IC</v>
          </cell>
          <cell r="D2279">
            <v>0.7</v>
          </cell>
          <cell r="H2279" t="str">
            <v>petroleum</v>
          </cell>
        </row>
        <row r="2280">
          <cell r="C2280" t="str">
            <v>IC</v>
          </cell>
          <cell r="D2280">
            <v>1.2</v>
          </cell>
          <cell r="H2280" t="str">
            <v>petroleum</v>
          </cell>
        </row>
        <row r="2281">
          <cell r="C2281" t="str">
            <v>IC</v>
          </cell>
          <cell r="D2281">
            <v>1.2</v>
          </cell>
          <cell r="H2281" t="str">
            <v>petroleum</v>
          </cell>
        </row>
        <row r="2282">
          <cell r="C2282" t="str">
            <v>IC</v>
          </cell>
          <cell r="D2282">
            <v>1.8</v>
          </cell>
          <cell r="H2282" t="str">
            <v>petroleum</v>
          </cell>
        </row>
        <row r="2283">
          <cell r="C2283" t="str">
            <v>IC</v>
          </cell>
          <cell r="D2283">
            <v>2.1</v>
          </cell>
          <cell r="H2283" t="str">
            <v>petroleum</v>
          </cell>
        </row>
        <row r="2284">
          <cell r="C2284" t="str">
            <v>IC</v>
          </cell>
          <cell r="D2284">
            <v>2.1</v>
          </cell>
          <cell r="H2284" t="str">
            <v>petroleum</v>
          </cell>
        </row>
        <row r="2285">
          <cell r="C2285" t="str">
            <v>IC</v>
          </cell>
          <cell r="D2285">
            <v>1</v>
          </cell>
          <cell r="H2285" t="str">
            <v>petroleum</v>
          </cell>
        </row>
        <row r="2286">
          <cell r="C2286" t="str">
            <v>IC</v>
          </cell>
          <cell r="D2286">
            <v>1.5</v>
          </cell>
          <cell r="H2286" t="str">
            <v>petroleum</v>
          </cell>
        </row>
        <row r="2287">
          <cell r="C2287" t="str">
            <v>IC</v>
          </cell>
          <cell r="D2287">
            <v>2.7</v>
          </cell>
          <cell r="H2287" t="str">
            <v>petroleum</v>
          </cell>
        </row>
        <row r="2288">
          <cell r="C2288" t="str">
            <v>IC</v>
          </cell>
          <cell r="D2288">
            <v>0.9</v>
          </cell>
          <cell r="H2288" t="str">
            <v>petroleum</v>
          </cell>
        </row>
        <row r="2289">
          <cell r="C2289" t="str">
            <v>IC</v>
          </cell>
          <cell r="D2289">
            <v>1.3</v>
          </cell>
          <cell r="H2289" t="str">
            <v>petroleum</v>
          </cell>
        </row>
        <row r="2290">
          <cell r="C2290" t="str">
            <v>IC</v>
          </cell>
          <cell r="D2290">
            <v>1.7</v>
          </cell>
          <cell r="H2290" t="str">
            <v>petroleum</v>
          </cell>
        </row>
        <row r="2291">
          <cell r="C2291" t="str">
            <v>IC</v>
          </cell>
          <cell r="D2291">
            <v>2</v>
          </cell>
          <cell r="H2291" t="str">
            <v>petroleum</v>
          </cell>
        </row>
        <row r="2292">
          <cell r="C2292" t="str">
            <v>IC</v>
          </cell>
          <cell r="D2292">
            <v>1</v>
          </cell>
          <cell r="H2292" t="str">
            <v>natural gas peaker</v>
          </cell>
        </row>
        <row r="2293">
          <cell r="C2293" t="str">
            <v>IC</v>
          </cell>
          <cell r="D2293">
            <v>1</v>
          </cell>
          <cell r="H2293" t="str">
            <v>natural gas peaker</v>
          </cell>
        </row>
        <row r="2294">
          <cell r="C2294" t="str">
            <v>IC</v>
          </cell>
          <cell r="D2294">
            <v>0.4</v>
          </cell>
          <cell r="H2294" t="str">
            <v>natural gas peaker</v>
          </cell>
        </row>
        <row r="2295">
          <cell r="C2295" t="str">
            <v>IC</v>
          </cell>
          <cell r="D2295">
            <v>0.6</v>
          </cell>
          <cell r="H2295" t="str">
            <v>natural gas peaker</v>
          </cell>
        </row>
        <row r="2296">
          <cell r="C2296" t="str">
            <v>IC</v>
          </cell>
          <cell r="D2296">
            <v>1.4</v>
          </cell>
          <cell r="H2296" t="str">
            <v>petroleum</v>
          </cell>
        </row>
        <row r="2297">
          <cell r="C2297" t="str">
            <v>IC</v>
          </cell>
          <cell r="D2297">
            <v>1.1000000000000001</v>
          </cell>
          <cell r="H2297" t="str">
            <v>petroleum</v>
          </cell>
        </row>
        <row r="2298">
          <cell r="C2298" t="str">
            <v>IC</v>
          </cell>
          <cell r="D2298">
            <v>1.3</v>
          </cell>
          <cell r="H2298" t="str">
            <v>petroleum</v>
          </cell>
        </row>
        <row r="2299">
          <cell r="C2299" t="str">
            <v>IC</v>
          </cell>
          <cell r="D2299">
            <v>0.4</v>
          </cell>
          <cell r="H2299" t="str">
            <v>petroleum</v>
          </cell>
        </row>
        <row r="2300">
          <cell r="C2300" t="str">
            <v>IC</v>
          </cell>
          <cell r="D2300">
            <v>2.2000000000000002</v>
          </cell>
          <cell r="H2300" t="str">
            <v>petroleum</v>
          </cell>
        </row>
        <row r="2301">
          <cell r="C2301" t="str">
            <v>IC</v>
          </cell>
          <cell r="D2301">
            <v>0.8</v>
          </cell>
          <cell r="H2301" t="str">
            <v>petroleum</v>
          </cell>
        </row>
        <row r="2302">
          <cell r="C2302" t="str">
            <v>IC</v>
          </cell>
          <cell r="D2302">
            <v>1.2</v>
          </cell>
          <cell r="H2302" t="str">
            <v>petroleum</v>
          </cell>
        </row>
        <row r="2303">
          <cell r="C2303" t="str">
            <v>IC</v>
          </cell>
          <cell r="D2303">
            <v>1.2</v>
          </cell>
          <cell r="H2303" t="str">
            <v>petroleum</v>
          </cell>
        </row>
        <row r="2304">
          <cell r="C2304" t="str">
            <v>IC</v>
          </cell>
          <cell r="D2304">
            <v>1.2</v>
          </cell>
          <cell r="H2304" t="str">
            <v>petroleum</v>
          </cell>
        </row>
        <row r="2305">
          <cell r="C2305" t="str">
            <v>IC</v>
          </cell>
          <cell r="D2305">
            <v>0.9</v>
          </cell>
          <cell r="H2305" t="str">
            <v>natural gas peaker</v>
          </cell>
        </row>
        <row r="2306">
          <cell r="C2306" t="str">
            <v>IC</v>
          </cell>
          <cell r="D2306">
            <v>0.9</v>
          </cell>
          <cell r="H2306" t="str">
            <v>natural gas peaker</v>
          </cell>
        </row>
        <row r="2307">
          <cell r="C2307" t="str">
            <v>IC</v>
          </cell>
          <cell r="D2307">
            <v>1.7</v>
          </cell>
          <cell r="H2307" t="str">
            <v>natural gas peaker</v>
          </cell>
        </row>
        <row r="2308">
          <cell r="C2308" t="str">
            <v>IC</v>
          </cell>
          <cell r="D2308">
            <v>0.5</v>
          </cell>
          <cell r="H2308" t="str">
            <v>natural gas peaker</v>
          </cell>
        </row>
        <row r="2309">
          <cell r="C2309" t="str">
            <v>IC</v>
          </cell>
          <cell r="D2309">
            <v>1</v>
          </cell>
          <cell r="H2309" t="str">
            <v>natural gas peaker</v>
          </cell>
        </row>
        <row r="2310">
          <cell r="C2310" t="str">
            <v>IC</v>
          </cell>
          <cell r="D2310">
            <v>1.3</v>
          </cell>
          <cell r="H2310" t="str">
            <v>natural gas peaker</v>
          </cell>
        </row>
        <row r="2311">
          <cell r="C2311" t="str">
            <v>IC</v>
          </cell>
          <cell r="D2311">
            <v>3.2</v>
          </cell>
          <cell r="H2311" t="str">
            <v>natural gas peaker</v>
          </cell>
        </row>
        <row r="2312">
          <cell r="C2312" t="str">
            <v>IC</v>
          </cell>
          <cell r="D2312">
            <v>1.3</v>
          </cell>
          <cell r="H2312" t="str">
            <v>natural gas peaker</v>
          </cell>
        </row>
        <row r="2313">
          <cell r="C2313" t="str">
            <v>IC</v>
          </cell>
          <cell r="D2313">
            <v>1.1000000000000001</v>
          </cell>
          <cell r="H2313" t="str">
            <v>natural gas peaker</v>
          </cell>
        </row>
        <row r="2314">
          <cell r="C2314" t="str">
            <v>IC</v>
          </cell>
          <cell r="D2314">
            <v>2</v>
          </cell>
          <cell r="H2314" t="str">
            <v>natural gas peaker</v>
          </cell>
        </row>
        <row r="2315">
          <cell r="C2315" t="str">
            <v>IC</v>
          </cell>
          <cell r="D2315">
            <v>2.4</v>
          </cell>
          <cell r="H2315" t="str">
            <v>natural gas peaker</v>
          </cell>
        </row>
        <row r="2316">
          <cell r="C2316" t="str">
            <v>IC</v>
          </cell>
          <cell r="D2316">
            <v>1.3</v>
          </cell>
          <cell r="H2316" t="str">
            <v>natural gas peaker</v>
          </cell>
        </row>
        <row r="2317">
          <cell r="C2317" t="str">
            <v>IC</v>
          </cell>
          <cell r="D2317">
            <v>1.3</v>
          </cell>
          <cell r="H2317" t="str">
            <v>natural gas peaker</v>
          </cell>
        </row>
        <row r="2318">
          <cell r="C2318" t="str">
            <v>IC</v>
          </cell>
          <cell r="D2318">
            <v>1.3</v>
          </cell>
          <cell r="H2318" t="str">
            <v>natural gas peaker</v>
          </cell>
        </row>
        <row r="2319">
          <cell r="C2319" t="str">
            <v>IC</v>
          </cell>
          <cell r="D2319">
            <v>1</v>
          </cell>
          <cell r="H2319" t="str">
            <v>petroleum</v>
          </cell>
        </row>
        <row r="2320">
          <cell r="C2320" t="str">
            <v>IC</v>
          </cell>
          <cell r="D2320">
            <v>0.8</v>
          </cell>
          <cell r="H2320" t="str">
            <v>petroleum</v>
          </cell>
        </row>
        <row r="2321">
          <cell r="C2321" t="str">
            <v>IC</v>
          </cell>
          <cell r="D2321">
            <v>0.7</v>
          </cell>
          <cell r="H2321" t="str">
            <v>petroleum</v>
          </cell>
        </row>
        <row r="2322">
          <cell r="C2322" t="str">
            <v>IC</v>
          </cell>
          <cell r="D2322">
            <v>0.4</v>
          </cell>
          <cell r="H2322" t="str">
            <v>petroleum</v>
          </cell>
        </row>
        <row r="2323">
          <cell r="C2323" t="str">
            <v>IC</v>
          </cell>
          <cell r="D2323">
            <v>1.3</v>
          </cell>
          <cell r="H2323" t="str">
            <v>petroleum</v>
          </cell>
        </row>
        <row r="2324">
          <cell r="C2324" t="str">
            <v>IC</v>
          </cell>
          <cell r="D2324">
            <v>0.9</v>
          </cell>
          <cell r="H2324" t="str">
            <v>petroleum</v>
          </cell>
        </row>
        <row r="2325">
          <cell r="C2325" t="str">
            <v>IC</v>
          </cell>
          <cell r="D2325">
            <v>2.2999999999999998</v>
          </cell>
          <cell r="H2325" t="str">
            <v>petroleum</v>
          </cell>
        </row>
        <row r="2326">
          <cell r="C2326" t="str">
            <v>ST</v>
          </cell>
          <cell r="D2326">
            <v>19.5</v>
          </cell>
          <cell r="H2326" t="str">
            <v>natural gas peaker</v>
          </cell>
        </row>
        <row r="2327">
          <cell r="C2327" t="str">
            <v>IC</v>
          </cell>
          <cell r="D2327">
            <v>2</v>
          </cell>
          <cell r="H2327" t="str">
            <v>petroleum</v>
          </cell>
        </row>
        <row r="2328">
          <cell r="C2328" t="str">
            <v>IC</v>
          </cell>
          <cell r="D2328">
            <v>2</v>
          </cell>
          <cell r="H2328" t="str">
            <v>petroleum</v>
          </cell>
        </row>
        <row r="2329">
          <cell r="C2329" t="str">
            <v>GT</v>
          </cell>
          <cell r="D2329">
            <v>11.1</v>
          </cell>
          <cell r="H2329" t="str">
            <v>natural gas peaker</v>
          </cell>
        </row>
        <row r="2330">
          <cell r="C2330" t="str">
            <v>ST</v>
          </cell>
          <cell r="D2330">
            <v>92.7</v>
          </cell>
          <cell r="H2330" t="str">
            <v>natural gas peaker</v>
          </cell>
        </row>
        <row r="2331">
          <cell r="C2331" t="str">
            <v>GT</v>
          </cell>
          <cell r="D2331">
            <v>12.8</v>
          </cell>
          <cell r="H2331" t="str">
            <v>natural gas peaker</v>
          </cell>
        </row>
        <row r="2332">
          <cell r="C2332" t="str">
            <v>GT</v>
          </cell>
          <cell r="D2332">
            <v>49.4</v>
          </cell>
          <cell r="H2332" t="str">
            <v>natural gas peaker</v>
          </cell>
        </row>
        <row r="2333">
          <cell r="C2333" t="str">
            <v>GT</v>
          </cell>
          <cell r="D2333">
            <v>48.4</v>
          </cell>
          <cell r="H2333" t="str">
            <v>natural gas peaker</v>
          </cell>
        </row>
        <row r="2334">
          <cell r="C2334" t="str">
            <v>ST</v>
          </cell>
          <cell r="D2334">
            <v>260</v>
          </cell>
          <cell r="H2334" t="str">
            <v>natural gas peaker</v>
          </cell>
        </row>
        <row r="2335">
          <cell r="C2335" t="str">
            <v>HY</v>
          </cell>
          <cell r="D2335">
            <v>10.5</v>
          </cell>
          <cell r="H2335" t="str">
            <v>hydro</v>
          </cell>
        </row>
        <row r="2336">
          <cell r="C2336" t="str">
            <v>HY</v>
          </cell>
          <cell r="D2336">
            <v>10.5</v>
          </cell>
          <cell r="H2336" t="str">
            <v>hydro</v>
          </cell>
        </row>
        <row r="2337">
          <cell r="C2337" t="str">
            <v>HY</v>
          </cell>
          <cell r="D2337">
            <v>10.5</v>
          </cell>
          <cell r="H2337" t="str">
            <v>hydro</v>
          </cell>
        </row>
        <row r="2338">
          <cell r="C2338" t="str">
            <v>GT</v>
          </cell>
          <cell r="D2338">
            <v>121</v>
          </cell>
          <cell r="H2338" t="str">
            <v>natural gas peaker</v>
          </cell>
        </row>
        <row r="2339">
          <cell r="C2339" t="str">
            <v>GT</v>
          </cell>
          <cell r="D2339">
            <v>121</v>
          </cell>
          <cell r="H2339" t="str">
            <v>natural gas peaker</v>
          </cell>
        </row>
        <row r="2340">
          <cell r="C2340" t="str">
            <v>ST</v>
          </cell>
          <cell r="D2340">
            <v>412</v>
          </cell>
          <cell r="H2340" t="str">
            <v>hard coal</v>
          </cell>
        </row>
        <row r="2341">
          <cell r="C2341" t="str">
            <v>GT</v>
          </cell>
          <cell r="D2341">
            <v>130</v>
          </cell>
          <cell r="H2341" t="str">
            <v>natural gas peaker</v>
          </cell>
        </row>
        <row r="2342">
          <cell r="C2342" t="str">
            <v>GT</v>
          </cell>
          <cell r="D2342">
            <v>146</v>
          </cell>
          <cell r="H2342" t="str">
            <v>natural gas peaker</v>
          </cell>
        </row>
        <row r="2343">
          <cell r="C2343" t="str">
            <v>GT</v>
          </cell>
          <cell r="D2343">
            <v>146</v>
          </cell>
          <cell r="H2343" t="str">
            <v>natural gas peaker</v>
          </cell>
        </row>
        <row r="2344">
          <cell r="C2344" t="str">
            <v>GT</v>
          </cell>
          <cell r="D2344">
            <v>121</v>
          </cell>
          <cell r="H2344" t="str">
            <v>natural gas peaker</v>
          </cell>
        </row>
        <row r="2345">
          <cell r="C2345" t="str">
            <v>GT</v>
          </cell>
          <cell r="D2345">
            <v>121</v>
          </cell>
          <cell r="H2345" t="str">
            <v>natural gas peaker</v>
          </cell>
        </row>
        <row r="2346">
          <cell r="C2346" t="str">
            <v>PV</v>
          </cell>
          <cell r="D2346">
            <v>10</v>
          </cell>
          <cell r="H2346" t="str">
            <v>solar PV</v>
          </cell>
        </row>
        <row r="2347">
          <cell r="C2347" t="str">
            <v>ST</v>
          </cell>
          <cell r="D2347">
            <v>474</v>
          </cell>
          <cell r="H2347" t="str">
            <v>hard coal</v>
          </cell>
        </row>
        <row r="2348">
          <cell r="C2348" t="str">
            <v>ST</v>
          </cell>
          <cell r="D2348">
            <v>495</v>
          </cell>
          <cell r="H2348" t="str">
            <v>hard coal</v>
          </cell>
        </row>
        <row r="2349">
          <cell r="C2349" t="str">
            <v>ST</v>
          </cell>
          <cell r="D2349">
            <v>485</v>
          </cell>
          <cell r="H2349" t="str">
            <v>hard coal</v>
          </cell>
        </row>
        <row r="2350">
          <cell r="C2350" t="str">
            <v>ST</v>
          </cell>
          <cell r="D2350">
            <v>465</v>
          </cell>
          <cell r="H2350" t="str">
            <v>hard coal</v>
          </cell>
        </row>
        <row r="2351">
          <cell r="C2351" t="str">
            <v>GT</v>
          </cell>
          <cell r="D2351">
            <v>12</v>
          </cell>
          <cell r="H2351" t="str">
            <v>natural gas peaker</v>
          </cell>
        </row>
        <row r="2352">
          <cell r="C2352" t="str">
            <v>GT</v>
          </cell>
          <cell r="D2352">
            <v>12</v>
          </cell>
          <cell r="H2352" t="str">
            <v>natural gas peaker</v>
          </cell>
        </row>
        <row r="2353">
          <cell r="C2353" t="str">
            <v>HY</v>
          </cell>
          <cell r="D2353">
            <v>0.7</v>
          </cell>
          <cell r="H2353" t="str">
            <v>hydro</v>
          </cell>
        </row>
        <row r="2354">
          <cell r="C2354" t="str">
            <v>HY</v>
          </cell>
          <cell r="D2354">
            <v>0.9</v>
          </cell>
          <cell r="H2354" t="str">
            <v>hydro</v>
          </cell>
        </row>
        <row r="2355">
          <cell r="C2355" t="str">
            <v>HY</v>
          </cell>
          <cell r="D2355">
            <v>0.7</v>
          </cell>
          <cell r="H2355" t="str">
            <v>hydro</v>
          </cell>
        </row>
        <row r="2356">
          <cell r="C2356" t="str">
            <v>CT</v>
          </cell>
          <cell r="D2356">
            <v>213</v>
          </cell>
          <cell r="H2356" t="str">
            <v>natural gas nonpeaker</v>
          </cell>
        </row>
        <row r="2357">
          <cell r="C2357" t="str">
            <v>CT</v>
          </cell>
          <cell r="D2357">
            <v>213</v>
          </cell>
          <cell r="H2357" t="str">
            <v>natural gas nonpeaker</v>
          </cell>
        </row>
        <row r="2358">
          <cell r="C2358" t="str">
            <v>CA</v>
          </cell>
          <cell r="D2358">
            <v>237</v>
          </cell>
          <cell r="H2358" t="str">
            <v>natural gas nonpeaker</v>
          </cell>
        </row>
        <row r="2359">
          <cell r="C2359" t="str">
            <v>ST</v>
          </cell>
          <cell r="D2359">
            <v>300</v>
          </cell>
          <cell r="H2359" t="str">
            <v>hard coal</v>
          </cell>
        </row>
        <row r="2360">
          <cell r="C2360" t="str">
            <v>ST</v>
          </cell>
          <cell r="D2360">
            <v>297</v>
          </cell>
          <cell r="H2360" t="str">
            <v>hard coal</v>
          </cell>
        </row>
        <row r="2361">
          <cell r="C2361" t="str">
            <v>ST</v>
          </cell>
          <cell r="D2361">
            <v>391</v>
          </cell>
          <cell r="H2361" t="str">
            <v>hard coal</v>
          </cell>
        </row>
        <row r="2362">
          <cell r="C2362" t="str">
            <v>ST</v>
          </cell>
          <cell r="D2362">
            <v>477</v>
          </cell>
          <cell r="H2362" t="str">
            <v>hard coal</v>
          </cell>
        </row>
        <row r="2363">
          <cell r="C2363" t="str">
            <v>HY</v>
          </cell>
          <cell r="D2363">
            <v>12.6</v>
          </cell>
          <cell r="H2363" t="str">
            <v>hydro</v>
          </cell>
        </row>
        <row r="2364">
          <cell r="C2364" t="str">
            <v>HY</v>
          </cell>
          <cell r="D2364">
            <v>12.6</v>
          </cell>
          <cell r="H2364" t="str">
            <v>hydro</v>
          </cell>
        </row>
        <row r="2365">
          <cell r="C2365" t="str">
            <v>HY</v>
          </cell>
          <cell r="D2365">
            <v>12.6</v>
          </cell>
          <cell r="H2365" t="str">
            <v>hydro</v>
          </cell>
        </row>
        <row r="2366">
          <cell r="C2366" t="str">
            <v>HY</v>
          </cell>
          <cell r="D2366">
            <v>12.6</v>
          </cell>
          <cell r="H2366" t="str">
            <v>hydro</v>
          </cell>
        </row>
        <row r="2367">
          <cell r="C2367" t="str">
            <v>HY</v>
          </cell>
          <cell r="D2367">
            <v>12.6</v>
          </cell>
          <cell r="H2367" t="str">
            <v>hydro</v>
          </cell>
        </row>
        <row r="2368">
          <cell r="C2368" t="str">
            <v>HY</v>
          </cell>
          <cell r="D2368">
            <v>12.6</v>
          </cell>
          <cell r="H2368" t="str">
            <v>hydro</v>
          </cell>
        </row>
        <row r="2369">
          <cell r="C2369" t="str">
            <v>HY</v>
          </cell>
          <cell r="D2369">
            <v>12.6</v>
          </cell>
          <cell r="H2369" t="str">
            <v>hydro</v>
          </cell>
        </row>
        <row r="2370">
          <cell r="C2370" t="str">
            <v>HY</v>
          </cell>
          <cell r="D2370">
            <v>12.6</v>
          </cell>
          <cell r="H2370" t="str">
            <v>hydro</v>
          </cell>
        </row>
        <row r="2371">
          <cell r="C2371" t="str">
            <v>GT</v>
          </cell>
          <cell r="D2371">
            <v>12</v>
          </cell>
          <cell r="H2371" t="str">
            <v>natural gas peaker</v>
          </cell>
        </row>
        <row r="2372">
          <cell r="C2372" t="str">
            <v>GT</v>
          </cell>
          <cell r="D2372">
            <v>23</v>
          </cell>
          <cell r="H2372" t="str">
            <v>natural gas peaker</v>
          </cell>
        </row>
        <row r="2373">
          <cell r="C2373" t="str">
            <v>GT</v>
          </cell>
          <cell r="D2373">
            <v>147</v>
          </cell>
          <cell r="H2373" t="str">
            <v>natural gas peaker</v>
          </cell>
        </row>
        <row r="2374">
          <cell r="C2374" t="str">
            <v>GT</v>
          </cell>
          <cell r="D2374">
            <v>14</v>
          </cell>
          <cell r="H2374" t="str">
            <v>natural gas peaker</v>
          </cell>
        </row>
        <row r="2375">
          <cell r="C2375" t="str">
            <v>HY</v>
          </cell>
          <cell r="D2375">
            <v>37</v>
          </cell>
          <cell r="H2375" t="str">
            <v>hydro</v>
          </cell>
        </row>
        <row r="2376">
          <cell r="C2376" t="str">
            <v>HY</v>
          </cell>
          <cell r="D2376">
            <v>37</v>
          </cell>
          <cell r="H2376" t="str">
            <v>hydro</v>
          </cell>
        </row>
        <row r="2377">
          <cell r="C2377" t="str">
            <v>HY</v>
          </cell>
          <cell r="D2377">
            <v>37</v>
          </cell>
          <cell r="H2377" t="str">
            <v>hydro</v>
          </cell>
        </row>
        <row r="2378">
          <cell r="C2378" t="str">
            <v>HY</v>
          </cell>
          <cell r="D2378">
            <v>37</v>
          </cell>
          <cell r="H2378" t="str">
            <v>hydro</v>
          </cell>
        </row>
        <row r="2379">
          <cell r="C2379" t="str">
            <v>ST</v>
          </cell>
          <cell r="D2379">
            <v>137</v>
          </cell>
          <cell r="H2379" t="str">
            <v>hard coal</v>
          </cell>
        </row>
        <row r="2380">
          <cell r="C2380" t="str">
            <v>ST</v>
          </cell>
          <cell r="D2380">
            <v>262.8</v>
          </cell>
          <cell r="H2380" t="str">
            <v>hard coal</v>
          </cell>
        </row>
        <row r="2381">
          <cell r="C2381" t="str">
            <v>IC</v>
          </cell>
          <cell r="D2381">
            <v>1.4</v>
          </cell>
          <cell r="H2381" t="str">
            <v>petroleum</v>
          </cell>
        </row>
        <row r="2382">
          <cell r="C2382" t="str">
            <v>IC</v>
          </cell>
          <cell r="D2382">
            <v>1.4</v>
          </cell>
          <cell r="H2382" t="str">
            <v>petroleum</v>
          </cell>
        </row>
        <row r="2383">
          <cell r="C2383" t="str">
            <v>IC</v>
          </cell>
          <cell r="D2383">
            <v>0.8</v>
          </cell>
          <cell r="H2383" t="str">
            <v>petroleum</v>
          </cell>
        </row>
        <row r="2384">
          <cell r="C2384" t="str">
            <v>IC</v>
          </cell>
          <cell r="D2384">
            <v>1.1000000000000001</v>
          </cell>
          <cell r="H2384" t="str">
            <v>petroleum</v>
          </cell>
        </row>
        <row r="2385">
          <cell r="C2385" t="str">
            <v>IC</v>
          </cell>
          <cell r="D2385">
            <v>1.2</v>
          </cell>
          <cell r="H2385" t="str">
            <v>petroleum</v>
          </cell>
        </row>
        <row r="2386">
          <cell r="C2386" t="str">
            <v>IC</v>
          </cell>
          <cell r="D2386">
            <v>3</v>
          </cell>
          <cell r="H2386" t="str">
            <v>petroleum</v>
          </cell>
        </row>
        <row r="2387">
          <cell r="C2387" t="str">
            <v>IC</v>
          </cell>
          <cell r="D2387">
            <v>3</v>
          </cell>
          <cell r="H2387" t="str">
            <v>petroleum</v>
          </cell>
        </row>
        <row r="2388">
          <cell r="C2388" t="str">
            <v>HY</v>
          </cell>
          <cell r="D2388">
            <v>44</v>
          </cell>
          <cell r="H2388" t="str">
            <v>hydro</v>
          </cell>
        </row>
        <row r="2389">
          <cell r="C2389" t="str">
            <v>HY</v>
          </cell>
          <cell r="D2389">
            <v>45.4</v>
          </cell>
          <cell r="H2389" t="str">
            <v>hydro</v>
          </cell>
        </row>
        <row r="2390">
          <cell r="C2390" t="str">
            <v>HY</v>
          </cell>
          <cell r="D2390">
            <v>44.9</v>
          </cell>
          <cell r="H2390" t="str">
            <v>hydro</v>
          </cell>
        </row>
        <row r="2391">
          <cell r="C2391" t="str">
            <v>HY</v>
          </cell>
          <cell r="D2391">
            <v>43.1</v>
          </cell>
          <cell r="H2391" t="str">
            <v>hydro</v>
          </cell>
        </row>
        <row r="2392">
          <cell r="C2392" t="str">
            <v>HY</v>
          </cell>
          <cell r="D2392">
            <v>45.1</v>
          </cell>
          <cell r="H2392" t="str">
            <v>hydro</v>
          </cell>
        </row>
        <row r="2393">
          <cell r="C2393" t="str">
            <v>ST</v>
          </cell>
          <cell r="D2393">
            <v>971</v>
          </cell>
          <cell r="H2393" t="str">
            <v>hard coal</v>
          </cell>
        </row>
        <row r="2394">
          <cell r="C2394" t="str">
            <v>CT</v>
          </cell>
          <cell r="D2394">
            <v>211</v>
          </cell>
          <cell r="H2394" t="str">
            <v>natural gas nonpeaker</v>
          </cell>
        </row>
        <row r="2395">
          <cell r="C2395" t="str">
            <v>CT</v>
          </cell>
          <cell r="D2395">
            <v>211</v>
          </cell>
          <cell r="H2395" t="str">
            <v>natural gas nonpeaker</v>
          </cell>
        </row>
        <row r="2396">
          <cell r="C2396" t="str">
            <v>CT</v>
          </cell>
          <cell r="D2396">
            <v>211</v>
          </cell>
          <cell r="H2396" t="str">
            <v>natural gas nonpeaker</v>
          </cell>
        </row>
        <row r="2397">
          <cell r="C2397" t="str">
            <v>CA</v>
          </cell>
          <cell r="D2397">
            <v>467</v>
          </cell>
          <cell r="H2397" t="str">
            <v>natural gas nonpeaker</v>
          </cell>
        </row>
        <row r="2398">
          <cell r="C2398" t="str">
            <v>ST</v>
          </cell>
          <cell r="D2398">
            <v>134</v>
          </cell>
          <cell r="H2398" t="str">
            <v>hard coal</v>
          </cell>
        </row>
        <row r="2399">
          <cell r="C2399" t="str">
            <v>ST</v>
          </cell>
          <cell r="D2399">
            <v>134</v>
          </cell>
          <cell r="H2399" t="str">
            <v>hard coal</v>
          </cell>
        </row>
        <row r="2400">
          <cell r="C2400" t="str">
            <v>ST</v>
          </cell>
          <cell r="D2400">
            <v>134</v>
          </cell>
          <cell r="H2400" t="str">
            <v>hard coal</v>
          </cell>
        </row>
        <row r="2401">
          <cell r="C2401" t="str">
            <v>ST</v>
          </cell>
          <cell r="D2401">
            <v>134</v>
          </cell>
          <cell r="H2401" t="str">
            <v>hard coal</v>
          </cell>
        </row>
        <row r="2402">
          <cell r="C2402" t="str">
            <v>ST</v>
          </cell>
          <cell r="D2402">
            <v>134</v>
          </cell>
          <cell r="H2402" t="str">
            <v>hard coal</v>
          </cell>
        </row>
        <row r="2403">
          <cell r="C2403" t="str">
            <v>ST</v>
          </cell>
          <cell r="D2403">
            <v>134</v>
          </cell>
          <cell r="H2403" t="str">
            <v>hard coal</v>
          </cell>
        </row>
        <row r="2404">
          <cell r="C2404" t="str">
            <v>ST</v>
          </cell>
          <cell r="D2404">
            <v>134</v>
          </cell>
          <cell r="H2404" t="str">
            <v>hard coal</v>
          </cell>
        </row>
        <row r="2405">
          <cell r="C2405" t="str">
            <v>ST</v>
          </cell>
          <cell r="D2405">
            <v>134</v>
          </cell>
          <cell r="H2405" t="str">
            <v>hard coal</v>
          </cell>
        </row>
        <row r="2406">
          <cell r="C2406" t="str">
            <v>ST</v>
          </cell>
          <cell r="D2406">
            <v>134</v>
          </cell>
          <cell r="H2406" t="str">
            <v>hard coal</v>
          </cell>
        </row>
        <row r="2407">
          <cell r="C2407" t="str">
            <v>HY</v>
          </cell>
          <cell r="D2407">
            <v>52</v>
          </cell>
          <cell r="H2407" t="str">
            <v>hydro</v>
          </cell>
        </row>
        <row r="2408">
          <cell r="C2408" t="str">
            <v>HY</v>
          </cell>
          <cell r="D2408">
            <v>52</v>
          </cell>
          <cell r="H2408" t="str">
            <v>hydro</v>
          </cell>
        </row>
        <row r="2409">
          <cell r="C2409" t="str">
            <v>HY</v>
          </cell>
          <cell r="D2409">
            <v>52</v>
          </cell>
          <cell r="H2409" t="str">
            <v>hydro</v>
          </cell>
        </row>
        <row r="2410">
          <cell r="C2410" t="str">
            <v>HY</v>
          </cell>
          <cell r="D2410">
            <v>52</v>
          </cell>
          <cell r="H2410" t="str">
            <v>hydro</v>
          </cell>
        </row>
        <row r="2411">
          <cell r="C2411" t="str">
            <v>HY</v>
          </cell>
          <cell r="D2411">
            <v>52</v>
          </cell>
          <cell r="H2411" t="str">
            <v>hydro</v>
          </cell>
        </row>
        <row r="2412">
          <cell r="C2412" t="str">
            <v>HY</v>
          </cell>
          <cell r="D2412">
            <v>52</v>
          </cell>
          <cell r="H2412" t="str">
            <v>hydro</v>
          </cell>
        </row>
        <row r="2413">
          <cell r="C2413" t="str">
            <v>ST</v>
          </cell>
          <cell r="D2413">
            <v>150</v>
          </cell>
          <cell r="H2413" t="str">
            <v>hard coal</v>
          </cell>
        </row>
        <row r="2414">
          <cell r="C2414" t="str">
            <v>ST</v>
          </cell>
          <cell r="D2414">
            <v>138</v>
          </cell>
          <cell r="H2414" t="str">
            <v>hard coal</v>
          </cell>
        </row>
        <row r="2415">
          <cell r="C2415" t="str">
            <v>ST</v>
          </cell>
          <cell r="D2415">
            <v>155</v>
          </cell>
          <cell r="H2415" t="str">
            <v>hard coal</v>
          </cell>
        </row>
        <row r="2416">
          <cell r="C2416" t="str">
            <v>ST</v>
          </cell>
          <cell r="D2416">
            <v>65</v>
          </cell>
          <cell r="H2416" t="str">
            <v>hard coal</v>
          </cell>
        </row>
        <row r="2417">
          <cell r="C2417" t="str">
            <v>GT</v>
          </cell>
          <cell r="D2417">
            <v>58</v>
          </cell>
          <cell r="H2417" t="str">
            <v>natural gas peaker</v>
          </cell>
        </row>
        <row r="2418">
          <cell r="C2418" t="str">
            <v>ST</v>
          </cell>
          <cell r="D2418">
            <v>116</v>
          </cell>
          <cell r="H2418" t="str">
            <v>hard coal</v>
          </cell>
        </row>
        <row r="2419">
          <cell r="C2419" t="str">
            <v>ST</v>
          </cell>
          <cell r="D2419">
            <v>225</v>
          </cell>
          <cell r="H2419" t="str">
            <v>hard coal</v>
          </cell>
        </row>
        <row r="2420">
          <cell r="C2420" t="str">
            <v>ST</v>
          </cell>
          <cell r="D2420">
            <v>18</v>
          </cell>
          <cell r="H2420" t="str">
            <v>other</v>
          </cell>
        </row>
        <row r="2421">
          <cell r="C2421" t="str">
            <v>ST</v>
          </cell>
          <cell r="D2421">
            <v>55</v>
          </cell>
          <cell r="H2421" t="str">
            <v>other</v>
          </cell>
        </row>
        <row r="2422">
          <cell r="C2422" t="str">
            <v>ST</v>
          </cell>
          <cell r="D2422">
            <v>55</v>
          </cell>
          <cell r="H2422" t="str">
            <v>other</v>
          </cell>
        </row>
        <row r="2423">
          <cell r="C2423" t="str">
            <v>GT</v>
          </cell>
          <cell r="D2423">
            <v>100</v>
          </cell>
          <cell r="H2423" t="str">
            <v>other</v>
          </cell>
        </row>
        <row r="2424">
          <cell r="C2424" t="str">
            <v>GT</v>
          </cell>
          <cell r="D2424">
            <v>154.4</v>
          </cell>
          <cell r="H2424" t="str">
            <v>other</v>
          </cell>
        </row>
        <row r="2425">
          <cell r="C2425" t="str">
            <v>ST</v>
          </cell>
          <cell r="D2425">
            <v>40</v>
          </cell>
          <cell r="H2425" t="str">
            <v>natural gas peaker</v>
          </cell>
        </row>
        <row r="2426">
          <cell r="C2426" t="str">
            <v>ST</v>
          </cell>
          <cell r="D2426">
            <v>40</v>
          </cell>
          <cell r="H2426" t="str">
            <v>natural gas peaker</v>
          </cell>
        </row>
        <row r="2427">
          <cell r="C2427" t="str">
            <v>ST</v>
          </cell>
          <cell r="D2427">
            <v>58</v>
          </cell>
          <cell r="H2427" t="str">
            <v>natural gas peaker</v>
          </cell>
        </row>
        <row r="2428">
          <cell r="C2428" t="str">
            <v>ST</v>
          </cell>
          <cell r="D2428">
            <v>97.2</v>
          </cell>
          <cell r="H2428" t="str">
            <v>petroleum</v>
          </cell>
        </row>
        <row r="2429">
          <cell r="C2429" t="str">
            <v>ST</v>
          </cell>
          <cell r="D2429">
            <v>93.2</v>
          </cell>
          <cell r="H2429" t="str">
            <v>petroleum</v>
          </cell>
        </row>
        <row r="2430">
          <cell r="C2430" t="str">
            <v>ST</v>
          </cell>
          <cell r="D2430">
            <v>424.7</v>
          </cell>
          <cell r="H2430" t="str">
            <v>natural gas peaker</v>
          </cell>
        </row>
        <row r="2431">
          <cell r="C2431" t="str">
            <v>ST</v>
          </cell>
          <cell r="D2431">
            <v>550</v>
          </cell>
          <cell r="H2431" t="str">
            <v>hard coal</v>
          </cell>
        </row>
        <row r="2432">
          <cell r="C2432" t="str">
            <v>CA</v>
          </cell>
          <cell r="D2432">
            <v>99.5</v>
          </cell>
          <cell r="H2432" t="str">
            <v>natural gas nonpeaker</v>
          </cell>
        </row>
        <row r="2433">
          <cell r="C2433" t="str">
            <v>CA</v>
          </cell>
          <cell r="D2433">
            <v>179.8</v>
          </cell>
          <cell r="H2433" t="str">
            <v>natural gas nonpeaker</v>
          </cell>
        </row>
        <row r="2434">
          <cell r="C2434" t="str">
            <v>CT</v>
          </cell>
          <cell r="D2434">
            <v>152.30000000000001</v>
          </cell>
          <cell r="H2434" t="str">
            <v>natural gas nonpeaker</v>
          </cell>
        </row>
        <row r="2435">
          <cell r="C2435" t="str">
            <v>CT</v>
          </cell>
          <cell r="D2435">
            <v>154.4</v>
          </cell>
          <cell r="H2435" t="str">
            <v>natural gas nonpeaker</v>
          </cell>
        </row>
        <row r="2436">
          <cell r="C2436" t="str">
            <v>CT</v>
          </cell>
          <cell r="D2436">
            <v>151.6</v>
          </cell>
          <cell r="H2436" t="str">
            <v>natural gas nonpeaker</v>
          </cell>
        </row>
        <row r="2437">
          <cell r="C2437" t="str">
            <v>ST</v>
          </cell>
          <cell r="D2437">
            <v>326.60000000000002</v>
          </cell>
          <cell r="H2437" t="str">
            <v>natural gas peaker</v>
          </cell>
        </row>
        <row r="2438">
          <cell r="C2438" t="str">
            <v>GT</v>
          </cell>
          <cell r="D2438">
            <v>34</v>
          </cell>
          <cell r="H2438" t="str">
            <v>natural gas peaker</v>
          </cell>
        </row>
        <row r="2439">
          <cell r="C2439" t="str">
            <v>ST</v>
          </cell>
          <cell r="D2439">
            <v>415</v>
          </cell>
          <cell r="H2439" t="str">
            <v>natural gas peaker</v>
          </cell>
        </row>
        <row r="2440">
          <cell r="C2440" t="str">
            <v>ST</v>
          </cell>
          <cell r="D2440">
            <v>517.4</v>
          </cell>
          <cell r="H2440" t="str">
            <v>natural gas peaker</v>
          </cell>
        </row>
        <row r="2441">
          <cell r="C2441" t="str">
            <v>ST</v>
          </cell>
          <cell r="D2441">
            <v>743.8</v>
          </cell>
          <cell r="H2441" t="str">
            <v>natural gas peaker</v>
          </cell>
        </row>
        <row r="2442">
          <cell r="C2442" t="str">
            <v>ST</v>
          </cell>
          <cell r="D2442">
            <v>729.5</v>
          </cell>
          <cell r="H2442" t="str">
            <v>natural gas peaker</v>
          </cell>
        </row>
        <row r="2443">
          <cell r="C2443" t="str">
            <v>CT</v>
          </cell>
          <cell r="D2443">
            <v>168</v>
          </cell>
          <cell r="H2443" t="str">
            <v>natural gas nonpeaker</v>
          </cell>
        </row>
        <row r="2444">
          <cell r="C2444" t="str">
            <v>CT</v>
          </cell>
          <cell r="D2444">
            <v>168</v>
          </cell>
          <cell r="H2444" t="str">
            <v>natural gas nonpeaker</v>
          </cell>
        </row>
        <row r="2445">
          <cell r="C2445" t="str">
            <v>CA</v>
          </cell>
          <cell r="D2445">
            <v>553.20000000000005</v>
          </cell>
          <cell r="H2445" t="str">
            <v>natural gas nonpeaker</v>
          </cell>
        </row>
        <row r="2446">
          <cell r="C2446" t="str">
            <v>GT</v>
          </cell>
          <cell r="D2446">
            <v>47</v>
          </cell>
          <cell r="H2446" t="str">
            <v>natural gas peaker</v>
          </cell>
        </row>
        <row r="2447">
          <cell r="C2447" t="str">
            <v>ST</v>
          </cell>
          <cell r="D2447">
            <v>110</v>
          </cell>
          <cell r="H2447" t="str">
            <v>natural gas peaker</v>
          </cell>
        </row>
        <row r="2448">
          <cell r="C2448" t="str">
            <v>ST</v>
          </cell>
          <cell r="D2448">
            <v>26</v>
          </cell>
          <cell r="H2448" t="str">
            <v>natural gas peaker</v>
          </cell>
        </row>
        <row r="2449">
          <cell r="C2449" t="str">
            <v>ST</v>
          </cell>
          <cell r="D2449">
            <v>109</v>
          </cell>
          <cell r="H2449" t="str">
            <v>natural gas peaker</v>
          </cell>
        </row>
        <row r="2450">
          <cell r="C2450" t="str">
            <v>ST</v>
          </cell>
          <cell r="D2450">
            <v>108</v>
          </cell>
          <cell r="H2450" t="str">
            <v>natural gas peaker</v>
          </cell>
        </row>
        <row r="2451">
          <cell r="C2451" t="str">
            <v>ST</v>
          </cell>
          <cell r="D2451">
            <v>10</v>
          </cell>
          <cell r="H2451" t="str">
            <v>natural gas peaker</v>
          </cell>
        </row>
        <row r="2452">
          <cell r="C2452" t="str">
            <v>ST</v>
          </cell>
          <cell r="D2452">
            <v>23.5</v>
          </cell>
          <cell r="H2452" t="str">
            <v>natural gas peaker</v>
          </cell>
        </row>
        <row r="2453">
          <cell r="C2453" t="str">
            <v>ST</v>
          </cell>
          <cell r="D2453">
            <v>34</v>
          </cell>
          <cell r="H2453" t="str">
            <v>natural gas peaker</v>
          </cell>
        </row>
        <row r="2454">
          <cell r="C2454" t="str">
            <v>IC</v>
          </cell>
          <cell r="D2454">
            <v>1.8</v>
          </cell>
          <cell r="H2454" t="str">
            <v>natural gas peaker</v>
          </cell>
        </row>
        <row r="2455">
          <cell r="C2455" t="str">
            <v>IC</v>
          </cell>
          <cell r="D2455">
            <v>0.6</v>
          </cell>
          <cell r="H2455" t="str">
            <v>natural gas peaker</v>
          </cell>
        </row>
        <row r="2456">
          <cell r="C2456" t="str">
            <v>IC</v>
          </cell>
          <cell r="D2456">
            <v>0.7</v>
          </cell>
          <cell r="H2456" t="str">
            <v>natural gas peaker</v>
          </cell>
        </row>
        <row r="2457">
          <cell r="C2457" t="str">
            <v>IC</v>
          </cell>
          <cell r="D2457">
            <v>1.2</v>
          </cell>
          <cell r="H2457" t="str">
            <v>natural gas peaker</v>
          </cell>
        </row>
        <row r="2458">
          <cell r="C2458" t="str">
            <v>IC</v>
          </cell>
          <cell r="D2458">
            <v>1.2</v>
          </cell>
          <cell r="H2458" t="str">
            <v>natural gas peaker</v>
          </cell>
        </row>
        <row r="2459">
          <cell r="C2459" t="str">
            <v>IC</v>
          </cell>
          <cell r="D2459">
            <v>1.5</v>
          </cell>
          <cell r="H2459" t="str">
            <v>natural gas peaker</v>
          </cell>
        </row>
        <row r="2460">
          <cell r="C2460" t="str">
            <v>IC</v>
          </cell>
          <cell r="D2460">
            <v>3.4</v>
          </cell>
          <cell r="H2460" t="str">
            <v>petroleum</v>
          </cell>
        </row>
        <row r="2461">
          <cell r="C2461" t="str">
            <v>IC</v>
          </cell>
          <cell r="D2461">
            <v>3.6</v>
          </cell>
          <cell r="H2461" t="str">
            <v>petroleum</v>
          </cell>
        </row>
        <row r="2462">
          <cell r="C2462" t="str">
            <v>ST</v>
          </cell>
          <cell r="D2462">
            <v>110</v>
          </cell>
          <cell r="H2462" t="str">
            <v>natural gas peaker</v>
          </cell>
        </row>
        <row r="2463">
          <cell r="C2463" t="str">
            <v>ST</v>
          </cell>
          <cell r="D2463">
            <v>110</v>
          </cell>
          <cell r="H2463" t="str">
            <v>natural gas peaker</v>
          </cell>
        </row>
        <row r="2464">
          <cell r="C2464" t="str">
            <v>GT</v>
          </cell>
          <cell r="D2464">
            <v>105</v>
          </cell>
          <cell r="H2464" t="str">
            <v>natural gas peaker</v>
          </cell>
        </row>
        <row r="2465">
          <cell r="C2465" t="str">
            <v>GT</v>
          </cell>
          <cell r="D2465">
            <v>105</v>
          </cell>
          <cell r="H2465" t="str">
            <v>natural gas peaker</v>
          </cell>
        </row>
        <row r="2466">
          <cell r="C2466" t="str">
            <v>HY</v>
          </cell>
          <cell r="D2466">
            <v>2.6</v>
          </cell>
          <cell r="H2466" t="str">
            <v>hydro</v>
          </cell>
        </row>
        <row r="2467">
          <cell r="C2467" t="str">
            <v>HY</v>
          </cell>
          <cell r="D2467">
            <v>2.1</v>
          </cell>
          <cell r="H2467" t="str">
            <v>hydro</v>
          </cell>
        </row>
        <row r="2468">
          <cell r="C2468" t="str">
            <v>HY</v>
          </cell>
          <cell r="D2468">
            <v>2.1</v>
          </cell>
          <cell r="H2468" t="str">
            <v>hydro</v>
          </cell>
        </row>
        <row r="2469">
          <cell r="C2469" t="str">
            <v>HY</v>
          </cell>
          <cell r="D2469">
            <v>2.5</v>
          </cell>
          <cell r="H2469" t="str">
            <v>hydro</v>
          </cell>
        </row>
        <row r="2470">
          <cell r="C2470" t="str">
            <v>HY</v>
          </cell>
          <cell r="D2470">
            <v>0.7</v>
          </cell>
          <cell r="H2470" t="str">
            <v>hydro</v>
          </cell>
        </row>
        <row r="2471">
          <cell r="C2471" t="str">
            <v>HY</v>
          </cell>
          <cell r="D2471">
            <v>0.7</v>
          </cell>
          <cell r="H2471" t="str">
            <v>hydro</v>
          </cell>
        </row>
        <row r="2472">
          <cell r="C2472" t="str">
            <v>HY</v>
          </cell>
          <cell r="D2472">
            <v>1.6</v>
          </cell>
          <cell r="H2472" t="str">
            <v>hydro</v>
          </cell>
        </row>
        <row r="2473">
          <cell r="C2473" t="str">
            <v>HY</v>
          </cell>
          <cell r="D2473">
            <v>1.6</v>
          </cell>
          <cell r="H2473" t="str">
            <v>hydro</v>
          </cell>
        </row>
        <row r="2474">
          <cell r="C2474" t="str">
            <v>HY</v>
          </cell>
          <cell r="D2474">
            <v>1.6</v>
          </cell>
          <cell r="H2474" t="str">
            <v>hydro</v>
          </cell>
        </row>
        <row r="2475">
          <cell r="C2475" t="str">
            <v>HY</v>
          </cell>
          <cell r="D2475">
            <v>1.6</v>
          </cell>
          <cell r="H2475" t="str">
            <v>hydro</v>
          </cell>
        </row>
        <row r="2476">
          <cell r="C2476" t="str">
            <v>HY</v>
          </cell>
          <cell r="D2476">
            <v>0.5</v>
          </cell>
          <cell r="H2476" t="str">
            <v>hydro</v>
          </cell>
        </row>
        <row r="2477">
          <cell r="C2477" t="str">
            <v>HY</v>
          </cell>
          <cell r="D2477">
            <v>0.5</v>
          </cell>
          <cell r="H2477" t="str">
            <v>hydro</v>
          </cell>
        </row>
        <row r="2478">
          <cell r="C2478" t="str">
            <v>HY</v>
          </cell>
          <cell r="D2478">
            <v>0.5</v>
          </cell>
          <cell r="H2478" t="str">
            <v>hydro</v>
          </cell>
        </row>
        <row r="2479">
          <cell r="C2479" t="str">
            <v>HY</v>
          </cell>
          <cell r="D2479">
            <v>0.6</v>
          </cell>
          <cell r="H2479" t="str">
            <v>hydro</v>
          </cell>
        </row>
        <row r="2480">
          <cell r="C2480" t="str">
            <v>HY</v>
          </cell>
          <cell r="D2480">
            <v>3.4</v>
          </cell>
          <cell r="H2480" t="str">
            <v>hydro</v>
          </cell>
        </row>
        <row r="2481">
          <cell r="C2481" t="str">
            <v>HY</v>
          </cell>
          <cell r="D2481">
            <v>2</v>
          </cell>
          <cell r="H2481" t="str">
            <v>hydro</v>
          </cell>
        </row>
        <row r="2482">
          <cell r="C2482" t="str">
            <v>HY</v>
          </cell>
          <cell r="D2482">
            <v>2</v>
          </cell>
          <cell r="H2482" t="str">
            <v>hydro</v>
          </cell>
        </row>
        <row r="2483">
          <cell r="C2483" t="str">
            <v>HY</v>
          </cell>
          <cell r="D2483">
            <v>1.5</v>
          </cell>
          <cell r="H2483" t="str">
            <v>hydro</v>
          </cell>
        </row>
        <row r="2484">
          <cell r="C2484" t="str">
            <v>HY</v>
          </cell>
          <cell r="D2484">
            <v>1.5</v>
          </cell>
          <cell r="H2484" t="str">
            <v>hydro</v>
          </cell>
        </row>
        <row r="2485">
          <cell r="C2485" t="str">
            <v>HY</v>
          </cell>
          <cell r="D2485">
            <v>1.5</v>
          </cell>
          <cell r="H2485" t="str">
            <v>hydro</v>
          </cell>
        </row>
        <row r="2486">
          <cell r="C2486" t="str">
            <v>HY</v>
          </cell>
          <cell r="D2486">
            <v>1.5</v>
          </cell>
          <cell r="H2486" t="str">
            <v>hydro</v>
          </cell>
        </row>
        <row r="2487">
          <cell r="C2487" t="str">
            <v>HY</v>
          </cell>
          <cell r="D2487">
            <v>1.5</v>
          </cell>
          <cell r="H2487" t="str">
            <v>hydro</v>
          </cell>
        </row>
        <row r="2488">
          <cell r="C2488" t="str">
            <v>HY</v>
          </cell>
          <cell r="D2488">
            <v>1.5</v>
          </cell>
          <cell r="H2488" t="str">
            <v>hydro</v>
          </cell>
        </row>
        <row r="2489">
          <cell r="C2489" t="str">
            <v>HY</v>
          </cell>
          <cell r="D2489">
            <v>13</v>
          </cell>
          <cell r="H2489" t="str">
            <v>hydro</v>
          </cell>
        </row>
        <row r="2490">
          <cell r="C2490" t="str">
            <v>HY</v>
          </cell>
          <cell r="D2490">
            <v>3.5</v>
          </cell>
          <cell r="H2490" t="str">
            <v>hydro</v>
          </cell>
        </row>
        <row r="2491">
          <cell r="C2491" t="str">
            <v>HY</v>
          </cell>
          <cell r="D2491">
            <v>3.5</v>
          </cell>
          <cell r="H2491" t="str">
            <v>hydro</v>
          </cell>
        </row>
        <row r="2492">
          <cell r="C2492" t="str">
            <v>GT</v>
          </cell>
          <cell r="D2492">
            <v>16</v>
          </cell>
          <cell r="H2492" t="str">
            <v>petroleum</v>
          </cell>
        </row>
        <row r="2493">
          <cell r="C2493" t="str">
            <v>GT</v>
          </cell>
          <cell r="D2493">
            <v>16</v>
          </cell>
          <cell r="H2493" t="str">
            <v>petroleum</v>
          </cell>
        </row>
        <row r="2494">
          <cell r="C2494" t="str">
            <v>HY</v>
          </cell>
          <cell r="D2494">
            <v>8</v>
          </cell>
          <cell r="H2494" t="str">
            <v>hydro</v>
          </cell>
        </row>
        <row r="2495">
          <cell r="C2495" t="str">
            <v>HY</v>
          </cell>
          <cell r="D2495">
            <v>0.7</v>
          </cell>
          <cell r="H2495" t="str">
            <v>hydro</v>
          </cell>
        </row>
        <row r="2496">
          <cell r="C2496" t="str">
            <v>HY</v>
          </cell>
          <cell r="D2496">
            <v>0.7</v>
          </cell>
          <cell r="H2496" t="str">
            <v>hydro</v>
          </cell>
        </row>
        <row r="2497">
          <cell r="C2497" t="str">
            <v>HY</v>
          </cell>
          <cell r="D2497">
            <v>0.8</v>
          </cell>
          <cell r="H2497" t="str">
            <v>hydro</v>
          </cell>
        </row>
        <row r="2498">
          <cell r="C2498" t="str">
            <v>HY</v>
          </cell>
          <cell r="D2498">
            <v>0.7</v>
          </cell>
          <cell r="H2498" t="str">
            <v>hydro</v>
          </cell>
        </row>
        <row r="2499">
          <cell r="C2499" t="str">
            <v>HY</v>
          </cell>
          <cell r="D2499">
            <v>0.7</v>
          </cell>
          <cell r="H2499" t="str">
            <v>hydro</v>
          </cell>
        </row>
        <row r="2500">
          <cell r="C2500" t="str">
            <v>HY</v>
          </cell>
          <cell r="D2500">
            <v>1.7</v>
          </cell>
          <cell r="H2500" t="str">
            <v>hydro</v>
          </cell>
        </row>
        <row r="2501">
          <cell r="C2501" t="str">
            <v>HY</v>
          </cell>
          <cell r="D2501">
            <v>0.9</v>
          </cell>
          <cell r="H2501" t="str">
            <v>hydro</v>
          </cell>
        </row>
        <row r="2502">
          <cell r="C2502" t="str">
            <v>HY</v>
          </cell>
          <cell r="D2502">
            <v>7.2</v>
          </cell>
          <cell r="H2502" t="str">
            <v>hydro</v>
          </cell>
        </row>
        <row r="2503">
          <cell r="C2503" t="str">
            <v>HY</v>
          </cell>
          <cell r="D2503">
            <v>8.1</v>
          </cell>
          <cell r="H2503" t="str">
            <v>hydro</v>
          </cell>
        </row>
        <row r="2504">
          <cell r="C2504" t="str">
            <v>HY</v>
          </cell>
          <cell r="D2504">
            <v>7.9</v>
          </cell>
          <cell r="H2504" t="str">
            <v>hydro</v>
          </cell>
        </row>
        <row r="2505">
          <cell r="C2505" t="str">
            <v>HY</v>
          </cell>
          <cell r="D2505">
            <v>16.8</v>
          </cell>
          <cell r="H2505" t="str">
            <v>hydro</v>
          </cell>
        </row>
        <row r="2506">
          <cell r="C2506" t="str">
            <v>HY</v>
          </cell>
          <cell r="D2506">
            <v>35</v>
          </cell>
          <cell r="H2506" t="str">
            <v>hydro</v>
          </cell>
        </row>
        <row r="2507">
          <cell r="C2507" t="str">
            <v>HY</v>
          </cell>
          <cell r="D2507">
            <v>34.200000000000003</v>
          </cell>
          <cell r="H2507" t="str">
            <v>hydro</v>
          </cell>
        </row>
        <row r="2508">
          <cell r="C2508" t="str">
            <v>HY</v>
          </cell>
          <cell r="D2508">
            <v>1.4</v>
          </cell>
          <cell r="H2508" t="str">
            <v>hydro</v>
          </cell>
        </row>
        <row r="2509">
          <cell r="C2509" t="str">
            <v>HY</v>
          </cell>
          <cell r="D2509">
            <v>3.1</v>
          </cell>
          <cell r="H2509" t="str">
            <v>hydro</v>
          </cell>
        </row>
        <row r="2510">
          <cell r="C2510" t="str">
            <v>HY</v>
          </cell>
          <cell r="D2510">
            <v>8.5</v>
          </cell>
          <cell r="H2510" t="str">
            <v>hydro</v>
          </cell>
        </row>
        <row r="2511">
          <cell r="C2511" t="str">
            <v>HY</v>
          </cell>
          <cell r="D2511">
            <v>2.8</v>
          </cell>
          <cell r="H2511" t="str">
            <v>hydro</v>
          </cell>
        </row>
        <row r="2512">
          <cell r="C2512" t="str">
            <v>HY</v>
          </cell>
          <cell r="D2512">
            <v>1.6</v>
          </cell>
          <cell r="H2512" t="str">
            <v>hydro</v>
          </cell>
        </row>
        <row r="2513">
          <cell r="C2513" t="str">
            <v>HY</v>
          </cell>
          <cell r="D2513">
            <v>1.8</v>
          </cell>
          <cell r="H2513" t="str">
            <v>hydro</v>
          </cell>
        </row>
        <row r="2514">
          <cell r="C2514" t="str">
            <v>HY</v>
          </cell>
          <cell r="D2514">
            <v>1</v>
          </cell>
          <cell r="H2514" t="str">
            <v>hydro</v>
          </cell>
        </row>
        <row r="2515">
          <cell r="C2515" t="str">
            <v>HY</v>
          </cell>
          <cell r="D2515">
            <v>1</v>
          </cell>
          <cell r="H2515" t="str">
            <v>hydro</v>
          </cell>
        </row>
        <row r="2516">
          <cell r="C2516" t="str">
            <v>HY</v>
          </cell>
          <cell r="D2516">
            <v>0.9</v>
          </cell>
          <cell r="H2516" t="str">
            <v>hydro</v>
          </cell>
        </row>
        <row r="2517">
          <cell r="C2517" t="str">
            <v>HY</v>
          </cell>
          <cell r="D2517">
            <v>0.9</v>
          </cell>
          <cell r="H2517" t="str">
            <v>hydro</v>
          </cell>
        </row>
        <row r="2518">
          <cell r="C2518" t="str">
            <v>HY</v>
          </cell>
          <cell r="D2518">
            <v>0.9</v>
          </cell>
          <cell r="H2518" t="str">
            <v>hydro</v>
          </cell>
        </row>
        <row r="2519">
          <cell r="C2519" t="str">
            <v>HY</v>
          </cell>
          <cell r="D2519">
            <v>0.9</v>
          </cell>
          <cell r="H2519" t="str">
            <v>hydro</v>
          </cell>
        </row>
        <row r="2520">
          <cell r="C2520" t="str">
            <v>HY</v>
          </cell>
          <cell r="D2520">
            <v>0.9</v>
          </cell>
          <cell r="H2520" t="str">
            <v>hydro</v>
          </cell>
        </row>
        <row r="2521">
          <cell r="C2521" t="str">
            <v>HY</v>
          </cell>
          <cell r="D2521">
            <v>0.9</v>
          </cell>
          <cell r="H2521" t="str">
            <v>hydro</v>
          </cell>
        </row>
        <row r="2522">
          <cell r="C2522" t="str">
            <v>HY</v>
          </cell>
          <cell r="D2522">
            <v>1.9</v>
          </cell>
          <cell r="H2522" t="str">
            <v>hydro</v>
          </cell>
        </row>
        <row r="2523">
          <cell r="C2523" t="str">
            <v>HY</v>
          </cell>
          <cell r="D2523">
            <v>1.9</v>
          </cell>
          <cell r="H2523" t="str">
            <v>hydro</v>
          </cell>
        </row>
        <row r="2524">
          <cell r="C2524" t="str">
            <v>HY</v>
          </cell>
          <cell r="D2524">
            <v>10.8</v>
          </cell>
          <cell r="H2524" t="str">
            <v>hydro</v>
          </cell>
        </row>
        <row r="2525">
          <cell r="C2525" t="str">
            <v>HY</v>
          </cell>
          <cell r="D2525">
            <v>10.8</v>
          </cell>
          <cell r="H2525" t="str">
            <v>hydro</v>
          </cell>
        </row>
        <row r="2526">
          <cell r="C2526" t="str">
            <v>ST</v>
          </cell>
          <cell r="D2526">
            <v>50.1</v>
          </cell>
          <cell r="H2526" t="str">
            <v>petroleum</v>
          </cell>
        </row>
        <row r="2527">
          <cell r="C2527" t="str">
            <v>ST</v>
          </cell>
          <cell r="D2527">
            <v>47.8</v>
          </cell>
          <cell r="H2527" t="str">
            <v>petroleum</v>
          </cell>
        </row>
        <row r="2528">
          <cell r="C2528" t="str">
            <v>ST</v>
          </cell>
          <cell r="D2528">
            <v>110.9</v>
          </cell>
          <cell r="H2528" t="str">
            <v>petroleum</v>
          </cell>
        </row>
        <row r="2529">
          <cell r="C2529" t="str">
            <v>ST</v>
          </cell>
          <cell r="D2529">
            <v>602.1</v>
          </cell>
          <cell r="H2529" t="str">
            <v>petroleum</v>
          </cell>
        </row>
        <row r="2530">
          <cell r="C2530" t="str">
            <v>BA</v>
          </cell>
          <cell r="D2530">
            <v>16.2</v>
          </cell>
          <cell r="H2530" t="str">
            <v>other</v>
          </cell>
        </row>
        <row r="2531">
          <cell r="C2531" t="str">
            <v>HY</v>
          </cell>
          <cell r="D2531">
            <v>0.6</v>
          </cell>
          <cell r="H2531" t="str">
            <v>hydro</v>
          </cell>
        </row>
        <row r="2532">
          <cell r="C2532" t="str">
            <v>HY</v>
          </cell>
          <cell r="D2532">
            <v>0.6</v>
          </cell>
          <cell r="H2532" t="str">
            <v>hydro</v>
          </cell>
        </row>
        <row r="2533">
          <cell r="C2533" t="str">
            <v>HY</v>
          </cell>
          <cell r="D2533">
            <v>1.1000000000000001</v>
          </cell>
          <cell r="H2533" t="str">
            <v>hydro</v>
          </cell>
        </row>
        <row r="2534">
          <cell r="C2534" t="str">
            <v>HY</v>
          </cell>
          <cell r="D2534">
            <v>0.7</v>
          </cell>
          <cell r="H2534" t="str">
            <v>hydro</v>
          </cell>
        </row>
        <row r="2535">
          <cell r="C2535" t="str">
            <v>HY</v>
          </cell>
          <cell r="D2535">
            <v>0.7</v>
          </cell>
          <cell r="H2535" t="str">
            <v>hydro</v>
          </cell>
        </row>
        <row r="2536">
          <cell r="C2536" t="str">
            <v>HY</v>
          </cell>
          <cell r="D2536">
            <v>4</v>
          </cell>
          <cell r="H2536" t="str">
            <v>hydro</v>
          </cell>
        </row>
        <row r="2537">
          <cell r="C2537" t="str">
            <v>HY</v>
          </cell>
          <cell r="D2537">
            <v>3.3</v>
          </cell>
          <cell r="H2537" t="str">
            <v>hydro</v>
          </cell>
        </row>
        <row r="2538">
          <cell r="C2538" t="str">
            <v>HY</v>
          </cell>
          <cell r="D2538">
            <v>3.3</v>
          </cell>
          <cell r="H2538" t="str">
            <v>hydro</v>
          </cell>
        </row>
        <row r="2539">
          <cell r="C2539" t="str">
            <v>HY</v>
          </cell>
          <cell r="D2539">
            <v>3.3</v>
          </cell>
          <cell r="H2539" t="str">
            <v>hydro</v>
          </cell>
        </row>
        <row r="2540">
          <cell r="C2540" t="str">
            <v>HY</v>
          </cell>
          <cell r="D2540">
            <v>3.3</v>
          </cell>
          <cell r="H2540" t="str">
            <v>hydro</v>
          </cell>
        </row>
        <row r="2541">
          <cell r="C2541" t="str">
            <v>HY</v>
          </cell>
          <cell r="D2541">
            <v>8.1999999999999993</v>
          </cell>
          <cell r="H2541" t="str">
            <v>hydro</v>
          </cell>
        </row>
        <row r="2542">
          <cell r="C2542" t="str">
            <v>HY</v>
          </cell>
          <cell r="D2542">
            <v>6.7</v>
          </cell>
          <cell r="H2542" t="str">
            <v>hydro</v>
          </cell>
        </row>
        <row r="2543">
          <cell r="C2543" t="str">
            <v>HY</v>
          </cell>
          <cell r="D2543">
            <v>29.4</v>
          </cell>
          <cell r="H2543" t="str">
            <v>hydro</v>
          </cell>
        </row>
        <row r="2544">
          <cell r="C2544" t="str">
            <v>HY</v>
          </cell>
          <cell r="D2544">
            <v>29.9</v>
          </cell>
          <cell r="H2544" t="str">
            <v>hydro</v>
          </cell>
        </row>
        <row r="2545">
          <cell r="C2545" t="str">
            <v>HY</v>
          </cell>
          <cell r="D2545">
            <v>29.2</v>
          </cell>
          <cell r="H2545" t="str">
            <v>hydro</v>
          </cell>
        </row>
        <row r="2546">
          <cell r="C2546" t="str">
            <v>ST</v>
          </cell>
          <cell r="D2546">
            <v>9</v>
          </cell>
          <cell r="H2546" t="str">
            <v>petroleum</v>
          </cell>
        </row>
        <row r="2547">
          <cell r="C2547" t="str">
            <v>IC</v>
          </cell>
          <cell r="D2547">
            <v>2.5</v>
          </cell>
          <cell r="H2547" t="str">
            <v>petroleum</v>
          </cell>
        </row>
        <row r="2548">
          <cell r="C2548" t="str">
            <v>IC</v>
          </cell>
          <cell r="D2548">
            <v>2.5</v>
          </cell>
          <cell r="H2548" t="str">
            <v>petroleum</v>
          </cell>
        </row>
        <row r="2549">
          <cell r="C2549" t="str">
            <v>IC</v>
          </cell>
          <cell r="D2549">
            <v>1</v>
          </cell>
          <cell r="H2549" t="str">
            <v>petroleum</v>
          </cell>
        </row>
        <row r="2550">
          <cell r="C2550" t="str">
            <v>IC</v>
          </cell>
          <cell r="D2550">
            <v>1</v>
          </cell>
          <cell r="H2550" t="str">
            <v>petroleum</v>
          </cell>
        </row>
        <row r="2551">
          <cell r="C2551" t="str">
            <v>HY</v>
          </cell>
          <cell r="D2551">
            <v>0.4</v>
          </cell>
          <cell r="H2551" t="str">
            <v>hydro</v>
          </cell>
        </row>
        <row r="2552">
          <cell r="C2552" t="str">
            <v>HY</v>
          </cell>
          <cell r="D2552">
            <v>0.4</v>
          </cell>
          <cell r="H2552" t="str">
            <v>hydro</v>
          </cell>
        </row>
        <row r="2553">
          <cell r="C2553" t="str">
            <v>ST</v>
          </cell>
          <cell r="D2553">
            <v>14</v>
          </cell>
          <cell r="H2553" t="str">
            <v>petroleum</v>
          </cell>
        </row>
        <row r="2554">
          <cell r="C2554" t="str">
            <v>IC</v>
          </cell>
          <cell r="D2554">
            <v>1.4</v>
          </cell>
          <cell r="H2554" t="str">
            <v>petroleum</v>
          </cell>
        </row>
        <row r="2555">
          <cell r="C2555" t="str">
            <v>IC</v>
          </cell>
          <cell r="D2555">
            <v>1.4</v>
          </cell>
          <cell r="H2555" t="str">
            <v>petroleum</v>
          </cell>
        </row>
        <row r="2556">
          <cell r="C2556" t="str">
            <v>IC</v>
          </cell>
          <cell r="D2556">
            <v>1.4</v>
          </cell>
          <cell r="H2556" t="str">
            <v>petroleum</v>
          </cell>
        </row>
        <row r="2557">
          <cell r="C2557" t="str">
            <v>HY</v>
          </cell>
          <cell r="D2557">
            <v>1.4</v>
          </cell>
          <cell r="H2557" t="str">
            <v>hydro</v>
          </cell>
        </row>
        <row r="2558">
          <cell r="C2558" t="str">
            <v>ST</v>
          </cell>
          <cell r="D2558">
            <v>126</v>
          </cell>
          <cell r="H2558" t="str">
            <v>natural gas peaker</v>
          </cell>
        </row>
        <row r="2559">
          <cell r="C2559" t="str">
            <v>ST</v>
          </cell>
          <cell r="D2559">
            <v>118</v>
          </cell>
          <cell r="H2559" t="str">
            <v>hard coal</v>
          </cell>
        </row>
        <row r="2560">
          <cell r="C2560" t="str">
            <v>ST</v>
          </cell>
          <cell r="D2560">
            <v>305</v>
          </cell>
          <cell r="H2560" t="str">
            <v>hard coal</v>
          </cell>
        </row>
        <row r="2561">
          <cell r="C2561" t="str">
            <v>ST</v>
          </cell>
          <cell r="D2561">
            <v>397</v>
          </cell>
          <cell r="H2561" t="str">
            <v>petroleum</v>
          </cell>
        </row>
        <row r="2562">
          <cell r="C2562" t="str">
            <v>GT</v>
          </cell>
          <cell r="D2562">
            <v>12.9</v>
          </cell>
          <cell r="H2562" t="str">
            <v>petroleum</v>
          </cell>
        </row>
        <row r="2563">
          <cell r="C2563" t="str">
            <v>GT</v>
          </cell>
          <cell r="D2563">
            <v>14</v>
          </cell>
          <cell r="H2563" t="str">
            <v>natural gas peaker</v>
          </cell>
        </row>
        <row r="2564">
          <cell r="C2564" t="str">
            <v>GT</v>
          </cell>
          <cell r="D2564">
            <v>14</v>
          </cell>
          <cell r="H2564" t="str">
            <v>natural gas peaker</v>
          </cell>
        </row>
        <row r="2565">
          <cell r="C2565" t="str">
            <v>GT</v>
          </cell>
          <cell r="D2565">
            <v>14</v>
          </cell>
          <cell r="H2565" t="str">
            <v>natural gas peaker</v>
          </cell>
        </row>
        <row r="2566">
          <cell r="C2566" t="str">
            <v>GT</v>
          </cell>
          <cell r="D2566">
            <v>14</v>
          </cell>
          <cell r="H2566" t="str">
            <v>natural gas peaker</v>
          </cell>
        </row>
        <row r="2567">
          <cell r="C2567" t="str">
            <v>GT</v>
          </cell>
          <cell r="D2567">
            <v>14.6</v>
          </cell>
          <cell r="H2567" t="str">
            <v>natural gas peaker</v>
          </cell>
        </row>
        <row r="2568">
          <cell r="C2568" t="str">
            <v>GT</v>
          </cell>
          <cell r="D2568">
            <v>15.6</v>
          </cell>
          <cell r="H2568" t="str">
            <v>natural gas peaker</v>
          </cell>
        </row>
        <row r="2569">
          <cell r="C2569" t="str">
            <v>GT</v>
          </cell>
          <cell r="D2569">
            <v>14.5</v>
          </cell>
          <cell r="H2569" t="str">
            <v>natural gas peaker</v>
          </cell>
        </row>
        <row r="2570">
          <cell r="C2570" t="str">
            <v>GT</v>
          </cell>
          <cell r="D2570">
            <v>16</v>
          </cell>
          <cell r="H2570" t="str">
            <v>natural gas peaker</v>
          </cell>
        </row>
        <row r="2571">
          <cell r="C2571" t="str">
            <v>GT</v>
          </cell>
          <cell r="D2571">
            <v>52</v>
          </cell>
          <cell r="H2571" t="str">
            <v>petroleum</v>
          </cell>
        </row>
        <row r="2572">
          <cell r="C2572" t="str">
            <v>GT</v>
          </cell>
          <cell r="D2572">
            <v>51</v>
          </cell>
          <cell r="H2572" t="str">
            <v>petroleum</v>
          </cell>
        </row>
        <row r="2573">
          <cell r="C2573" t="str">
            <v>GT</v>
          </cell>
          <cell r="D2573">
            <v>52</v>
          </cell>
          <cell r="H2573" t="str">
            <v>petroleum</v>
          </cell>
        </row>
        <row r="2574">
          <cell r="C2574" t="str">
            <v>GT</v>
          </cell>
          <cell r="D2574">
            <v>139</v>
          </cell>
          <cell r="H2574" t="str">
            <v>natural gas peaker</v>
          </cell>
        </row>
        <row r="2575">
          <cell r="C2575" t="str">
            <v>GT</v>
          </cell>
          <cell r="D2575">
            <v>109.8</v>
          </cell>
          <cell r="H2575" t="str">
            <v>natural gas peaker</v>
          </cell>
        </row>
        <row r="2576">
          <cell r="C2576" t="str">
            <v>GT</v>
          </cell>
          <cell r="D2576">
            <v>15.3</v>
          </cell>
          <cell r="H2576" t="str">
            <v>petroleum</v>
          </cell>
        </row>
        <row r="2577">
          <cell r="C2577" t="str">
            <v>GT</v>
          </cell>
          <cell r="D2577">
            <v>16</v>
          </cell>
          <cell r="H2577" t="str">
            <v>petroleum</v>
          </cell>
        </row>
        <row r="2578">
          <cell r="C2578" t="str">
            <v>GT</v>
          </cell>
          <cell r="D2578">
            <v>14.8</v>
          </cell>
          <cell r="H2578" t="str">
            <v>petroleum</v>
          </cell>
        </row>
        <row r="2579">
          <cell r="C2579" t="str">
            <v>GT</v>
          </cell>
          <cell r="D2579">
            <v>14.8</v>
          </cell>
          <cell r="H2579" t="str">
            <v>petroleum</v>
          </cell>
        </row>
        <row r="2580">
          <cell r="C2580" t="str">
            <v>GT</v>
          </cell>
          <cell r="D2580">
            <v>115.8</v>
          </cell>
          <cell r="H2580" t="str">
            <v>natural gas peaker</v>
          </cell>
        </row>
        <row r="2581">
          <cell r="C2581" t="str">
            <v>IC</v>
          </cell>
          <cell r="D2581">
            <v>2.6</v>
          </cell>
          <cell r="H2581" t="str">
            <v>petroleum</v>
          </cell>
        </row>
        <row r="2582">
          <cell r="C2582" t="str">
            <v>IC</v>
          </cell>
          <cell r="D2582">
            <v>2.6</v>
          </cell>
          <cell r="H2582" t="str">
            <v>petroleum</v>
          </cell>
        </row>
        <row r="2583">
          <cell r="C2583" t="str">
            <v>IC</v>
          </cell>
          <cell r="D2583">
            <v>2.6</v>
          </cell>
          <cell r="H2583" t="str">
            <v>petroleum</v>
          </cell>
        </row>
        <row r="2584">
          <cell r="C2584" t="str">
            <v>IC</v>
          </cell>
          <cell r="D2584">
            <v>2.6</v>
          </cell>
          <cell r="H2584" t="str">
            <v>petroleum</v>
          </cell>
        </row>
        <row r="2585">
          <cell r="C2585" t="str">
            <v>GT</v>
          </cell>
          <cell r="D2585">
            <v>14.3</v>
          </cell>
          <cell r="H2585" t="str">
            <v>petroleum</v>
          </cell>
        </row>
        <row r="2586">
          <cell r="C2586" t="str">
            <v>ST</v>
          </cell>
          <cell r="D2586">
            <v>153</v>
          </cell>
          <cell r="H2586" t="str">
            <v>petroleum</v>
          </cell>
        </row>
        <row r="2587">
          <cell r="C2587" t="str">
            <v>HY</v>
          </cell>
          <cell r="D2587">
            <v>9</v>
          </cell>
          <cell r="H2587" t="str">
            <v>hydro</v>
          </cell>
        </row>
        <row r="2588">
          <cell r="C2588" t="str">
            <v>HY</v>
          </cell>
          <cell r="D2588">
            <v>9</v>
          </cell>
          <cell r="H2588" t="str">
            <v>hydro</v>
          </cell>
        </row>
        <row r="2589">
          <cell r="C2589" t="str">
            <v>ST</v>
          </cell>
          <cell r="D2589">
            <v>597.20000000000005</v>
          </cell>
          <cell r="H2589" t="str">
            <v>natural gas peaker</v>
          </cell>
        </row>
        <row r="2590">
          <cell r="C2590" t="str">
            <v>ST</v>
          </cell>
          <cell r="D2590">
            <v>585.70000000000005</v>
          </cell>
          <cell r="H2590" t="str">
            <v>natural gas peaker</v>
          </cell>
        </row>
        <row r="2591">
          <cell r="C2591" t="str">
            <v>GT</v>
          </cell>
          <cell r="D2591">
            <v>20</v>
          </cell>
          <cell r="H2591" t="str">
            <v>petroleum</v>
          </cell>
        </row>
        <row r="2592">
          <cell r="C2592" t="str">
            <v>GT</v>
          </cell>
          <cell r="D2592">
            <v>26</v>
          </cell>
          <cell r="H2592" t="str">
            <v>petroleum</v>
          </cell>
        </row>
        <row r="2593">
          <cell r="C2593" t="str">
            <v>GT</v>
          </cell>
          <cell r="D2593">
            <v>87.6</v>
          </cell>
          <cell r="H2593" t="str">
            <v>natural gas peaker</v>
          </cell>
        </row>
        <row r="2594">
          <cell r="C2594" t="str">
            <v>GT</v>
          </cell>
          <cell r="D2594">
            <v>87.6</v>
          </cell>
          <cell r="H2594" t="str">
            <v>natural gas peaker</v>
          </cell>
        </row>
        <row r="2595">
          <cell r="C2595" t="str">
            <v>GT</v>
          </cell>
          <cell r="D2595">
            <v>112</v>
          </cell>
          <cell r="H2595" t="str">
            <v>natural gas peaker</v>
          </cell>
        </row>
        <row r="2596">
          <cell r="C2596" t="str">
            <v>GT</v>
          </cell>
          <cell r="D2596">
            <v>114.9</v>
          </cell>
          <cell r="H2596" t="str">
            <v>natural gas peaker</v>
          </cell>
        </row>
        <row r="2597">
          <cell r="C2597" t="str">
            <v>ST</v>
          </cell>
          <cell r="D2597">
            <v>333.1</v>
          </cell>
          <cell r="H2597" t="str">
            <v>hard coal</v>
          </cell>
        </row>
        <row r="2598">
          <cell r="C2598" t="str">
            <v>ST</v>
          </cell>
          <cell r="D2598">
            <v>336.9</v>
          </cell>
          <cell r="H2598" t="str">
            <v>hard coal</v>
          </cell>
        </row>
        <row r="2599">
          <cell r="C2599" t="str">
            <v>ST</v>
          </cell>
          <cell r="D2599">
            <v>173</v>
          </cell>
          <cell r="H2599" t="str">
            <v>hard coal</v>
          </cell>
        </row>
        <row r="2600">
          <cell r="C2600" t="str">
            <v>ST</v>
          </cell>
          <cell r="D2600">
            <v>173</v>
          </cell>
          <cell r="H2600" t="str">
            <v>hard coal</v>
          </cell>
        </row>
        <row r="2601">
          <cell r="C2601" t="str">
            <v>GT</v>
          </cell>
          <cell r="D2601">
            <v>18</v>
          </cell>
          <cell r="H2601" t="str">
            <v>petroleum</v>
          </cell>
        </row>
        <row r="2602">
          <cell r="C2602" t="str">
            <v>GT</v>
          </cell>
          <cell r="D2602">
            <v>147</v>
          </cell>
          <cell r="H2602" t="str">
            <v>natural gas peaker</v>
          </cell>
        </row>
        <row r="2603">
          <cell r="C2603" t="str">
            <v>GT</v>
          </cell>
          <cell r="D2603">
            <v>147</v>
          </cell>
          <cell r="H2603" t="str">
            <v>natural gas peaker</v>
          </cell>
        </row>
        <row r="2604">
          <cell r="C2604" t="str">
            <v>ST</v>
          </cell>
          <cell r="D2604">
            <v>173</v>
          </cell>
          <cell r="H2604" t="str">
            <v>hard coal</v>
          </cell>
        </row>
        <row r="2605">
          <cell r="C2605" t="str">
            <v>GT</v>
          </cell>
          <cell r="D2605">
            <v>48</v>
          </cell>
          <cell r="H2605" t="str">
            <v>petroleum</v>
          </cell>
        </row>
        <row r="2606">
          <cell r="C2606" t="str">
            <v>GT</v>
          </cell>
          <cell r="D2606">
            <v>48</v>
          </cell>
          <cell r="H2606" t="str">
            <v>petroleum</v>
          </cell>
        </row>
        <row r="2607">
          <cell r="C2607" t="str">
            <v>GT</v>
          </cell>
          <cell r="D2607">
            <v>48</v>
          </cell>
          <cell r="H2607" t="str">
            <v>petroleum</v>
          </cell>
        </row>
        <row r="2608">
          <cell r="C2608" t="str">
            <v>GT</v>
          </cell>
          <cell r="D2608">
            <v>48</v>
          </cell>
          <cell r="H2608" t="str">
            <v>petroleum</v>
          </cell>
        </row>
        <row r="2609">
          <cell r="C2609" t="str">
            <v>GT</v>
          </cell>
          <cell r="D2609">
            <v>13</v>
          </cell>
          <cell r="H2609" t="str">
            <v>petroleum</v>
          </cell>
        </row>
        <row r="2610">
          <cell r="C2610" t="str">
            <v>GT</v>
          </cell>
          <cell r="D2610">
            <v>13</v>
          </cell>
          <cell r="H2610" t="str">
            <v>petroleum</v>
          </cell>
        </row>
        <row r="2611">
          <cell r="C2611" t="str">
            <v>ST</v>
          </cell>
          <cell r="D2611">
            <v>596</v>
          </cell>
          <cell r="H2611" t="str">
            <v>hard coal</v>
          </cell>
        </row>
        <row r="2612">
          <cell r="C2612" t="str">
            <v>ST</v>
          </cell>
          <cell r="D2612">
            <v>609</v>
          </cell>
          <cell r="H2612" t="str">
            <v>hard coal</v>
          </cell>
        </row>
        <row r="2613">
          <cell r="C2613" t="str">
            <v>HY</v>
          </cell>
          <cell r="D2613">
            <v>48</v>
          </cell>
          <cell r="H2613" t="str">
            <v>hydro</v>
          </cell>
        </row>
        <row r="2614">
          <cell r="C2614" t="str">
            <v>HY</v>
          </cell>
          <cell r="D2614">
            <v>65</v>
          </cell>
          <cell r="H2614" t="str">
            <v>hydro</v>
          </cell>
        </row>
        <row r="2615">
          <cell r="C2615" t="str">
            <v>HY</v>
          </cell>
          <cell r="D2615">
            <v>65</v>
          </cell>
          <cell r="H2615" t="str">
            <v>hydro</v>
          </cell>
        </row>
        <row r="2616">
          <cell r="C2616" t="str">
            <v>HY</v>
          </cell>
          <cell r="D2616">
            <v>36</v>
          </cell>
          <cell r="H2616" t="str">
            <v>hydro</v>
          </cell>
        </row>
        <row r="2617">
          <cell r="C2617" t="str">
            <v>HY</v>
          </cell>
          <cell r="D2617">
            <v>48</v>
          </cell>
          <cell r="H2617" t="str">
            <v>hydro</v>
          </cell>
        </row>
        <row r="2618">
          <cell r="C2618" t="str">
            <v>HY</v>
          </cell>
          <cell r="D2618">
            <v>48</v>
          </cell>
          <cell r="H2618" t="str">
            <v>hydro</v>
          </cell>
        </row>
        <row r="2619">
          <cell r="C2619" t="str">
            <v>HY</v>
          </cell>
          <cell r="D2619">
            <v>36</v>
          </cell>
          <cell r="H2619" t="str">
            <v>hydro</v>
          </cell>
        </row>
        <row r="2620">
          <cell r="C2620" t="str">
            <v>HY</v>
          </cell>
          <cell r="D2620">
            <v>48</v>
          </cell>
          <cell r="H2620" t="str">
            <v>hydro</v>
          </cell>
        </row>
        <row r="2621">
          <cell r="C2621" t="str">
            <v>HY</v>
          </cell>
          <cell r="D2621">
            <v>48</v>
          </cell>
          <cell r="H2621" t="str">
            <v>hydro</v>
          </cell>
        </row>
        <row r="2622">
          <cell r="C2622" t="str">
            <v>HY</v>
          </cell>
          <cell r="D2622">
            <v>65</v>
          </cell>
          <cell r="H2622" t="str">
            <v>hydro</v>
          </cell>
        </row>
        <row r="2623">
          <cell r="C2623" t="str">
            <v>HY</v>
          </cell>
          <cell r="D2623">
            <v>65</v>
          </cell>
          <cell r="H2623" t="str">
            <v>hydro</v>
          </cell>
        </row>
        <row r="2624">
          <cell r="C2624" t="str">
            <v>IC</v>
          </cell>
          <cell r="D2624">
            <v>3.5</v>
          </cell>
          <cell r="H2624" t="str">
            <v>petroleum</v>
          </cell>
        </row>
        <row r="2625">
          <cell r="C2625" t="str">
            <v>IC</v>
          </cell>
          <cell r="D2625">
            <v>1.5</v>
          </cell>
          <cell r="H2625" t="str">
            <v>petroleum</v>
          </cell>
        </row>
        <row r="2626">
          <cell r="C2626" t="str">
            <v>IC</v>
          </cell>
          <cell r="D2626">
            <v>1.5</v>
          </cell>
          <cell r="H2626" t="str">
            <v>petroleum</v>
          </cell>
        </row>
        <row r="2627">
          <cell r="C2627" t="str">
            <v>IC</v>
          </cell>
          <cell r="D2627">
            <v>3.6</v>
          </cell>
          <cell r="H2627" t="str">
            <v>petroleum</v>
          </cell>
        </row>
        <row r="2628">
          <cell r="C2628" t="str">
            <v>IC</v>
          </cell>
          <cell r="D2628">
            <v>4.0999999999999996</v>
          </cell>
          <cell r="H2628" t="str">
            <v>petroleum</v>
          </cell>
        </row>
        <row r="2629">
          <cell r="C2629" t="str">
            <v>IC</v>
          </cell>
          <cell r="D2629">
            <v>5.6</v>
          </cell>
          <cell r="H2629" t="str">
            <v>petroleum</v>
          </cell>
        </row>
        <row r="2630">
          <cell r="C2630" t="str">
            <v>IC</v>
          </cell>
          <cell r="D2630">
            <v>5.6</v>
          </cell>
          <cell r="H2630" t="str">
            <v>petroleum</v>
          </cell>
        </row>
        <row r="2631">
          <cell r="C2631" t="str">
            <v>IC</v>
          </cell>
          <cell r="D2631">
            <v>2</v>
          </cell>
          <cell r="H2631" t="str">
            <v>petroleum</v>
          </cell>
        </row>
        <row r="2632">
          <cell r="C2632" t="str">
            <v>IC</v>
          </cell>
          <cell r="D2632">
            <v>2</v>
          </cell>
          <cell r="H2632" t="str">
            <v>petroleum</v>
          </cell>
        </row>
        <row r="2633">
          <cell r="C2633" t="str">
            <v>IC</v>
          </cell>
          <cell r="D2633">
            <v>2.5</v>
          </cell>
          <cell r="H2633" t="str">
            <v>petroleum</v>
          </cell>
        </row>
        <row r="2634">
          <cell r="C2634" t="str">
            <v>GT</v>
          </cell>
          <cell r="D2634">
            <v>10.1</v>
          </cell>
          <cell r="H2634" t="str">
            <v>petroleum</v>
          </cell>
        </row>
        <row r="2635">
          <cell r="C2635" t="str">
            <v>GT</v>
          </cell>
          <cell r="D2635">
            <v>10.199999999999999</v>
          </cell>
          <cell r="H2635" t="str">
            <v>petroleum</v>
          </cell>
        </row>
        <row r="2636">
          <cell r="C2636" t="str">
            <v>GT</v>
          </cell>
          <cell r="D2636">
            <v>11.3</v>
          </cell>
          <cell r="H2636" t="str">
            <v>petroleum</v>
          </cell>
        </row>
        <row r="2637">
          <cell r="C2637" t="str">
            <v>ST</v>
          </cell>
          <cell r="D2637">
            <v>541.79999999999995</v>
          </cell>
          <cell r="H2637" t="str">
            <v>petroleum</v>
          </cell>
        </row>
        <row r="2638">
          <cell r="C2638" t="str">
            <v>GT</v>
          </cell>
          <cell r="D2638">
            <v>9</v>
          </cell>
          <cell r="H2638" t="str">
            <v>petroleum</v>
          </cell>
        </row>
        <row r="2639">
          <cell r="C2639" t="str">
            <v>CT</v>
          </cell>
          <cell r="D2639">
            <v>228.8</v>
          </cell>
          <cell r="H2639" t="str">
            <v>natural gas nonpeaker</v>
          </cell>
        </row>
        <row r="2640">
          <cell r="C2640" t="str">
            <v>CT</v>
          </cell>
          <cell r="D2640">
            <v>230</v>
          </cell>
          <cell r="H2640" t="str">
            <v>natural gas nonpeaker</v>
          </cell>
        </row>
        <row r="2641">
          <cell r="C2641" t="str">
            <v>CT</v>
          </cell>
          <cell r="D2641">
            <v>231.1</v>
          </cell>
          <cell r="H2641" t="str">
            <v>natural gas nonpeaker</v>
          </cell>
        </row>
        <row r="2642">
          <cell r="C2642" t="str">
            <v>CT</v>
          </cell>
          <cell r="D2642">
            <v>230.8</v>
          </cell>
          <cell r="H2642" t="str">
            <v>natural gas nonpeaker</v>
          </cell>
        </row>
        <row r="2643">
          <cell r="C2643" t="str">
            <v>CA</v>
          </cell>
          <cell r="D2643">
            <v>244.6</v>
          </cell>
          <cell r="H2643" t="str">
            <v>natural gas nonpeaker</v>
          </cell>
        </row>
        <row r="2644">
          <cell r="C2644" t="str">
            <v>CA</v>
          </cell>
          <cell r="D2644">
            <v>252</v>
          </cell>
          <cell r="H2644" t="str">
            <v>natural gas nonpeaker</v>
          </cell>
        </row>
        <row r="2645">
          <cell r="C2645" t="str">
            <v>GT</v>
          </cell>
          <cell r="D2645">
            <v>42</v>
          </cell>
          <cell r="H2645" t="str">
            <v>petroleum</v>
          </cell>
        </row>
        <row r="2646">
          <cell r="C2646" t="str">
            <v>GT</v>
          </cell>
          <cell r="D2646">
            <v>39.799999999999997</v>
          </cell>
          <cell r="H2646" t="str">
            <v>petroleum</v>
          </cell>
        </row>
        <row r="2647">
          <cell r="C2647" t="str">
            <v>GT</v>
          </cell>
          <cell r="D2647">
            <v>42</v>
          </cell>
          <cell r="H2647" t="str">
            <v>petroleum</v>
          </cell>
        </row>
        <row r="2648">
          <cell r="C2648" t="str">
            <v>CA</v>
          </cell>
          <cell r="D2648">
            <v>22.9</v>
          </cell>
          <cell r="H2648" t="str">
            <v>natural gas nonpeaker</v>
          </cell>
        </row>
        <row r="2649">
          <cell r="C2649" t="str">
            <v>CT</v>
          </cell>
          <cell r="D2649">
            <v>183.1</v>
          </cell>
          <cell r="H2649" t="str">
            <v>natural gas nonpeaker</v>
          </cell>
        </row>
        <row r="2650">
          <cell r="C2650" t="str">
            <v>GT</v>
          </cell>
          <cell r="D2650">
            <v>18</v>
          </cell>
          <cell r="H2650" t="str">
            <v>petroleum</v>
          </cell>
        </row>
        <row r="2651">
          <cell r="C2651" t="str">
            <v>IC</v>
          </cell>
          <cell r="D2651">
            <v>2.8</v>
          </cell>
          <cell r="H2651" t="str">
            <v>petroleum</v>
          </cell>
        </row>
        <row r="2652">
          <cell r="C2652" t="str">
            <v>IC</v>
          </cell>
          <cell r="D2652">
            <v>2.8</v>
          </cell>
          <cell r="H2652" t="str">
            <v>petroleum</v>
          </cell>
        </row>
        <row r="2653">
          <cell r="C2653" t="str">
            <v>IC</v>
          </cell>
          <cell r="D2653">
            <v>2.8</v>
          </cell>
          <cell r="H2653" t="str">
            <v>petroleum</v>
          </cell>
        </row>
        <row r="2654">
          <cell r="C2654" t="str">
            <v>ST</v>
          </cell>
          <cell r="D2654">
            <v>560</v>
          </cell>
          <cell r="H2654" t="str">
            <v>petroleum</v>
          </cell>
        </row>
        <row r="2655">
          <cell r="C2655" t="str">
            <v>ST</v>
          </cell>
          <cell r="D2655">
            <v>553</v>
          </cell>
          <cell r="H2655" t="str">
            <v>petroleum</v>
          </cell>
        </row>
        <row r="2656">
          <cell r="C2656" t="str">
            <v>GT</v>
          </cell>
          <cell r="D2656">
            <v>330</v>
          </cell>
          <cell r="H2656" t="str">
            <v>natural gas peaker</v>
          </cell>
        </row>
        <row r="2657">
          <cell r="C2657" t="str">
            <v>HY</v>
          </cell>
          <cell r="D2657">
            <v>0.7</v>
          </cell>
          <cell r="H2657" t="str">
            <v>hydro</v>
          </cell>
        </row>
        <row r="2658">
          <cell r="C2658" t="str">
            <v>HY</v>
          </cell>
          <cell r="D2658">
            <v>1.5</v>
          </cell>
          <cell r="H2658" t="str">
            <v>hydro</v>
          </cell>
        </row>
        <row r="2659">
          <cell r="C2659" t="str">
            <v>HY</v>
          </cell>
          <cell r="D2659">
            <v>1.2</v>
          </cell>
          <cell r="H2659" t="str">
            <v>hydro</v>
          </cell>
        </row>
        <row r="2660">
          <cell r="C2660" t="str">
            <v>HY</v>
          </cell>
          <cell r="D2660">
            <v>0.8</v>
          </cell>
          <cell r="H2660" t="str">
            <v>hydro</v>
          </cell>
        </row>
        <row r="2661">
          <cell r="C2661" t="str">
            <v>HY</v>
          </cell>
          <cell r="D2661">
            <v>0.8</v>
          </cell>
          <cell r="H2661" t="str">
            <v>hydro</v>
          </cell>
        </row>
        <row r="2662">
          <cell r="C2662" t="str">
            <v>HY</v>
          </cell>
          <cell r="D2662">
            <v>18.100000000000001</v>
          </cell>
          <cell r="H2662" t="str">
            <v>hydro</v>
          </cell>
        </row>
        <row r="2663">
          <cell r="C2663" t="str">
            <v>HY</v>
          </cell>
          <cell r="D2663">
            <v>15</v>
          </cell>
          <cell r="H2663" t="str">
            <v>hydro</v>
          </cell>
        </row>
        <row r="2664">
          <cell r="C2664" t="str">
            <v>HY</v>
          </cell>
          <cell r="D2664">
            <v>0.8</v>
          </cell>
          <cell r="H2664" t="str">
            <v>hydro</v>
          </cell>
        </row>
        <row r="2665">
          <cell r="C2665" t="str">
            <v>HY</v>
          </cell>
          <cell r="D2665">
            <v>0.6</v>
          </cell>
          <cell r="H2665" t="str">
            <v>hydro</v>
          </cell>
        </row>
        <row r="2666">
          <cell r="C2666" t="str">
            <v>HY</v>
          </cell>
          <cell r="D2666">
            <v>1.5</v>
          </cell>
          <cell r="H2666" t="str">
            <v>hydro</v>
          </cell>
        </row>
        <row r="2667">
          <cell r="C2667" t="str">
            <v>HY</v>
          </cell>
          <cell r="D2667">
            <v>4</v>
          </cell>
          <cell r="H2667" t="str">
            <v>hydro</v>
          </cell>
        </row>
        <row r="2668">
          <cell r="C2668" t="str">
            <v>GT</v>
          </cell>
          <cell r="D2668">
            <v>13.5</v>
          </cell>
          <cell r="H2668" t="str">
            <v>petroleum</v>
          </cell>
        </row>
        <row r="2669">
          <cell r="C2669" t="str">
            <v>IC</v>
          </cell>
          <cell r="D2669">
            <v>1</v>
          </cell>
          <cell r="H2669" t="str">
            <v>petroleum</v>
          </cell>
        </row>
        <row r="2670">
          <cell r="C2670" t="str">
            <v>BA</v>
          </cell>
          <cell r="D2670">
            <v>6</v>
          </cell>
          <cell r="H2670" t="str">
            <v>other</v>
          </cell>
        </row>
        <row r="2671">
          <cell r="C2671" t="str">
            <v>HY</v>
          </cell>
          <cell r="D2671">
            <v>13.9</v>
          </cell>
          <cell r="H2671" t="str">
            <v>hydro</v>
          </cell>
        </row>
        <row r="2672">
          <cell r="C2672" t="str">
            <v>HY</v>
          </cell>
          <cell r="D2672">
            <v>10.3</v>
          </cell>
          <cell r="H2672" t="str">
            <v>hydro</v>
          </cell>
        </row>
        <row r="2673">
          <cell r="C2673" t="str">
            <v>HY</v>
          </cell>
          <cell r="D2673">
            <v>10.3</v>
          </cell>
          <cell r="H2673" t="str">
            <v>hydro</v>
          </cell>
        </row>
        <row r="2674">
          <cell r="C2674" t="str">
            <v>HY</v>
          </cell>
          <cell r="D2674">
            <v>10.3</v>
          </cell>
          <cell r="H2674" t="str">
            <v>hydro</v>
          </cell>
        </row>
        <row r="2675">
          <cell r="C2675" t="str">
            <v>HY</v>
          </cell>
          <cell r="D2675">
            <v>10.3</v>
          </cell>
          <cell r="H2675" t="str">
            <v>hydro</v>
          </cell>
        </row>
        <row r="2676">
          <cell r="C2676" t="str">
            <v>HY</v>
          </cell>
          <cell r="D2676">
            <v>10.3</v>
          </cell>
          <cell r="H2676" t="str">
            <v>hydro</v>
          </cell>
        </row>
        <row r="2677">
          <cell r="C2677" t="str">
            <v>HY</v>
          </cell>
          <cell r="D2677">
            <v>10.3</v>
          </cell>
          <cell r="H2677" t="str">
            <v>hydro</v>
          </cell>
        </row>
        <row r="2678">
          <cell r="C2678" t="str">
            <v>HY</v>
          </cell>
          <cell r="D2678">
            <v>12.9</v>
          </cell>
          <cell r="H2678" t="str">
            <v>hydro</v>
          </cell>
        </row>
        <row r="2679">
          <cell r="C2679" t="str">
            <v>HY</v>
          </cell>
          <cell r="D2679">
            <v>6.8</v>
          </cell>
          <cell r="H2679" t="str">
            <v>hydro</v>
          </cell>
        </row>
        <row r="2680">
          <cell r="C2680" t="str">
            <v>HY</v>
          </cell>
          <cell r="D2680">
            <v>12.9</v>
          </cell>
          <cell r="H2680" t="str">
            <v>hydro</v>
          </cell>
        </row>
        <row r="2681">
          <cell r="C2681" t="str">
            <v>GT</v>
          </cell>
          <cell r="D2681">
            <v>15.8</v>
          </cell>
          <cell r="H2681" t="str">
            <v>other</v>
          </cell>
        </row>
        <row r="2682">
          <cell r="C2682" t="str">
            <v>HY</v>
          </cell>
          <cell r="D2682">
            <v>0.4</v>
          </cell>
          <cell r="H2682" t="str">
            <v>hydro</v>
          </cell>
        </row>
        <row r="2683">
          <cell r="C2683" t="str">
            <v>HY</v>
          </cell>
          <cell r="D2683">
            <v>0.9</v>
          </cell>
          <cell r="H2683" t="str">
            <v>hydro</v>
          </cell>
        </row>
        <row r="2684">
          <cell r="C2684" t="str">
            <v>HY</v>
          </cell>
          <cell r="D2684">
            <v>0.9</v>
          </cell>
          <cell r="H2684" t="str">
            <v>hydro</v>
          </cell>
        </row>
        <row r="2685">
          <cell r="C2685" t="str">
            <v>HY</v>
          </cell>
          <cell r="D2685">
            <v>1.3</v>
          </cell>
          <cell r="H2685" t="str">
            <v>hydro</v>
          </cell>
        </row>
        <row r="2686">
          <cell r="C2686" t="str">
            <v>HY</v>
          </cell>
          <cell r="D2686">
            <v>1.6</v>
          </cell>
          <cell r="H2686" t="str">
            <v>hydro</v>
          </cell>
        </row>
        <row r="2687">
          <cell r="C2687" t="str">
            <v>HY</v>
          </cell>
          <cell r="D2687">
            <v>1.6</v>
          </cell>
          <cell r="H2687" t="str">
            <v>hydro</v>
          </cell>
        </row>
        <row r="2688">
          <cell r="C2688" t="str">
            <v>HY</v>
          </cell>
          <cell r="D2688">
            <v>1.8</v>
          </cell>
          <cell r="H2688" t="str">
            <v>hydro</v>
          </cell>
        </row>
        <row r="2689">
          <cell r="C2689" t="str">
            <v>HY</v>
          </cell>
          <cell r="D2689">
            <v>1.8</v>
          </cell>
          <cell r="H2689" t="str">
            <v>hydro</v>
          </cell>
        </row>
        <row r="2690">
          <cell r="C2690" t="str">
            <v>ST</v>
          </cell>
          <cell r="D2690">
            <v>94.3</v>
          </cell>
          <cell r="H2690" t="str">
            <v>natural gas peaker</v>
          </cell>
        </row>
        <row r="2691">
          <cell r="C2691" t="str">
            <v>GT</v>
          </cell>
          <cell r="D2691">
            <v>38.1</v>
          </cell>
          <cell r="H2691" t="str">
            <v>natural gas peaker</v>
          </cell>
        </row>
        <row r="2692">
          <cell r="C2692" t="str">
            <v>GT</v>
          </cell>
          <cell r="D2692">
            <v>38.799999999999997</v>
          </cell>
          <cell r="H2692" t="str">
            <v>natural gas peaker</v>
          </cell>
        </row>
        <row r="2693">
          <cell r="C2693" t="str">
            <v>GT</v>
          </cell>
          <cell r="D2693">
            <v>16.600000000000001</v>
          </cell>
          <cell r="H2693" t="str">
            <v>other</v>
          </cell>
        </row>
        <row r="2694">
          <cell r="C2694" t="str">
            <v>GT</v>
          </cell>
          <cell r="D2694">
            <v>15.8</v>
          </cell>
          <cell r="H2694" t="str">
            <v>other</v>
          </cell>
        </row>
        <row r="2695">
          <cell r="C2695" t="str">
            <v>CT</v>
          </cell>
          <cell r="D2695">
            <v>62.6</v>
          </cell>
          <cell r="H2695" t="str">
            <v>natural gas nonpeaker</v>
          </cell>
        </row>
        <row r="2696">
          <cell r="C2696" t="str">
            <v>CA</v>
          </cell>
          <cell r="D2696">
            <v>15.5</v>
          </cell>
          <cell r="H2696" t="str">
            <v>natural gas nonpeaker</v>
          </cell>
        </row>
        <row r="2697">
          <cell r="C2697" t="str">
            <v>GT</v>
          </cell>
          <cell r="D2697">
            <v>52.6</v>
          </cell>
          <cell r="H2697" t="str">
            <v>natural gas peaker</v>
          </cell>
        </row>
        <row r="2698">
          <cell r="C2698" t="str">
            <v>GT</v>
          </cell>
          <cell r="D2698">
            <v>52.6</v>
          </cell>
          <cell r="H2698" t="str">
            <v>natural gas peaker</v>
          </cell>
        </row>
        <row r="2699">
          <cell r="C2699" t="str">
            <v>IC</v>
          </cell>
          <cell r="D2699">
            <v>1.2</v>
          </cell>
          <cell r="H2699" t="str">
            <v>natural gas peaker</v>
          </cell>
        </row>
        <row r="2700">
          <cell r="C2700" t="str">
            <v>IC</v>
          </cell>
          <cell r="D2700">
            <v>1.2</v>
          </cell>
          <cell r="H2700" t="str">
            <v>natural gas peaker</v>
          </cell>
        </row>
        <row r="2701">
          <cell r="C2701" t="str">
            <v>IC</v>
          </cell>
          <cell r="D2701">
            <v>1.2</v>
          </cell>
          <cell r="H2701" t="str">
            <v>natural gas peaker</v>
          </cell>
        </row>
        <row r="2702">
          <cell r="C2702" t="str">
            <v>IC</v>
          </cell>
          <cell r="D2702">
            <v>1.2</v>
          </cell>
          <cell r="H2702" t="str">
            <v>natural gas peaker</v>
          </cell>
        </row>
        <row r="2703">
          <cell r="C2703" t="str">
            <v>IC</v>
          </cell>
          <cell r="D2703">
            <v>1.3</v>
          </cell>
          <cell r="H2703" t="str">
            <v>natural gas peaker</v>
          </cell>
        </row>
        <row r="2704">
          <cell r="C2704" t="str">
            <v>IC</v>
          </cell>
          <cell r="D2704">
            <v>1.2</v>
          </cell>
          <cell r="H2704" t="str">
            <v>natural gas peaker</v>
          </cell>
        </row>
        <row r="2705">
          <cell r="C2705" t="str">
            <v>IC</v>
          </cell>
          <cell r="D2705">
            <v>1.3</v>
          </cell>
          <cell r="H2705" t="str">
            <v>petroleum</v>
          </cell>
        </row>
        <row r="2706">
          <cell r="C2706" t="str">
            <v>IC</v>
          </cell>
          <cell r="D2706">
            <v>1.1000000000000001</v>
          </cell>
          <cell r="H2706" t="str">
            <v>petroleum</v>
          </cell>
        </row>
        <row r="2707">
          <cell r="C2707" t="str">
            <v>IC</v>
          </cell>
          <cell r="D2707">
            <v>1.3</v>
          </cell>
          <cell r="H2707" t="str">
            <v>natural gas peaker</v>
          </cell>
        </row>
        <row r="2708">
          <cell r="C2708" t="str">
            <v>GT</v>
          </cell>
          <cell r="D2708">
            <v>16</v>
          </cell>
          <cell r="H2708" t="str">
            <v>natural gas peaker</v>
          </cell>
        </row>
        <row r="2709">
          <cell r="C2709" t="str">
            <v>GT</v>
          </cell>
          <cell r="D2709">
            <v>30</v>
          </cell>
          <cell r="H2709" t="str">
            <v>natural gas peaker</v>
          </cell>
        </row>
        <row r="2710">
          <cell r="C2710" t="str">
            <v>ST</v>
          </cell>
          <cell r="D2710">
            <v>26</v>
          </cell>
          <cell r="H2710" t="str">
            <v>petroleum</v>
          </cell>
        </row>
        <row r="2711">
          <cell r="C2711" t="str">
            <v>CT</v>
          </cell>
          <cell r="D2711">
            <v>18</v>
          </cell>
          <cell r="H2711" t="str">
            <v>natural gas nonpeaker</v>
          </cell>
        </row>
        <row r="2712">
          <cell r="C2712" t="str">
            <v>CA</v>
          </cell>
          <cell r="D2712">
            <v>85</v>
          </cell>
          <cell r="H2712" t="str">
            <v>natural gas nonpeaker</v>
          </cell>
        </row>
        <row r="2713">
          <cell r="C2713" t="str">
            <v>HY</v>
          </cell>
          <cell r="D2713">
            <v>1.4</v>
          </cell>
          <cell r="H2713" t="str">
            <v>hydro</v>
          </cell>
        </row>
        <row r="2714">
          <cell r="C2714" t="str">
            <v>HY</v>
          </cell>
          <cell r="D2714">
            <v>1.4</v>
          </cell>
          <cell r="H2714" t="str">
            <v>hydro</v>
          </cell>
        </row>
        <row r="2715">
          <cell r="C2715" t="str">
            <v>HY</v>
          </cell>
          <cell r="D2715">
            <v>0.2</v>
          </cell>
          <cell r="H2715" t="str">
            <v>hydro</v>
          </cell>
        </row>
        <row r="2716">
          <cell r="C2716" t="str">
            <v>HY</v>
          </cell>
          <cell r="D2716">
            <v>0.5</v>
          </cell>
          <cell r="H2716" t="str">
            <v>hydro</v>
          </cell>
        </row>
        <row r="2717">
          <cell r="C2717" t="str">
            <v>HY</v>
          </cell>
          <cell r="D2717">
            <v>0.6</v>
          </cell>
          <cell r="H2717" t="str">
            <v>hydro</v>
          </cell>
        </row>
        <row r="2718">
          <cell r="C2718" t="str">
            <v>HY</v>
          </cell>
          <cell r="D2718">
            <v>2.1</v>
          </cell>
          <cell r="H2718" t="str">
            <v>hydro</v>
          </cell>
        </row>
        <row r="2719">
          <cell r="C2719" t="str">
            <v>HY</v>
          </cell>
          <cell r="D2719">
            <v>2.1</v>
          </cell>
          <cell r="H2719" t="str">
            <v>hydro</v>
          </cell>
        </row>
        <row r="2720">
          <cell r="C2720" t="str">
            <v>HY</v>
          </cell>
          <cell r="D2720">
            <v>2.1</v>
          </cell>
          <cell r="H2720" t="str">
            <v>hydro</v>
          </cell>
        </row>
        <row r="2721">
          <cell r="C2721" t="str">
            <v>HY</v>
          </cell>
          <cell r="D2721">
            <v>1.5</v>
          </cell>
          <cell r="H2721" t="str">
            <v>hydro</v>
          </cell>
        </row>
        <row r="2722">
          <cell r="C2722" t="str">
            <v>HY</v>
          </cell>
          <cell r="D2722">
            <v>2.7</v>
          </cell>
          <cell r="H2722" t="str">
            <v>hydro</v>
          </cell>
        </row>
        <row r="2723">
          <cell r="C2723" t="str">
            <v>HY</v>
          </cell>
          <cell r="D2723">
            <v>3</v>
          </cell>
          <cell r="H2723" t="str">
            <v>hydro</v>
          </cell>
        </row>
        <row r="2724">
          <cell r="C2724" t="str">
            <v>HY</v>
          </cell>
          <cell r="D2724">
            <v>1.2</v>
          </cell>
          <cell r="H2724" t="str">
            <v>hydro</v>
          </cell>
        </row>
        <row r="2725">
          <cell r="C2725" t="str">
            <v>HY</v>
          </cell>
          <cell r="D2725">
            <v>1.2</v>
          </cell>
          <cell r="H2725" t="str">
            <v>hydro</v>
          </cell>
        </row>
        <row r="2726">
          <cell r="C2726" t="str">
            <v>HY</v>
          </cell>
          <cell r="D2726">
            <v>0.6</v>
          </cell>
          <cell r="H2726" t="str">
            <v>hydro</v>
          </cell>
        </row>
        <row r="2727">
          <cell r="C2727" t="str">
            <v>HY</v>
          </cell>
          <cell r="D2727">
            <v>0.6</v>
          </cell>
          <cell r="H2727" t="str">
            <v>hydro</v>
          </cell>
        </row>
        <row r="2728">
          <cell r="C2728" t="str">
            <v>ST</v>
          </cell>
          <cell r="D2728">
            <v>127.5</v>
          </cell>
          <cell r="H2728" t="str">
            <v>hard coal</v>
          </cell>
        </row>
        <row r="2729">
          <cell r="C2729" t="str">
            <v>ST</v>
          </cell>
          <cell r="D2729">
            <v>127.5</v>
          </cell>
          <cell r="H2729" t="str">
            <v>hard coal</v>
          </cell>
        </row>
        <row r="2730">
          <cell r="C2730" t="str">
            <v>ST</v>
          </cell>
          <cell r="D2730">
            <v>126.5</v>
          </cell>
          <cell r="H2730" t="str">
            <v>hard coal</v>
          </cell>
        </row>
        <row r="2731">
          <cell r="C2731" t="str">
            <v>ST</v>
          </cell>
          <cell r="D2731">
            <v>126.5</v>
          </cell>
          <cell r="H2731" t="str">
            <v>hard coal</v>
          </cell>
        </row>
        <row r="2732">
          <cell r="C2732" t="str">
            <v>ST</v>
          </cell>
          <cell r="D2732">
            <v>593</v>
          </cell>
          <cell r="H2732" t="str">
            <v>natural gas peaker</v>
          </cell>
        </row>
        <row r="2733">
          <cell r="C2733" t="str">
            <v>ST</v>
          </cell>
          <cell r="D2733">
            <v>465</v>
          </cell>
          <cell r="H2733" t="str">
            <v>natural gas peaker</v>
          </cell>
        </row>
        <row r="2734">
          <cell r="C2734" t="str">
            <v>HY</v>
          </cell>
          <cell r="D2734">
            <v>3.1</v>
          </cell>
          <cell r="H2734" t="str">
            <v>hydro</v>
          </cell>
        </row>
        <row r="2735">
          <cell r="C2735" t="str">
            <v>HY</v>
          </cell>
          <cell r="D2735">
            <v>3.1</v>
          </cell>
          <cell r="H2735" t="str">
            <v>hydro</v>
          </cell>
        </row>
        <row r="2736">
          <cell r="C2736" t="str">
            <v>HY</v>
          </cell>
          <cell r="D2736">
            <v>1</v>
          </cell>
          <cell r="H2736" t="str">
            <v>hydro</v>
          </cell>
        </row>
        <row r="2737">
          <cell r="C2737" t="str">
            <v>HY</v>
          </cell>
          <cell r="D2737">
            <v>1</v>
          </cell>
          <cell r="H2737" t="str">
            <v>hydro</v>
          </cell>
        </row>
        <row r="2738">
          <cell r="C2738" t="str">
            <v>HY</v>
          </cell>
          <cell r="D2738">
            <v>1</v>
          </cell>
          <cell r="H2738" t="str">
            <v>hydro</v>
          </cell>
        </row>
        <row r="2739">
          <cell r="C2739" t="str">
            <v>HY</v>
          </cell>
          <cell r="D2739">
            <v>10.7</v>
          </cell>
          <cell r="H2739" t="str">
            <v>hydro</v>
          </cell>
        </row>
        <row r="2740">
          <cell r="C2740" t="str">
            <v>HY</v>
          </cell>
          <cell r="D2740">
            <v>10.7</v>
          </cell>
          <cell r="H2740" t="str">
            <v>hydro</v>
          </cell>
        </row>
        <row r="2741">
          <cell r="C2741" t="str">
            <v>HY</v>
          </cell>
          <cell r="D2741">
            <v>10.7</v>
          </cell>
          <cell r="H2741" t="str">
            <v>hydro</v>
          </cell>
        </row>
        <row r="2742">
          <cell r="C2742" t="str">
            <v>HY</v>
          </cell>
          <cell r="D2742">
            <v>2</v>
          </cell>
          <cell r="H2742" t="str">
            <v>hydro</v>
          </cell>
        </row>
        <row r="2743">
          <cell r="C2743" t="str">
            <v>HY</v>
          </cell>
          <cell r="D2743">
            <v>2</v>
          </cell>
          <cell r="H2743" t="str">
            <v>hydro</v>
          </cell>
        </row>
        <row r="2744">
          <cell r="C2744" t="str">
            <v>ST</v>
          </cell>
          <cell r="D2744">
            <v>260</v>
          </cell>
          <cell r="H2744" t="str">
            <v>hard coal</v>
          </cell>
        </row>
        <row r="2745">
          <cell r="C2745" t="str">
            <v>ST</v>
          </cell>
          <cell r="D2745">
            <v>334</v>
          </cell>
          <cell r="H2745" t="str">
            <v>hard coal</v>
          </cell>
        </row>
        <row r="2746">
          <cell r="C2746" t="str">
            <v>ST</v>
          </cell>
          <cell r="D2746">
            <v>841</v>
          </cell>
          <cell r="H2746" t="str">
            <v>hard coal</v>
          </cell>
        </row>
        <row r="2747">
          <cell r="C2747" t="str">
            <v>HY</v>
          </cell>
          <cell r="D2747">
            <v>2.7</v>
          </cell>
          <cell r="H2747" t="str">
            <v>hydro</v>
          </cell>
        </row>
        <row r="2748">
          <cell r="C2748" t="str">
            <v>HY</v>
          </cell>
          <cell r="D2748">
            <v>2.5</v>
          </cell>
          <cell r="H2748" t="str">
            <v>hydro</v>
          </cell>
        </row>
        <row r="2749">
          <cell r="C2749" t="str">
            <v>PS</v>
          </cell>
          <cell r="D2749">
            <v>383</v>
          </cell>
          <cell r="H2749" t="str">
            <v>other</v>
          </cell>
        </row>
        <row r="2750">
          <cell r="C2750" t="str">
            <v>PS</v>
          </cell>
          <cell r="D2750">
            <v>383</v>
          </cell>
          <cell r="H2750" t="str">
            <v>other</v>
          </cell>
        </row>
        <row r="2751">
          <cell r="C2751" t="str">
            <v>PS</v>
          </cell>
          <cell r="D2751">
            <v>317</v>
          </cell>
          <cell r="H2751" t="str">
            <v>other</v>
          </cell>
        </row>
        <row r="2752">
          <cell r="C2752" t="str">
            <v>PS</v>
          </cell>
          <cell r="D2752">
            <v>383</v>
          </cell>
          <cell r="H2752" t="str">
            <v>other</v>
          </cell>
        </row>
        <row r="2753">
          <cell r="C2753" t="str">
            <v>PS</v>
          </cell>
          <cell r="D2753">
            <v>383</v>
          </cell>
          <cell r="H2753" t="str">
            <v>other</v>
          </cell>
        </row>
        <row r="2754">
          <cell r="C2754" t="str">
            <v>PS</v>
          </cell>
          <cell r="D2754">
            <v>383</v>
          </cell>
          <cell r="H2754" t="str">
            <v>other</v>
          </cell>
        </row>
        <row r="2755">
          <cell r="C2755" t="str">
            <v>HY</v>
          </cell>
          <cell r="D2755">
            <v>0.8</v>
          </cell>
          <cell r="H2755" t="str">
            <v>hydro</v>
          </cell>
        </row>
        <row r="2756">
          <cell r="C2756" t="str">
            <v>HY</v>
          </cell>
          <cell r="D2756">
            <v>0.8</v>
          </cell>
          <cell r="H2756" t="str">
            <v>hydro</v>
          </cell>
        </row>
        <row r="2757">
          <cell r="C2757" t="str">
            <v>ST</v>
          </cell>
          <cell r="D2757">
            <v>771.6</v>
          </cell>
          <cell r="H2757" t="str">
            <v>nuclear</v>
          </cell>
        </row>
        <row r="2758">
          <cell r="C2758" t="str">
            <v>HY</v>
          </cell>
          <cell r="D2758">
            <v>0.6</v>
          </cell>
          <cell r="H2758" t="str">
            <v>hydro</v>
          </cell>
        </row>
        <row r="2759">
          <cell r="C2759" t="str">
            <v>HY</v>
          </cell>
          <cell r="D2759">
            <v>0.6</v>
          </cell>
          <cell r="H2759" t="str">
            <v>hydro</v>
          </cell>
        </row>
        <row r="2760">
          <cell r="C2760" t="str">
            <v>HY</v>
          </cell>
          <cell r="D2760">
            <v>0.7</v>
          </cell>
          <cell r="H2760" t="str">
            <v>hydro</v>
          </cell>
        </row>
        <row r="2761">
          <cell r="C2761" t="str">
            <v>HY</v>
          </cell>
          <cell r="D2761">
            <v>0.7</v>
          </cell>
          <cell r="H2761" t="str">
            <v>hydro</v>
          </cell>
        </row>
        <row r="2762">
          <cell r="C2762" t="str">
            <v>HY</v>
          </cell>
          <cell r="D2762">
            <v>0.8</v>
          </cell>
          <cell r="H2762" t="str">
            <v>hydro</v>
          </cell>
        </row>
        <row r="2763">
          <cell r="C2763" t="str">
            <v>HY</v>
          </cell>
          <cell r="D2763">
            <v>0.3</v>
          </cell>
          <cell r="H2763" t="str">
            <v>hydro</v>
          </cell>
        </row>
        <row r="2764">
          <cell r="C2764" t="str">
            <v>IC</v>
          </cell>
          <cell r="D2764">
            <v>2</v>
          </cell>
          <cell r="H2764" t="str">
            <v>petroleum</v>
          </cell>
        </row>
        <row r="2765">
          <cell r="C2765" t="str">
            <v>IC</v>
          </cell>
          <cell r="D2765">
            <v>3</v>
          </cell>
          <cell r="H2765" t="str">
            <v>petroleum</v>
          </cell>
        </row>
        <row r="2766">
          <cell r="C2766" t="str">
            <v>IC</v>
          </cell>
          <cell r="D2766">
            <v>3</v>
          </cell>
          <cell r="H2766" t="str">
            <v>petroleum</v>
          </cell>
        </row>
        <row r="2767">
          <cell r="C2767" t="str">
            <v>IC</v>
          </cell>
          <cell r="D2767">
            <v>3</v>
          </cell>
          <cell r="H2767" t="str">
            <v>petroleum</v>
          </cell>
        </row>
        <row r="2768">
          <cell r="C2768" t="str">
            <v>IC</v>
          </cell>
          <cell r="D2768">
            <v>3</v>
          </cell>
          <cell r="H2768" t="str">
            <v>petroleum</v>
          </cell>
        </row>
        <row r="2769">
          <cell r="C2769" t="str">
            <v>GT</v>
          </cell>
          <cell r="D2769">
            <v>64</v>
          </cell>
          <cell r="H2769" t="str">
            <v>natural gas peaker</v>
          </cell>
        </row>
        <row r="2770">
          <cell r="C2770" t="str">
            <v>GT</v>
          </cell>
          <cell r="D2770">
            <v>63</v>
          </cell>
          <cell r="H2770" t="str">
            <v>natural gas peaker</v>
          </cell>
        </row>
        <row r="2771">
          <cell r="C2771" t="str">
            <v>ST</v>
          </cell>
          <cell r="D2771">
            <v>1141</v>
          </cell>
          <cell r="H2771" t="str">
            <v>nuclear</v>
          </cell>
        </row>
        <row r="2772">
          <cell r="C2772" t="str">
            <v>GT</v>
          </cell>
          <cell r="D2772">
            <v>13</v>
          </cell>
          <cell r="H2772" t="str">
            <v>petroleum</v>
          </cell>
        </row>
        <row r="2773">
          <cell r="C2773" t="str">
            <v>GT</v>
          </cell>
          <cell r="D2773">
            <v>12</v>
          </cell>
          <cell r="H2773" t="str">
            <v>petroleum</v>
          </cell>
        </row>
        <row r="2774">
          <cell r="C2774" t="str">
            <v>GT</v>
          </cell>
          <cell r="D2774">
            <v>13</v>
          </cell>
          <cell r="H2774" t="str">
            <v>petroleum</v>
          </cell>
        </row>
        <row r="2775">
          <cell r="C2775" t="str">
            <v>GT</v>
          </cell>
          <cell r="D2775">
            <v>13</v>
          </cell>
          <cell r="H2775" t="str">
            <v>petroleum</v>
          </cell>
        </row>
        <row r="2776">
          <cell r="C2776" t="str">
            <v>GT</v>
          </cell>
          <cell r="D2776">
            <v>11</v>
          </cell>
          <cell r="H2776" t="str">
            <v>natural gas peaker</v>
          </cell>
        </row>
        <row r="2777">
          <cell r="C2777" t="str">
            <v>GT</v>
          </cell>
          <cell r="D2777">
            <v>17</v>
          </cell>
          <cell r="H2777" t="str">
            <v>natural gas peaker</v>
          </cell>
        </row>
        <row r="2778">
          <cell r="C2778" t="str">
            <v>GT</v>
          </cell>
          <cell r="D2778">
            <v>32</v>
          </cell>
          <cell r="H2778" t="str">
            <v>natural gas peaker</v>
          </cell>
        </row>
        <row r="2779">
          <cell r="C2779" t="str">
            <v>GT</v>
          </cell>
          <cell r="D2779">
            <v>33</v>
          </cell>
          <cell r="H2779" t="str">
            <v>natural gas peaker</v>
          </cell>
        </row>
        <row r="2780">
          <cell r="C2780" t="str">
            <v>ST</v>
          </cell>
          <cell r="D2780">
            <v>758</v>
          </cell>
          <cell r="H2780" t="str">
            <v>hard coal</v>
          </cell>
        </row>
        <row r="2781">
          <cell r="C2781" t="str">
            <v>ST</v>
          </cell>
          <cell r="D2781">
            <v>773</v>
          </cell>
          <cell r="H2781" t="str">
            <v>hard coal</v>
          </cell>
        </row>
        <row r="2782">
          <cell r="C2782" t="str">
            <v>ST</v>
          </cell>
          <cell r="D2782">
            <v>773</v>
          </cell>
          <cell r="H2782" t="str">
            <v>hard coal</v>
          </cell>
        </row>
        <row r="2783">
          <cell r="C2783" t="str">
            <v>ST</v>
          </cell>
          <cell r="D2783">
            <v>762</v>
          </cell>
          <cell r="H2783" t="str">
            <v>hard coal</v>
          </cell>
        </row>
        <row r="2784">
          <cell r="C2784" t="str">
            <v>IC</v>
          </cell>
          <cell r="D2784">
            <v>2</v>
          </cell>
          <cell r="H2784" t="str">
            <v>petroleum</v>
          </cell>
        </row>
        <row r="2785">
          <cell r="C2785" t="str">
            <v>IC</v>
          </cell>
          <cell r="D2785">
            <v>3</v>
          </cell>
          <cell r="H2785" t="str">
            <v>petroleum</v>
          </cell>
        </row>
        <row r="2786">
          <cell r="C2786" t="str">
            <v>IC</v>
          </cell>
          <cell r="D2786">
            <v>3</v>
          </cell>
          <cell r="H2786" t="str">
            <v>petroleum</v>
          </cell>
        </row>
        <row r="2787">
          <cell r="C2787" t="str">
            <v>IC</v>
          </cell>
          <cell r="D2787">
            <v>3</v>
          </cell>
          <cell r="H2787" t="str">
            <v>petroleum</v>
          </cell>
        </row>
        <row r="2788">
          <cell r="C2788" t="str">
            <v>IC</v>
          </cell>
          <cell r="D2788">
            <v>3</v>
          </cell>
          <cell r="H2788" t="str">
            <v>petroleum</v>
          </cell>
        </row>
        <row r="2789">
          <cell r="C2789" t="str">
            <v>GT</v>
          </cell>
          <cell r="D2789">
            <v>15</v>
          </cell>
          <cell r="H2789" t="str">
            <v>natural gas peaker</v>
          </cell>
        </row>
        <row r="2790">
          <cell r="C2790" t="str">
            <v>GT</v>
          </cell>
          <cell r="D2790">
            <v>15</v>
          </cell>
          <cell r="H2790" t="str">
            <v>natural gas peaker</v>
          </cell>
        </row>
        <row r="2791">
          <cell r="C2791" t="str">
            <v>GT</v>
          </cell>
          <cell r="D2791">
            <v>14</v>
          </cell>
          <cell r="H2791" t="str">
            <v>natural gas peaker</v>
          </cell>
        </row>
        <row r="2792">
          <cell r="C2792" t="str">
            <v>GT</v>
          </cell>
          <cell r="D2792">
            <v>15</v>
          </cell>
          <cell r="H2792" t="str">
            <v>natural gas peaker</v>
          </cell>
        </row>
        <row r="2793">
          <cell r="C2793" t="str">
            <v>GT</v>
          </cell>
          <cell r="D2793">
            <v>18</v>
          </cell>
          <cell r="H2793" t="str">
            <v>natural gas peaker</v>
          </cell>
        </row>
        <row r="2794">
          <cell r="C2794" t="str">
            <v>GT</v>
          </cell>
          <cell r="D2794">
            <v>19</v>
          </cell>
          <cell r="H2794" t="str">
            <v>petroleum</v>
          </cell>
        </row>
        <row r="2795">
          <cell r="C2795" t="str">
            <v>GT</v>
          </cell>
          <cell r="D2795">
            <v>20</v>
          </cell>
          <cell r="H2795" t="str">
            <v>petroleum</v>
          </cell>
        </row>
        <row r="2796">
          <cell r="C2796" t="str">
            <v>IC</v>
          </cell>
          <cell r="D2796">
            <v>2</v>
          </cell>
          <cell r="H2796" t="str">
            <v>petroleum</v>
          </cell>
        </row>
        <row r="2797">
          <cell r="C2797" t="str">
            <v>IC</v>
          </cell>
          <cell r="D2797">
            <v>3</v>
          </cell>
          <cell r="H2797" t="str">
            <v>petroleum</v>
          </cell>
        </row>
        <row r="2798">
          <cell r="C2798" t="str">
            <v>IC</v>
          </cell>
          <cell r="D2798">
            <v>3</v>
          </cell>
          <cell r="H2798" t="str">
            <v>petroleum</v>
          </cell>
        </row>
        <row r="2799">
          <cell r="C2799" t="str">
            <v>IC</v>
          </cell>
          <cell r="D2799">
            <v>3</v>
          </cell>
          <cell r="H2799" t="str">
            <v>petroleum</v>
          </cell>
        </row>
        <row r="2800">
          <cell r="C2800" t="str">
            <v>IC</v>
          </cell>
          <cell r="D2800">
            <v>3</v>
          </cell>
          <cell r="H2800" t="str">
            <v>petroleum</v>
          </cell>
        </row>
        <row r="2801">
          <cell r="C2801" t="str">
            <v>IC</v>
          </cell>
          <cell r="D2801">
            <v>2</v>
          </cell>
          <cell r="H2801" t="str">
            <v>petroleum</v>
          </cell>
        </row>
        <row r="2802">
          <cell r="C2802" t="str">
            <v>IC</v>
          </cell>
          <cell r="D2802">
            <v>3</v>
          </cell>
          <cell r="H2802" t="str">
            <v>petroleum</v>
          </cell>
        </row>
        <row r="2803">
          <cell r="C2803" t="str">
            <v>IC</v>
          </cell>
          <cell r="D2803">
            <v>3</v>
          </cell>
          <cell r="H2803" t="str">
            <v>petroleum</v>
          </cell>
        </row>
        <row r="2804">
          <cell r="C2804" t="str">
            <v>IC</v>
          </cell>
          <cell r="D2804">
            <v>3</v>
          </cell>
          <cell r="H2804" t="str">
            <v>petroleum</v>
          </cell>
        </row>
        <row r="2805">
          <cell r="C2805" t="str">
            <v>IC</v>
          </cell>
          <cell r="D2805">
            <v>3</v>
          </cell>
          <cell r="H2805" t="str">
            <v>petroleum</v>
          </cell>
        </row>
        <row r="2806">
          <cell r="C2806" t="str">
            <v>IC</v>
          </cell>
          <cell r="D2806">
            <v>2</v>
          </cell>
          <cell r="H2806" t="str">
            <v>petroleum</v>
          </cell>
        </row>
        <row r="2807">
          <cell r="C2807" t="str">
            <v>IC</v>
          </cell>
          <cell r="D2807">
            <v>3</v>
          </cell>
          <cell r="H2807" t="str">
            <v>petroleum</v>
          </cell>
        </row>
        <row r="2808">
          <cell r="C2808" t="str">
            <v>IC</v>
          </cell>
          <cell r="D2808">
            <v>3</v>
          </cell>
          <cell r="H2808" t="str">
            <v>petroleum</v>
          </cell>
        </row>
        <row r="2809">
          <cell r="C2809" t="str">
            <v>IC</v>
          </cell>
          <cell r="D2809">
            <v>3</v>
          </cell>
          <cell r="H2809" t="str">
            <v>petroleum</v>
          </cell>
        </row>
        <row r="2810">
          <cell r="C2810" t="str">
            <v>IC</v>
          </cell>
          <cell r="D2810">
            <v>3</v>
          </cell>
          <cell r="H2810" t="str">
            <v>petroleum</v>
          </cell>
        </row>
        <row r="2811">
          <cell r="C2811" t="str">
            <v>ST</v>
          </cell>
          <cell r="D2811">
            <v>272</v>
          </cell>
          <cell r="H2811" t="str">
            <v>hard coal</v>
          </cell>
        </row>
        <row r="2812">
          <cell r="C2812" t="str">
            <v>IC</v>
          </cell>
          <cell r="D2812">
            <v>2</v>
          </cell>
          <cell r="H2812" t="str">
            <v>petroleum</v>
          </cell>
        </row>
        <row r="2813">
          <cell r="C2813" t="str">
            <v>IC</v>
          </cell>
          <cell r="D2813">
            <v>3</v>
          </cell>
          <cell r="H2813" t="str">
            <v>petroleum</v>
          </cell>
        </row>
        <row r="2814">
          <cell r="C2814" t="str">
            <v>IC</v>
          </cell>
          <cell r="D2814">
            <v>3</v>
          </cell>
          <cell r="H2814" t="str">
            <v>petroleum</v>
          </cell>
        </row>
        <row r="2815">
          <cell r="C2815" t="str">
            <v>IC</v>
          </cell>
          <cell r="D2815">
            <v>3</v>
          </cell>
          <cell r="H2815" t="str">
            <v>petroleum</v>
          </cell>
        </row>
        <row r="2816">
          <cell r="C2816" t="str">
            <v>IC</v>
          </cell>
          <cell r="D2816">
            <v>2</v>
          </cell>
          <cell r="H2816" t="str">
            <v>petroleum</v>
          </cell>
        </row>
        <row r="2817">
          <cell r="C2817" t="str">
            <v>IC</v>
          </cell>
          <cell r="D2817">
            <v>3</v>
          </cell>
          <cell r="H2817" t="str">
            <v>petroleum</v>
          </cell>
        </row>
        <row r="2818">
          <cell r="C2818" t="str">
            <v>IC</v>
          </cell>
          <cell r="D2818">
            <v>3</v>
          </cell>
          <cell r="H2818" t="str">
            <v>petroleum</v>
          </cell>
        </row>
        <row r="2819">
          <cell r="C2819" t="str">
            <v>IC</v>
          </cell>
          <cell r="D2819">
            <v>3</v>
          </cell>
          <cell r="H2819" t="str">
            <v>petroleum</v>
          </cell>
        </row>
        <row r="2820">
          <cell r="C2820" t="str">
            <v>IC</v>
          </cell>
          <cell r="D2820">
            <v>3</v>
          </cell>
          <cell r="H2820" t="str">
            <v>petroleum</v>
          </cell>
        </row>
        <row r="2821">
          <cell r="C2821" t="str">
            <v>GT</v>
          </cell>
          <cell r="D2821">
            <v>19</v>
          </cell>
          <cell r="H2821" t="str">
            <v>natural gas peaker</v>
          </cell>
        </row>
        <row r="2822">
          <cell r="C2822" t="str">
            <v>IC</v>
          </cell>
          <cell r="D2822">
            <v>2</v>
          </cell>
          <cell r="H2822" t="str">
            <v>petroleum</v>
          </cell>
        </row>
        <row r="2823">
          <cell r="C2823" t="str">
            <v>IC</v>
          </cell>
          <cell r="D2823">
            <v>3</v>
          </cell>
          <cell r="H2823" t="str">
            <v>petroleum</v>
          </cell>
        </row>
        <row r="2824">
          <cell r="C2824" t="str">
            <v>ST</v>
          </cell>
          <cell r="D2824">
            <v>154</v>
          </cell>
          <cell r="H2824" t="str">
            <v>hard coal</v>
          </cell>
        </row>
        <row r="2825">
          <cell r="C2825" t="str">
            <v>ST</v>
          </cell>
          <cell r="D2825">
            <v>160</v>
          </cell>
          <cell r="H2825" t="str">
            <v>hard coal</v>
          </cell>
        </row>
        <row r="2826">
          <cell r="C2826" t="str">
            <v>ST</v>
          </cell>
          <cell r="D2826">
            <v>311</v>
          </cell>
          <cell r="H2826" t="str">
            <v>hard coal</v>
          </cell>
        </row>
        <row r="2827">
          <cell r="C2827" t="str">
            <v>ST</v>
          </cell>
          <cell r="D2827">
            <v>440</v>
          </cell>
          <cell r="H2827" t="str">
            <v>hard coal</v>
          </cell>
        </row>
        <row r="2828">
          <cell r="C2828" t="str">
            <v>GT</v>
          </cell>
          <cell r="D2828">
            <v>13</v>
          </cell>
          <cell r="H2828" t="str">
            <v>petroleum</v>
          </cell>
        </row>
        <row r="2829">
          <cell r="C2829" t="str">
            <v>GT</v>
          </cell>
          <cell r="D2829">
            <v>13</v>
          </cell>
          <cell r="H2829" t="str">
            <v>petroleum</v>
          </cell>
        </row>
        <row r="2830">
          <cell r="C2830" t="str">
            <v>GT</v>
          </cell>
          <cell r="D2830">
            <v>12</v>
          </cell>
          <cell r="H2830" t="str">
            <v>petroleum</v>
          </cell>
        </row>
        <row r="2831">
          <cell r="C2831" t="str">
            <v>GT</v>
          </cell>
          <cell r="D2831">
            <v>14</v>
          </cell>
          <cell r="H2831" t="str">
            <v>petroleum</v>
          </cell>
        </row>
        <row r="2832">
          <cell r="C2832" t="str">
            <v>ST</v>
          </cell>
          <cell r="D2832">
            <v>495</v>
          </cell>
          <cell r="H2832" t="str">
            <v>hard coal</v>
          </cell>
        </row>
        <row r="2833">
          <cell r="C2833" t="str">
            <v>IC</v>
          </cell>
          <cell r="D2833">
            <v>2</v>
          </cell>
          <cell r="H2833" t="str">
            <v>petroleum</v>
          </cell>
        </row>
        <row r="2834">
          <cell r="C2834" t="str">
            <v>IC</v>
          </cell>
          <cell r="D2834">
            <v>3</v>
          </cell>
          <cell r="H2834" t="str">
            <v>petroleum</v>
          </cell>
        </row>
        <row r="2835">
          <cell r="C2835" t="str">
            <v>IC</v>
          </cell>
          <cell r="D2835">
            <v>3</v>
          </cell>
          <cell r="H2835" t="str">
            <v>petroleum</v>
          </cell>
        </row>
        <row r="2836">
          <cell r="C2836" t="str">
            <v>IC</v>
          </cell>
          <cell r="D2836">
            <v>3</v>
          </cell>
          <cell r="H2836" t="str">
            <v>petroleum</v>
          </cell>
        </row>
        <row r="2837">
          <cell r="C2837" t="str">
            <v>IC</v>
          </cell>
          <cell r="D2837">
            <v>3</v>
          </cell>
          <cell r="H2837" t="str">
            <v>petroleum</v>
          </cell>
        </row>
        <row r="2838">
          <cell r="C2838" t="str">
            <v>IC</v>
          </cell>
          <cell r="D2838">
            <v>2</v>
          </cell>
          <cell r="H2838" t="str">
            <v>petroleum</v>
          </cell>
        </row>
        <row r="2839">
          <cell r="C2839" t="str">
            <v>IC</v>
          </cell>
          <cell r="D2839">
            <v>2.8</v>
          </cell>
          <cell r="H2839" t="str">
            <v>petroleum</v>
          </cell>
        </row>
        <row r="2840">
          <cell r="C2840" t="str">
            <v>HY</v>
          </cell>
          <cell r="D2840">
            <v>0.4</v>
          </cell>
          <cell r="H2840" t="str">
            <v>hydro</v>
          </cell>
        </row>
        <row r="2841">
          <cell r="C2841" t="str">
            <v>HY</v>
          </cell>
          <cell r="D2841">
            <v>0.4</v>
          </cell>
          <cell r="H2841" t="str">
            <v>hydro</v>
          </cell>
        </row>
        <row r="2842">
          <cell r="C2842" t="str">
            <v>HY</v>
          </cell>
          <cell r="D2842">
            <v>0.4</v>
          </cell>
          <cell r="H2842" t="str">
            <v>hydro</v>
          </cell>
        </row>
        <row r="2843">
          <cell r="C2843" t="str">
            <v>HY</v>
          </cell>
          <cell r="D2843">
            <v>0.4</v>
          </cell>
          <cell r="H2843" t="str">
            <v>hydro</v>
          </cell>
        </row>
        <row r="2844">
          <cell r="C2844" t="str">
            <v>HY</v>
          </cell>
          <cell r="D2844">
            <v>0.4</v>
          </cell>
          <cell r="H2844" t="str">
            <v>hydro</v>
          </cell>
        </row>
        <row r="2845">
          <cell r="C2845" t="str">
            <v>HY</v>
          </cell>
          <cell r="D2845">
            <v>0.4</v>
          </cell>
          <cell r="H2845" t="str">
            <v>hydro</v>
          </cell>
        </row>
        <row r="2846">
          <cell r="C2846" t="str">
            <v>HY</v>
          </cell>
          <cell r="D2846">
            <v>0.4</v>
          </cell>
          <cell r="H2846" t="str">
            <v>hydro</v>
          </cell>
        </row>
        <row r="2847">
          <cell r="C2847" t="str">
            <v>HY</v>
          </cell>
          <cell r="D2847">
            <v>0.4</v>
          </cell>
          <cell r="H2847" t="str">
            <v>hydro</v>
          </cell>
        </row>
        <row r="2848">
          <cell r="C2848" t="str">
            <v>HY</v>
          </cell>
          <cell r="D2848">
            <v>0.4</v>
          </cell>
          <cell r="H2848" t="str">
            <v>hydro</v>
          </cell>
        </row>
        <row r="2849">
          <cell r="C2849" t="str">
            <v>HY</v>
          </cell>
          <cell r="D2849">
            <v>0.4</v>
          </cell>
          <cell r="H2849" t="str">
            <v>hydro</v>
          </cell>
        </row>
        <row r="2850">
          <cell r="C2850" t="str">
            <v>HY</v>
          </cell>
          <cell r="D2850">
            <v>0.4</v>
          </cell>
          <cell r="H2850" t="str">
            <v>hydro</v>
          </cell>
        </row>
        <row r="2851">
          <cell r="C2851" t="str">
            <v>HY</v>
          </cell>
          <cell r="D2851">
            <v>0.4</v>
          </cell>
          <cell r="H2851" t="str">
            <v>hydro</v>
          </cell>
        </row>
        <row r="2852">
          <cell r="C2852" t="str">
            <v>HY</v>
          </cell>
          <cell r="D2852">
            <v>0.4</v>
          </cell>
          <cell r="H2852" t="str">
            <v>hydro</v>
          </cell>
        </row>
        <row r="2853">
          <cell r="C2853" t="str">
            <v>HY</v>
          </cell>
          <cell r="D2853">
            <v>0.4</v>
          </cell>
          <cell r="H2853" t="str">
            <v>hydro</v>
          </cell>
        </row>
        <row r="2854">
          <cell r="C2854" t="str">
            <v>HY</v>
          </cell>
          <cell r="D2854">
            <v>0.4</v>
          </cell>
          <cell r="H2854" t="str">
            <v>hydro</v>
          </cell>
        </row>
        <row r="2855">
          <cell r="C2855" t="str">
            <v>HY</v>
          </cell>
          <cell r="D2855">
            <v>0.4</v>
          </cell>
          <cell r="H2855" t="str">
            <v>hydro</v>
          </cell>
        </row>
        <row r="2856">
          <cell r="C2856" t="str">
            <v>HY</v>
          </cell>
          <cell r="D2856">
            <v>0.4</v>
          </cell>
          <cell r="H2856" t="str">
            <v>hydro</v>
          </cell>
        </row>
        <row r="2857">
          <cell r="C2857" t="str">
            <v>HY</v>
          </cell>
          <cell r="D2857">
            <v>0.4</v>
          </cell>
          <cell r="H2857" t="str">
            <v>hydro</v>
          </cell>
        </row>
        <row r="2858">
          <cell r="C2858" t="str">
            <v>HY</v>
          </cell>
          <cell r="D2858">
            <v>0.4</v>
          </cell>
          <cell r="H2858" t="str">
            <v>hydro</v>
          </cell>
        </row>
        <row r="2859">
          <cell r="C2859" t="str">
            <v>HY</v>
          </cell>
          <cell r="D2859">
            <v>0.4</v>
          </cell>
          <cell r="H2859" t="str">
            <v>hydro</v>
          </cell>
        </row>
        <row r="2860">
          <cell r="C2860" t="str">
            <v>HY</v>
          </cell>
          <cell r="D2860">
            <v>0.4</v>
          </cell>
          <cell r="H2860" t="str">
            <v>hydro</v>
          </cell>
        </row>
        <row r="2861">
          <cell r="C2861" t="str">
            <v>HY</v>
          </cell>
          <cell r="D2861">
            <v>0.4</v>
          </cell>
          <cell r="H2861" t="str">
            <v>hydro</v>
          </cell>
        </row>
        <row r="2862">
          <cell r="C2862" t="str">
            <v>HY</v>
          </cell>
          <cell r="D2862">
            <v>0.4</v>
          </cell>
          <cell r="H2862" t="str">
            <v>hydro</v>
          </cell>
        </row>
        <row r="2863">
          <cell r="C2863" t="str">
            <v>HY</v>
          </cell>
          <cell r="D2863">
            <v>0.4</v>
          </cell>
          <cell r="H2863" t="str">
            <v>hydro</v>
          </cell>
        </row>
        <row r="2864">
          <cell r="C2864" t="str">
            <v>HY</v>
          </cell>
          <cell r="D2864">
            <v>0.4</v>
          </cell>
          <cell r="H2864" t="str">
            <v>hydro</v>
          </cell>
        </row>
        <row r="2865">
          <cell r="C2865" t="str">
            <v>HY</v>
          </cell>
          <cell r="D2865">
            <v>0.4</v>
          </cell>
          <cell r="H2865" t="str">
            <v>hydro</v>
          </cell>
        </row>
        <row r="2866">
          <cell r="C2866" t="str">
            <v>HY</v>
          </cell>
          <cell r="D2866">
            <v>0.4</v>
          </cell>
          <cell r="H2866" t="str">
            <v>hydro</v>
          </cell>
        </row>
        <row r="2867">
          <cell r="C2867" t="str">
            <v>HY</v>
          </cell>
          <cell r="D2867">
            <v>0.4</v>
          </cell>
          <cell r="H2867" t="str">
            <v>hydro</v>
          </cell>
        </row>
        <row r="2868">
          <cell r="C2868" t="str">
            <v>HY</v>
          </cell>
          <cell r="D2868">
            <v>0.4</v>
          </cell>
          <cell r="H2868" t="str">
            <v>hydro</v>
          </cell>
        </row>
        <row r="2869">
          <cell r="C2869" t="str">
            <v>HY</v>
          </cell>
          <cell r="D2869">
            <v>0.4</v>
          </cell>
          <cell r="H2869" t="str">
            <v>hydro</v>
          </cell>
        </row>
        <row r="2870">
          <cell r="C2870" t="str">
            <v>HY</v>
          </cell>
          <cell r="D2870">
            <v>0.4</v>
          </cell>
          <cell r="H2870" t="str">
            <v>hydro</v>
          </cell>
        </row>
        <row r="2871">
          <cell r="C2871" t="str">
            <v>HY</v>
          </cell>
          <cell r="D2871">
            <v>0.4</v>
          </cell>
          <cell r="H2871" t="str">
            <v>hydro</v>
          </cell>
        </row>
        <row r="2872">
          <cell r="C2872" t="str">
            <v>HY</v>
          </cell>
          <cell r="D2872">
            <v>0.4</v>
          </cell>
          <cell r="H2872" t="str">
            <v>hydro</v>
          </cell>
        </row>
        <row r="2873">
          <cell r="C2873" t="str">
            <v>HY</v>
          </cell>
          <cell r="D2873">
            <v>0.4</v>
          </cell>
          <cell r="H2873" t="str">
            <v>hydro</v>
          </cell>
        </row>
        <row r="2874">
          <cell r="C2874" t="str">
            <v>HY</v>
          </cell>
          <cell r="D2874">
            <v>0.4</v>
          </cell>
          <cell r="H2874" t="str">
            <v>hydro</v>
          </cell>
        </row>
        <row r="2875">
          <cell r="C2875" t="str">
            <v>HY</v>
          </cell>
          <cell r="D2875">
            <v>0.4</v>
          </cell>
          <cell r="H2875" t="str">
            <v>hydro</v>
          </cell>
        </row>
        <row r="2876">
          <cell r="C2876" t="str">
            <v>HY</v>
          </cell>
          <cell r="D2876">
            <v>0.4</v>
          </cell>
          <cell r="H2876" t="str">
            <v>hydro</v>
          </cell>
        </row>
        <row r="2877">
          <cell r="C2877" t="str">
            <v>HY</v>
          </cell>
          <cell r="D2877">
            <v>0.4</v>
          </cell>
          <cell r="H2877" t="str">
            <v>hydro</v>
          </cell>
        </row>
        <row r="2878">
          <cell r="C2878" t="str">
            <v>HY</v>
          </cell>
          <cell r="D2878">
            <v>0.4</v>
          </cell>
          <cell r="H2878" t="str">
            <v>hydro</v>
          </cell>
        </row>
        <row r="2879">
          <cell r="C2879" t="str">
            <v>HY</v>
          </cell>
          <cell r="D2879">
            <v>0.4</v>
          </cell>
          <cell r="H2879" t="str">
            <v>hydro</v>
          </cell>
        </row>
        <row r="2880">
          <cell r="C2880" t="str">
            <v>HY</v>
          </cell>
          <cell r="D2880">
            <v>0.4</v>
          </cell>
          <cell r="H2880" t="str">
            <v>hydro</v>
          </cell>
        </row>
        <row r="2881">
          <cell r="C2881" t="str">
            <v>HY</v>
          </cell>
          <cell r="D2881">
            <v>0.4</v>
          </cell>
          <cell r="H2881" t="str">
            <v>hydro</v>
          </cell>
        </row>
        <row r="2882">
          <cell r="C2882" t="str">
            <v>HY</v>
          </cell>
          <cell r="D2882">
            <v>0.4</v>
          </cell>
          <cell r="H2882" t="str">
            <v>hydro</v>
          </cell>
        </row>
        <row r="2883">
          <cell r="C2883" t="str">
            <v>HY</v>
          </cell>
          <cell r="D2883">
            <v>0.4</v>
          </cell>
          <cell r="H2883" t="str">
            <v>hydro</v>
          </cell>
        </row>
        <row r="2884">
          <cell r="C2884" t="str">
            <v>HY</v>
          </cell>
          <cell r="D2884">
            <v>0.4</v>
          </cell>
          <cell r="H2884" t="str">
            <v>hydro</v>
          </cell>
        </row>
        <row r="2885">
          <cell r="C2885" t="str">
            <v>HY</v>
          </cell>
          <cell r="D2885">
            <v>0.4</v>
          </cell>
          <cell r="H2885" t="str">
            <v>hydro</v>
          </cell>
        </row>
        <row r="2886">
          <cell r="C2886" t="str">
            <v>HY</v>
          </cell>
          <cell r="D2886">
            <v>0.4</v>
          </cell>
          <cell r="H2886" t="str">
            <v>hydro</v>
          </cell>
        </row>
        <row r="2887">
          <cell r="C2887" t="str">
            <v>HY</v>
          </cell>
          <cell r="D2887">
            <v>0.4</v>
          </cell>
          <cell r="H2887" t="str">
            <v>hydro</v>
          </cell>
        </row>
        <row r="2888">
          <cell r="C2888" t="str">
            <v>HY</v>
          </cell>
          <cell r="D2888">
            <v>0.4</v>
          </cell>
          <cell r="H2888" t="str">
            <v>hydro</v>
          </cell>
        </row>
        <row r="2889">
          <cell r="C2889" t="str">
            <v>HY</v>
          </cell>
          <cell r="D2889">
            <v>0.4</v>
          </cell>
          <cell r="H2889" t="str">
            <v>hydro</v>
          </cell>
        </row>
        <row r="2890">
          <cell r="C2890" t="str">
            <v>HY</v>
          </cell>
          <cell r="D2890">
            <v>0.4</v>
          </cell>
          <cell r="H2890" t="str">
            <v>hydro</v>
          </cell>
        </row>
        <row r="2891">
          <cell r="C2891" t="str">
            <v>HY</v>
          </cell>
          <cell r="D2891">
            <v>0.4</v>
          </cell>
          <cell r="H2891" t="str">
            <v>hydro</v>
          </cell>
        </row>
        <row r="2892">
          <cell r="C2892" t="str">
            <v>HY</v>
          </cell>
          <cell r="D2892">
            <v>0.4</v>
          </cell>
          <cell r="H2892" t="str">
            <v>hydro</v>
          </cell>
        </row>
        <row r="2893">
          <cell r="C2893" t="str">
            <v>HY</v>
          </cell>
          <cell r="D2893">
            <v>0.4</v>
          </cell>
          <cell r="H2893" t="str">
            <v>hydro</v>
          </cell>
        </row>
        <row r="2894">
          <cell r="C2894" t="str">
            <v>HY</v>
          </cell>
          <cell r="D2894">
            <v>0.4</v>
          </cell>
          <cell r="H2894" t="str">
            <v>hydro</v>
          </cell>
        </row>
        <row r="2895">
          <cell r="C2895" t="str">
            <v>HY</v>
          </cell>
          <cell r="D2895">
            <v>0.4</v>
          </cell>
          <cell r="H2895" t="str">
            <v>hydro</v>
          </cell>
        </row>
        <row r="2896">
          <cell r="C2896" t="str">
            <v>HY</v>
          </cell>
          <cell r="D2896">
            <v>0.4</v>
          </cell>
          <cell r="H2896" t="str">
            <v>hydro</v>
          </cell>
        </row>
        <row r="2897">
          <cell r="C2897" t="str">
            <v>HY</v>
          </cell>
          <cell r="D2897">
            <v>0.4</v>
          </cell>
          <cell r="H2897" t="str">
            <v>hydro</v>
          </cell>
        </row>
        <row r="2898">
          <cell r="C2898" t="str">
            <v>HY</v>
          </cell>
          <cell r="D2898">
            <v>0.4</v>
          </cell>
          <cell r="H2898" t="str">
            <v>hydro</v>
          </cell>
        </row>
        <row r="2899">
          <cell r="C2899" t="str">
            <v>HY</v>
          </cell>
          <cell r="D2899">
            <v>0.4</v>
          </cell>
          <cell r="H2899" t="str">
            <v>hydro</v>
          </cell>
        </row>
        <row r="2900">
          <cell r="C2900" t="str">
            <v>HY</v>
          </cell>
          <cell r="D2900">
            <v>0.4</v>
          </cell>
          <cell r="H2900" t="str">
            <v>hydro</v>
          </cell>
        </row>
        <row r="2901">
          <cell r="C2901" t="str">
            <v>HY</v>
          </cell>
          <cell r="D2901">
            <v>0.4</v>
          </cell>
          <cell r="H2901" t="str">
            <v>hydro</v>
          </cell>
        </row>
        <row r="2902">
          <cell r="C2902" t="str">
            <v>HY</v>
          </cell>
          <cell r="D2902">
            <v>0.4</v>
          </cell>
          <cell r="H2902" t="str">
            <v>hydro</v>
          </cell>
        </row>
        <row r="2903">
          <cell r="C2903" t="str">
            <v>HY</v>
          </cell>
          <cell r="D2903">
            <v>0.4</v>
          </cell>
          <cell r="H2903" t="str">
            <v>hydro</v>
          </cell>
        </row>
        <row r="2904">
          <cell r="C2904" t="str">
            <v>HY</v>
          </cell>
          <cell r="D2904">
            <v>0.4</v>
          </cell>
          <cell r="H2904" t="str">
            <v>hydro</v>
          </cell>
        </row>
        <row r="2905">
          <cell r="C2905" t="str">
            <v>HY</v>
          </cell>
          <cell r="D2905">
            <v>0.4</v>
          </cell>
          <cell r="H2905" t="str">
            <v>hydro</v>
          </cell>
        </row>
        <row r="2906">
          <cell r="C2906" t="str">
            <v>HY</v>
          </cell>
          <cell r="D2906">
            <v>0.4</v>
          </cell>
          <cell r="H2906" t="str">
            <v>hydro</v>
          </cell>
        </row>
        <row r="2907">
          <cell r="C2907" t="str">
            <v>HY</v>
          </cell>
          <cell r="D2907">
            <v>0.4</v>
          </cell>
          <cell r="H2907" t="str">
            <v>hydro</v>
          </cell>
        </row>
        <row r="2908">
          <cell r="C2908" t="str">
            <v>HY</v>
          </cell>
          <cell r="D2908">
            <v>0.4</v>
          </cell>
          <cell r="H2908" t="str">
            <v>hydro</v>
          </cell>
        </row>
        <row r="2909">
          <cell r="C2909" t="str">
            <v>HY</v>
          </cell>
          <cell r="D2909">
            <v>0.4</v>
          </cell>
          <cell r="H2909" t="str">
            <v>hydro</v>
          </cell>
        </row>
        <row r="2910">
          <cell r="C2910" t="str">
            <v>HY</v>
          </cell>
          <cell r="D2910">
            <v>0.4</v>
          </cell>
          <cell r="H2910" t="str">
            <v>hydro</v>
          </cell>
        </row>
        <row r="2911">
          <cell r="C2911" t="str">
            <v>HY</v>
          </cell>
          <cell r="D2911">
            <v>0.4</v>
          </cell>
          <cell r="H2911" t="str">
            <v>hydro</v>
          </cell>
        </row>
        <row r="2912">
          <cell r="C2912" t="str">
            <v>HY</v>
          </cell>
          <cell r="D2912">
            <v>0.4</v>
          </cell>
          <cell r="H2912" t="str">
            <v>hydro</v>
          </cell>
        </row>
        <row r="2913">
          <cell r="C2913" t="str">
            <v>HY</v>
          </cell>
          <cell r="D2913">
            <v>0.4</v>
          </cell>
          <cell r="H2913" t="str">
            <v>hydro</v>
          </cell>
        </row>
        <row r="2914">
          <cell r="C2914" t="str">
            <v>HY</v>
          </cell>
          <cell r="D2914">
            <v>0.4</v>
          </cell>
          <cell r="H2914" t="str">
            <v>hydro</v>
          </cell>
        </row>
        <row r="2915">
          <cell r="C2915" t="str">
            <v>HY</v>
          </cell>
          <cell r="D2915">
            <v>0.4</v>
          </cell>
          <cell r="H2915" t="str">
            <v>hydro</v>
          </cell>
        </row>
        <row r="2916">
          <cell r="C2916" t="str">
            <v>HY</v>
          </cell>
          <cell r="D2916">
            <v>0.4</v>
          </cell>
          <cell r="H2916" t="str">
            <v>hydro</v>
          </cell>
        </row>
        <row r="2917">
          <cell r="C2917" t="str">
            <v>HY</v>
          </cell>
          <cell r="D2917">
            <v>0.4</v>
          </cell>
          <cell r="H2917" t="str">
            <v>hydro</v>
          </cell>
        </row>
        <row r="2918">
          <cell r="C2918" t="str">
            <v>HY</v>
          </cell>
          <cell r="D2918">
            <v>0.4</v>
          </cell>
          <cell r="H2918" t="str">
            <v>hydro</v>
          </cell>
        </row>
        <row r="2919">
          <cell r="C2919" t="str">
            <v>HY</v>
          </cell>
          <cell r="D2919">
            <v>0.4</v>
          </cell>
          <cell r="H2919" t="str">
            <v>hydro</v>
          </cell>
        </row>
        <row r="2920">
          <cell r="C2920" t="str">
            <v>HY</v>
          </cell>
          <cell r="D2920">
            <v>0.4</v>
          </cell>
          <cell r="H2920" t="str">
            <v>hydro</v>
          </cell>
        </row>
        <row r="2921">
          <cell r="C2921" t="str">
            <v>HY</v>
          </cell>
          <cell r="D2921">
            <v>0.4</v>
          </cell>
          <cell r="H2921" t="str">
            <v>hydro</v>
          </cell>
        </row>
        <row r="2922">
          <cell r="C2922" t="str">
            <v>HY</v>
          </cell>
          <cell r="D2922">
            <v>0.4</v>
          </cell>
          <cell r="H2922" t="str">
            <v>hydro</v>
          </cell>
        </row>
        <row r="2923">
          <cell r="C2923" t="str">
            <v>HY</v>
          </cell>
          <cell r="D2923">
            <v>0.4</v>
          </cell>
          <cell r="H2923" t="str">
            <v>hydro</v>
          </cell>
        </row>
        <row r="2924">
          <cell r="C2924" t="str">
            <v>HY</v>
          </cell>
          <cell r="D2924">
            <v>0.4</v>
          </cell>
          <cell r="H2924" t="str">
            <v>hydro</v>
          </cell>
        </row>
        <row r="2925">
          <cell r="C2925" t="str">
            <v>HY</v>
          </cell>
          <cell r="D2925">
            <v>0.2</v>
          </cell>
          <cell r="H2925" t="str">
            <v>hydro</v>
          </cell>
        </row>
        <row r="2926">
          <cell r="C2926" t="str">
            <v>HY</v>
          </cell>
          <cell r="D2926">
            <v>0.2</v>
          </cell>
          <cell r="H2926" t="str">
            <v>hydro</v>
          </cell>
        </row>
        <row r="2927">
          <cell r="C2927" t="str">
            <v>HY</v>
          </cell>
          <cell r="D2927">
            <v>0.2</v>
          </cell>
          <cell r="H2927" t="str">
            <v>hydro</v>
          </cell>
        </row>
        <row r="2928">
          <cell r="C2928" t="str">
            <v>HY</v>
          </cell>
          <cell r="D2928">
            <v>0.2</v>
          </cell>
          <cell r="H2928" t="str">
            <v>hydro</v>
          </cell>
        </row>
        <row r="2929">
          <cell r="C2929" t="str">
            <v>HY</v>
          </cell>
          <cell r="D2929">
            <v>0.2</v>
          </cell>
          <cell r="H2929" t="str">
            <v>hydro</v>
          </cell>
        </row>
        <row r="2930">
          <cell r="C2930" t="str">
            <v>HY</v>
          </cell>
          <cell r="D2930">
            <v>0.2</v>
          </cell>
          <cell r="H2930" t="str">
            <v>hydro</v>
          </cell>
        </row>
        <row r="2931">
          <cell r="C2931" t="str">
            <v>HY</v>
          </cell>
          <cell r="D2931">
            <v>0.2</v>
          </cell>
          <cell r="H2931" t="str">
            <v>hydro</v>
          </cell>
        </row>
        <row r="2932">
          <cell r="C2932" t="str">
            <v>HY</v>
          </cell>
          <cell r="D2932">
            <v>0.2</v>
          </cell>
          <cell r="H2932" t="str">
            <v>hydro</v>
          </cell>
        </row>
        <row r="2933">
          <cell r="C2933" t="str">
            <v>HY</v>
          </cell>
          <cell r="D2933">
            <v>0.2</v>
          </cell>
          <cell r="H2933" t="str">
            <v>hydro</v>
          </cell>
        </row>
        <row r="2934">
          <cell r="C2934" t="str">
            <v>HY</v>
          </cell>
          <cell r="D2934">
            <v>0.2</v>
          </cell>
          <cell r="H2934" t="str">
            <v>hydro</v>
          </cell>
        </row>
        <row r="2935">
          <cell r="C2935" t="str">
            <v>HY</v>
          </cell>
          <cell r="D2935">
            <v>0.5</v>
          </cell>
          <cell r="H2935" t="str">
            <v>hydro</v>
          </cell>
        </row>
        <row r="2936">
          <cell r="C2936" t="str">
            <v>HY</v>
          </cell>
          <cell r="D2936">
            <v>0.5</v>
          </cell>
          <cell r="H2936" t="str">
            <v>hydro</v>
          </cell>
        </row>
        <row r="2937">
          <cell r="C2937" t="str">
            <v>HY</v>
          </cell>
          <cell r="D2937">
            <v>0.5</v>
          </cell>
          <cell r="H2937" t="str">
            <v>hydro</v>
          </cell>
        </row>
        <row r="2938">
          <cell r="C2938" t="str">
            <v>HY</v>
          </cell>
          <cell r="D2938">
            <v>0.5</v>
          </cell>
          <cell r="H2938" t="str">
            <v>hydro</v>
          </cell>
        </row>
        <row r="2939">
          <cell r="C2939" t="str">
            <v>HY</v>
          </cell>
          <cell r="D2939">
            <v>0.1</v>
          </cell>
          <cell r="H2939" t="str">
            <v>hydro</v>
          </cell>
        </row>
        <row r="2940">
          <cell r="C2940" t="str">
            <v>HY</v>
          </cell>
          <cell r="D2940">
            <v>0.1</v>
          </cell>
          <cell r="H2940" t="str">
            <v>hydro</v>
          </cell>
        </row>
        <row r="2941">
          <cell r="C2941" t="str">
            <v>HY</v>
          </cell>
          <cell r="D2941">
            <v>0.1</v>
          </cell>
          <cell r="H2941" t="str">
            <v>hydro</v>
          </cell>
        </row>
        <row r="2942">
          <cell r="C2942" t="str">
            <v>HY</v>
          </cell>
          <cell r="D2942">
            <v>0.1</v>
          </cell>
          <cell r="H2942" t="str">
            <v>hydro</v>
          </cell>
        </row>
        <row r="2943">
          <cell r="C2943" t="str">
            <v>HY</v>
          </cell>
          <cell r="D2943">
            <v>0.1</v>
          </cell>
          <cell r="H2943" t="str">
            <v>hydro</v>
          </cell>
        </row>
        <row r="2944">
          <cell r="C2944" t="str">
            <v>HY</v>
          </cell>
          <cell r="D2944">
            <v>0.1</v>
          </cell>
          <cell r="H2944" t="str">
            <v>hydro</v>
          </cell>
        </row>
        <row r="2945">
          <cell r="C2945" t="str">
            <v>HY</v>
          </cell>
          <cell r="D2945">
            <v>0.1</v>
          </cell>
          <cell r="H2945" t="str">
            <v>hydro</v>
          </cell>
        </row>
        <row r="2946">
          <cell r="C2946" t="str">
            <v>HY</v>
          </cell>
          <cell r="D2946">
            <v>0.1</v>
          </cell>
          <cell r="H2946" t="str">
            <v>hydro</v>
          </cell>
        </row>
        <row r="2947">
          <cell r="C2947" t="str">
            <v>ST</v>
          </cell>
          <cell r="D2947">
            <v>17.7</v>
          </cell>
          <cell r="H2947" t="str">
            <v>biomass</v>
          </cell>
        </row>
        <row r="2948">
          <cell r="C2948" t="str">
            <v>HY</v>
          </cell>
          <cell r="D2948">
            <v>0.4</v>
          </cell>
          <cell r="H2948" t="str">
            <v>hydro</v>
          </cell>
        </row>
        <row r="2949">
          <cell r="C2949" t="str">
            <v>HY</v>
          </cell>
          <cell r="D2949">
            <v>0.4</v>
          </cell>
          <cell r="H2949" t="str">
            <v>hydro</v>
          </cell>
        </row>
        <row r="2950">
          <cell r="C2950" t="str">
            <v>HY</v>
          </cell>
          <cell r="D2950">
            <v>5.9</v>
          </cell>
          <cell r="H2950" t="str">
            <v>hydro</v>
          </cell>
        </row>
        <row r="2951">
          <cell r="C2951" t="str">
            <v>HY</v>
          </cell>
          <cell r="D2951">
            <v>5.9</v>
          </cell>
          <cell r="H2951" t="str">
            <v>hydro</v>
          </cell>
        </row>
        <row r="2952">
          <cell r="C2952" t="str">
            <v>HY</v>
          </cell>
          <cell r="D2952">
            <v>1.3</v>
          </cell>
          <cell r="H2952" t="str">
            <v>hydro</v>
          </cell>
        </row>
        <row r="2953">
          <cell r="C2953" t="str">
            <v>HY</v>
          </cell>
          <cell r="D2953">
            <v>2</v>
          </cell>
          <cell r="H2953" t="str">
            <v>hydro</v>
          </cell>
        </row>
        <row r="2954">
          <cell r="C2954" t="str">
            <v>HY</v>
          </cell>
          <cell r="D2954">
            <v>2</v>
          </cell>
          <cell r="H2954" t="str">
            <v>hydro</v>
          </cell>
        </row>
        <row r="2955">
          <cell r="C2955" t="str">
            <v>HY</v>
          </cell>
          <cell r="D2955">
            <v>2.6</v>
          </cell>
          <cell r="H2955" t="str">
            <v>hydro</v>
          </cell>
        </row>
        <row r="2956">
          <cell r="C2956" t="str">
            <v>HY</v>
          </cell>
          <cell r="D2956">
            <v>2.6</v>
          </cell>
          <cell r="H2956" t="str">
            <v>hydro</v>
          </cell>
        </row>
        <row r="2957">
          <cell r="C2957" t="str">
            <v>HY</v>
          </cell>
          <cell r="D2957">
            <v>2.6</v>
          </cell>
          <cell r="H2957" t="str">
            <v>hydro</v>
          </cell>
        </row>
        <row r="2958">
          <cell r="C2958" t="str">
            <v>HY</v>
          </cell>
          <cell r="D2958">
            <v>2.8</v>
          </cell>
          <cell r="H2958" t="str">
            <v>hydro</v>
          </cell>
        </row>
        <row r="2959">
          <cell r="C2959" t="str">
            <v>HY</v>
          </cell>
          <cell r="D2959">
            <v>2.4</v>
          </cell>
          <cell r="H2959" t="str">
            <v>hydro</v>
          </cell>
        </row>
        <row r="2960">
          <cell r="C2960" t="str">
            <v>HY</v>
          </cell>
          <cell r="D2960">
            <v>2.4</v>
          </cell>
          <cell r="H2960" t="str">
            <v>hydro</v>
          </cell>
        </row>
        <row r="2961">
          <cell r="C2961" t="str">
            <v>HY</v>
          </cell>
          <cell r="D2961">
            <v>2.4</v>
          </cell>
          <cell r="H2961" t="str">
            <v>hydro</v>
          </cell>
        </row>
        <row r="2962">
          <cell r="C2962" t="str">
            <v>HY</v>
          </cell>
          <cell r="D2962">
            <v>4.8</v>
          </cell>
          <cell r="H2962" t="str">
            <v>hydro</v>
          </cell>
        </row>
        <row r="2963">
          <cell r="C2963" t="str">
            <v>HY</v>
          </cell>
          <cell r="D2963">
            <v>4.8</v>
          </cell>
          <cell r="H2963" t="str">
            <v>hydro</v>
          </cell>
        </row>
        <row r="2964">
          <cell r="C2964" t="str">
            <v>HY</v>
          </cell>
          <cell r="D2964">
            <v>6</v>
          </cell>
          <cell r="H2964" t="str">
            <v>hydro</v>
          </cell>
        </row>
        <row r="2965">
          <cell r="C2965" t="str">
            <v>HY</v>
          </cell>
          <cell r="D2965">
            <v>6</v>
          </cell>
          <cell r="H2965" t="str">
            <v>hydro</v>
          </cell>
        </row>
        <row r="2966">
          <cell r="C2966" t="str">
            <v>HY</v>
          </cell>
          <cell r="D2966">
            <v>1.8</v>
          </cell>
          <cell r="H2966" t="str">
            <v>hydro</v>
          </cell>
        </row>
        <row r="2967">
          <cell r="C2967" t="str">
            <v>HY</v>
          </cell>
          <cell r="D2967">
            <v>2.6</v>
          </cell>
          <cell r="H2967" t="str">
            <v>hydro</v>
          </cell>
        </row>
        <row r="2968">
          <cell r="C2968" t="str">
            <v>HY</v>
          </cell>
          <cell r="D2968">
            <v>2</v>
          </cell>
          <cell r="H2968" t="str">
            <v>hydro</v>
          </cell>
        </row>
        <row r="2969">
          <cell r="C2969" t="str">
            <v>HY</v>
          </cell>
          <cell r="D2969">
            <v>2.6</v>
          </cell>
          <cell r="H2969" t="str">
            <v>hydro</v>
          </cell>
        </row>
        <row r="2970">
          <cell r="C2970" t="str">
            <v>HY</v>
          </cell>
          <cell r="D2970">
            <v>1.1000000000000001</v>
          </cell>
          <cell r="H2970" t="str">
            <v>hydro</v>
          </cell>
        </row>
        <row r="2971">
          <cell r="C2971" t="str">
            <v>HY</v>
          </cell>
          <cell r="D2971">
            <v>1.1000000000000001</v>
          </cell>
          <cell r="H2971" t="str">
            <v>hydro</v>
          </cell>
        </row>
        <row r="2972">
          <cell r="C2972" t="str">
            <v>HY</v>
          </cell>
          <cell r="D2972">
            <v>1.5</v>
          </cell>
          <cell r="H2972" t="str">
            <v>hydro</v>
          </cell>
        </row>
        <row r="2973">
          <cell r="C2973" t="str">
            <v>HY</v>
          </cell>
          <cell r="D2973">
            <v>1.9</v>
          </cell>
          <cell r="H2973" t="str">
            <v>hydro</v>
          </cell>
        </row>
        <row r="2974">
          <cell r="C2974" t="str">
            <v>HY</v>
          </cell>
          <cell r="D2974">
            <v>1.9</v>
          </cell>
          <cell r="H2974" t="str">
            <v>hydro</v>
          </cell>
        </row>
        <row r="2975">
          <cell r="C2975" t="str">
            <v>HY</v>
          </cell>
          <cell r="D2975">
            <v>0.3</v>
          </cell>
          <cell r="H2975" t="str">
            <v>hydro</v>
          </cell>
        </row>
        <row r="2976">
          <cell r="C2976" t="str">
            <v>HY</v>
          </cell>
          <cell r="D2976">
            <v>0.3</v>
          </cell>
          <cell r="H2976" t="str">
            <v>hydro</v>
          </cell>
        </row>
        <row r="2977">
          <cell r="C2977" t="str">
            <v>HY</v>
          </cell>
          <cell r="D2977">
            <v>0.4</v>
          </cell>
          <cell r="H2977" t="str">
            <v>hydro</v>
          </cell>
        </row>
        <row r="2978">
          <cell r="C2978" t="str">
            <v>ST</v>
          </cell>
          <cell r="D2978">
            <v>69.099999999999994</v>
          </cell>
          <cell r="H2978" t="str">
            <v>hard coal</v>
          </cell>
        </row>
        <row r="2979">
          <cell r="C2979" t="str">
            <v>IC</v>
          </cell>
          <cell r="D2979">
            <v>8.4</v>
          </cell>
          <cell r="H2979" t="str">
            <v>natural gas peaker</v>
          </cell>
        </row>
        <row r="2980">
          <cell r="C2980" t="str">
            <v>IC</v>
          </cell>
          <cell r="D2980">
            <v>1.4</v>
          </cell>
          <cell r="H2980" t="str">
            <v>natural gas peaker</v>
          </cell>
        </row>
        <row r="2981">
          <cell r="C2981" t="str">
            <v>IC</v>
          </cell>
          <cell r="D2981">
            <v>1.7</v>
          </cell>
          <cell r="H2981" t="str">
            <v>petroleum</v>
          </cell>
        </row>
        <row r="2982">
          <cell r="C2982" t="str">
            <v>IC</v>
          </cell>
          <cell r="D2982">
            <v>2</v>
          </cell>
          <cell r="H2982" t="str">
            <v>petroleum</v>
          </cell>
        </row>
        <row r="2983">
          <cell r="C2983" t="str">
            <v>IC</v>
          </cell>
          <cell r="D2983">
            <v>5.6</v>
          </cell>
          <cell r="H2983" t="str">
            <v>natural gas peaker</v>
          </cell>
        </row>
        <row r="2984">
          <cell r="C2984" t="str">
            <v>IC</v>
          </cell>
          <cell r="D2984">
            <v>6</v>
          </cell>
          <cell r="H2984" t="str">
            <v>natural gas peaker</v>
          </cell>
        </row>
        <row r="2985">
          <cell r="C2985" t="str">
            <v>ST</v>
          </cell>
          <cell r="D2985">
            <v>64</v>
          </cell>
          <cell r="H2985" t="str">
            <v>hard coal</v>
          </cell>
        </row>
        <row r="2986">
          <cell r="C2986" t="str">
            <v>ST</v>
          </cell>
          <cell r="D2986">
            <v>63.1</v>
          </cell>
          <cell r="H2986" t="str">
            <v>hard coal</v>
          </cell>
        </row>
        <row r="2987">
          <cell r="C2987" t="str">
            <v>ST</v>
          </cell>
          <cell r="D2987">
            <v>62.8</v>
          </cell>
          <cell r="H2987" t="str">
            <v>hard coal</v>
          </cell>
        </row>
        <row r="2988">
          <cell r="C2988" t="str">
            <v>ST</v>
          </cell>
          <cell r="D2988">
            <v>154.5</v>
          </cell>
          <cell r="H2988" t="str">
            <v>hard coal</v>
          </cell>
        </row>
        <row r="2989">
          <cell r="C2989" t="str">
            <v>GT</v>
          </cell>
          <cell r="D2989">
            <v>20</v>
          </cell>
          <cell r="H2989" t="str">
            <v>petroleum</v>
          </cell>
        </row>
        <row r="2990">
          <cell r="C2990" t="str">
            <v>HY</v>
          </cell>
          <cell r="D2990">
            <v>1.6</v>
          </cell>
          <cell r="H2990" t="str">
            <v>hydro</v>
          </cell>
        </row>
        <row r="2991">
          <cell r="C2991" t="str">
            <v>HY</v>
          </cell>
          <cell r="D2991">
            <v>1.6</v>
          </cell>
          <cell r="H2991" t="str">
            <v>hydro</v>
          </cell>
        </row>
        <row r="2992">
          <cell r="C2992" t="str">
            <v>HY</v>
          </cell>
          <cell r="D2992">
            <v>0.1</v>
          </cell>
          <cell r="H2992" t="str">
            <v>hydro</v>
          </cell>
        </row>
        <row r="2993">
          <cell r="C2993" t="str">
            <v>HY</v>
          </cell>
          <cell r="D2993">
            <v>0.1</v>
          </cell>
          <cell r="H2993" t="str">
            <v>hydro</v>
          </cell>
        </row>
        <row r="2994">
          <cell r="C2994" t="str">
            <v>IC</v>
          </cell>
          <cell r="D2994">
            <v>0.9</v>
          </cell>
          <cell r="H2994" t="str">
            <v>natural gas peaker</v>
          </cell>
        </row>
        <row r="2995">
          <cell r="C2995" t="str">
            <v>IC</v>
          </cell>
          <cell r="D2995">
            <v>1.9</v>
          </cell>
          <cell r="H2995" t="str">
            <v>natural gas peaker</v>
          </cell>
        </row>
        <row r="2996">
          <cell r="C2996" t="str">
            <v>IC</v>
          </cell>
          <cell r="D2996">
            <v>0.7</v>
          </cell>
          <cell r="H2996" t="str">
            <v>petroleum</v>
          </cell>
        </row>
        <row r="2997">
          <cell r="C2997" t="str">
            <v>IC</v>
          </cell>
          <cell r="D2997">
            <v>1.4</v>
          </cell>
          <cell r="H2997" t="str">
            <v>natural gas peaker</v>
          </cell>
        </row>
        <row r="2998">
          <cell r="C2998" t="str">
            <v>IC</v>
          </cell>
          <cell r="D2998">
            <v>5.6</v>
          </cell>
          <cell r="H2998" t="str">
            <v>natural gas peaker</v>
          </cell>
        </row>
        <row r="2999">
          <cell r="C2999" t="str">
            <v>IC</v>
          </cell>
          <cell r="D2999">
            <v>2.5</v>
          </cell>
          <cell r="H2999" t="str">
            <v>petroleum</v>
          </cell>
        </row>
        <row r="3000">
          <cell r="C3000" t="str">
            <v>IC</v>
          </cell>
          <cell r="D3000">
            <v>0.5</v>
          </cell>
          <cell r="H3000" t="str">
            <v>petroleum</v>
          </cell>
        </row>
        <row r="3001">
          <cell r="C3001" t="str">
            <v>IC</v>
          </cell>
          <cell r="D3001">
            <v>1.5</v>
          </cell>
          <cell r="H3001" t="str">
            <v>petroleum</v>
          </cell>
        </row>
        <row r="3002">
          <cell r="C3002" t="str">
            <v>HY</v>
          </cell>
          <cell r="D3002">
            <v>2.7</v>
          </cell>
          <cell r="H3002" t="str">
            <v>hydro</v>
          </cell>
        </row>
        <row r="3003">
          <cell r="C3003" t="str">
            <v>HY</v>
          </cell>
          <cell r="D3003">
            <v>1.2</v>
          </cell>
          <cell r="H3003" t="str">
            <v>hydro</v>
          </cell>
        </row>
        <row r="3004">
          <cell r="C3004" t="str">
            <v>HY</v>
          </cell>
          <cell r="D3004">
            <v>1.1000000000000001</v>
          </cell>
          <cell r="H3004" t="str">
            <v>hydro</v>
          </cell>
        </row>
        <row r="3005">
          <cell r="C3005" t="str">
            <v>HY</v>
          </cell>
          <cell r="D3005">
            <v>0.9</v>
          </cell>
          <cell r="H3005" t="str">
            <v>hydro</v>
          </cell>
        </row>
        <row r="3006">
          <cell r="C3006" t="str">
            <v>IC</v>
          </cell>
          <cell r="D3006">
            <v>0.8</v>
          </cell>
          <cell r="H3006" t="str">
            <v>petroleum</v>
          </cell>
        </row>
        <row r="3007">
          <cell r="C3007" t="str">
            <v>IC</v>
          </cell>
          <cell r="D3007">
            <v>1.7</v>
          </cell>
          <cell r="H3007" t="str">
            <v>petroleum</v>
          </cell>
        </row>
        <row r="3008">
          <cell r="C3008" t="str">
            <v>IC</v>
          </cell>
          <cell r="D3008">
            <v>1</v>
          </cell>
          <cell r="H3008" t="str">
            <v>petroleum</v>
          </cell>
        </row>
        <row r="3009">
          <cell r="C3009" t="str">
            <v>IC</v>
          </cell>
          <cell r="D3009">
            <v>1.3</v>
          </cell>
          <cell r="H3009" t="str">
            <v>petroleum</v>
          </cell>
        </row>
        <row r="3010">
          <cell r="C3010" t="str">
            <v>IC</v>
          </cell>
          <cell r="D3010">
            <v>0.6</v>
          </cell>
          <cell r="H3010" t="str">
            <v>petroleum</v>
          </cell>
        </row>
        <row r="3011">
          <cell r="C3011" t="str">
            <v>IC</v>
          </cell>
          <cell r="D3011">
            <v>0.9</v>
          </cell>
          <cell r="H3011" t="str">
            <v>petroleum</v>
          </cell>
        </row>
        <row r="3012">
          <cell r="C3012" t="str">
            <v>HY</v>
          </cell>
          <cell r="D3012">
            <v>0.2</v>
          </cell>
          <cell r="H3012" t="str">
            <v>hydro</v>
          </cell>
        </row>
        <row r="3013">
          <cell r="C3013" t="str">
            <v>HY</v>
          </cell>
          <cell r="D3013">
            <v>0.2</v>
          </cell>
          <cell r="H3013" t="str">
            <v>hydro</v>
          </cell>
        </row>
        <row r="3014">
          <cell r="C3014" t="str">
            <v>IC</v>
          </cell>
          <cell r="D3014">
            <v>1.1000000000000001</v>
          </cell>
          <cell r="H3014" t="str">
            <v>petroleum</v>
          </cell>
        </row>
        <row r="3015">
          <cell r="C3015" t="str">
            <v>IC</v>
          </cell>
          <cell r="D3015">
            <v>1.5</v>
          </cell>
          <cell r="H3015" t="str">
            <v>petroleum</v>
          </cell>
        </row>
        <row r="3016">
          <cell r="C3016" t="str">
            <v>IC</v>
          </cell>
          <cell r="D3016">
            <v>1.1000000000000001</v>
          </cell>
          <cell r="H3016" t="str">
            <v>petroleum</v>
          </cell>
        </row>
        <row r="3017">
          <cell r="C3017" t="str">
            <v>IC</v>
          </cell>
          <cell r="D3017">
            <v>0.9</v>
          </cell>
          <cell r="H3017" t="str">
            <v>petroleum</v>
          </cell>
        </row>
        <row r="3018">
          <cell r="C3018" t="str">
            <v>IC</v>
          </cell>
          <cell r="D3018">
            <v>0.8</v>
          </cell>
          <cell r="H3018" t="str">
            <v>petroleum</v>
          </cell>
        </row>
        <row r="3019">
          <cell r="C3019" t="str">
            <v>IC</v>
          </cell>
          <cell r="D3019">
            <v>1.1000000000000001</v>
          </cell>
          <cell r="H3019" t="str">
            <v>petroleum</v>
          </cell>
        </row>
        <row r="3020">
          <cell r="C3020" t="str">
            <v>IC</v>
          </cell>
          <cell r="D3020">
            <v>1.2</v>
          </cell>
          <cell r="H3020" t="str">
            <v>petroleum</v>
          </cell>
        </row>
        <row r="3021">
          <cell r="C3021" t="str">
            <v>IC</v>
          </cell>
          <cell r="D3021">
            <v>1</v>
          </cell>
          <cell r="H3021" t="str">
            <v>petroleum</v>
          </cell>
        </row>
        <row r="3022">
          <cell r="C3022" t="str">
            <v>IC</v>
          </cell>
          <cell r="D3022">
            <v>0.6</v>
          </cell>
          <cell r="H3022" t="str">
            <v>petroleum</v>
          </cell>
        </row>
        <row r="3023">
          <cell r="C3023" t="str">
            <v>IC</v>
          </cell>
          <cell r="D3023">
            <v>6</v>
          </cell>
          <cell r="H3023" t="str">
            <v>petroleum</v>
          </cell>
        </row>
        <row r="3024">
          <cell r="C3024" t="str">
            <v>HY</v>
          </cell>
          <cell r="D3024">
            <v>0.4</v>
          </cell>
          <cell r="H3024" t="str">
            <v>hydro</v>
          </cell>
        </row>
        <row r="3025">
          <cell r="C3025" t="str">
            <v>HY</v>
          </cell>
          <cell r="D3025">
            <v>0.4</v>
          </cell>
          <cell r="H3025" t="str">
            <v>hydro</v>
          </cell>
        </row>
        <row r="3026">
          <cell r="C3026" t="str">
            <v>HY</v>
          </cell>
          <cell r="D3026">
            <v>0.7</v>
          </cell>
          <cell r="H3026" t="str">
            <v>hydro</v>
          </cell>
        </row>
        <row r="3027">
          <cell r="C3027" t="str">
            <v>HY</v>
          </cell>
          <cell r="D3027">
            <v>0.7</v>
          </cell>
          <cell r="H3027" t="str">
            <v>hydro</v>
          </cell>
        </row>
        <row r="3028">
          <cell r="C3028" t="str">
            <v>HY</v>
          </cell>
          <cell r="D3028">
            <v>5</v>
          </cell>
          <cell r="H3028" t="str">
            <v>hydro</v>
          </cell>
        </row>
        <row r="3029">
          <cell r="C3029" t="str">
            <v>HY</v>
          </cell>
          <cell r="D3029">
            <v>2.8</v>
          </cell>
          <cell r="H3029" t="str">
            <v>hydro</v>
          </cell>
        </row>
        <row r="3030">
          <cell r="C3030" t="str">
            <v>HY</v>
          </cell>
          <cell r="D3030">
            <v>5</v>
          </cell>
          <cell r="H3030" t="str">
            <v>hydro</v>
          </cell>
        </row>
        <row r="3031">
          <cell r="C3031" t="str">
            <v>HY</v>
          </cell>
          <cell r="D3031">
            <v>5</v>
          </cell>
          <cell r="H3031" t="str">
            <v>hydro</v>
          </cell>
        </row>
        <row r="3032">
          <cell r="C3032" t="str">
            <v>HY</v>
          </cell>
          <cell r="D3032">
            <v>2.5</v>
          </cell>
          <cell r="H3032" t="str">
            <v>hydro</v>
          </cell>
        </row>
        <row r="3033">
          <cell r="C3033" t="str">
            <v>ST</v>
          </cell>
          <cell r="D3033">
            <v>10.5</v>
          </cell>
          <cell r="H3033" t="str">
            <v>natural gas peaker</v>
          </cell>
        </row>
        <row r="3034">
          <cell r="C3034" t="str">
            <v>ST</v>
          </cell>
          <cell r="D3034">
            <v>22</v>
          </cell>
          <cell r="H3034" t="str">
            <v>natural gas peaker</v>
          </cell>
        </row>
        <row r="3035">
          <cell r="C3035" t="str">
            <v>ST</v>
          </cell>
          <cell r="D3035">
            <v>7.5</v>
          </cell>
          <cell r="H3035" t="str">
            <v>natural gas peaker</v>
          </cell>
        </row>
        <row r="3036">
          <cell r="C3036" t="str">
            <v>ST</v>
          </cell>
          <cell r="D3036">
            <v>32</v>
          </cell>
          <cell r="H3036" t="str">
            <v>natural gas peaker</v>
          </cell>
        </row>
        <row r="3037">
          <cell r="C3037" t="str">
            <v>IC</v>
          </cell>
          <cell r="D3037">
            <v>1.8</v>
          </cell>
          <cell r="H3037" t="str">
            <v>petroleum</v>
          </cell>
        </row>
        <row r="3038">
          <cell r="C3038" t="str">
            <v>IC</v>
          </cell>
          <cell r="D3038">
            <v>1.8</v>
          </cell>
          <cell r="H3038" t="str">
            <v>petroleum</v>
          </cell>
        </row>
        <row r="3039">
          <cell r="C3039" t="str">
            <v>IC</v>
          </cell>
          <cell r="D3039">
            <v>1.8</v>
          </cell>
          <cell r="H3039" t="str">
            <v>petroleum</v>
          </cell>
        </row>
        <row r="3040">
          <cell r="C3040" t="str">
            <v>IC</v>
          </cell>
          <cell r="D3040">
            <v>1.5</v>
          </cell>
          <cell r="H3040" t="str">
            <v>natural gas peaker</v>
          </cell>
        </row>
        <row r="3041">
          <cell r="C3041" t="str">
            <v>IC</v>
          </cell>
          <cell r="D3041">
            <v>6</v>
          </cell>
          <cell r="H3041" t="str">
            <v>natural gas peaker</v>
          </cell>
        </row>
        <row r="3042">
          <cell r="C3042" t="str">
            <v>IC</v>
          </cell>
          <cell r="D3042">
            <v>6.4</v>
          </cell>
          <cell r="H3042" t="str">
            <v>natural gas peaker</v>
          </cell>
        </row>
        <row r="3043">
          <cell r="C3043" t="str">
            <v>IC</v>
          </cell>
          <cell r="D3043">
            <v>1.2</v>
          </cell>
          <cell r="H3043" t="str">
            <v>natural gas peaker</v>
          </cell>
        </row>
        <row r="3044">
          <cell r="C3044" t="str">
            <v>IC</v>
          </cell>
          <cell r="D3044">
            <v>2</v>
          </cell>
          <cell r="H3044" t="str">
            <v>natural gas peaker</v>
          </cell>
        </row>
        <row r="3045">
          <cell r="C3045" t="str">
            <v>IC</v>
          </cell>
          <cell r="D3045">
            <v>1.6</v>
          </cell>
          <cell r="H3045" t="str">
            <v>natural gas peaker</v>
          </cell>
        </row>
        <row r="3046">
          <cell r="C3046" t="str">
            <v>IC</v>
          </cell>
          <cell r="D3046">
            <v>5</v>
          </cell>
          <cell r="H3046" t="str">
            <v>natural gas peaker</v>
          </cell>
        </row>
        <row r="3047">
          <cell r="C3047" t="str">
            <v>IC</v>
          </cell>
          <cell r="D3047">
            <v>0.9</v>
          </cell>
          <cell r="H3047" t="str">
            <v>petroleum</v>
          </cell>
        </row>
        <row r="3048">
          <cell r="C3048" t="str">
            <v>IC</v>
          </cell>
          <cell r="D3048">
            <v>0.9</v>
          </cell>
          <cell r="H3048" t="str">
            <v>petroleum</v>
          </cell>
        </row>
        <row r="3049">
          <cell r="C3049" t="str">
            <v>IC</v>
          </cell>
          <cell r="D3049">
            <v>2.5</v>
          </cell>
          <cell r="H3049" t="str">
            <v>petroleum</v>
          </cell>
        </row>
        <row r="3050">
          <cell r="C3050" t="str">
            <v>IC</v>
          </cell>
          <cell r="D3050">
            <v>2.5</v>
          </cell>
          <cell r="H3050" t="str">
            <v>petroleum</v>
          </cell>
        </row>
        <row r="3051">
          <cell r="C3051" t="str">
            <v>HY</v>
          </cell>
          <cell r="D3051">
            <v>0.6</v>
          </cell>
          <cell r="H3051" t="str">
            <v>hydro</v>
          </cell>
        </row>
        <row r="3052">
          <cell r="C3052" t="str">
            <v>HY</v>
          </cell>
          <cell r="D3052">
            <v>0.6</v>
          </cell>
          <cell r="H3052" t="str">
            <v>hydro</v>
          </cell>
        </row>
        <row r="3053">
          <cell r="C3053" t="str">
            <v>HY</v>
          </cell>
          <cell r="D3053">
            <v>0.3</v>
          </cell>
          <cell r="H3053" t="str">
            <v>hydro</v>
          </cell>
        </row>
        <row r="3054">
          <cell r="C3054" t="str">
            <v>HY</v>
          </cell>
          <cell r="D3054">
            <v>0.3</v>
          </cell>
          <cell r="H3054" t="str">
            <v>hydro</v>
          </cell>
        </row>
        <row r="3055">
          <cell r="C3055" t="str">
            <v>GT</v>
          </cell>
          <cell r="D3055">
            <v>19.3</v>
          </cell>
          <cell r="H3055" t="str">
            <v>petroleum</v>
          </cell>
        </row>
        <row r="3056">
          <cell r="C3056" t="str">
            <v>IC</v>
          </cell>
          <cell r="D3056">
            <v>1</v>
          </cell>
          <cell r="H3056" t="str">
            <v>petroleum</v>
          </cell>
        </row>
        <row r="3057">
          <cell r="C3057" t="str">
            <v>IC</v>
          </cell>
          <cell r="D3057">
            <v>1</v>
          </cell>
          <cell r="H3057" t="str">
            <v>petroleum</v>
          </cell>
        </row>
        <row r="3058">
          <cell r="C3058" t="str">
            <v>IC</v>
          </cell>
          <cell r="D3058">
            <v>1</v>
          </cell>
          <cell r="H3058" t="str">
            <v>petroleum</v>
          </cell>
        </row>
        <row r="3059">
          <cell r="C3059" t="str">
            <v>IC</v>
          </cell>
          <cell r="D3059">
            <v>1.5</v>
          </cell>
          <cell r="H3059" t="str">
            <v>petroleum</v>
          </cell>
        </row>
        <row r="3060">
          <cell r="C3060" t="str">
            <v>IC</v>
          </cell>
          <cell r="D3060">
            <v>2</v>
          </cell>
          <cell r="H3060" t="str">
            <v>petroleum</v>
          </cell>
        </row>
        <row r="3061">
          <cell r="C3061" t="str">
            <v>IC</v>
          </cell>
          <cell r="D3061">
            <v>2</v>
          </cell>
          <cell r="H3061" t="str">
            <v>petroleum</v>
          </cell>
        </row>
        <row r="3062">
          <cell r="C3062" t="str">
            <v>IC</v>
          </cell>
          <cell r="D3062">
            <v>0.6</v>
          </cell>
          <cell r="H3062" t="str">
            <v>petroleum</v>
          </cell>
        </row>
        <row r="3063">
          <cell r="C3063" t="str">
            <v>IC</v>
          </cell>
          <cell r="D3063">
            <v>0.6</v>
          </cell>
          <cell r="H3063" t="str">
            <v>petroleum</v>
          </cell>
        </row>
        <row r="3064">
          <cell r="C3064" t="str">
            <v>IC</v>
          </cell>
          <cell r="D3064">
            <v>0.7</v>
          </cell>
          <cell r="H3064" t="str">
            <v>petroleum</v>
          </cell>
        </row>
        <row r="3065">
          <cell r="C3065" t="str">
            <v>IC</v>
          </cell>
          <cell r="D3065">
            <v>0.9</v>
          </cell>
          <cell r="H3065" t="str">
            <v>petroleum</v>
          </cell>
        </row>
        <row r="3066">
          <cell r="C3066" t="str">
            <v>IC</v>
          </cell>
          <cell r="D3066">
            <v>1.5</v>
          </cell>
          <cell r="H3066" t="str">
            <v>petroleum</v>
          </cell>
        </row>
        <row r="3067">
          <cell r="C3067" t="str">
            <v>IC</v>
          </cell>
          <cell r="D3067">
            <v>1.5</v>
          </cell>
          <cell r="H3067" t="str">
            <v>petroleum</v>
          </cell>
        </row>
        <row r="3068">
          <cell r="C3068" t="str">
            <v>IC</v>
          </cell>
          <cell r="D3068">
            <v>2.5</v>
          </cell>
          <cell r="H3068" t="str">
            <v>petroleum</v>
          </cell>
        </row>
        <row r="3069">
          <cell r="C3069" t="str">
            <v>IC</v>
          </cell>
          <cell r="D3069">
            <v>2.5</v>
          </cell>
          <cell r="H3069" t="str">
            <v>petroleum</v>
          </cell>
        </row>
        <row r="3070">
          <cell r="C3070" t="str">
            <v>IC</v>
          </cell>
          <cell r="D3070">
            <v>1.5</v>
          </cell>
          <cell r="H3070" t="str">
            <v>petroleum</v>
          </cell>
        </row>
        <row r="3071">
          <cell r="C3071" t="str">
            <v>GT</v>
          </cell>
          <cell r="D3071">
            <v>24.3</v>
          </cell>
          <cell r="H3071" t="str">
            <v>natural gas peaker</v>
          </cell>
        </row>
        <row r="3072">
          <cell r="C3072" t="str">
            <v>IC</v>
          </cell>
          <cell r="D3072">
            <v>1</v>
          </cell>
          <cell r="H3072" t="str">
            <v>petroleum</v>
          </cell>
        </row>
        <row r="3073">
          <cell r="C3073" t="str">
            <v>GT</v>
          </cell>
          <cell r="D3073">
            <v>24.4</v>
          </cell>
          <cell r="H3073" t="str">
            <v>natural gas peaker</v>
          </cell>
        </row>
        <row r="3074">
          <cell r="C3074" t="str">
            <v>GT</v>
          </cell>
          <cell r="D3074">
            <v>20.2</v>
          </cell>
          <cell r="H3074" t="str">
            <v>natural gas peaker</v>
          </cell>
        </row>
        <row r="3075">
          <cell r="C3075" t="str">
            <v>GT</v>
          </cell>
          <cell r="D3075">
            <v>18.5</v>
          </cell>
          <cell r="H3075" t="str">
            <v>natural gas peaker</v>
          </cell>
        </row>
        <row r="3076">
          <cell r="C3076" t="str">
            <v>ST</v>
          </cell>
          <cell r="D3076">
            <v>44.4</v>
          </cell>
          <cell r="H3076" t="str">
            <v>natural gas peaker</v>
          </cell>
        </row>
        <row r="3077">
          <cell r="C3077" t="str">
            <v>ST</v>
          </cell>
          <cell r="D3077">
            <v>44.5</v>
          </cell>
          <cell r="H3077" t="str">
            <v>natural gas peaker</v>
          </cell>
        </row>
        <row r="3078">
          <cell r="C3078" t="str">
            <v>HY</v>
          </cell>
          <cell r="D3078">
            <v>5.4</v>
          </cell>
          <cell r="H3078" t="str">
            <v>hydro</v>
          </cell>
        </row>
        <row r="3079">
          <cell r="C3079" t="str">
            <v>HY</v>
          </cell>
          <cell r="D3079">
            <v>5.4</v>
          </cell>
          <cell r="H3079" t="str">
            <v>hydro</v>
          </cell>
        </row>
        <row r="3080">
          <cell r="C3080" t="str">
            <v>HY</v>
          </cell>
          <cell r="D3080">
            <v>5.4</v>
          </cell>
          <cell r="H3080" t="str">
            <v>hydro</v>
          </cell>
        </row>
        <row r="3081">
          <cell r="C3081" t="str">
            <v>ST</v>
          </cell>
          <cell r="D3081">
            <v>363.5</v>
          </cell>
          <cell r="H3081" t="str">
            <v>hard coal</v>
          </cell>
        </row>
        <row r="3082">
          <cell r="C3082" t="str">
            <v>ST</v>
          </cell>
          <cell r="D3082">
            <v>584.29999999999995</v>
          </cell>
          <cell r="H3082" t="str">
            <v>hard coal</v>
          </cell>
        </row>
        <row r="3083">
          <cell r="C3083" t="str">
            <v>IC</v>
          </cell>
          <cell r="D3083">
            <v>0.8</v>
          </cell>
          <cell r="H3083" t="str">
            <v>petroleum</v>
          </cell>
        </row>
        <row r="3084">
          <cell r="C3084" t="str">
            <v>HY</v>
          </cell>
          <cell r="D3084">
            <v>13.1</v>
          </cell>
          <cell r="H3084" t="str">
            <v>hydro</v>
          </cell>
        </row>
        <row r="3085">
          <cell r="C3085" t="str">
            <v>HY</v>
          </cell>
          <cell r="D3085">
            <v>0.8</v>
          </cell>
          <cell r="H3085" t="str">
            <v>hydro</v>
          </cell>
        </row>
        <row r="3086">
          <cell r="C3086" t="str">
            <v>HY</v>
          </cell>
          <cell r="D3086">
            <v>0.8</v>
          </cell>
          <cell r="H3086" t="str">
            <v>hydro</v>
          </cell>
        </row>
        <row r="3087">
          <cell r="C3087" t="str">
            <v>HY</v>
          </cell>
          <cell r="D3087">
            <v>0.7</v>
          </cell>
          <cell r="H3087" t="str">
            <v>hydro</v>
          </cell>
        </row>
        <row r="3088">
          <cell r="C3088" t="str">
            <v>HY</v>
          </cell>
          <cell r="D3088">
            <v>0.9</v>
          </cell>
          <cell r="H3088" t="str">
            <v>hydro</v>
          </cell>
        </row>
        <row r="3089">
          <cell r="C3089" t="str">
            <v>HY</v>
          </cell>
          <cell r="D3089">
            <v>0.9</v>
          </cell>
          <cell r="H3089" t="str">
            <v>hydro</v>
          </cell>
        </row>
        <row r="3090">
          <cell r="C3090" t="str">
            <v>HY</v>
          </cell>
          <cell r="D3090">
            <v>1</v>
          </cell>
          <cell r="H3090" t="str">
            <v>hydro</v>
          </cell>
        </row>
        <row r="3091">
          <cell r="C3091" t="str">
            <v>HY</v>
          </cell>
          <cell r="D3091">
            <v>1.3</v>
          </cell>
          <cell r="H3091" t="str">
            <v>hydro</v>
          </cell>
        </row>
        <row r="3092">
          <cell r="C3092" t="str">
            <v>HY</v>
          </cell>
          <cell r="D3092">
            <v>0.5</v>
          </cell>
          <cell r="H3092" t="str">
            <v>hydro</v>
          </cell>
        </row>
        <row r="3093">
          <cell r="C3093" t="str">
            <v>HY</v>
          </cell>
          <cell r="D3093">
            <v>0.5</v>
          </cell>
          <cell r="H3093" t="str">
            <v>hydro</v>
          </cell>
        </row>
        <row r="3094">
          <cell r="C3094" t="str">
            <v>ST</v>
          </cell>
          <cell r="D3094">
            <v>26.1</v>
          </cell>
          <cell r="H3094" t="str">
            <v>biomass</v>
          </cell>
        </row>
        <row r="3095">
          <cell r="C3095" t="str">
            <v>ST</v>
          </cell>
          <cell r="D3095">
            <v>33.700000000000003</v>
          </cell>
          <cell r="H3095" t="str">
            <v>biomass</v>
          </cell>
        </row>
        <row r="3096">
          <cell r="C3096" t="str">
            <v>HY</v>
          </cell>
          <cell r="D3096">
            <v>0.9</v>
          </cell>
          <cell r="H3096" t="str">
            <v>hydro</v>
          </cell>
        </row>
        <row r="3097">
          <cell r="C3097" t="str">
            <v>HY</v>
          </cell>
          <cell r="D3097">
            <v>0.8</v>
          </cell>
          <cell r="H3097" t="str">
            <v>hydro</v>
          </cell>
        </row>
        <row r="3098">
          <cell r="C3098" t="str">
            <v>HY</v>
          </cell>
          <cell r="D3098">
            <v>0.4</v>
          </cell>
          <cell r="H3098" t="str">
            <v>hydro</v>
          </cell>
        </row>
        <row r="3099">
          <cell r="C3099" t="str">
            <v>HY</v>
          </cell>
          <cell r="D3099">
            <v>0.4</v>
          </cell>
          <cell r="H3099" t="str">
            <v>hydro</v>
          </cell>
        </row>
        <row r="3100">
          <cell r="C3100" t="str">
            <v>HY</v>
          </cell>
          <cell r="D3100">
            <v>0.4</v>
          </cell>
          <cell r="H3100" t="str">
            <v>hydro</v>
          </cell>
        </row>
        <row r="3101">
          <cell r="C3101" t="str">
            <v>HY</v>
          </cell>
          <cell r="D3101">
            <v>0.4</v>
          </cell>
          <cell r="H3101" t="str">
            <v>hydro</v>
          </cell>
        </row>
        <row r="3102">
          <cell r="C3102" t="str">
            <v>HY</v>
          </cell>
          <cell r="D3102">
            <v>0.6</v>
          </cell>
          <cell r="H3102" t="str">
            <v>hydro</v>
          </cell>
        </row>
        <row r="3103">
          <cell r="C3103" t="str">
            <v>HY</v>
          </cell>
          <cell r="D3103">
            <v>0.6</v>
          </cell>
          <cell r="H3103" t="str">
            <v>hydro</v>
          </cell>
        </row>
        <row r="3104">
          <cell r="C3104" t="str">
            <v>HY</v>
          </cell>
          <cell r="D3104">
            <v>0.6</v>
          </cell>
          <cell r="H3104" t="str">
            <v>hydro</v>
          </cell>
        </row>
        <row r="3105">
          <cell r="C3105" t="str">
            <v>HY</v>
          </cell>
          <cell r="D3105">
            <v>12.5</v>
          </cell>
          <cell r="H3105" t="str">
            <v>hydro</v>
          </cell>
        </row>
        <row r="3106">
          <cell r="C3106" t="str">
            <v>HY</v>
          </cell>
          <cell r="D3106">
            <v>12.5</v>
          </cell>
          <cell r="H3106" t="str">
            <v>hydro</v>
          </cell>
        </row>
        <row r="3107">
          <cell r="C3107" t="str">
            <v>HY</v>
          </cell>
          <cell r="D3107">
            <v>12.5</v>
          </cell>
          <cell r="H3107" t="str">
            <v>hydro</v>
          </cell>
        </row>
        <row r="3108">
          <cell r="C3108" t="str">
            <v>HY</v>
          </cell>
          <cell r="D3108">
            <v>12.1</v>
          </cell>
          <cell r="H3108" t="str">
            <v>hydro</v>
          </cell>
        </row>
        <row r="3109">
          <cell r="C3109" t="str">
            <v>HY</v>
          </cell>
          <cell r="D3109">
            <v>11.9</v>
          </cell>
          <cell r="H3109" t="str">
            <v>hydro</v>
          </cell>
        </row>
        <row r="3110">
          <cell r="C3110" t="str">
            <v>HY</v>
          </cell>
          <cell r="D3110">
            <v>14.7</v>
          </cell>
          <cell r="H3110" t="str">
            <v>hydro</v>
          </cell>
        </row>
        <row r="3111">
          <cell r="C3111" t="str">
            <v>HY</v>
          </cell>
          <cell r="D3111">
            <v>2.1</v>
          </cell>
          <cell r="H3111" t="str">
            <v>hydro</v>
          </cell>
        </row>
        <row r="3112">
          <cell r="C3112" t="str">
            <v>HY</v>
          </cell>
          <cell r="D3112">
            <v>2</v>
          </cell>
          <cell r="H3112" t="str">
            <v>hydro</v>
          </cell>
        </row>
        <row r="3113">
          <cell r="C3113" t="str">
            <v>CA</v>
          </cell>
          <cell r="D3113">
            <v>117</v>
          </cell>
          <cell r="H3113" t="str">
            <v>natural gas nonpeaker</v>
          </cell>
        </row>
        <row r="3114">
          <cell r="C3114" t="str">
            <v>CT</v>
          </cell>
          <cell r="D3114">
            <v>165</v>
          </cell>
          <cell r="H3114" t="str">
            <v>natural gas nonpeaker</v>
          </cell>
        </row>
        <row r="3115">
          <cell r="C3115" t="str">
            <v>GT</v>
          </cell>
          <cell r="D3115">
            <v>212</v>
          </cell>
          <cell r="H3115" t="str">
            <v>natural gas peaker</v>
          </cell>
        </row>
        <row r="3116">
          <cell r="C3116" t="str">
            <v>HY</v>
          </cell>
          <cell r="D3116">
            <v>1.2</v>
          </cell>
          <cell r="H3116" t="str">
            <v>hydro</v>
          </cell>
        </row>
        <row r="3117">
          <cell r="C3117" t="str">
            <v>HY</v>
          </cell>
          <cell r="D3117">
            <v>1.2</v>
          </cell>
          <cell r="H3117" t="str">
            <v>hydro</v>
          </cell>
        </row>
        <row r="3118">
          <cell r="C3118" t="str">
            <v>HY</v>
          </cell>
          <cell r="D3118">
            <v>1.2</v>
          </cell>
          <cell r="H3118" t="str">
            <v>hydro</v>
          </cell>
        </row>
        <row r="3119">
          <cell r="C3119" t="str">
            <v>HY</v>
          </cell>
          <cell r="D3119">
            <v>1.2</v>
          </cell>
          <cell r="H3119" t="str">
            <v>hydro</v>
          </cell>
        </row>
        <row r="3120">
          <cell r="C3120" t="str">
            <v>HY</v>
          </cell>
          <cell r="D3120">
            <v>1.3</v>
          </cell>
          <cell r="H3120" t="str">
            <v>hydro</v>
          </cell>
        </row>
        <row r="3121">
          <cell r="C3121" t="str">
            <v>CT</v>
          </cell>
          <cell r="D3121">
            <v>152</v>
          </cell>
          <cell r="H3121" t="str">
            <v>natural gas nonpeaker</v>
          </cell>
        </row>
        <row r="3122">
          <cell r="C3122" t="str">
            <v>CT</v>
          </cell>
          <cell r="D3122">
            <v>152</v>
          </cell>
          <cell r="H3122" t="str">
            <v>natural gas nonpeaker</v>
          </cell>
        </row>
        <row r="3123">
          <cell r="C3123" t="str">
            <v>CA</v>
          </cell>
          <cell r="D3123">
            <v>226</v>
          </cell>
          <cell r="H3123" t="str">
            <v>natural gas nonpeaker</v>
          </cell>
        </row>
        <row r="3124">
          <cell r="C3124" t="str">
            <v>GT</v>
          </cell>
          <cell r="D3124">
            <v>47</v>
          </cell>
          <cell r="H3124" t="str">
            <v>natural gas peaker</v>
          </cell>
        </row>
        <row r="3125">
          <cell r="C3125" t="str">
            <v>GT</v>
          </cell>
          <cell r="D3125">
            <v>47</v>
          </cell>
          <cell r="H3125" t="str">
            <v>natural gas peaker</v>
          </cell>
        </row>
        <row r="3126">
          <cell r="C3126" t="str">
            <v>GT</v>
          </cell>
          <cell r="D3126">
            <v>47</v>
          </cell>
          <cell r="H3126" t="str">
            <v>natural gas peaker</v>
          </cell>
        </row>
        <row r="3127">
          <cell r="C3127" t="str">
            <v>GT</v>
          </cell>
          <cell r="D3127">
            <v>47</v>
          </cell>
          <cell r="H3127" t="str">
            <v>natural gas peaker</v>
          </cell>
        </row>
        <row r="3128">
          <cell r="C3128" t="str">
            <v>GT</v>
          </cell>
          <cell r="D3128">
            <v>47</v>
          </cell>
          <cell r="H3128" t="str">
            <v>natural gas peaker</v>
          </cell>
        </row>
        <row r="3129">
          <cell r="C3129" t="str">
            <v>GT</v>
          </cell>
          <cell r="D3129">
            <v>47</v>
          </cell>
          <cell r="H3129" t="str">
            <v>natural gas peaker</v>
          </cell>
        </row>
        <row r="3130">
          <cell r="C3130" t="str">
            <v>GT</v>
          </cell>
          <cell r="D3130">
            <v>1.8</v>
          </cell>
          <cell r="H3130" t="str">
            <v>petroleum</v>
          </cell>
        </row>
        <row r="3131">
          <cell r="C3131" t="str">
            <v>GT</v>
          </cell>
          <cell r="D3131">
            <v>1.8</v>
          </cell>
          <cell r="H3131" t="str">
            <v>petroleum</v>
          </cell>
        </row>
        <row r="3132">
          <cell r="C3132" t="str">
            <v>ST</v>
          </cell>
          <cell r="D3132">
            <v>511</v>
          </cell>
          <cell r="H3132" t="str">
            <v>hard coal</v>
          </cell>
        </row>
        <row r="3133">
          <cell r="C3133" t="str">
            <v>ST</v>
          </cell>
          <cell r="D3133">
            <v>617</v>
          </cell>
          <cell r="H3133" t="str">
            <v>nuclear</v>
          </cell>
        </row>
        <row r="3134">
          <cell r="C3134" t="str">
            <v>ST</v>
          </cell>
          <cell r="D3134">
            <v>521</v>
          </cell>
          <cell r="H3134" t="str">
            <v>nuclear</v>
          </cell>
        </row>
        <row r="3135">
          <cell r="C3135" t="str">
            <v>ST</v>
          </cell>
          <cell r="D3135">
            <v>519</v>
          </cell>
          <cell r="H3135" t="str">
            <v>nuclear</v>
          </cell>
        </row>
        <row r="3136">
          <cell r="C3136" t="str">
            <v>ST</v>
          </cell>
          <cell r="D3136">
            <v>9</v>
          </cell>
          <cell r="H3136" t="str">
            <v>municipal solid waste</v>
          </cell>
        </row>
        <row r="3137">
          <cell r="C3137" t="str">
            <v>ST</v>
          </cell>
          <cell r="D3137">
            <v>9</v>
          </cell>
          <cell r="H3137" t="str">
            <v>municipal solid waste</v>
          </cell>
        </row>
        <row r="3138">
          <cell r="C3138" t="str">
            <v>CT</v>
          </cell>
          <cell r="D3138">
            <v>147</v>
          </cell>
          <cell r="H3138" t="str">
            <v>natural gas nonpeaker</v>
          </cell>
        </row>
        <row r="3139">
          <cell r="C3139" t="str">
            <v>CT</v>
          </cell>
          <cell r="D3139">
            <v>147</v>
          </cell>
          <cell r="H3139" t="str">
            <v>natural gas nonpeaker</v>
          </cell>
        </row>
        <row r="3140">
          <cell r="C3140" t="str">
            <v>CA</v>
          </cell>
          <cell r="D3140">
            <v>160</v>
          </cell>
          <cell r="H3140" t="str">
            <v>natural gas nonpeaker</v>
          </cell>
        </row>
        <row r="3141">
          <cell r="C3141" t="str">
            <v>IC</v>
          </cell>
          <cell r="D3141">
            <v>2</v>
          </cell>
          <cell r="H3141" t="str">
            <v>petroleum</v>
          </cell>
        </row>
        <row r="3142">
          <cell r="C3142" t="str">
            <v>IC</v>
          </cell>
          <cell r="D3142">
            <v>2</v>
          </cell>
          <cell r="H3142" t="str">
            <v>petroleum</v>
          </cell>
        </row>
        <row r="3143">
          <cell r="C3143" t="str">
            <v>IC</v>
          </cell>
          <cell r="D3143">
            <v>2</v>
          </cell>
          <cell r="H3143" t="str">
            <v>petroleum</v>
          </cell>
        </row>
        <row r="3144">
          <cell r="C3144" t="str">
            <v>IC</v>
          </cell>
          <cell r="D3144">
            <v>2</v>
          </cell>
          <cell r="H3144" t="str">
            <v>petroleum</v>
          </cell>
        </row>
        <row r="3145">
          <cell r="C3145" t="str">
            <v>IC</v>
          </cell>
          <cell r="D3145">
            <v>2</v>
          </cell>
          <cell r="H3145" t="str">
            <v>petroleum</v>
          </cell>
        </row>
        <row r="3146">
          <cell r="C3146" t="str">
            <v>IC</v>
          </cell>
          <cell r="D3146">
            <v>2</v>
          </cell>
          <cell r="H3146" t="str">
            <v>petroleum</v>
          </cell>
        </row>
        <row r="3147">
          <cell r="C3147" t="str">
            <v>ST</v>
          </cell>
          <cell r="D3147">
            <v>9</v>
          </cell>
          <cell r="H3147" t="str">
            <v>municipal solid waste</v>
          </cell>
        </row>
        <row r="3148">
          <cell r="C3148" t="str">
            <v>ST</v>
          </cell>
          <cell r="D3148">
            <v>9</v>
          </cell>
          <cell r="H3148" t="str">
            <v>municipal solid waste</v>
          </cell>
        </row>
        <row r="3149">
          <cell r="C3149" t="str">
            <v>ST</v>
          </cell>
          <cell r="D3149">
            <v>58</v>
          </cell>
          <cell r="H3149" t="str">
            <v>hard coal</v>
          </cell>
        </row>
        <row r="3150">
          <cell r="C3150" t="str">
            <v>ST</v>
          </cell>
          <cell r="D3150">
            <v>80</v>
          </cell>
          <cell r="H3150" t="str">
            <v>hard coal</v>
          </cell>
        </row>
        <row r="3151">
          <cell r="C3151" t="str">
            <v>IC</v>
          </cell>
          <cell r="D3151">
            <v>0.2</v>
          </cell>
          <cell r="H3151" t="str">
            <v>petroleum</v>
          </cell>
        </row>
        <row r="3152">
          <cell r="C3152" t="str">
            <v>IC</v>
          </cell>
          <cell r="D3152">
            <v>0.1</v>
          </cell>
          <cell r="H3152" t="str">
            <v>petroleum</v>
          </cell>
        </row>
        <row r="3153">
          <cell r="C3153" t="str">
            <v>HY</v>
          </cell>
          <cell r="D3153">
            <v>0.8</v>
          </cell>
          <cell r="H3153" t="str">
            <v>hydro</v>
          </cell>
        </row>
        <row r="3154">
          <cell r="C3154" t="str">
            <v>IC</v>
          </cell>
          <cell r="D3154">
            <v>2</v>
          </cell>
          <cell r="H3154" t="str">
            <v>petroleum</v>
          </cell>
        </row>
        <row r="3155">
          <cell r="C3155" t="str">
            <v>IC</v>
          </cell>
          <cell r="D3155">
            <v>1</v>
          </cell>
          <cell r="H3155" t="str">
            <v>petroleum</v>
          </cell>
        </row>
        <row r="3156">
          <cell r="C3156" t="str">
            <v>IC</v>
          </cell>
          <cell r="D3156">
            <v>3.6</v>
          </cell>
          <cell r="H3156" t="str">
            <v>petroleum</v>
          </cell>
        </row>
        <row r="3157">
          <cell r="C3157" t="str">
            <v>IC</v>
          </cell>
          <cell r="D3157">
            <v>3.6</v>
          </cell>
          <cell r="H3157" t="str">
            <v>petroleum</v>
          </cell>
        </row>
        <row r="3158">
          <cell r="C3158" t="str">
            <v>IC</v>
          </cell>
          <cell r="D3158">
            <v>1.8</v>
          </cell>
          <cell r="H3158" t="str">
            <v>petroleum</v>
          </cell>
        </row>
        <row r="3159">
          <cell r="C3159" t="str">
            <v>IC</v>
          </cell>
          <cell r="D3159">
            <v>1.8</v>
          </cell>
          <cell r="H3159" t="str">
            <v>petroleum</v>
          </cell>
        </row>
        <row r="3160">
          <cell r="C3160" t="str">
            <v>IC</v>
          </cell>
          <cell r="D3160">
            <v>1.8</v>
          </cell>
          <cell r="H3160" t="str">
            <v>petroleum</v>
          </cell>
        </row>
        <row r="3161">
          <cell r="C3161" t="str">
            <v>IC</v>
          </cell>
          <cell r="D3161">
            <v>1.8</v>
          </cell>
          <cell r="H3161" t="str">
            <v>petroleum</v>
          </cell>
        </row>
        <row r="3162">
          <cell r="C3162" t="str">
            <v>IC</v>
          </cell>
          <cell r="D3162">
            <v>1.8</v>
          </cell>
          <cell r="H3162" t="str">
            <v>petroleum</v>
          </cell>
        </row>
        <row r="3163">
          <cell r="C3163" t="str">
            <v>IC</v>
          </cell>
          <cell r="D3163">
            <v>1.3</v>
          </cell>
          <cell r="H3163" t="str">
            <v>petroleum</v>
          </cell>
        </row>
        <row r="3164">
          <cell r="C3164" t="str">
            <v>IC</v>
          </cell>
          <cell r="D3164">
            <v>2</v>
          </cell>
          <cell r="H3164" t="str">
            <v>petroleum</v>
          </cell>
        </row>
        <row r="3165">
          <cell r="C3165" t="str">
            <v>IC</v>
          </cell>
          <cell r="D3165">
            <v>1.9</v>
          </cell>
          <cell r="H3165" t="str">
            <v>petroleum</v>
          </cell>
        </row>
        <row r="3166">
          <cell r="C3166" t="str">
            <v>IC</v>
          </cell>
          <cell r="D3166">
            <v>1.3</v>
          </cell>
          <cell r="H3166" t="str">
            <v>petroleum</v>
          </cell>
        </row>
        <row r="3167">
          <cell r="C3167" t="str">
            <v>IC</v>
          </cell>
          <cell r="D3167">
            <v>1.5</v>
          </cell>
          <cell r="H3167" t="str">
            <v>petroleum</v>
          </cell>
        </row>
        <row r="3168">
          <cell r="C3168" t="str">
            <v>IC</v>
          </cell>
          <cell r="D3168">
            <v>1.6</v>
          </cell>
          <cell r="H3168" t="str">
            <v>petroleum</v>
          </cell>
        </row>
        <row r="3169">
          <cell r="C3169" t="str">
            <v>IC</v>
          </cell>
          <cell r="D3169">
            <v>1.6</v>
          </cell>
          <cell r="H3169" t="str">
            <v>petroleum</v>
          </cell>
        </row>
        <row r="3170">
          <cell r="C3170" t="str">
            <v>IC</v>
          </cell>
          <cell r="D3170">
            <v>1.6</v>
          </cell>
          <cell r="H3170" t="str">
            <v>petroleum</v>
          </cell>
        </row>
        <row r="3171">
          <cell r="C3171" t="str">
            <v>IC</v>
          </cell>
          <cell r="D3171">
            <v>1.8</v>
          </cell>
          <cell r="H3171" t="str">
            <v>petroleum</v>
          </cell>
        </row>
        <row r="3172">
          <cell r="C3172" t="str">
            <v>IC</v>
          </cell>
          <cell r="D3172">
            <v>1.1000000000000001</v>
          </cell>
          <cell r="H3172" t="str">
            <v>petroleum</v>
          </cell>
        </row>
        <row r="3173">
          <cell r="C3173" t="str">
            <v>IC</v>
          </cell>
          <cell r="D3173">
            <v>1.8</v>
          </cell>
          <cell r="H3173" t="str">
            <v>petroleum</v>
          </cell>
        </row>
        <row r="3174">
          <cell r="C3174" t="str">
            <v>IC</v>
          </cell>
          <cell r="D3174">
            <v>1.1000000000000001</v>
          </cell>
          <cell r="H3174" t="str">
            <v>natural gas peaker</v>
          </cell>
        </row>
        <row r="3175">
          <cell r="C3175" t="str">
            <v>IC</v>
          </cell>
          <cell r="D3175">
            <v>1.1000000000000001</v>
          </cell>
          <cell r="H3175" t="str">
            <v>natural gas peaker</v>
          </cell>
        </row>
        <row r="3176">
          <cell r="C3176" t="str">
            <v>IC</v>
          </cell>
          <cell r="D3176">
            <v>1.3</v>
          </cell>
          <cell r="H3176" t="str">
            <v>natural gas peaker</v>
          </cell>
        </row>
        <row r="3177">
          <cell r="C3177" t="str">
            <v>IC</v>
          </cell>
          <cell r="D3177">
            <v>0.8</v>
          </cell>
          <cell r="H3177" t="str">
            <v>petroleum</v>
          </cell>
        </row>
        <row r="3178">
          <cell r="C3178" t="str">
            <v>IC</v>
          </cell>
          <cell r="D3178">
            <v>1.2</v>
          </cell>
          <cell r="H3178" t="str">
            <v>petroleum</v>
          </cell>
        </row>
        <row r="3179">
          <cell r="C3179" t="str">
            <v>IC</v>
          </cell>
          <cell r="D3179">
            <v>3</v>
          </cell>
          <cell r="H3179" t="str">
            <v>petroleum</v>
          </cell>
        </row>
        <row r="3180">
          <cell r="C3180" t="str">
            <v>IC</v>
          </cell>
          <cell r="D3180">
            <v>3.1</v>
          </cell>
          <cell r="H3180" t="str">
            <v>petroleum</v>
          </cell>
        </row>
        <row r="3181">
          <cell r="C3181" t="str">
            <v>GT</v>
          </cell>
          <cell r="D3181">
            <v>11</v>
          </cell>
          <cell r="H3181" t="str">
            <v>petroleum</v>
          </cell>
        </row>
        <row r="3182">
          <cell r="C3182" t="str">
            <v>GT</v>
          </cell>
          <cell r="D3182">
            <v>9.6</v>
          </cell>
          <cell r="H3182" t="str">
            <v>petroleum</v>
          </cell>
        </row>
        <row r="3183">
          <cell r="C3183" t="str">
            <v>IC</v>
          </cell>
          <cell r="D3183">
            <v>0.5</v>
          </cell>
          <cell r="H3183" t="str">
            <v>petroleum</v>
          </cell>
        </row>
        <row r="3184">
          <cell r="C3184" t="str">
            <v>IC</v>
          </cell>
          <cell r="D3184">
            <v>0.5</v>
          </cell>
          <cell r="H3184" t="str">
            <v>petroleum</v>
          </cell>
        </row>
        <row r="3185">
          <cell r="C3185" t="str">
            <v>IC</v>
          </cell>
          <cell r="D3185">
            <v>3</v>
          </cell>
          <cell r="H3185" t="str">
            <v>petroleum</v>
          </cell>
        </row>
        <row r="3186">
          <cell r="C3186" t="str">
            <v>IC</v>
          </cell>
          <cell r="D3186">
            <v>5</v>
          </cell>
          <cell r="H3186" t="str">
            <v>petroleum</v>
          </cell>
        </row>
        <row r="3187">
          <cell r="C3187" t="str">
            <v>IC</v>
          </cell>
          <cell r="D3187">
            <v>0.8</v>
          </cell>
          <cell r="H3187" t="str">
            <v>biomass</v>
          </cell>
        </row>
        <row r="3188">
          <cell r="C3188" t="str">
            <v>IC</v>
          </cell>
          <cell r="D3188">
            <v>0.8</v>
          </cell>
          <cell r="H3188" t="str">
            <v>biomass</v>
          </cell>
        </row>
        <row r="3189">
          <cell r="C3189" t="str">
            <v>IC</v>
          </cell>
          <cell r="D3189">
            <v>0.8</v>
          </cell>
          <cell r="H3189" t="str">
            <v>biomass</v>
          </cell>
        </row>
        <row r="3190">
          <cell r="C3190" t="str">
            <v>IC</v>
          </cell>
          <cell r="D3190">
            <v>0.8</v>
          </cell>
          <cell r="H3190" t="str">
            <v>biomass</v>
          </cell>
        </row>
        <row r="3191">
          <cell r="C3191" t="str">
            <v>IC</v>
          </cell>
          <cell r="D3191">
            <v>1.9</v>
          </cell>
          <cell r="H3191" t="str">
            <v>petroleum</v>
          </cell>
        </row>
        <row r="3192">
          <cell r="C3192" t="str">
            <v>IC</v>
          </cell>
          <cell r="D3192">
            <v>6.5</v>
          </cell>
          <cell r="H3192" t="str">
            <v>natural gas peaker</v>
          </cell>
        </row>
        <row r="3193">
          <cell r="C3193" t="str">
            <v>IC</v>
          </cell>
          <cell r="D3193">
            <v>6.5</v>
          </cell>
          <cell r="H3193" t="str">
            <v>natural gas peaker</v>
          </cell>
        </row>
        <row r="3194">
          <cell r="C3194" t="str">
            <v>IC</v>
          </cell>
          <cell r="D3194">
            <v>6.5</v>
          </cell>
          <cell r="H3194" t="str">
            <v>natural gas peaker</v>
          </cell>
        </row>
        <row r="3195">
          <cell r="C3195" t="str">
            <v>IC</v>
          </cell>
          <cell r="D3195">
            <v>6</v>
          </cell>
          <cell r="H3195" t="str">
            <v>petroleum</v>
          </cell>
        </row>
        <row r="3196">
          <cell r="C3196" t="str">
            <v>IC</v>
          </cell>
          <cell r="D3196">
            <v>6</v>
          </cell>
          <cell r="H3196" t="str">
            <v>petroleum</v>
          </cell>
        </row>
        <row r="3197">
          <cell r="C3197" t="str">
            <v>IC</v>
          </cell>
          <cell r="D3197">
            <v>6.5</v>
          </cell>
          <cell r="H3197" t="str">
            <v>natural gas peaker</v>
          </cell>
        </row>
        <row r="3198">
          <cell r="C3198" t="str">
            <v>IC</v>
          </cell>
          <cell r="D3198">
            <v>5.6</v>
          </cell>
          <cell r="H3198" t="str">
            <v>petroleum</v>
          </cell>
        </row>
        <row r="3199">
          <cell r="C3199" t="str">
            <v>IC</v>
          </cell>
          <cell r="D3199">
            <v>4.8</v>
          </cell>
          <cell r="H3199" t="str">
            <v>petroleum</v>
          </cell>
        </row>
        <row r="3200">
          <cell r="C3200" t="str">
            <v>IC</v>
          </cell>
          <cell r="D3200">
            <v>4.8</v>
          </cell>
          <cell r="H3200" t="str">
            <v>petroleum</v>
          </cell>
        </row>
        <row r="3201">
          <cell r="C3201" t="str">
            <v>IC</v>
          </cell>
          <cell r="D3201">
            <v>4.8</v>
          </cell>
          <cell r="H3201" t="str">
            <v>petroleum</v>
          </cell>
        </row>
        <row r="3202">
          <cell r="C3202" t="str">
            <v>IC</v>
          </cell>
          <cell r="D3202">
            <v>1</v>
          </cell>
          <cell r="H3202" t="str">
            <v>petroleum</v>
          </cell>
        </row>
        <row r="3203">
          <cell r="C3203" t="str">
            <v>IC</v>
          </cell>
          <cell r="D3203">
            <v>3.2</v>
          </cell>
          <cell r="H3203" t="str">
            <v>petroleum</v>
          </cell>
        </row>
        <row r="3204">
          <cell r="C3204" t="str">
            <v>IC</v>
          </cell>
          <cell r="D3204">
            <v>5.4</v>
          </cell>
          <cell r="H3204" t="str">
            <v>petroleum</v>
          </cell>
        </row>
        <row r="3205">
          <cell r="C3205" t="str">
            <v>IC</v>
          </cell>
          <cell r="D3205">
            <v>6.1</v>
          </cell>
          <cell r="H3205" t="str">
            <v>petroleum</v>
          </cell>
        </row>
        <row r="3206">
          <cell r="C3206" t="str">
            <v>IC</v>
          </cell>
          <cell r="D3206">
            <v>2.5</v>
          </cell>
          <cell r="H3206" t="str">
            <v>petroleum</v>
          </cell>
        </row>
        <row r="3207">
          <cell r="C3207" t="str">
            <v>IC</v>
          </cell>
          <cell r="D3207">
            <v>1.8</v>
          </cell>
          <cell r="H3207" t="str">
            <v>petroleum</v>
          </cell>
        </row>
        <row r="3208">
          <cell r="C3208" t="str">
            <v>IC</v>
          </cell>
          <cell r="D3208">
            <v>1.8</v>
          </cell>
          <cell r="H3208" t="str">
            <v>petroleum</v>
          </cell>
        </row>
        <row r="3209">
          <cell r="C3209" t="str">
            <v>HY</v>
          </cell>
          <cell r="D3209">
            <v>0.2</v>
          </cell>
          <cell r="H3209" t="str">
            <v>hydro</v>
          </cell>
        </row>
        <row r="3210">
          <cell r="C3210" t="str">
            <v>HY</v>
          </cell>
          <cell r="D3210">
            <v>0.2</v>
          </cell>
          <cell r="H3210" t="str">
            <v>hydro</v>
          </cell>
        </row>
        <row r="3211">
          <cell r="C3211" t="str">
            <v>HY</v>
          </cell>
          <cell r="D3211">
            <v>0.7</v>
          </cell>
          <cell r="H3211" t="str">
            <v>hydro</v>
          </cell>
        </row>
        <row r="3212">
          <cell r="C3212" t="str">
            <v>ST</v>
          </cell>
          <cell r="D3212">
            <v>10</v>
          </cell>
          <cell r="H3212" t="str">
            <v>hard coal</v>
          </cell>
        </row>
        <row r="3213">
          <cell r="C3213" t="str">
            <v>ST</v>
          </cell>
          <cell r="D3213">
            <v>19.5</v>
          </cell>
          <cell r="H3213" t="str">
            <v>hard coal</v>
          </cell>
        </row>
        <row r="3214">
          <cell r="C3214" t="str">
            <v>ST</v>
          </cell>
          <cell r="D3214">
            <v>1</v>
          </cell>
          <cell r="H3214" t="str">
            <v>hard coal</v>
          </cell>
        </row>
        <row r="3215">
          <cell r="C3215" t="str">
            <v>IC</v>
          </cell>
          <cell r="D3215">
            <v>9.3000000000000007</v>
          </cell>
          <cell r="H3215" t="str">
            <v>natural gas peaker</v>
          </cell>
        </row>
        <row r="3216">
          <cell r="C3216" t="str">
            <v>IC</v>
          </cell>
          <cell r="D3216">
            <v>9.8000000000000007</v>
          </cell>
          <cell r="H3216" t="str">
            <v>natural gas peaker</v>
          </cell>
        </row>
        <row r="3217">
          <cell r="C3217" t="str">
            <v>IC</v>
          </cell>
          <cell r="D3217">
            <v>9.8000000000000007</v>
          </cell>
          <cell r="H3217" t="str">
            <v>natural gas peaker</v>
          </cell>
        </row>
        <row r="3218">
          <cell r="C3218" t="str">
            <v>IC</v>
          </cell>
          <cell r="D3218">
            <v>3.9</v>
          </cell>
          <cell r="H3218" t="str">
            <v>natural gas peaker</v>
          </cell>
        </row>
        <row r="3219">
          <cell r="C3219" t="str">
            <v>IC</v>
          </cell>
          <cell r="D3219">
            <v>3.9</v>
          </cell>
          <cell r="H3219" t="str">
            <v>natural gas peaker</v>
          </cell>
        </row>
        <row r="3220">
          <cell r="C3220" t="str">
            <v>CS</v>
          </cell>
          <cell r="D3220">
            <v>13</v>
          </cell>
          <cell r="H3220" t="str">
            <v>natural gas nonpeaker</v>
          </cell>
        </row>
        <row r="3221">
          <cell r="C3221" t="str">
            <v>IC</v>
          </cell>
          <cell r="D3221">
            <v>0.9</v>
          </cell>
          <cell r="H3221" t="str">
            <v>petroleum</v>
          </cell>
        </row>
        <row r="3222">
          <cell r="C3222" t="str">
            <v>IC</v>
          </cell>
          <cell r="D3222">
            <v>1.1000000000000001</v>
          </cell>
          <cell r="H3222" t="str">
            <v>petroleum</v>
          </cell>
        </row>
        <row r="3223">
          <cell r="C3223" t="str">
            <v>IC</v>
          </cell>
          <cell r="D3223">
            <v>0.5</v>
          </cell>
          <cell r="H3223" t="str">
            <v>petroleum</v>
          </cell>
        </row>
        <row r="3224">
          <cell r="C3224" t="str">
            <v>IC</v>
          </cell>
          <cell r="D3224">
            <v>1.8</v>
          </cell>
          <cell r="H3224" t="str">
            <v>petroleum</v>
          </cell>
        </row>
        <row r="3225">
          <cell r="C3225" t="str">
            <v>IC</v>
          </cell>
          <cell r="D3225">
            <v>1.8</v>
          </cell>
          <cell r="H3225" t="str">
            <v>petroleum</v>
          </cell>
        </row>
        <row r="3226">
          <cell r="C3226" t="str">
            <v>IC</v>
          </cell>
          <cell r="D3226">
            <v>1.8</v>
          </cell>
          <cell r="H3226" t="str">
            <v>petroleum</v>
          </cell>
        </row>
        <row r="3227">
          <cell r="C3227" t="str">
            <v>IC</v>
          </cell>
          <cell r="D3227">
            <v>1.8</v>
          </cell>
          <cell r="H3227" t="str">
            <v>petroleum</v>
          </cell>
        </row>
        <row r="3228">
          <cell r="C3228" t="str">
            <v>IC</v>
          </cell>
          <cell r="D3228">
            <v>0.6</v>
          </cell>
          <cell r="H3228" t="str">
            <v>petroleum</v>
          </cell>
        </row>
        <row r="3229">
          <cell r="C3229" t="str">
            <v>IC</v>
          </cell>
          <cell r="D3229">
            <v>2</v>
          </cell>
          <cell r="H3229" t="str">
            <v>petroleum</v>
          </cell>
        </row>
        <row r="3230">
          <cell r="C3230" t="str">
            <v>IC</v>
          </cell>
          <cell r="D3230">
            <v>1.2</v>
          </cell>
          <cell r="H3230" t="str">
            <v>petroleum</v>
          </cell>
        </row>
        <row r="3231">
          <cell r="C3231" t="str">
            <v>IC</v>
          </cell>
          <cell r="D3231">
            <v>2</v>
          </cell>
          <cell r="H3231" t="str">
            <v>petroleum</v>
          </cell>
        </row>
        <row r="3232">
          <cell r="C3232" t="str">
            <v>HY</v>
          </cell>
          <cell r="D3232">
            <v>0.2</v>
          </cell>
          <cell r="H3232" t="str">
            <v>hydro</v>
          </cell>
        </row>
        <row r="3233">
          <cell r="C3233" t="str">
            <v>IC</v>
          </cell>
          <cell r="D3233">
            <v>2.1</v>
          </cell>
          <cell r="H3233" t="str">
            <v>petroleum</v>
          </cell>
        </row>
        <row r="3234">
          <cell r="C3234" t="str">
            <v>IC</v>
          </cell>
          <cell r="D3234">
            <v>2.1</v>
          </cell>
          <cell r="H3234" t="str">
            <v>petroleum</v>
          </cell>
        </row>
        <row r="3235">
          <cell r="C3235" t="str">
            <v>IC</v>
          </cell>
          <cell r="D3235">
            <v>2.1</v>
          </cell>
          <cell r="H3235" t="str">
            <v>petroleum</v>
          </cell>
        </row>
        <row r="3236">
          <cell r="C3236" t="str">
            <v>IC</v>
          </cell>
          <cell r="D3236">
            <v>2.2999999999999998</v>
          </cell>
          <cell r="H3236" t="str">
            <v>petroleum</v>
          </cell>
        </row>
        <row r="3237">
          <cell r="C3237" t="str">
            <v>IC</v>
          </cell>
          <cell r="D3237">
            <v>2.2999999999999998</v>
          </cell>
          <cell r="H3237" t="str">
            <v>petroleum</v>
          </cell>
        </row>
        <row r="3238">
          <cell r="C3238" t="str">
            <v>IC</v>
          </cell>
          <cell r="D3238">
            <v>2.2999999999999998</v>
          </cell>
          <cell r="H3238" t="str">
            <v>petroleum</v>
          </cell>
        </row>
        <row r="3239">
          <cell r="C3239" t="str">
            <v>IC</v>
          </cell>
          <cell r="D3239">
            <v>2.2999999999999998</v>
          </cell>
          <cell r="H3239" t="str">
            <v>petroleum</v>
          </cell>
        </row>
        <row r="3240">
          <cell r="C3240" t="str">
            <v>IC</v>
          </cell>
          <cell r="D3240">
            <v>2.2999999999999998</v>
          </cell>
          <cell r="H3240" t="str">
            <v>petroleum</v>
          </cell>
        </row>
        <row r="3241">
          <cell r="C3241" t="str">
            <v>IC</v>
          </cell>
          <cell r="D3241">
            <v>3.5</v>
          </cell>
          <cell r="H3241" t="str">
            <v>petroleum</v>
          </cell>
        </row>
        <row r="3242">
          <cell r="C3242" t="str">
            <v>GT</v>
          </cell>
          <cell r="D3242">
            <v>15.5</v>
          </cell>
          <cell r="H3242" t="str">
            <v>petroleum</v>
          </cell>
        </row>
        <row r="3243">
          <cell r="C3243" t="str">
            <v>IC</v>
          </cell>
          <cell r="D3243">
            <v>0.8</v>
          </cell>
          <cell r="H3243" t="str">
            <v>petroleum</v>
          </cell>
        </row>
        <row r="3244">
          <cell r="C3244" t="str">
            <v>IC</v>
          </cell>
          <cell r="D3244">
            <v>1.1000000000000001</v>
          </cell>
          <cell r="H3244" t="str">
            <v>petroleum</v>
          </cell>
        </row>
        <row r="3245">
          <cell r="C3245" t="str">
            <v>IC</v>
          </cell>
          <cell r="D3245">
            <v>3.1</v>
          </cell>
          <cell r="H3245" t="str">
            <v>petroleum</v>
          </cell>
        </row>
        <row r="3246">
          <cell r="C3246" t="str">
            <v>IC</v>
          </cell>
          <cell r="D3246">
            <v>3.1</v>
          </cell>
          <cell r="H3246" t="str">
            <v>petroleum</v>
          </cell>
        </row>
        <row r="3247">
          <cell r="C3247" t="str">
            <v>IC</v>
          </cell>
          <cell r="D3247">
            <v>1.3</v>
          </cell>
          <cell r="H3247" t="str">
            <v>petroleum</v>
          </cell>
        </row>
        <row r="3248">
          <cell r="C3248" t="str">
            <v>IC</v>
          </cell>
          <cell r="D3248">
            <v>2.2999999999999998</v>
          </cell>
          <cell r="H3248" t="str">
            <v>petroleum</v>
          </cell>
        </row>
        <row r="3249">
          <cell r="C3249" t="str">
            <v>IC</v>
          </cell>
          <cell r="D3249">
            <v>2.2999999999999998</v>
          </cell>
          <cell r="H3249" t="str">
            <v>petroleum</v>
          </cell>
        </row>
        <row r="3250">
          <cell r="C3250" t="str">
            <v>IC</v>
          </cell>
          <cell r="D3250">
            <v>2.2999999999999998</v>
          </cell>
          <cell r="H3250" t="str">
            <v>petroleum</v>
          </cell>
        </row>
        <row r="3251">
          <cell r="C3251" t="str">
            <v>IC</v>
          </cell>
          <cell r="D3251">
            <v>2</v>
          </cell>
          <cell r="H3251" t="str">
            <v>natural gas peaker</v>
          </cell>
        </row>
        <row r="3252">
          <cell r="C3252" t="str">
            <v>IC</v>
          </cell>
          <cell r="D3252">
            <v>1.2</v>
          </cell>
          <cell r="H3252" t="str">
            <v>natural gas peaker</v>
          </cell>
        </row>
        <row r="3253">
          <cell r="C3253" t="str">
            <v>IC</v>
          </cell>
          <cell r="D3253">
            <v>5.7</v>
          </cell>
          <cell r="H3253" t="str">
            <v>natural gas peaker</v>
          </cell>
        </row>
        <row r="3254">
          <cell r="C3254" t="str">
            <v>IC</v>
          </cell>
          <cell r="D3254">
            <v>6.3</v>
          </cell>
          <cell r="H3254" t="str">
            <v>petroleum</v>
          </cell>
        </row>
        <row r="3255">
          <cell r="C3255" t="str">
            <v>IC</v>
          </cell>
          <cell r="D3255">
            <v>0.9</v>
          </cell>
          <cell r="H3255" t="str">
            <v>petroleum</v>
          </cell>
        </row>
        <row r="3256">
          <cell r="C3256" t="str">
            <v>IC</v>
          </cell>
          <cell r="D3256">
            <v>1.8</v>
          </cell>
          <cell r="H3256" t="str">
            <v>petroleum</v>
          </cell>
        </row>
        <row r="3257">
          <cell r="C3257" t="str">
            <v>IC</v>
          </cell>
          <cell r="D3257">
            <v>1.2</v>
          </cell>
          <cell r="H3257" t="str">
            <v>petroleum</v>
          </cell>
        </row>
        <row r="3258">
          <cell r="C3258" t="str">
            <v>IC</v>
          </cell>
          <cell r="D3258">
            <v>1.8</v>
          </cell>
          <cell r="H3258" t="str">
            <v>petroleum</v>
          </cell>
        </row>
        <row r="3259">
          <cell r="C3259" t="str">
            <v>IC</v>
          </cell>
          <cell r="D3259">
            <v>1.8</v>
          </cell>
          <cell r="H3259" t="str">
            <v>petroleum</v>
          </cell>
        </row>
        <row r="3260">
          <cell r="C3260" t="str">
            <v>WT</v>
          </cell>
          <cell r="D3260">
            <v>1.2</v>
          </cell>
          <cell r="H3260" t="str">
            <v>onshore wind</v>
          </cell>
        </row>
        <row r="3261">
          <cell r="C3261" t="str">
            <v>IC</v>
          </cell>
          <cell r="D3261">
            <v>4.4000000000000004</v>
          </cell>
          <cell r="H3261" t="str">
            <v>natural gas peaker</v>
          </cell>
        </row>
        <row r="3262">
          <cell r="C3262" t="str">
            <v>IC</v>
          </cell>
          <cell r="D3262">
            <v>2.4</v>
          </cell>
          <cell r="H3262" t="str">
            <v>natural gas peaker</v>
          </cell>
        </row>
        <row r="3263">
          <cell r="C3263" t="str">
            <v>IC</v>
          </cell>
          <cell r="D3263">
            <v>3.5</v>
          </cell>
          <cell r="H3263" t="str">
            <v>natural gas peaker</v>
          </cell>
        </row>
        <row r="3264">
          <cell r="C3264" t="str">
            <v>IC</v>
          </cell>
          <cell r="D3264">
            <v>0.6</v>
          </cell>
          <cell r="H3264" t="str">
            <v>natural gas peaker</v>
          </cell>
        </row>
        <row r="3265">
          <cell r="C3265" t="str">
            <v>IC</v>
          </cell>
          <cell r="D3265">
            <v>5.9</v>
          </cell>
          <cell r="H3265" t="str">
            <v>natural gas peaker</v>
          </cell>
        </row>
        <row r="3266">
          <cell r="C3266" t="str">
            <v>ST</v>
          </cell>
          <cell r="D3266">
            <v>4.7</v>
          </cell>
          <cell r="H3266" t="str">
            <v>natural gas peaker</v>
          </cell>
        </row>
        <row r="3267">
          <cell r="C3267" t="str">
            <v>ST</v>
          </cell>
          <cell r="D3267">
            <v>13.2</v>
          </cell>
          <cell r="H3267" t="str">
            <v>natural gas peaker</v>
          </cell>
        </row>
        <row r="3268">
          <cell r="C3268" t="str">
            <v>GT</v>
          </cell>
          <cell r="D3268">
            <v>23</v>
          </cell>
          <cell r="H3268" t="str">
            <v>petroleum</v>
          </cell>
        </row>
        <row r="3269">
          <cell r="C3269" t="str">
            <v>ST</v>
          </cell>
          <cell r="D3269">
            <v>4.7</v>
          </cell>
          <cell r="H3269" t="str">
            <v>natural gas peaker</v>
          </cell>
        </row>
        <row r="3270">
          <cell r="C3270" t="str">
            <v>GT</v>
          </cell>
          <cell r="D3270">
            <v>25</v>
          </cell>
          <cell r="H3270" t="str">
            <v>petroleum</v>
          </cell>
        </row>
        <row r="3271">
          <cell r="C3271" t="str">
            <v>IC</v>
          </cell>
          <cell r="D3271">
            <v>2</v>
          </cell>
          <cell r="H3271" t="str">
            <v>petroleum</v>
          </cell>
        </row>
        <row r="3272">
          <cell r="C3272" t="str">
            <v>IC</v>
          </cell>
          <cell r="D3272">
            <v>2</v>
          </cell>
          <cell r="H3272" t="str">
            <v>petroleum</v>
          </cell>
        </row>
        <row r="3273">
          <cell r="C3273" t="str">
            <v>IC</v>
          </cell>
          <cell r="D3273">
            <v>2</v>
          </cell>
          <cell r="H3273" t="str">
            <v>petroleum</v>
          </cell>
        </row>
        <row r="3274">
          <cell r="C3274" t="str">
            <v>IC</v>
          </cell>
          <cell r="D3274">
            <v>2</v>
          </cell>
          <cell r="H3274" t="str">
            <v>petroleum</v>
          </cell>
        </row>
        <row r="3275">
          <cell r="C3275" t="str">
            <v>IC</v>
          </cell>
          <cell r="D3275">
            <v>2</v>
          </cell>
          <cell r="H3275" t="str">
            <v>petroleum</v>
          </cell>
        </row>
        <row r="3276">
          <cell r="C3276" t="str">
            <v>GT</v>
          </cell>
          <cell r="D3276">
            <v>16.600000000000001</v>
          </cell>
          <cell r="H3276" t="str">
            <v>natural gas peaker</v>
          </cell>
        </row>
        <row r="3277">
          <cell r="C3277" t="str">
            <v>IC</v>
          </cell>
          <cell r="D3277">
            <v>0.8</v>
          </cell>
          <cell r="H3277" t="str">
            <v>petroleum</v>
          </cell>
        </row>
        <row r="3278">
          <cell r="C3278" t="str">
            <v>IC</v>
          </cell>
          <cell r="D3278">
            <v>1.1000000000000001</v>
          </cell>
          <cell r="H3278" t="str">
            <v>natural gas peaker</v>
          </cell>
        </row>
        <row r="3279">
          <cell r="C3279" t="str">
            <v>IC</v>
          </cell>
          <cell r="D3279">
            <v>2.2000000000000002</v>
          </cell>
          <cell r="H3279" t="str">
            <v>natural gas peaker</v>
          </cell>
        </row>
        <row r="3280">
          <cell r="C3280" t="str">
            <v>IC</v>
          </cell>
          <cell r="D3280">
            <v>2.6</v>
          </cell>
          <cell r="H3280" t="str">
            <v>petroleum</v>
          </cell>
        </row>
        <row r="3281">
          <cell r="C3281" t="str">
            <v>IC</v>
          </cell>
          <cell r="D3281">
            <v>1.3</v>
          </cell>
          <cell r="H3281" t="str">
            <v>petroleum</v>
          </cell>
        </row>
        <row r="3282">
          <cell r="C3282" t="str">
            <v>IC</v>
          </cell>
          <cell r="D3282">
            <v>1</v>
          </cell>
          <cell r="H3282" t="str">
            <v>petroleum</v>
          </cell>
        </row>
        <row r="3283">
          <cell r="C3283" t="str">
            <v>IC</v>
          </cell>
          <cell r="D3283">
            <v>2.9</v>
          </cell>
          <cell r="H3283" t="str">
            <v>petroleum</v>
          </cell>
        </row>
        <row r="3284">
          <cell r="C3284" t="str">
            <v>IC</v>
          </cell>
          <cell r="D3284">
            <v>5</v>
          </cell>
          <cell r="H3284" t="str">
            <v>petroleum</v>
          </cell>
        </row>
        <row r="3285">
          <cell r="C3285" t="str">
            <v>HY</v>
          </cell>
          <cell r="D3285">
            <v>1.3</v>
          </cell>
          <cell r="H3285" t="str">
            <v>hydro</v>
          </cell>
        </row>
        <row r="3286">
          <cell r="C3286" t="str">
            <v>HY</v>
          </cell>
          <cell r="D3286">
            <v>1.3</v>
          </cell>
          <cell r="H3286" t="str">
            <v>hydro</v>
          </cell>
        </row>
        <row r="3287">
          <cell r="C3287" t="str">
            <v>IC</v>
          </cell>
          <cell r="D3287">
            <v>2.1</v>
          </cell>
          <cell r="H3287" t="str">
            <v>petroleum</v>
          </cell>
        </row>
        <row r="3288">
          <cell r="C3288" t="str">
            <v>IC</v>
          </cell>
          <cell r="D3288">
            <v>6</v>
          </cell>
          <cell r="H3288" t="str">
            <v>natural gas peaker</v>
          </cell>
        </row>
        <row r="3289">
          <cell r="C3289" t="str">
            <v>HY</v>
          </cell>
          <cell r="D3289">
            <v>0.5</v>
          </cell>
          <cell r="H3289" t="str">
            <v>hydro</v>
          </cell>
        </row>
        <row r="3290">
          <cell r="C3290" t="str">
            <v>IC</v>
          </cell>
          <cell r="D3290">
            <v>1.8</v>
          </cell>
          <cell r="H3290" t="str">
            <v>petroleum</v>
          </cell>
        </row>
        <row r="3291">
          <cell r="C3291" t="str">
            <v>IC</v>
          </cell>
          <cell r="D3291">
            <v>1.8</v>
          </cell>
          <cell r="H3291" t="str">
            <v>petroleum</v>
          </cell>
        </row>
        <row r="3292">
          <cell r="C3292" t="str">
            <v>IC</v>
          </cell>
          <cell r="D3292">
            <v>2</v>
          </cell>
          <cell r="H3292" t="str">
            <v>petroleum</v>
          </cell>
        </row>
        <row r="3293">
          <cell r="C3293" t="str">
            <v>IC</v>
          </cell>
          <cell r="D3293">
            <v>2</v>
          </cell>
          <cell r="H3293" t="str">
            <v>petroleum</v>
          </cell>
        </row>
        <row r="3294">
          <cell r="C3294" t="str">
            <v>IC</v>
          </cell>
          <cell r="D3294">
            <v>1.8</v>
          </cell>
          <cell r="H3294" t="str">
            <v>petroleum</v>
          </cell>
        </row>
        <row r="3295">
          <cell r="C3295" t="str">
            <v>IC</v>
          </cell>
          <cell r="D3295">
            <v>1.8</v>
          </cell>
          <cell r="H3295" t="str">
            <v>petroleum</v>
          </cell>
        </row>
        <row r="3296">
          <cell r="C3296" t="str">
            <v>IC</v>
          </cell>
          <cell r="D3296">
            <v>1.8</v>
          </cell>
          <cell r="H3296" t="str">
            <v>petroleum</v>
          </cell>
        </row>
        <row r="3297">
          <cell r="C3297" t="str">
            <v>IC</v>
          </cell>
          <cell r="D3297">
            <v>1.8</v>
          </cell>
          <cell r="H3297" t="str">
            <v>petroleum</v>
          </cell>
        </row>
        <row r="3298">
          <cell r="C3298" t="str">
            <v>IC</v>
          </cell>
          <cell r="D3298">
            <v>1.8</v>
          </cell>
          <cell r="H3298" t="str">
            <v>petroleum</v>
          </cell>
        </row>
        <row r="3299">
          <cell r="C3299" t="str">
            <v>IC</v>
          </cell>
          <cell r="D3299">
            <v>1.8</v>
          </cell>
          <cell r="H3299" t="str">
            <v>petroleum</v>
          </cell>
        </row>
        <row r="3300">
          <cell r="C3300" t="str">
            <v>IC</v>
          </cell>
          <cell r="D3300">
            <v>1.8</v>
          </cell>
          <cell r="H3300" t="str">
            <v>petroleum</v>
          </cell>
        </row>
        <row r="3301">
          <cell r="C3301" t="str">
            <v>IC</v>
          </cell>
          <cell r="D3301">
            <v>1.1000000000000001</v>
          </cell>
          <cell r="H3301" t="str">
            <v>petroleum</v>
          </cell>
        </row>
        <row r="3302">
          <cell r="C3302" t="str">
            <v>IC</v>
          </cell>
          <cell r="D3302">
            <v>2</v>
          </cell>
          <cell r="H3302" t="str">
            <v>petroleum</v>
          </cell>
        </row>
        <row r="3303">
          <cell r="C3303" t="str">
            <v>IC</v>
          </cell>
          <cell r="D3303">
            <v>2</v>
          </cell>
          <cell r="H3303" t="str">
            <v>petroleum</v>
          </cell>
        </row>
        <row r="3304">
          <cell r="C3304" t="str">
            <v>IC</v>
          </cell>
          <cell r="D3304">
            <v>2</v>
          </cell>
          <cell r="H3304" t="str">
            <v>petroleum</v>
          </cell>
        </row>
        <row r="3305">
          <cell r="C3305" t="str">
            <v>HY</v>
          </cell>
          <cell r="D3305">
            <v>0.3</v>
          </cell>
          <cell r="H3305" t="str">
            <v>hydro</v>
          </cell>
        </row>
        <row r="3306">
          <cell r="C3306" t="str">
            <v>HY</v>
          </cell>
          <cell r="D3306">
            <v>0.2</v>
          </cell>
          <cell r="H3306" t="str">
            <v>hydro</v>
          </cell>
        </row>
        <row r="3307">
          <cell r="C3307" t="str">
            <v>IC</v>
          </cell>
          <cell r="D3307">
            <v>1.9</v>
          </cell>
          <cell r="H3307" t="str">
            <v>petroleum</v>
          </cell>
        </row>
        <row r="3308">
          <cell r="C3308" t="str">
            <v>IC</v>
          </cell>
          <cell r="D3308">
            <v>1</v>
          </cell>
          <cell r="H3308" t="str">
            <v>petroleum</v>
          </cell>
        </row>
        <row r="3309">
          <cell r="C3309" t="str">
            <v>IC</v>
          </cell>
          <cell r="D3309">
            <v>1.2</v>
          </cell>
          <cell r="H3309" t="str">
            <v>petroleum</v>
          </cell>
        </row>
        <row r="3310">
          <cell r="C3310" t="str">
            <v>IC</v>
          </cell>
          <cell r="D3310">
            <v>1.2</v>
          </cell>
          <cell r="H3310" t="str">
            <v>petroleum</v>
          </cell>
        </row>
        <row r="3311">
          <cell r="C3311" t="str">
            <v>IC</v>
          </cell>
          <cell r="D3311">
            <v>2</v>
          </cell>
          <cell r="H3311" t="str">
            <v>petroleum</v>
          </cell>
        </row>
        <row r="3312">
          <cell r="C3312" t="str">
            <v>IC</v>
          </cell>
          <cell r="D3312">
            <v>1.8</v>
          </cell>
          <cell r="H3312" t="str">
            <v>petroleum</v>
          </cell>
        </row>
        <row r="3313">
          <cell r="C3313" t="str">
            <v>IC</v>
          </cell>
          <cell r="D3313">
            <v>2.2000000000000002</v>
          </cell>
          <cell r="H3313" t="str">
            <v>petroleum</v>
          </cell>
        </row>
        <row r="3314">
          <cell r="C3314" t="str">
            <v>ST</v>
          </cell>
          <cell r="D3314">
            <v>8</v>
          </cell>
          <cell r="H3314" t="str">
            <v>biomass</v>
          </cell>
        </row>
        <row r="3315">
          <cell r="C3315" t="str">
            <v>ST</v>
          </cell>
          <cell r="D3315">
            <v>17</v>
          </cell>
          <cell r="H3315" t="str">
            <v>biomass</v>
          </cell>
        </row>
        <row r="3316">
          <cell r="C3316" t="str">
            <v>IC</v>
          </cell>
          <cell r="D3316">
            <v>1.3</v>
          </cell>
          <cell r="H3316" t="str">
            <v>petroleum</v>
          </cell>
        </row>
        <row r="3317">
          <cell r="C3317" t="str">
            <v>IC</v>
          </cell>
          <cell r="D3317">
            <v>1.3</v>
          </cell>
          <cell r="H3317" t="str">
            <v>petroleum</v>
          </cell>
        </row>
        <row r="3318">
          <cell r="C3318" t="str">
            <v>IC</v>
          </cell>
          <cell r="D3318">
            <v>1.1000000000000001</v>
          </cell>
          <cell r="H3318" t="str">
            <v>petroleum</v>
          </cell>
        </row>
        <row r="3319">
          <cell r="C3319" t="str">
            <v>IC</v>
          </cell>
          <cell r="D3319">
            <v>2.1</v>
          </cell>
          <cell r="H3319" t="str">
            <v>petroleum</v>
          </cell>
        </row>
        <row r="3320">
          <cell r="C3320" t="str">
            <v>IC</v>
          </cell>
          <cell r="D3320">
            <v>2.2999999999999998</v>
          </cell>
          <cell r="H3320" t="str">
            <v>petroleum</v>
          </cell>
        </row>
        <row r="3321">
          <cell r="C3321" t="str">
            <v>IC</v>
          </cell>
          <cell r="D3321">
            <v>2</v>
          </cell>
          <cell r="H3321" t="str">
            <v>petroleum</v>
          </cell>
        </row>
        <row r="3322">
          <cell r="C3322" t="str">
            <v>ST</v>
          </cell>
          <cell r="D3322">
            <v>16.8</v>
          </cell>
          <cell r="H3322" t="str">
            <v>natural gas peaker</v>
          </cell>
        </row>
        <row r="3323">
          <cell r="C3323" t="str">
            <v>ST</v>
          </cell>
          <cell r="D3323">
            <v>6.5</v>
          </cell>
          <cell r="H3323" t="str">
            <v>natural gas peaker</v>
          </cell>
        </row>
        <row r="3324">
          <cell r="C3324" t="str">
            <v>WT</v>
          </cell>
          <cell r="D3324">
            <v>2</v>
          </cell>
          <cell r="H3324" t="str">
            <v>onshore wind</v>
          </cell>
        </row>
        <row r="3325">
          <cell r="C3325" t="str">
            <v>WT</v>
          </cell>
          <cell r="D3325">
            <v>2</v>
          </cell>
          <cell r="H3325" t="str">
            <v>onshore wind</v>
          </cell>
        </row>
        <row r="3326">
          <cell r="C3326" t="str">
            <v>IC</v>
          </cell>
          <cell r="D3326">
            <v>1.7</v>
          </cell>
          <cell r="H3326" t="str">
            <v>petroleum</v>
          </cell>
        </row>
        <row r="3327">
          <cell r="C3327" t="str">
            <v>IC</v>
          </cell>
          <cell r="D3327">
            <v>1.7</v>
          </cell>
          <cell r="H3327" t="str">
            <v>petroleum</v>
          </cell>
        </row>
        <row r="3328">
          <cell r="C3328" t="str">
            <v>IC</v>
          </cell>
          <cell r="D3328">
            <v>1.7</v>
          </cell>
          <cell r="H3328" t="str">
            <v>petroleum</v>
          </cell>
        </row>
        <row r="3329">
          <cell r="C3329" t="str">
            <v>GT</v>
          </cell>
          <cell r="D3329">
            <v>2.5</v>
          </cell>
          <cell r="H3329" t="str">
            <v>petroleum</v>
          </cell>
        </row>
        <row r="3330">
          <cell r="C3330" t="str">
            <v>IC</v>
          </cell>
          <cell r="D3330">
            <v>2</v>
          </cell>
          <cell r="H3330" t="str">
            <v>petroleum</v>
          </cell>
        </row>
        <row r="3331">
          <cell r="C3331" t="str">
            <v>WT</v>
          </cell>
          <cell r="D3331">
            <v>0.9</v>
          </cell>
          <cell r="H3331" t="str">
            <v>onshore wind</v>
          </cell>
        </row>
        <row r="3332">
          <cell r="C3332" t="str">
            <v>WT</v>
          </cell>
          <cell r="D3332">
            <v>0.9</v>
          </cell>
          <cell r="H3332" t="str">
            <v>onshore wind</v>
          </cell>
        </row>
        <row r="3333">
          <cell r="C3333" t="str">
            <v>WT</v>
          </cell>
          <cell r="D3333">
            <v>1</v>
          </cell>
          <cell r="H3333" t="str">
            <v>onshore wind</v>
          </cell>
        </row>
        <row r="3334">
          <cell r="C3334" t="str">
            <v>WT</v>
          </cell>
          <cell r="D3334">
            <v>1</v>
          </cell>
          <cell r="H3334" t="str">
            <v>onshore wind</v>
          </cell>
        </row>
        <row r="3335">
          <cell r="C3335" t="str">
            <v>IC</v>
          </cell>
          <cell r="D3335">
            <v>2</v>
          </cell>
          <cell r="H3335" t="str">
            <v>petroleum</v>
          </cell>
        </row>
        <row r="3336">
          <cell r="C3336" t="str">
            <v>IC</v>
          </cell>
          <cell r="D3336">
            <v>2</v>
          </cell>
          <cell r="H3336" t="str">
            <v>petroleum</v>
          </cell>
        </row>
        <row r="3337">
          <cell r="C3337" t="str">
            <v>IC</v>
          </cell>
          <cell r="D3337">
            <v>2</v>
          </cell>
          <cell r="H3337" t="str">
            <v>petroleum</v>
          </cell>
        </row>
        <row r="3338">
          <cell r="C3338" t="str">
            <v>IC</v>
          </cell>
          <cell r="D3338">
            <v>2</v>
          </cell>
          <cell r="H3338" t="str">
            <v>petroleum</v>
          </cell>
        </row>
        <row r="3339">
          <cell r="C3339" t="str">
            <v>IC</v>
          </cell>
          <cell r="D3339">
            <v>2</v>
          </cell>
          <cell r="H3339" t="str">
            <v>petroleum</v>
          </cell>
        </row>
        <row r="3340">
          <cell r="C3340" t="str">
            <v>IC</v>
          </cell>
          <cell r="D3340">
            <v>2</v>
          </cell>
          <cell r="H3340" t="str">
            <v>petroleum</v>
          </cell>
        </row>
        <row r="3341">
          <cell r="C3341" t="str">
            <v>WT</v>
          </cell>
          <cell r="D3341">
            <v>0.9</v>
          </cell>
          <cell r="H3341" t="str">
            <v>onshore wind</v>
          </cell>
        </row>
        <row r="3342">
          <cell r="C3342" t="str">
            <v>WT</v>
          </cell>
          <cell r="D3342">
            <v>0.9</v>
          </cell>
          <cell r="H3342" t="str">
            <v>onshore wind</v>
          </cell>
        </row>
        <row r="3343">
          <cell r="C3343" t="str">
            <v>GT</v>
          </cell>
          <cell r="D3343">
            <v>25</v>
          </cell>
          <cell r="H3343" t="str">
            <v>petroleum</v>
          </cell>
        </row>
        <row r="3344">
          <cell r="C3344" t="str">
            <v>GT</v>
          </cell>
          <cell r="D3344">
            <v>151</v>
          </cell>
          <cell r="H3344" t="str">
            <v>natural gas peaker</v>
          </cell>
        </row>
        <row r="3345">
          <cell r="C3345" t="str">
            <v>GT</v>
          </cell>
          <cell r="D3345">
            <v>188.6</v>
          </cell>
          <cell r="H3345" t="str">
            <v>natural gas peaker</v>
          </cell>
        </row>
        <row r="3346">
          <cell r="C3346" t="str">
            <v>GT</v>
          </cell>
          <cell r="D3346">
            <v>18.600000000000001</v>
          </cell>
          <cell r="H3346" t="str">
            <v>petroleum</v>
          </cell>
        </row>
        <row r="3347">
          <cell r="C3347" t="str">
            <v>GT</v>
          </cell>
          <cell r="D3347">
            <v>15</v>
          </cell>
          <cell r="H3347" t="str">
            <v>natural gas peaker</v>
          </cell>
        </row>
        <row r="3348">
          <cell r="C3348" t="str">
            <v>GT</v>
          </cell>
          <cell r="D3348">
            <v>17</v>
          </cell>
          <cell r="H3348" t="str">
            <v>natural gas peaker</v>
          </cell>
        </row>
        <row r="3349">
          <cell r="C3349" t="str">
            <v>GT</v>
          </cell>
          <cell r="D3349">
            <v>16</v>
          </cell>
          <cell r="H3349" t="str">
            <v>natural gas peaker</v>
          </cell>
        </row>
        <row r="3350">
          <cell r="C3350" t="str">
            <v>GT</v>
          </cell>
          <cell r="D3350">
            <v>16</v>
          </cell>
          <cell r="H3350" t="str">
            <v>natural gas peaker</v>
          </cell>
        </row>
        <row r="3351">
          <cell r="C3351" t="str">
            <v>GT</v>
          </cell>
          <cell r="D3351">
            <v>70</v>
          </cell>
          <cell r="H3351" t="str">
            <v>natural gas peaker</v>
          </cell>
        </row>
        <row r="3352">
          <cell r="C3352" t="str">
            <v>GT</v>
          </cell>
          <cell r="D3352">
            <v>32</v>
          </cell>
          <cell r="H3352" t="str">
            <v>natural gas peaker</v>
          </cell>
        </row>
        <row r="3353">
          <cell r="C3353" t="str">
            <v>ST</v>
          </cell>
          <cell r="D3353">
            <v>236</v>
          </cell>
          <cell r="H3353" t="str">
            <v>natural gas peaker</v>
          </cell>
        </row>
        <row r="3354">
          <cell r="C3354" t="str">
            <v>ST</v>
          </cell>
          <cell r="D3354">
            <v>485</v>
          </cell>
          <cell r="H3354" t="str">
            <v>natural gas peaker</v>
          </cell>
        </row>
        <row r="3355">
          <cell r="C3355" t="str">
            <v>GT</v>
          </cell>
          <cell r="D3355">
            <v>33</v>
          </cell>
          <cell r="H3355" t="str">
            <v>natural gas peaker</v>
          </cell>
        </row>
        <row r="3356">
          <cell r="C3356" t="str">
            <v>ST</v>
          </cell>
          <cell r="D3356">
            <v>494.3</v>
          </cell>
          <cell r="H3356" t="str">
            <v>natural gas peaker</v>
          </cell>
        </row>
        <row r="3357">
          <cell r="C3357" t="str">
            <v>CA</v>
          </cell>
          <cell r="D3357">
            <v>6.8</v>
          </cell>
          <cell r="H3357" t="str">
            <v>natural gas nonpeaker</v>
          </cell>
        </row>
        <row r="3358">
          <cell r="C3358" t="str">
            <v>CT</v>
          </cell>
          <cell r="D3358">
            <v>7.5</v>
          </cell>
          <cell r="H3358" t="str">
            <v>natural gas nonpeaker</v>
          </cell>
        </row>
        <row r="3359">
          <cell r="C3359" t="str">
            <v>CT</v>
          </cell>
          <cell r="D3359">
            <v>13.2</v>
          </cell>
          <cell r="H3359" t="str">
            <v>natural gas nonpeaker</v>
          </cell>
        </row>
        <row r="3360">
          <cell r="C3360" t="str">
            <v>CS</v>
          </cell>
          <cell r="D3360">
            <v>22</v>
          </cell>
          <cell r="H3360" t="str">
            <v>natural gas nonpeaker</v>
          </cell>
        </row>
        <row r="3361">
          <cell r="C3361" t="str">
            <v>CA</v>
          </cell>
          <cell r="D3361">
            <v>5.6</v>
          </cell>
          <cell r="H3361" t="str">
            <v>natural gas nonpeaker</v>
          </cell>
        </row>
        <row r="3362">
          <cell r="C3362" t="str">
            <v>CA</v>
          </cell>
          <cell r="D3362">
            <v>13</v>
          </cell>
          <cell r="H3362" t="str">
            <v>natural gas nonpeaker</v>
          </cell>
        </row>
        <row r="3363">
          <cell r="C3363" t="str">
            <v>CT</v>
          </cell>
          <cell r="D3363">
            <v>14.7</v>
          </cell>
          <cell r="H3363" t="str">
            <v>natural gas nonpeaker</v>
          </cell>
        </row>
        <row r="3364">
          <cell r="C3364" t="str">
            <v>CA</v>
          </cell>
          <cell r="D3364">
            <v>59</v>
          </cell>
          <cell r="H3364" t="str">
            <v>natural gas nonpeaker</v>
          </cell>
        </row>
        <row r="3365">
          <cell r="C3365" t="str">
            <v>CA</v>
          </cell>
          <cell r="D3365">
            <v>59</v>
          </cell>
          <cell r="H3365" t="str">
            <v>natural gas nonpeaker</v>
          </cell>
        </row>
        <row r="3366">
          <cell r="C3366" t="str">
            <v>ST</v>
          </cell>
          <cell r="D3366">
            <v>59</v>
          </cell>
          <cell r="H3366" t="str">
            <v>natural gas peaker</v>
          </cell>
        </row>
        <row r="3367">
          <cell r="C3367" t="str">
            <v>GT</v>
          </cell>
          <cell r="D3367">
            <v>75</v>
          </cell>
          <cell r="H3367" t="str">
            <v>natural gas peaker</v>
          </cell>
        </row>
        <row r="3368">
          <cell r="C3368" t="str">
            <v>GT</v>
          </cell>
          <cell r="D3368">
            <v>75</v>
          </cell>
          <cell r="H3368" t="str">
            <v>natural gas peaker</v>
          </cell>
        </row>
        <row r="3369">
          <cell r="C3369" t="str">
            <v>CT</v>
          </cell>
          <cell r="D3369">
            <v>75</v>
          </cell>
          <cell r="H3369" t="str">
            <v>natural gas nonpeaker</v>
          </cell>
        </row>
        <row r="3370">
          <cell r="C3370" t="str">
            <v>CT</v>
          </cell>
          <cell r="D3370">
            <v>75</v>
          </cell>
          <cell r="H3370" t="str">
            <v>natural gas nonpeaker</v>
          </cell>
        </row>
        <row r="3371">
          <cell r="C3371" t="str">
            <v>ST</v>
          </cell>
          <cell r="D3371">
            <v>198</v>
          </cell>
          <cell r="H3371" t="str">
            <v>hard coal</v>
          </cell>
        </row>
        <row r="3372">
          <cell r="C3372" t="str">
            <v>ST</v>
          </cell>
          <cell r="D3372">
            <v>564</v>
          </cell>
          <cell r="H3372" t="str">
            <v>hard coal</v>
          </cell>
        </row>
        <row r="3373">
          <cell r="C3373" t="str">
            <v>CT</v>
          </cell>
          <cell r="D3373">
            <v>147.4</v>
          </cell>
          <cell r="H3373" t="str">
            <v>natural gas nonpeaker</v>
          </cell>
        </row>
        <row r="3374">
          <cell r="C3374" t="str">
            <v>GT</v>
          </cell>
          <cell r="D3374">
            <v>76.2</v>
          </cell>
          <cell r="H3374" t="str">
            <v>natural gas peaker</v>
          </cell>
        </row>
        <row r="3375">
          <cell r="C3375" t="str">
            <v>GT</v>
          </cell>
          <cell r="D3375">
            <v>77.2</v>
          </cell>
          <cell r="H3375" t="str">
            <v>natural gas peaker</v>
          </cell>
        </row>
        <row r="3376">
          <cell r="C3376" t="str">
            <v>CA</v>
          </cell>
          <cell r="D3376">
            <v>87.1</v>
          </cell>
          <cell r="H3376" t="str">
            <v>natural gas nonpeaker</v>
          </cell>
        </row>
        <row r="3377">
          <cell r="C3377" t="str">
            <v>GT</v>
          </cell>
          <cell r="D3377">
            <v>46.7</v>
          </cell>
          <cell r="H3377" t="str">
            <v>petroleum</v>
          </cell>
        </row>
        <row r="3378">
          <cell r="C3378" t="str">
            <v>GT</v>
          </cell>
          <cell r="D3378">
            <v>40.9</v>
          </cell>
          <cell r="H3378" t="str">
            <v>petroleum</v>
          </cell>
        </row>
        <row r="3379">
          <cell r="C3379" t="str">
            <v>GT</v>
          </cell>
          <cell r="D3379">
            <v>46.1</v>
          </cell>
          <cell r="H3379" t="str">
            <v>petroleum</v>
          </cell>
        </row>
        <row r="3380">
          <cell r="C3380" t="str">
            <v>GT</v>
          </cell>
          <cell r="D3380">
            <v>49.2</v>
          </cell>
          <cell r="H3380" t="str">
            <v>petroleum</v>
          </cell>
        </row>
        <row r="3381">
          <cell r="C3381" t="str">
            <v>GT</v>
          </cell>
          <cell r="D3381">
            <v>52.9</v>
          </cell>
          <cell r="H3381" t="str">
            <v>petroleum</v>
          </cell>
        </row>
        <row r="3382">
          <cell r="C3382" t="str">
            <v>GT</v>
          </cell>
          <cell r="D3382">
            <v>52.8</v>
          </cell>
          <cell r="H3382" t="str">
            <v>petroleum</v>
          </cell>
        </row>
        <row r="3383">
          <cell r="C3383" t="str">
            <v>GT</v>
          </cell>
          <cell r="D3383">
            <v>53.2</v>
          </cell>
          <cell r="H3383" t="str">
            <v>petroleum</v>
          </cell>
        </row>
        <row r="3384">
          <cell r="C3384" t="str">
            <v>GT</v>
          </cell>
          <cell r="D3384">
            <v>52.2</v>
          </cell>
          <cell r="H3384" t="str">
            <v>petroleum</v>
          </cell>
        </row>
        <row r="3385">
          <cell r="C3385" t="str">
            <v>IC</v>
          </cell>
          <cell r="D3385">
            <v>2</v>
          </cell>
          <cell r="H3385" t="str">
            <v>petroleum</v>
          </cell>
        </row>
        <row r="3386">
          <cell r="C3386" t="str">
            <v>GT</v>
          </cell>
          <cell r="D3386">
            <v>54</v>
          </cell>
          <cell r="H3386" t="str">
            <v>petroleum</v>
          </cell>
        </row>
        <row r="3387">
          <cell r="C3387" t="str">
            <v>GT</v>
          </cell>
          <cell r="D3387">
            <v>18.100000000000001</v>
          </cell>
          <cell r="H3387" t="str">
            <v>petroleum</v>
          </cell>
        </row>
        <row r="3388">
          <cell r="C3388" t="str">
            <v>GT</v>
          </cell>
          <cell r="D3388">
            <v>69.400000000000006</v>
          </cell>
          <cell r="H3388" t="str">
            <v>natural gas peaker</v>
          </cell>
        </row>
        <row r="3389">
          <cell r="C3389" t="str">
            <v>ST</v>
          </cell>
          <cell r="D3389">
            <v>16.5</v>
          </cell>
          <cell r="H3389" t="str">
            <v>natural gas peaker</v>
          </cell>
        </row>
        <row r="3390">
          <cell r="C3390" t="str">
            <v>ST</v>
          </cell>
          <cell r="D3390">
            <v>17.899999999999999</v>
          </cell>
          <cell r="H3390" t="str">
            <v>natural gas peaker</v>
          </cell>
        </row>
        <row r="3391">
          <cell r="C3391" t="str">
            <v>ST</v>
          </cell>
          <cell r="D3391">
            <v>7.8</v>
          </cell>
          <cell r="H3391" t="str">
            <v>natural gas peaker</v>
          </cell>
        </row>
        <row r="3392">
          <cell r="C3392" t="str">
            <v>ST</v>
          </cell>
          <cell r="D3392">
            <v>97.1</v>
          </cell>
          <cell r="H3392" t="str">
            <v>natural gas peaker</v>
          </cell>
        </row>
        <row r="3393">
          <cell r="C3393" t="str">
            <v>GT</v>
          </cell>
          <cell r="D3393">
            <v>61.9</v>
          </cell>
          <cell r="H3393" t="str">
            <v>natural gas peaker</v>
          </cell>
        </row>
        <row r="3394">
          <cell r="C3394" t="str">
            <v>GT</v>
          </cell>
          <cell r="D3394">
            <v>20.9</v>
          </cell>
          <cell r="H3394" t="str">
            <v>petroleum</v>
          </cell>
        </row>
        <row r="3395">
          <cell r="C3395" t="str">
            <v>GT</v>
          </cell>
          <cell r="D3395">
            <v>20.3</v>
          </cell>
          <cell r="H3395" t="str">
            <v>petroleum</v>
          </cell>
        </row>
        <row r="3396">
          <cell r="C3396" t="str">
            <v>HY</v>
          </cell>
          <cell r="D3396">
            <v>1.5</v>
          </cell>
          <cell r="H3396" t="str">
            <v>hydro</v>
          </cell>
        </row>
        <row r="3397">
          <cell r="C3397" t="str">
            <v>HY</v>
          </cell>
          <cell r="D3397">
            <v>1.5</v>
          </cell>
          <cell r="H3397" t="str">
            <v>hydro</v>
          </cell>
        </row>
        <row r="3398">
          <cell r="C3398" t="str">
            <v>ST</v>
          </cell>
          <cell r="D3398">
            <v>593</v>
          </cell>
          <cell r="H3398" t="str">
            <v>hard coal</v>
          </cell>
        </row>
        <row r="3399">
          <cell r="C3399" t="str">
            <v>ST</v>
          </cell>
          <cell r="D3399">
            <v>593</v>
          </cell>
          <cell r="H3399" t="str">
            <v>hard coal</v>
          </cell>
        </row>
        <row r="3400">
          <cell r="C3400" t="str">
            <v>ST</v>
          </cell>
          <cell r="D3400">
            <v>593</v>
          </cell>
          <cell r="H3400" t="str">
            <v>hard coal</v>
          </cell>
        </row>
        <row r="3401">
          <cell r="C3401" t="str">
            <v>ST</v>
          </cell>
          <cell r="D3401">
            <v>593</v>
          </cell>
          <cell r="H3401" t="str">
            <v>hard coal</v>
          </cell>
        </row>
        <row r="3402">
          <cell r="C3402" t="str">
            <v>ST</v>
          </cell>
          <cell r="D3402">
            <v>118</v>
          </cell>
          <cell r="H3402" t="str">
            <v>natural gas peaker</v>
          </cell>
        </row>
        <row r="3403">
          <cell r="C3403" t="str">
            <v>ST</v>
          </cell>
          <cell r="D3403">
            <v>118</v>
          </cell>
          <cell r="H3403" t="str">
            <v>natural gas peaker</v>
          </cell>
        </row>
        <row r="3404">
          <cell r="C3404" t="str">
            <v>ST</v>
          </cell>
          <cell r="D3404">
            <v>260</v>
          </cell>
          <cell r="H3404" t="str">
            <v>hard coal</v>
          </cell>
        </row>
        <row r="3405">
          <cell r="C3405" t="str">
            <v>ST</v>
          </cell>
          <cell r="D3405">
            <v>334</v>
          </cell>
          <cell r="H3405" t="str">
            <v>hard coal</v>
          </cell>
        </row>
        <row r="3406">
          <cell r="C3406" t="str">
            <v>GT</v>
          </cell>
          <cell r="D3406">
            <v>54</v>
          </cell>
          <cell r="H3406" t="str">
            <v>petroleum</v>
          </cell>
        </row>
        <row r="3407">
          <cell r="C3407" t="str">
            <v>GT</v>
          </cell>
          <cell r="D3407">
            <v>45</v>
          </cell>
          <cell r="H3407" t="str">
            <v>natural gas peaker</v>
          </cell>
        </row>
        <row r="3408">
          <cell r="C3408" t="str">
            <v>HY</v>
          </cell>
          <cell r="D3408">
            <v>31</v>
          </cell>
          <cell r="H3408" t="str">
            <v>hydro</v>
          </cell>
        </row>
        <row r="3409">
          <cell r="C3409" t="str">
            <v>HY</v>
          </cell>
          <cell r="D3409">
            <v>24</v>
          </cell>
          <cell r="H3409" t="str">
            <v>hydro</v>
          </cell>
        </row>
        <row r="3410">
          <cell r="C3410" t="str">
            <v>HY</v>
          </cell>
          <cell r="D3410">
            <v>31</v>
          </cell>
          <cell r="H3410" t="str">
            <v>hydro</v>
          </cell>
        </row>
        <row r="3411">
          <cell r="C3411" t="str">
            <v>HY</v>
          </cell>
          <cell r="D3411">
            <v>24</v>
          </cell>
          <cell r="H3411" t="str">
            <v>hydro</v>
          </cell>
        </row>
        <row r="3412">
          <cell r="C3412" t="str">
            <v>HY</v>
          </cell>
          <cell r="D3412">
            <v>31</v>
          </cell>
          <cell r="H3412" t="str">
            <v>hydro</v>
          </cell>
        </row>
        <row r="3413">
          <cell r="C3413" t="str">
            <v>HY</v>
          </cell>
          <cell r="D3413">
            <v>31</v>
          </cell>
          <cell r="H3413" t="str">
            <v>hydro</v>
          </cell>
        </row>
        <row r="3414">
          <cell r="C3414" t="str">
            <v>HY</v>
          </cell>
          <cell r="D3414">
            <v>31</v>
          </cell>
          <cell r="H3414" t="str">
            <v>hydro</v>
          </cell>
        </row>
        <row r="3415">
          <cell r="C3415" t="str">
            <v>HY</v>
          </cell>
          <cell r="D3415">
            <v>31</v>
          </cell>
          <cell r="H3415" t="str">
            <v>hydro</v>
          </cell>
        </row>
        <row r="3416">
          <cell r="C3416" t="str">
            <v>ST</v>
          </cell>
          <cell r="D3416">
            <v>487</v>
          </cell>
          <cell r="H3416" t="str">
            <v>hard coal</v>
          </cell>
        </row>
        <row r="3417">
          <cell r="C3417" t="str">
            <v>ST</v>
          </cell>
          <cell r="D3417">
            <v>487</v>
          </cell>
          <cell r="H3417" t="str">
            <v>hard coal</v>
          </cell>
        </row>
        <row r="3418">
          <cell r="C3418" t="str">
            <v>PS</v>
          </cell>
          <cell r="D3418">
            <v>220</v>
          </cell>
          <cell r="H3418" t="str">
            <v>other</v>
          </cell>
        </row>
        <row r="3419">
          <cell r="C3419" t="str">
            <v>PS</v>
          </cell>
          <cell r="D3419">
            <v>220</v>
          </cell>
          <cell r="H3419" t="str">
            <v>other</v>
          </cell>
        </row>
        <row r="3420">
          <cell r="C3420" t="str">
            <v>IC</v>
          </cell>
          <cell r="D3420">
            <v>1</v>
          </cell>
          <cell r="H3420" t="str">
            <v>petroleum</v>
          </cell>
        </row>
        <row r="3421">
          <cell r="C3421" t="str">
            <v>IC</v>
          </cell>
          <cell r="D3421">
            <v>1</v>
          </cell>
          <cell r="H3421" t="str">
            <v>petroleum</v>
          </cell>
        </row>
        <row r="3422">
          <cell r="C3422" t="str">
            <v>IC</v>
          </cell>
          <cell r="D3422">
            <v>1.1000000000000001</v>
          </cell>
          <cell r="H3422" t="str">
            <v>petroleum</v>
          </cell>
        </row>
        <row r="3423">
          <cell r="C3423" t="str">
            <v>IC</v>
          </cell>
          <cell r="D3423">
            <v>1.8</v>
          </cell>
          <cell r="H3423" t="str">
            <v>petroleum</v>
          </cell>
        </row>
        <row r="3424">
          <cell r="C3424" t="str">
            <v>IC</v>
          </cell>
          <cell r="D3424">
            <v>1.8</v>
          </cell>
          <cell r="H3424" t="str">
            <v>petroleum</v>
          </cell>
        </row>
        <row r="3425">
          <cell r="C3425" t="str">
            <v>IC</v>
          </cell>
          <cell r="D3425">
            <v>1.8</v>
          </cell>
          <cell r="H3425" t="str">
            <v>petroleum</v>
          </cell>
        </row>
        <row r="3426">
          <cell r="C3426" t="str">
            <v>IC</v>
          </cell>
          <cell r="D3426">
            <v>1.8</v>
          </cell>
          <cell r="H3426" t="str">
            <v>petroleum</v>
          </cell>
        </row>
        <row r="3427">
          <cell r="C3427" t="str">
            <v>IC</v>
          </cell>
          <cell r="D3427">
            <v>6</v>
          </cell>
          <cell r="H3427" t="str">
            <v>natural gas peaker</v>
          </cell>
        </row>
        <row r="3428">
          <cell r="C3428" t="str">
            <v>IC</v>
          </cell>
          <cell r="D3428">
            <v>1.8</v>
          </cell>
          <cell r="H3428" t="str">
            <v>petroleum</v>
          </cell>
        </row>
        <row r="3429">
          <cell r="C3429" t="str">
            <v>IC</v>
          </cell>
          <cell r="D3429">
            <v>1.8</v>
          </cell>
          <cell r="H3429" t="str">
            <v>natural gas peaker</v>
          </cell>
        </row>
        <row r="3430">
          <cell r="C3430" t="str">
            <v>IC</v>
          </cell>
          <cell r="D3430">
            <v>2.5</v>
          </cell>
          <cell r="H3430" t="str">
            <v>natural gas peaker</v>
          </cell>
        </row>
        <row r="3431">
          <cell r="C3431" t="str">
            <v>IC</v>
          </cell>
          <cell r="D3431">
            <v>3.7</v>
          </cell>
          <cell r="H3431" t="str">
            <v>natural gas peaker</v>
          </cell>
        </row>
        <row r="3432">
          <cell r="C3432" t="str">
            <v>IC</v>
          </cell>
          <cell r="D3432">
            <v>3.7</v>
          </cell>
          <cell r="H3432" t="str">
            <v>natural gas peaker</v>
          </cell>
        </row>
        <row r="3433">
          <cell r="C3433" t="str">
            <v>IC</v>
          </cell>
          <cell r="D3433">
            <v>6</v>
          </cell>
          <cell r="H3433" t="str">
            <v>natural gas peaker</v>
          </cell>
        </row>
        <row r="3434">
          <cell r="C3434" t="str">
            <v>IC</v>
          </cell>
          <cell r="D3434">
            <v>4</v>
          </cell>
          <cell r="H3434" t="str">
            <v>natural gas peaker</v>
          </cell>
        </row>
        <row r="3435">
          <cell r="C3435" t="str">
            <v>IC</v>
          </cell>
          <cell r="D3435">
            <v>4</v>
          </cell>
          <cell r="H3435" t="str">
            <v>natural gas peaker</v>
          </cell>
        </row>
        <row r="3436">
          <cell r="C3436" t="str">
            <v>IC</v>
          </cell>
          <cell r="D3436">
            <v>5.5</v>
          </cell>
          <cell r="H3436" t="str">
            <v>natural gas peaker</v>
          </cell>
        </row>
        <row r="3437">
          <cell r="C3437" t="str">
            <v>IC</v>
          </cell>
          <cell r="D3437">
            <v>5.5</v>
          </cell>
          <cell r="H3437" t="str">
            <v>natural gas peaker</v>
          </cell>
        </row>
        <row r="3438">
          <cell r="C3438" t="str">
            <v>IC</v>
          </cell>
          <cell r="D3438">
            <v>2</v>
          </cell>
          <cell r="H3438" t="str">
            <v>natural gas peaker</v>
          </cell>
        </row>
        <row r="3439">
          <cell r="C3439" t="str">
            <v>IC</v>
          </cell>
          <cell r="D3439">
            <v>2.2000000000000002</v>
          </cell>
          <cell r="H3439" t="str">
            <v>natural gas peaker</v>
          </cell>
        </row>
        <row r="3440">
          <cell r="C3440" t="str">
            <v>IC</v>
          </cell>
          <cell r="D3440">
            <v>2.5</v>
          </cell>
          <cell r="H3440" t="str">
            <v>natural gas peaker</v>
          </cell>
        </row>
        <row r="3441">
          <cell r="C3441" t="str">
            <v>IC</v>
          </cell>
          <cell r="D3441">
            <v>4</v>
          </cell>
          <cell r="H3441" t="str">
            <v>natural gas peaker</v>
          </cell>
        </row>
        <row r="3442">
          <cell r="C3442" t="str">
            <v>IC</v>
          </cell>
          <cell r="D3442">
            <v>2</v>
          </cell>
          <cell r="H3442" t="str">
            <v>petroleum</v>
          </cell>
        </row>
        <row r="3443">
          <cell r="C3443" t="str">
            <v>IC</v>
          </cell>
          <cell r="D3443">
            <v>2</v>
          </cell>
          <cell r="H3443" t="str">
            <v>petroleum</v>
          </cell>
        </row>
        <row r="3444">
          <cell r="C3444" t="str">
            <v>IC</v>
          </cell>
          <cell r="D3444">
            <v>2</v>
          </cell>
          <cell r="H3444" t="str">
            <v>petroleum</v>
          </cell>
        </row>
        <row r="3445">
          <cell r="C3445" t="str">
            <v>IC</v>
          </cell>
          <cell r="D3445">
            <v>2</v>
          </cell>
          <cell r="H3445" t="str">
            <v>petroleum</v>
          </cell>
        </row>
        <row r="3446">
          <cell r="C3446" t="str">
            <v>IC</v>
          </cell>
          <cell r="D3446">
            <v>2</v>
          </cell>
          <cell r="H3446" t="str">
            <v>petroleum</v>
          </cell>
        </row>
        <row r="3447">
          <cell r="C3447" t="str">
            <v>GT</v>
          </cell>
          <cell r="D3447">
            <v>40</v>
          </cell>
          <cell r="H3447" t="str">
            <v>natural gas peaker</v>
          </cell>
        </row>
        <row r="3448">
          <cell r="C3448" t="str">
            <v>GT</v>
          </cell>
          <cell r="D3448">
            <v>40</v>
          </cell>
          <cell r="H3448" t="str">
            <v>natural gas peaker</v>
          </cell>
        </row>
        <row r="3449">
          <cell r="C3449" t="str">
            <v>GT</v>
          </cell>
          <cell r="D3449">
            <v>12.5</v>
          </cell>
          <cell r="H3449" t="str">
            <v>natural gas peaker</v>
          </cell>
        </row>
        <row r="3450">
          <cell r="C3450" t="str">
            <v>ST</v>
          </cell>
          <cell r="D3450">
            <v>35</v>
          </cell>
          <cell r="H3450" t="str">
            <v>natural gas peaker</v>
          </cell>
        </row>
        <row r="3451">
          <cell r="C3451" t="str">
            <v>IC</v>
          </cell>
          <cell r="D3451">
            <v>2</v>
          </cell>
          <cell r="H3451" t="str">
            <v>petroleum</v>
          </cell>
        </row>
        <row r="3452">
          <cell r="C3452" t="str">
            <v>IC</v>
          </cell>
          <cell r="D3452">
            <v>1</v>
          </cell>
          <cell r="H3452" t="str">
            <v>biomass</v>
          </cell>
        </row>
        <row r="3453">
          <cell r="C3453" t="str">
            <v>IC</v>
          </cell>
          <cell r="D3453">
            <v>1</v>
          </cell>
          <cell r="H3453" t="str">
            <v>biomass</v>
          </cell>
        </row>
        <row r="3454">
          <cell r="C3454" t="str">
            <v>IC</v>
          </cell>
          <cell r="D3454">
            <v>1</v>
          </cell>
          <cell r="H3454" t="str">
            <v>biomass</v>
          </cell>
        </row>
        <row r="3455">
          <cell r="C3455" t="str">
            <v>IC</v>
          </cell>
          <cell r="D3455">
            <v>1</v>
          </cell>
          <cell r="H3455" t="str">
            <v>petroleum</v>
          </cell>
        </row>
        <row r="3456">
          <cell r="C3456" t="str">
            <v>IC</v>
          </cell>
          <cell r="D3456">
            <v>1</v>
          </cell>
          <cell r="H3456" t="str">
            <v>petroleum</v>
          </cell>
        </row>
        <row r="3457">
          <cell r="C3457" t="str">
            <v>IC</v>
          </cell>
          <cell r="D3457">
            <v>1.3</v>
          </cell>
          <cell r="H3457" t="str">
            <v>petroleum</v>
          </cell>
        </row>
        <row r="3458">
          <cell r="C3458" t="str">
            <v>IC</v>
          </cell>
          <cell r="D3458">
            <v>1.3</v>
          </cell>
          <cell r="H3458" t="str">
            <v>petroleum</v>
          </cell>
        </row>
        <row r="3459">
          <cell r="C3459" t="str">
            <v>IC</v>
          </cell>
          <cell r="D3459">
            <v>2</v>
          </cell>
          <cell r="H3459" t="str">
            <v>petroleum</v>
          </cell>
        </row>
        <row r="3460">
          <cell r="C3460" t="str">
            <v>IC</v>
          </cell>
          <cell r="D3460">
            <v>2</v>
          </cell>
          <cell r="H3460" t="str">
            <v>petroleum</v>
          </cell>
        </row>
        <row r="3461">
          <cell r="C3461" t="str">
            <v>HY</v>
          </cell>
          <cell r="D3461">
            <v>52</v>
          </cell>
          <cell r="H3461" t="str">
            <v>hydro</v>
          </cell>
        </row>
        <row r="3462">
          <cell r="C3462" t="str">
            <v>IC</v>
          </cell>
          <cell r="D3462">
            <v>3</v>
          </cell>
          <cell r="H3462" t="str">
            <v>petroleum</v>
          </cell>
        </row>
        <row r="3463">
          <cell r="C3463" t="str">
            <v>IC</v>
          </cell>
          <cell r="D3463">
            <v>2.8</v>
          </cell>
          <cell r="H3463" t="str">
            <v>petroleum</v>
          </cell>
        </row>
        <row r="3464">
          <cell r="C3464" t="str">
            <v>IC</v>
          </cell>
          <cell r="D3464">
            <v>2.4</v>
          </cell>
          <cell r="H3464" t="str">
            <v>petroleum</v>
          </cell>
        </row>
        <row r="3465">
          <cell r="C3465" t="str">
            <v>IC</v>
          </cell>
          <cell r="D3465">
            <v>1</v>
          </cell>
          <cell r="H3465" t="str">
            <v>petroleum</v>
          </cell>
        </row>
        <row r="3466">
          <cell r="C3466" t="str">
            <v>GT</v>
          </cell>
          <cell r="D3466">
            <v>15</v>
          </cell>
          <cell r="H3466" t="str">
            <v>natural gas peaker</v>
          </cell>
        </row>
        <row r="3467">
          <cell r="C3467" t="str">
            <v>IC</v>
          </cell>
          <cell r="D3467">
            <v>4.0999999999999996</v>
          </cell>
          <cell r="H3467" t="str">
            <v>petroleum</v>
          </cell>
        </row>
        <row r="3468">
          <cell r="C3468" t="str">
            <v>IC</v>
          </cell>
          <cell r="D3468">
            <v>6.2</v>
          </cell>
          <cell r="H3468" t="str">
            <v>petroleum</v>
          </cell>
        </row>
        <row r="3469">
          <cell r="C3469" t="str">
            <v>IC</v>
          </cell>
          <cell r="D3469">
            <v>1</v>
          </cell>
          <cell r="H3469" t="str">
            <v>petroleum</v>
          </cell>
        </row>
        <row r="3470">
          <cell r="C3470" t="str">
            <v>IC</v>
          </cell>
          <cell r="D3470">
            <v>1</v>
          </cell>
          <cell r="H3470" t="str">
            <v>petroleum</v>
          </cell>
        </row>
        <row r="3471">
          <cell r="C3471" t="str">
            <v>IC</v>
          </cell>
          <cell r="D3471">
            <v>2.5</v>
          </cell>
          <cell r="H3471" t="str">
            <v>petroleum</v>
          </cell>
        </row>
        <row r="3472">
          <cell r="C3472" t="str">
            <v>IC</v>
          </cell>
          <cell r="D3472">
            <v>2.5</v>
          </cell>
          <cell r="H3472" t="str">
            <v>petroleum</v>
          </cell>
        </row>
        <row r="3473">
          <cell r="C3473" t="str">
            <v>IC</v>
          </cell>
          <cell r="D3473">
            <v>0.6</v>
          </cell>
          <cell r="H3473" t="str">
            <v>petroleum</v>
          </cell>
        </row>
        <row r="3474">
          <cell r="C3474" t="str">
            <v>IC</v>
          </cell>
          <cell r="D3474">
            <v>1</v>
          </cell>
          <cell r="H3474" t="str">
            <v>petroleum</v>
          </cell>
        </row>
        <row r="3475">
          <cell r="C3475" t="str">
            <v>IC</v>
          </cell>
          <cell r="D3475">
            <v>2.4</v>
          </cell>
          <cell r="H3475" t="str">
            <v>petroleum</v>
          </cell>
        </row>
        <row r="3476">
          <cell r="C3476" t="str">
            <v>GT</v>
          </cell>
          <cell r="D3476">
            <v>37.5</v>
          </cell>
          <cell r="H3476" t="str">
            <v>natural gas peaker</v>
          </cell>
        </row>
        <row r="3477">
          <cell r="C3477" t="str">
            <v>IC</v>
          </cell>
          <cell r="D3477">
            <v>1.2</v>
          </cell>
          <cell r="H3477" t="str">
            <v>petroleum</v>
          </cell>
        </row>
        <row r="3478">
          <cell r="C3478" t="str">
            <v>IC</v>
          </cell>
          <cell r="D3478">
            <v>4.5</v>
          </cell>
          <cell r="H3478" t="str">
            <v>petroleum</v>
          </cell>
        </row>
        <row r="3479">
          <cell r="C3479" t="str">
            <v>ST</v>
          </cell>
          <cell r="D3479">
            <v>21</v>
          </cell>
          <cell r="H3479" t="str">
            <v>natural gas peaker</v>
          </cell>
        </row>
        <row r="3480">
          <cell r="C3480" t="str">
            <v>ST</v>
          </cell>
          <cell r="D3480">
            <v>51</v>
          </cell>
          <cell r="H3480" t="str">
            <v>natural gas peaker</v>
          </cell>
        </row>
        <row r="3481">
          <cell r="C3481" t="str">
            <v>ST</v>
          </cell>
          <cell r="D3481">
            <v>21</v>
          </cell>
          <cell r="H3481" t="str">
            <v>natural gas peaker</v>
          </cell>
        </row>
        <row r="3482">
          <cell r="C3482" t="str">
            <v>GT</v>
          </cell>
          <cell r="D3482">
            <v>15</v>
          </cell>
          <cell r="H3482" t="str">
            <v>petroleum</v>
          </cell>
        </row>
        <row r="3483">
          <cell r="C3483" t="str">
            <v>GT</v>
          </cell>
          <cell r="D3483">
            <v>15</v>
          </cell>
          <cell r="H3483" t="str">
            <v>petroleum</v>
          </cell>
        </row>
        <row r="3484">
          <cell r="C3484" t="str">
            <v>GT</v>
          </cell>
          <cell r="D3484">
            <v>19</v>
          </cell>
          <cell r="H3484" t="str">
            <v>natural gas peaker</v>
          </cell>
        </row>
        <row r="3485">
          <cell r="C3485" t="str">
            <v>GT</v>
          </cell>
          <cell r="D3485">
            <v>20</v>
          </cell>
          <cell r="H3485" t="str">
            <v>natural gas peaker</v>
          </cell>
        </row>
        <row r="3486">
          <cell r="C3486" t="str">
            <v>GT</v>
          </cell>
          <cell r="D3486">
            <v>19</v>
          </cell>
          <cell r="H3486" t="str">
            <v>petroleum</v>
          </cell>
        </row>
        <row r="3487">
          <cell r="C3487" t="str">
            <v>GT</v>
          </cell>
          <cell r="D3487">
            <v>19</v>
          </cell>
          <cell r="H3487" t="str">
            <v>petroleum</v>
          </cell>
        </row>
        <row r="3488">
          <cell r="C3488" t="str">
            <v>IC</v>
          </cell>
          <cell r="D3488">
            <v>2</v>
          </cell>
          <cell r="H3488" t="str">
            <v>petroleum</v>
          </cell>
        </row>
        <row r="3489">
          <cell r="C3489" t="str">
            <v>IC</v>
          </cell>
          <cell r="D3489">
            <v>2</v>
          </cell>
          <cell r="H3489" t="str">
            <v>petroleum</v>
          </cell>
        </row>
        <row r="3490">
          <cell r="C3490" t="str">
            <v>IC</v>
          </cell>
          <cell r="D3490">
            <v>2</v>
          </cell>
          <cell r="H3490" t="str">
            <v>petroleum</v>
          </cell>
        </row>
        <row r="3491">
          <cell r="C3491" t="str">
            <v>IC</v>
          </cell>
          <cell r="D3491">
            <v>1</v>
          </cell>
          <cell r="H3491" t="str">
            <v>petroleum</v>
          </cell>
        </row>
        <row r="3492">
          <cell r="C3492" t="str">
            <v>IC</v>
          </cell>
          <cell r="D3492">
            <v>1</v>
          </cell>
          <cell r="H3492" t="str">
            <v>petroleum</v>
          </cell>
        </row>
        <row r="3493">
          <cell r="C3493" t="str">
            <v>IC</v>
          </cell>
          <cell r="D3493">
            <v>0.6</v>
          </cell>
          <cell r="H3493" t="str">
            <v>petroleum</v>
          </cell>
        </row>
        <row r="3494">
          <cell r="C3494" t="str">
            <v>IC</v>
          </cell>
          <cell r="D3494">
            <v>1</v>
          </cell>
          <cell r="H3494" t="str">
            <v>petroleum</v>
          </cell>
        </row>
        <row r="3495">
          <cell r="C3495" t="str">
            <v>IC</v>
          </cell>
          <cell r="D3495">
            <v>6.5</v>
          </cell>
          <cell r="H3495" t="str">
            <v>petroleum</v>
          </cell>
        </row>
        <row r="3496">
          <cell r="C3496" t="str">
            <v>IC</v>
          </cell>
          <cell r="D3496">
            <v>6.5</v>
          </cell>
          <cell r="H3496" t="str">
            <v>petroleum</v>
          </cell>
        </row>
        <row r="3497">
          <cell r="C3497" t="str">
            <v>IC</v>
          </cell>
          <cell r="D3497">
            <v>2.7</v>
          </cell>
          <cell r="H3497" t="str">
            <v>petroleum</v>
          </cell>
        </row>
        <row r="3498">
          <cell r="C3498" t="str">
            <v>IC</v>
          </cell>
          <cell r="D3498">
            <v>1.1000000000000001</v>
          </cell>
          <cell r="H3498" t="str">
            <v>petroleum</v>
          </cell>
        </row>
        <row r="3499">
          <cell r="C3499" t="str">
            <v>IC</v>
          </cell>
          <cell r="D3499">
            <v>1.1000000000000001</v>
          </cell>
          <cell r="H3499" t="str">
            <v>petroleum</v>
          </cell>
        </row>
        <row r="3500">
          <cell r="C3500" t="str">
            <v>IC</v>
          </cell>
          <cell r="D3500">
            <v>1.1000000000000001</v>
          </cell>
          <cell r="H3500" t="str">
            <v>petroleum</v>
          </cell>
        </row>
        <row r="3501">
          <cell r="C3501" t="str">
            <v>IC</v>
          </cell>
          <cell r="D3501">
            <v>0.2</v>
          </cell>
          <cell r="H3501" t="str">
            <v>petroleum</v>
          </cell>
        </row>
        <row r="3502">
          <cell r="C3502" t="str">
            <v>IC</v>
          </cell>
          <cell r="D3502">
            <v>0.7</v>
          </cell>
          <cell r="H3502" t="str">
            <v>petroleum</v>
          </cell>
        </row>
        <row r="3503">
          <cell r="C3503" t="str">
            <v>IC</v>
          </cell>
          <cell r="D3503">
            <v>0.7</v>
          </cell>
          <cell r="H3503" t="str">
            <v>natural gas peaker</v>
          </cell>
        </row>
        <row r="3504">
          <cell r="C3504" t="str">
            <v>IC</v>
          </cell>
          <cell r="D3504">
            <v>1.4</v>
          </cell>
          <cell r="H3504" t="str">
            <v>natural gas peaker</v>
          </cell>
        </row>
        <row r="3505">
          <cell r="C3505" t="str">
            <v>IC</v>
          </cell>
          <cell r="D3505">
            <v>0.8</v>
          </cell>
          <cell r="H3505" t="str">
            <v>natural gas peaker</v>
          </cell>
        </row>
        <row r="3506">
          <cell r="C3506" t="str">
            <v>IC</v>
          </cell>
          <cell r="D3506">
            <v>5.6</v>
          </cell>
          <cell r="H3506" t="str">
            <v>natural gas peaker</v>
          </cell>
        </row>
        <row r="3507">
          <cell r="C3507" t="str">
            <v>IC</v>
          </cell>
          <cell r="D3507">
            <v>5.6</v>
          </cell>
          <cell r="H3507" t="str">
            <v>natural gas peaker</v>
          </cell>
        </row>
        <row r="3508">
          <cell r="C3508" t="str">
            <v>IC</v>
          </cell>
          <cell r="D3508">
            <v>5.7</v>
          </cell>
          <cell r="H3508" t="str">
            <v>natural gas peaker</v>
          </cell>
        </row>
        <row r="3509">
          <cell r="C3509" t="str">
            <v>IC</v>
          </cell>
          <cell r="D3509">
            <v>5.7</v>
          </cell>
          <cell r="H3509" t="str">
            <v>natural gas peaker</v>
          </cell>
        </row>
        <row r="3510">
          <cell r="C3510" t="str">
            <v>IC</v>
          </cell>
          <cell r="D3510">
            <v>5.6</v>
          </cell>
          <cell r="H3510" t="str">
            <v>natural gas peaker</v>
          </cell>
        </row>
        <row r="3511">
          <cell r="C3511" t="str">
            <v>IC</v>
          </cell>
          <cell r="D3511">
            <v>1.7</v>
          </cell>
          <cell r="H3511" t="str">
            <v>petroleum</v>
          </cell>
        </row>
        <row r="3512">
          <cell r="C3512" t="str">
            <v>IC</v>
          </cell>
          <cell r="D3512">
            <v>1.7</v>
          </cell>
          <cell r="H3512" t="str">
            <v>petroleum</v>
          </cell>
        </row>
        <row r="3513">
          <cell r="C3513" t="str">
            <v>IC</v>
          </cell>
          <cell r="D3513">
            <v>0.7</v>
          </cell>
          <cell r="H3513" t="str">
            <v>petroleum</v>
          </cell>
        </row>
        <row r="3514">
          <cell r="C3514" t="str">
            <v>IC</v>
          </cell>
          <cell r="D3514">
            <v>1.8</v>
          </cell>
          <cell r="H3514" t="str">
            <v>petroleum</v>
          </cell>
        </row>
        <row r="3515">
          <cell r="C3515" t="str">
            <v>IC</v>
          </cell>
          <cell r="D3515">
            <v>1.8</v>
          </cell>
          <cell r="H3515" t="str">
            <v>petroleum</v>
          </cell>
        </row>
        <row r="3516">
          <cell r="C3516" t="str">
            <v>IC</v>
          </cell>
          <cell r="D3516">
            <v>1.8</v>
          </cell>
          <cell r="H3516" t="str">
            <v>petroleum</v>
          </cell>
        </row>
        <row r="3517">
          <cell r="C3517" t="str">
            <v>IC</v>
          </cell>
          <cell r="D3517">
            <v>1.2</v>
          </cell>
          <cell r="H3517" t="str">
            <v>petroleum</v>
          </cell>
        </row>
        <row r="3518">
          <cell r="C3518" t="str">
            <v>IC</v>
          </cell>
          <cell r="D3518">
            <v>1.8</v>
          </cell>
          <cell r="H3518" t="str">
            <v>petroleum</v>
          </cell>
        </row>
        <row r="3519">
          <cell r="C3519" t="str">
            <v>IC</v>
          </cell>
          <cell r="D3519">
            <v>2.5</v>
          </cell>
          <cell r="H3519" t="str">
            <v>petroleum</v>
          </cell>
        </row>
        <row r="3520">
          <cell r="C3520" t="str">
            <v>IC</v>
          </cell>
          <cell r="D3520">
            <v>3.8</v>
          </cell>
          <cell r="H3520" t="str">
            <v>petroleum</v>
          </cell>
        </row>
        <row r="3521">
          <cell r="C3521" t="str">
            <v>IC</v>
          </cell>
          <cell r="D3521">
            <v>6.3</v>
          </cell>
          <cell r="H3521" t="str">
            <v>natural gas peaker</v>
          </cell>
        </row>
        <row r="3522">
          <cell r="C3522" t="str">
            <v>IC</v>
          </cell>
          <cell r="D3522">
            <v>6.3</v>
          </cell>
          <cell r="H3522" t="str">
            <v>natural gas peaker</v>
          </cell>
        </row>
        <row r="3523">
          <cell r="C3523" t="str">
            <v>IC</v>
          </cell>
          <cell r="D3523">
            <v>0.9</v>
          </cell>
          <cell r="H3523" t="str">
            <v>petroleum</v>
          </cell>
        </row>
        <row r="3524">
          <cell r="C3524" t="str">
            <v>IC</v>
          </cell>
          <cell r="D3524">
            <v>0.9</v>
          </cell>
          <cell r="H3524" t="str">
            <v>petroleum</v>
          </cell>
        </row>
        <row r="3525">
          <cell r="C3525" t="str">
            <v>IC</v>
          </cell>
          <cell r="D3525">
            <v>0.9</v>
          </cell>
          <cell r="H3525" t="str">
            <v>petroleum</v>
          </cell>
        </row>
        <row r="3526">
          <cell r="C3526" t="str">
            <v>GT</v>
          </cell>
          <cell r="D3526">
            <v>14</v>
          </cell>
          <cell r="H3526" t="str">
            <v>natural gas peaker</v>
          </cell>
        </row>
        <row r="3527">
          <cell r="C3527" t="str">
            <v>IC</v>
          </cell>
          <cell r="D3527">
            <v>0.6</v>
          </cell>
          <cell r="H3527" t="str">
            <v>petroleum</v>
          </cell>
        </row>
        <row r="3528">
          <cell r="C3528" t="str">
            <v>IC</v>
          </cell>
          <cell r="D3528">
            <v>1</v>
          </cell>
          <cell r="H3528" t="str">
            <v>petroleum</v>
          </cell>
        </row>
        <row r="3529">
          <cell r="C3529" t="str">
            <v>IC</v>
          </cell>
          <cell r="D3529">
            <v>1</v>
          </cell>
          <cell r="H3529" t="str">
            <v>petroleum</v>
          </cell>
        </row>
        <row r="3530">
          <cell r="C3530" t="str">
            <v>IC</v>
          </cell>
          <cell r="D3530">
            <v>0.4</v>
          </cell>
          <cell r="H3530" t="str">
            <v>petroleum</v>
          </cell>
        </row>
        <row r="3531">
          <cell r="C3531" t="str">
            <v>IC</v>
          </cell>
          <cell r="D3531">
            <v>1</v>
          </cell>
          <cell r="H3531" t="str">
            <v>petroleum</v>
          </cell>
        </row>
        <row r="3532">
          <cell r="C3532" t="str">
            <v>IC</v>
          </cell>
          <cell r="D3532">
            <v>0.2</v>
          </cell>
          <cell r="H3532" t="str">
            <v>petroleum</v>
          </cell>
        </row>
        <row r="3533">
          <cell r="C3533" t="str">
            <v>IC</v>
          </cell>
          <cell r="D3533">
            <v>0.9</v>
          </cell>
          <cell r="H3533" t="str">
            <v>petroleum</v>
          </cell>
        </row>
        <row r="3534">
          <cell r="C3534" t="str">
            <v>IC</v>
          </cell>
          <cell r="D3534">
            <v>1.1000000000000001</v>
          </cell>
          <cell r="H3534" t="str">
            <v>petroleum</v>
          </cell>
        </row>
        <row r="3535">
          <cell r="C3535" t="str">
            <v>IC</v>
          </cell>
          <cell r="D3535">
            <v>1.3</v>
          </cell>
          <cell r="H3535" t="str">
            <v>petroleum</v>
          </cell>
        </row>
        <row r="3536">
          <cell r="C3536" t="str">
            <v>IC</v>
          </cell>
          <cell r="D3536">
            <v>1.3</v>
          </cell>
          <cell r="H3536" t="str">
            <v>petroleum</v>
          </cell>
        </row>
        <row r="3537">
          <cell r="C3537" t="str">
            <v>IC</v>
          </cell>
          <cell r="D3537">
            <v>1.6</v>
          </cell>
          <cell r="H3537" t="str">
            <v>petroleum</v>
          </cell>
        </row>
        <row r="3538">
          <cell r="C3538" t="str">
            <v>IC</v>
          </cell>
          <cell r="D3538">
            <v>1.8</v>
          </cell>
          <cell r="H3538" t="str">
            <v>petroleum</v>
          </cell>
        </row>
        <row r="3539">
          <cell r="C3539" t="str">
            <v>IC</v>
          </cell>
          <cell r="D3539">
            <v>1.8</v>
          </cell>
          <cell r="H3539" t="str">
            <v>petroleum</v>
          </cell>
        </row>
        <row r="3540">
          <cell r="C3540" t="str">
            <v>IC</v>
          </cell>
          <cell r="D3540">
            <v>1.6</v>
          </cell>
          <cell r="H3540" t="str">
            <v>petroleum</v>
          </cell>
        </row>
        <row r="3541">
          <cell r="C3541" t="str">
            <v>IC</v>
          </cell>
          <cell r="D3541">
            <v>1.6</v>
          </cell>
          <cell r="H3541" t="str">
            <v>petroleum</v>
          </cell>
        </row>
        <row r="3542">
          <cell r="C3542" t="str">
            <v>IC</v>
          </cell>
          <cell r="D3542">
            <v>1.6</v>
          </cell>
          <cell r="H3542" t="str">
            <v>petroleum</v>
          </cell>
        </row>
        <row r="3543">
          <cell r="C3543" t="str">
            <v>ST</v>
          </cell>
          <cell r="D3543">
            <v>56</v>
          </cell>
          <cell r="H3543" t="str">
            <v>natural gas peaker</v>
          </cell>
        </row>
        <row r="3544">
          <cell r="C3544" t="str">
            <v>ST</v>
          </cell>
          <cell r="D3544">
            <v>97</v>
          </cell>
          <cell r="H3544" t="str">
            <v>natural gas peaker</v>
          </cell>
        </row>
        <row r="3545">
          <cell r="C3545" t="str">
            <v>GT</v>
          </cell>
          <cell r="D3545">
            <v>75</v>
          </cell>
          <cell r="H3545" t="str">
            <v>natural gas peaker</v>
          </cell>
        </row>
        <row r="3546">
          <cell r="C3546" t="str">
            <v>GT</v>
          </cell>
          <cell r="D3546">
            <v>80</v>
          </cell>
          <cell r="H3546" t="str">
            <v>natural gas peaker</v>
          </cell>
        </row>
        <row r="3547">
          <cell r="C3547" t="str">
            <v>IC</v>
          </cell>
          <cell r="D3547">
            <v>0.6</v>
          </cell>
          <cell r="H3547" t="str">
            <v>petroleum</v>
          </cell>
        </row>
        <row r="3548">
          <cell r="C3548" t="str">
            <v>IC</v>
          </cell>
          <cell r="D3548">
            <v>1.7</v>
          </cell>
          <cell r="H3548" t="str">
            <v>petroleum</v>
          </cell>
        </row>
        <row r="3549">
          <cell r="C3549" t="str">
            <v>IC</v>
          </cell>
          <cell r="D3549">
            <v>0.2</v>
          </cell>
          <cell r="H3549" t="str">
            <v>petroleum</v>
          </cell>
        </row>
        <row r="3550">
          <cell r="C3550" t="str">
            <v>IC</v>
          </cell>
          <cell r="D3550">
            <v>0.9</v>
          </cell>
          <cell r="H3550" t="str">
            <v>petroleum</v>
          </cell>
        </row>
        <row r="3551">
          <cell r="C3551" t="str">
            <v>IC</v>
          </cell>
          <cell r="D3551">
            <v>0.3</v>
          </cell>
          <cell r="H3551" t="str">
            <v>petroleum</v>
          </cell>
        </row>
        <row r="3552">
          <cell r="C3552" t="str">
            <v>IC</v>
          </cell>
          <cell r="D3552">
            <v>0.3</v>
          </cell>
          <cell r="H3552" t="str">
            <v>petroleum</v>
          </cell>
        </row>
        <row r="3553">
          <cell r="C3553" t="str">
            <v>IC</v>
          </cell>
          <cell r="D3553">
            <v>0.9</v>
          </cell>
          <cell r="H3553" t="str">
            <v>petroleum</v>
          </cell>
        </row>
        <row r="3554">
          <cell r="C3554" t="str">
            <v>IC</v>
          </cell>
          <cell r="D3554">
            <v>1.1000000000000001</v>
          </cell>
          <cell r="H3554" t="str">
            <v>petroleum</v>
          </cell>
        </row>
        <row r="3555">
          <cell r="C3555" t="str">
            <v>IC</v>
          </cell>
          <cell r="D3555">
            <v>2</v>
          </cell>
          <cell r="H3555" t="str">
            <v>petroleum</v>
          </cell>
        </row>
        <row r="3556">
          <cell r="C3556" t="str">
            <v>HY</v>
          </cell>
          <cell r="D3556">
            <v>53</v>
          </cell>
          <cell r="H3556" t="str">
            <v>hydro</v>
          </cell>
        </row>
        <row r="3557">
          <cell r="C3557" t="str">
            <v>HY</v>
          </cell>
          <cell r="D3557">
            <v>53</v>
          </cell>
          <cell r="H3557" t="str">
            <v>hydro</v>
          </cell>
        </row>
        <row r="3558">
          <cell r="C3558" t="str">
            <v>HY</v>
          </cell>
          <cell r="D3558">
            <v>57.5</v>
          </cell>
          <cell r="H3558" t="str">
            <v>hydro</v>
          </cell>
        </row>
        <row r="3559">
          <cell r="C3559" t="str">
            <v>HY</v>
          </cell>
          <cell r="D3559">
            <v>53</v>
          </cell>
          <cell r="H3559" t="str">
            <v>hydro</v>
          </cell>
        </row>
        <row r="3560">
          <cell r="C3560" t="str">
            <v>ST</v>
          </cell>
          <cell r="D3560">
            <v>579</v>
          </cell>
          <cell r="H3560" t="str">
            <v>hard coal</v>
          </cell>
        </row>
        <row r="3561">
          <cell r="C3561" t="str">
            <v>ST</v>
          </cell>
          <cell r="D3561">
            <v>575</v>
          </cell>
          <cell r="H3561" t="str">
            <v>hard coal</v>
          </cell>
        </row>
        <row r="3562">
          <cell r="C3562" t="str">
            <v>ST</v>
          </cell>
          <cell r="D3562">
            <v>165</v>
          </cell>
          <cell r="H3562" t="str">
            <v>hard coal</v>
          </cell>
        </row>
        <row r="3563">
          <cell r="C3563" t="str">
            <v>ST</v>
          </cell>
          <cell r="D3563">
            <v>270</v>
          </cell>
          <cell r="H3563" t="str">
            <v>hard coal</v>
          </cell>
        </row>
        <row r="3564">
          <cell r="C3564" t="str">
            <v>ST</v>
          </cell>
          <cell r="D3564">
            <v>699</v>
          </cell>
          <cell r="H3564" t="str">
            <v>hard coal</v>
          </cell>
        </row>
        <row r="3565">
          <cell r="C3565" t="str">
            <v>GT</v>
          </cell>
          <cell r="D3565">
            <v>40.1</v>
          </cell>
          <cell r="H3565" t="str">
            <v>natural gas peaker</v>
          </cell>
        </row>
        <row r="3566">
          <cell r="C3566" t="str">
            <v>GT</v>
          </cell>
          <cell r="D3566">
            <v>34.799999999999997</v>
          </cell>
          <cell r="H3566" t="str">
            <v>natural gas peaker</v>
          </cell>
        </row>
        <row r="3567">
          <cell r="C3567" t="str">
            <v>GT</v>
          </cell>
          <cell r="D3567">
            <v>23.6</v>
          </cell>
          <cell r="H3567" t="str">
            <v>natural gas peaker</v>
          </cell>
        </row>
        <row r="3568">
          <cell r="C3568" t="str">
            <v>HY</v>
          </cell>
          <cell r="D3568">
            <v>7</v>
          </cell>
          <cell r="H3568" t="str">
            <v>hydro</v>
          </cell>
        </row>
        <row r="3569">
          <cell r="C3569" t="str">
            <v>HY</v>
          </cell>
          <cell r="D3569">
            <v>7</v>
          </cell>
          <cell r="H3569" t="str">
            <v>hydro</v>
          </cell>
        </row>
        <row r="3570">
          <cell r="C3570" t="str">
            <v>HY</v>
          </cell>
          <cell r="D3570">
            <v>7</v>
          </cell>
          <cell r="H3570" t="str">
            <v>hydro</v>
          </cell>
        </row>
        <row r="3571">
          <cell r="C3571" t="str">
            <v>HY</v>
          </cell>
          <cell r="D3571">
            <v>31</v>
          </cell>
          <cell r="H3571" t="str">
            <v>hydro</v>
          </cell>
        </row>
        <row r="3572">
          <cell r="C3572" t="str">
            <v>HY</v>
          </cell>
          <cell r="D3572">
            <v>31</v>
          </cell>
          <cell r="H3572" t="str">
            <v>hydro</v>
          </cell>
        </row>
        <row r="3573">
          <cell r="C3573" t="str">
            <v>HY</v>
          </cell>
          <cell r="D3573">
            <v>2.8</v>
          </cell>
          <cell r="H3573" t="str">
            <v>hydro</v>
          </cell>
        </row>
        <row r="3574">
          <cell r="C3574" t="str">
            <v>HY</v>
          </cell>
          <cell r="D3574">
            <v>2.6</v>
          </cell>
          <cell r="H3574" t="str">
            <v>hydro</v>
          </cell>
        </row>
        <row r="3575">
          <cell r="C3575" t="str">
            <v>HY</v>
          </cell>
          <cell r="D3575">
            <v>2.8</v>
          </cell>
          <cell r="H3575" t="str">
            <v>hydro</v>
          </cell>
        </row>
        <row r="3576">
          <cell r="C3576" t="str">
            <v>HY</v>
          </cell>
          <cell r="D3576">
            <v>2.8</v>
          </cell>
          <cell r="H3576" t="str">
            <v>hydro</v>
          </cell>
        </row>
        <row r="3577">
          <cell r="C3577" t="str">
            <v>HY</v>
          </cell>
          <cell r="D3577">
            <v>3.8</v>
          </cell>
          <cell r="H3577" t="str">
            <v>hydro</v>
          </cell>
        </row>
        <row r="3578">
          <cell r="C3578" t="str">
            <v>HY</v>
          </cell>
          <cell r="D3578">
            <v>3.4</v>
          </cell>
          <cell r="H3578" t="str">
            <v>hydro</v>
          </cell>
        </row>
        <row r="3579">
          <cell r="C3579" t="str">
            <v>HY</v>
          </cell>
          <cell r="D3579">
            <v>13.3</v>
          </cell>
          <cell r="H3579" t="str">
            <v>hydro</v>
          </cell>
        </row>
        <row r="3580">
          <cell r="C3580" t="str">
            <v>HY</v>
          </cell>
          <cell r="D3580">
            <v>13.3</v>
          </cell>
          <cell r="H3580" t="str">
            <v>hydro</v>
          </cell>
        </row>
        <row r="3581">
          <cell r="C3581" t="str">
            <v>HY</v>
          </cell>
          <cell r="D3581">
            <v>13.3</v>
          </cell>
          <cell r="H3581" t="str">
            <v>hydro</v>
          </cell>
        </row>
        <row r="3582">
          <cell r="C3582" t="str">
            <v>HY</v>
          </cell>
          <cell r="D3582">
            <v>13.3</v>
          </cell>
          <cell r="H3582" t="str">
            <v>hydro</v>
          </cell>
        </row>
        <row r="3583">
          <cell r="C3583" t="str">
            <v>HY</v>
          </cell>
          <cell r="D3583">
            <v>62</v>
          </cell>
          <cell r="H3583" t="str">
            <v>hydro</v>
          </cell>
        </row>
        <row r="3584">
          <cell r="C3584" t="str">
            <v>HY</v>
          </cell>
          <cell r="D3584">
            <v>62</v>
          </cell>
          <cell r="H3584" t="str">
            <v>hydro</v>
          </cell>
        </row>
        <row r="3585">
          <cell r="C3585" t="str">
            <v>HY</v>
          </cell>
          <cell r="D3585">
            <v>82</v>
          </cell>
          <cell r="H3585" t="str">
            <v>hydro</v>
          </cell>
        </row>
        <row r="3586">
          <cell r="C3586" t="str">
            <v>HY</v>
          </cell>
          <cell r="D3586">
            <v>24.5</v>
          </cell>
          <cell r="H3586" t="str">
            <v>hydro</v>
          </cell>
        </row>
        <row r="3587">
          <cell r="C3587" t="str">
            <v>HY</v>
          </cell>
          <cell r="D3587">
            <v>24.5</v>
          </cell>
          <cell r="H3587" t="str">
            <v>hydro</v>
          </cell>
        </row>
        <row r="3588">
          <cell r="C3588" t="str">
            <v>HY</v>
          </cell>
          <cell r="D3588">
            <v>6</v>
          </cell>
          <cell r="H3588" t="str">
            <v>hydro</v>
          </cell>
        </row>
        <row r="3589">
          <cell r="C3589" t="str">
            <v>HY</v>
          </cell>
          <cell r="D3589">
            <v>6</v>
          </cell>
          <cell r="H3589" t="str">
            <v>hydro</v>
          </cell>
        </row>
        <row r="3590">
          <cell r="C3590" t="str">
            <v>HY</v>
          </cell>
          <cell r="D3590">
            <v>64</v>
          </cell>
          <cell r="H3590" t="str">
            <v>hydro</v>
          </cell>
        </row>
        <row r="3591">
          <cell r="C3591" t="str">
            <v>HY</v>
          </cell>
          <cell r="D3591">
            <v>10</v>
          </cell>
          <cell r="H3591" t="str">
            <v>hydro</v>
          </cell>
        </row>
        <row r="3592">
          <cell r="C3592" t="str">
            <v>HY</v>
          </cell>
          <cell r="D3592">
            <v>12</v>
          </cell>
          <cell r="H3592" t="str">
            <v>hydro</v>
          </cell>
        </row>
        <row r="3593">
          <cell r="C3593" t="str">
            <v>HY</v>
          </cell>
          <cell r="D3593">
            <v>12</v>
          </cell>
          <cell r="H3593" t="str">
            <v>hydro</v>
          </cell>
        </row>
        <row r="3594">
          <cell r="C3594" t="str">
            <v>HY</v>
          </cell>
          <cell r="D3594">
            <v>12</v>
          </cell>
          <cell r="H3594" t="str">
            <v>hydro</v>
          </cell>
        </row>
        <row r="3595">
          <cell r="C3595" t="str">
            <v>HY</v>
          </cell>
          <cell r="D3595">
            <v>11.5</v>
          </cell>
          <cell r="H3595" t="str">
            <v>hydro</v>
          </cell>
        </row>
        <row r="3596">
          <cell r="C3596" t="str">
            <v>HY</v>
          </cell>
          <cell r="D3596">
            <v>12</v>
          </cell>
          <cell r="H3596" t="str">
            <v>hydro</v>
          </cell>
        </row>
        <row r="3597">
          <cell r="C3597" t="str">
            <v>HY</v>
          </cell>
          <cell r="D3597">
            <v>7.5</v>
          </cell>
          <cell r="H3597" t="str">
            <v>hydro</v>
          </cell>
        </row>
        <row r="3598">
          <cell r="C3598" t="str">
            <v>HY</v>
          </cell>
          <cell r="D3598">
            <v>6.5</v>
          </cell>
          <cell r="H3598" t="str">
            <v>hydro</v>
          </cell>
        </row>
        <row r="3599">
          <cell r="C3599" t="str">
            <v>HY</v>
          </cell>
          <cell r="D3599">
            <v>7.5</v>
          </cell>
          <cell r="H3599" t="str">
            <v>hydro</v>
          </cell>
        </row>
        <row r="3600">
          <cell r="C3600" t="str">
            <v>HY</v>
          </cell>
          <cell r="D3600">
            <v>6.5</v>
          </cell>
          <cell r="H3600" t="str">
            <v>hydro</v>
          </cell>
        </row>
        <row r="3601">
          <cell r="C3601" t="str">
            <v>HY</v>
          </cell>
          <cell r="D3601">
            <v>6</v>
          </cell>
          <cell r="H3601" t="str">
            <v>hydro</v>
          </cell>
        </row>
        <row r="3602">
          <cell r="C3602" t="str">
            <v>HY</v>
          </cell>
          <cell r="D3602">
            <v>6.5</v>
          </cell>
          <cell r="H3602" t="str">
            <v>hydro</v>
          </cell>
        </row>
        <row r="3603">
          <cell r="C3603" t="str">
            <v>HY</v>
          </cell>
          <cell r="D3603">
            <v>53</v>
          </cell>
          <cell r="H3603" t="str">
            <v>hydro</v>
          </cell>
        </row>
        <row r="3604">
          <cell r="C3604" t="str">
            <v>IC</v>
          </cell>
          <cell r="D3604">
            <v>1</v>
          </cell>
          <cell r="H3604" t="str">
            <v>petroleum</v>
          </cell>
        </row>
        <row r="3605">
          <cell r="C3605" t="str">
            <v>IC</v>
          </cell>
          <cell r="D3605">
            <v>1</v>
          </cell>
          <cell r="H3605" t="str">
            <v>petroleum</v>
          </cell>
        </row>
        <row r="3606">
          <cell r="C3606" t="str">
            <v>HY</v>
          </cell>
          <cell r="D3606">
            <v>113.9</v>
          </cell>
          <cell r="H3606" t="str">
            <v>hydro</v>
          </cell>
        </row>
        <row r="3607">
          <cell r="C3607" t="str">
            <v>HY</v>
          </cell>
          <cell r="D3607">
            <v>105</v>
          </cell>
          <cell r="H3607" t="str">
            <v>hydro</v>
          </cell>
        </row>
        <row r="3608">
          <cell r="C3608" t="str">
            <v>HY</v>
          </cell>
          <cell r="D3608">
            <v>113.9</v>
          </cell>
          <cell r="H3608" t="str">
            <v>hydro</v>
          </cell>
        </row>
        <row r="3609">
          <cell r="C3609" t="str">
            <v>HY</v>
          </cell>
          <cell r="D3609">
            <v>113.9</v>
          </cell>
          <cell r="H3609" t="str">
            <v>hydro</v>
          </cell>
        </row>
        <row r="3610">
          <cell r="C3610" t="str">
            <v>HY</v>
          </cell>
          <cell r="D3610">
            <v>134</v>
          </cell>
          <cell r="H3610" t="str">
            <v>hydro</v>
          </cell>
        </row>
        <row r="3611">
          <cell r="C3611" t="str">
            <v>HY</v>
          </cell>
          <cell r="D3611">
            <v>107</v>
          </cell>
          <cell r="H3611" t="str">
            <v>hydro</v>
          </cell>
        </row>
        <row r="3612">
          <cell r="C3612" t="str">
            <v>HY</v>
          </cell>
          <cell r="D3612">
            <v>107</v>
          </cell>
          <cell r="H3612" t="str">
            <v>hydro</v>
          </cell>
        </row>
        <row r="3613">
          <cell r="C3613" t="str">
            <v>HY</v>
          </cell>
          <cell r="D3613">
            <v>107</v>
          </cell>
          <cell r="H3613" t="str">
            <v>hydro</v>
          </cell>
        </row>
        <row r="3614">
          <cell r="C3614" t="str">
            <v>HY</v>
          </cell>
          <cell r="D3614">
            <v>107</v>
          </cell>
          <cell r="H3614" t="str">
            <v>hydro</v>
          </cell>
        </row>
        <row r="3615">
          <cell r="C3615" t="str">
            <v>HY</v>
          </cell>
          <cell r="D3615">
            <v>71.900000000000006</v>
          </cell>
          <cell r="H3615" t="str">
            <v>hydro</v>
          </cell>
        </row>
        <row r="3616">
          <cell r="C3616" t="str">
            <v>HY</v>
          </cell>
          <cell r="D3616">
            <v>62.5</v>
          </cell>
          <cell r="H3616" t="str">
            <v>hydro</v>
          </cell>
        </row>
        <row r="3617">
          <cell r="C3617" t="str">
            <v>HY</v>
          </cell>
          <cell r="D3617">
            <v>71.900000000000006</v>
          </cell>
          <cell r="H3617" t="str">
            <v>hydro</v>
          </cell>
        </row>
        <row r="3618">
          <cell r="C3618" t="str">
            <v>HY</v>
          </cell>
          <cell r="D3618">
            <v>71.900000000000006</v>
          </cell>
          <cell r="H3618" t="str">
            <v>hydro</v>
          </cell>
        </row>
        <row r="3619">
          <cell r="C3619" t="str">
            <v>IC</v>
          </cell>
          <cell r="D3619">
            <v>0.8</v>
          </cell>
          <cell r="H3619" t="str">
            <v>natural gas peaker</v>
          </cell>
        </row>
        <row r="3620">
          <cell r="C3620" t="str">
            <v>IC</v>
          </cell>
          <cell r="D3620">
            <v>0.5</v>
          </cell>
          <cell r="H3620" t="str">
            <v>petroleum</v>
          </cell>
        </row>
        <row r="3621">
          <cell r="C3621" t="str">
            <v>IC</v>
          </cell>
          <cell r="D3621">
            <v>2.2000000000000002</v>
          </cell>
          <cell r="H3621" t="str">
            <v>natural gas peaker</v>
          </cell>
        </row>
        <row r="3622">
          <cell r="C3622" t="str">
            <v>IC</v>
          </cell>
          <cell r="D3622">
            <v>0.9</v>
          </cell>
          <cell r="H3622" t="str">
            <v>natural gas peaker</v>
          </cell>
        </row>
        <row r="3623">
          <cell r="C3623" t="str">
            <v>IC</v>
          </cell>
          <cell r="D3623">
            <v>3.7</v>
          </cell>
          <cell r="H3623" t="str">
            <v>natural gas peaker</v>
          </cell>
        </row>
        <row r="3624">
          <cell r="C3624" t="str">
            <v>IC</v>
          </cell>
          <cell r="D3624">
            <v>3</v>
          </cell>
          <cell r="H3624" t="str">
            <v>natural gas peaker</v>
          </cell>
        </row>
        <row r="3625">
          <cell r="C3625" t="str">
            <v>IC</v>
          </cell>
          <cell r="D3625">
            <v>2.5</v>
          </cell>
          <cell r="H3625" t="str">
            <v>natural gas peaker</v>
          </cell>
        </row>
        <row r="3626">
          <cell r="C3626" t="str">
            <v>IC</v>
          </cell>
          <cell r="D3626">
            <v>5.2</v>
          </cell>
          <cell r="H3626" t="str">
            <v>natural gas peaker</v>
          </cell>
        </row>
        <row r="3627">
          <cell r="C3627" t="str">
            <v>IC</v>
          </cell>
          <cell r="D3627">
            <v>0.5</v>
          </cell>
          <cell r="H3627" t="str">
            <v>petroleum</v>
          </cell>
        </row>
        <row r="3628">
          <cell r="C3628" t="str">
            <v>IC</v>
          </cell>
          <cell r="D3628">
            <v>0.1</v>
          </cell>
          <cell r="H3628" t="str">
            <v>petroleum</v>
          </cell>
        </row>
        <row r="3629">
          <cell r="C3629" t="str">
            <v>IC</v>
          </cell>
          <cell r="D3629">
            <v>0.2</v>
          </cell>
          <cell r="H3629" t="str">
            <v>petroleum</v>
          </cell>
        </row>
        <row r="3630">
          <cell r="C3630" t="str">
            <v>IC</v>
          </cell>
          <cell r="D3630">
            <v>0.2</v>
          </cell>
          <cell r="H3630" t="str">
            <v>petroleum</v>
          </cell>
        </row>
        <row r="3631">
          <cell r="C3631" t="str">
            <v>IC</v>
          </cell>
          <cell r="D3631">
            <v>0.4</v>
          </cell>
          <cell r="H3631" t="str">
            <v>petroleum</v>
          </cell>
        </row>
        <row r="3632">
          <cell r="C3632" t="str">
            <v>IC</v>
          </cell>
          <cell r="D3632">
            <v>0.3</v>
          </cell>
          <cell r="H3632" t="str">
            <v>natural gas peaker</v>
          </cell>
        </row>
        <row r="3633">
          <cell r="C3633" t="str">
            <v>IC</v>
          </cell>
          <cell r="D3633">
            <v>0.2</v>
          </cell>
          <cell r="H3633" t="str">
            <v>petroleum</v>
          </cell>
        </row>
        <row r="3634">
          <cell r="C3634" t="str">
            <v>IC</v>
          </cell>
          <cell r="D3634">
            <v>0.8</v>
          </cell>
          <cell r="H3634" t="str">
            <v>natural gas peaker</v>
          </cell>
        </row>
        <row r="3635">
          <cell r="C3635" t="str">
            <v>IC</v>
          </cell>
          <cell r="D3635">
            <v>0.5</v>
          </cell>
          <cell r="H3635" t="str">
            <v>petroleum</v>
          </cell>
        </row>
        <row r="3636">
          <cell r="C3636" t="str">
            <v>IC</v>
          </cell>
          <cell r="D3636">
            <v>3.5</v>
          </cell>
          <cell r="H3636" t="str">
            <v>natural gas peaker</v>
          </cell>
        </row>
        <row r="3637">
          <cell r="C3637" t="str">
            <v>IC</v>
          </cell>
          <cell r="D3637">
            <v>0.7</v>
          </cell>
          <cell r="H3637" t="str">
            <v>petroleum</v>
          </cell>
        </row>
        <row r="3638">
          <cell r="C3638" t="str">
            <v>IC</v>
          </cell>
          <cell r="D3638">
            <v>0.7</v>
          </cell>
          <cell r="H3638" t="str">
            <v>natural gas peaker</v>
          </cell>
        </row>
        <row r="3639">
          <cell r="C3639" t="str">
            <v>IC</v>
          </cell>
          <cell r="D3639">
            <v>1</v>
          </cell>
          <cell r="H3639" t="str">
            <v>natural gas peaker</v>
          </cell>
        </row>
        <row r="3640">
          <cell r="C3640" t="str">
            <v>IC</v>
          </cell>
          <cell r="D3640">
            <v>2</v>
          </cell>
          <cell r="H3640" t="str">
            <v>natural gas peaker</v>
          </cell>
        </row>
        <row r="3641">
          <cell r="C3641" t="str">
            <v>IC</v>
          </cell>
          <cell r="D3641">
            <v>1.3</v>
          </cell>
          <cell r="H3641" t="str">
            <v>petroleum</v>
          </cell>
        </row>
        <row r="3642">
          <cell r="C3642" t="str">
            <v>IC</v>
          </cell>
          <cell r="D3642">
            <v>1.1000000000000001</v>
          </cell>
          <cell r="H3642" t="str">
            <v>petroleum</v>
          </cell>
        </row>
        <row r="3643">
          <cell r="C3643" t="str">
            <v>IC</v>
          </cell>
          <cell r="D3643">
            <v>0.9</v>
          </cell>
          <cell r="H3643" t="str">
            <v>petroleum</v>
          </cell>
        </row>
        <row r="3644">
          <cell r="C3644" t="str">
            <v>IC</v>
          </cell>
          <cell r="D3644">
            <v>0.6</v>
          </cell>
          <cell r="H3644" t="str">
            <v>petroleum</v>
          </cell>
        </row>
        <row r="3645">
          <cell r="C3645" t="str">
            <v>IC</v>
          </cell>
          <cell r="D3645">
            <v>2</v>
          </cell>
          <cell r="H3645" t="str">
            <v>petroleum</v>
          </cell>
        </row>
        <row r="3646">
          <cell r="C3646" t="str">
            <v>IC</v>
          </cell>
          <cell r="D3646">
            <v>2</v>
          </cell>
          <cell r="H3646" t="str">
            <v>petroleum</v>
          </cell>
        </row>
        <row r="3647">
          <cell r="C3647" t="str">
            <v>IC</v>
          </cell>
          <cell r="D3647">
            <v>1</v>
          </cell>
          <cell r="H3647" t="str">
            <v>petroleum</v>
          </cell>
        </row>
        <row r="3648">
          <cell r="C3648" t="str">
            <v>ST</v>
          </cell>
          <cell r="D3648">
            <v>99.3</v>
          </cell>
          <cell r="H3648" t="str">
            <v>natural gas peaker</v>
          </cell>
        </row>
        <row r="3649">
          <cell r="C3649" t="str">
            <v>HY</v>
          </cell>
          <cell r="D3649">
            <v>10.5</v>
          </cell>
          <cell r="H3649" t="str">
            <v>hydro</v>
          </cell>
        </row>
        <row r="3650">
          <cell r="C3650" t="str">
            <v>HY</v>
          </cell>
          <cell r="D3650">
            <v>10.5</v>
          </cell>
          <cell r="H3650" t="str">
            <v>hydro</v>
          </cell>
        </row>
        <row r="3651">
          <cell r="C3651" t="str">
            <v>HY</v>
          </cell>
          <cell r="D3651">
            <v>10</v>
          </cell>
          <cell r="H3651" t="str">
            <v>hydro</v>
          </cell>
        </row>
        <row r="3652">
          <cell r="C3652" t="str">
            <v>HY</v>
          </cell>
          <cell r="D3652">
            <v>10</v>
          </cell>
          <cell r="H3652" t="str">
            <v>hydro</v>
          </cell>
        </row>
        <row r="3653">
          <cell r="C3653" t="str">
            <v>HY</v>
          </cell>
          <cell r="D3653">
            <v>22.5</v>
          </cell>
          <cell r="H3653" t="str">
            <v>hydro</v>
          </cell>
        </row>
        <row r="3654">
          <cell r="C3654" t="str">
            <v>IC</v>
          </cell>
          <cell r="D3654">
            <v>1</v>
          </cell>
          <cell r="H3654" t="str">
            <v>petroleum</v>
          </cell>
        </row>
        <row r="3655">
          <cell r="C3655" t="str">
            <v>IC</v>
          </cell>
          <cell r="D3655">
            <v>6</v>
          </cell>
          <cell r="H3655" t="str">
            <v>natural gas peaker</v>
          </cell>
        </row>
        <row r="3656">
          <cell r="C3656" t="str">
            <v>IC</v>
          </cell>
          <cell r="D3656">
            <v>0.8</v>
          </cell>
          <cell r="H3656" t="str">
            <v>natural gas peaker</v>
          </cell>
        </row>
        <row r="3657">
          <cell r="C3657" t="str">
            <v>IC</v>
          </cell>
          <cell r="D3657">
            <v>1</v>
          </cell>
          <cell r="H3657" t="str">
            <v>natural gas peaker</v>
          </cell>
        </row>
        <row r="3658">
          <cell r="C3658" t="str">
            <v>IC</v>
          </cell>
          <cell r="D3658">
            <v>1.2</v>
          </cell>
          <cell r="H3658" t="str">
            <v>natural gas peaker</v>
          </cell>
        </row>
        <row r="3659">
          <cell r="C3659" t="str">
            <v>IC</v>
          </cell>
          <cell r="D3659">
            <v>1.3</v>
          </cell>
          <cell r="H3659" t="str">
            <v>natural gas peaker</v>
          </cell>
        </row>
        <row r="3660">
          <cell r="C3660" t="str">
            <v>IC</v>
          </cell>
          <cell r="D3660">
            <v>0.8</v>
          </cell>
          <cell r="H3660" t="str">
            <v>petroleum</v>
          </cell>
        </row>
        <row r="3661">
          <cell r="C3661" t="str">
            <v>IC</v>
          </cell>
          <cell r="D3661">
            <v>0.9</v>
          </cell>
          <cell r="H3661" t="str">
            <v>natural gas peaker</v>
          </cell>
        </row>
        <row r="3662">
          <cell r="C3662" t="str">
            <v>IC</v>
          </cell>
          <cell r="D3662">
            <v>1.8</v>
          </cell>
          <cell r="H3662" t="str">
            <v>natural gas peaker</v>
          </cell>
        </row>
        <row r="3663">
          <cell r="C3663" t="str">
            <v>IC</v>
          </cell>
          <cell r="D3663">
            <v>1.3</v>
          </cell>
          <cell r="H3663" t="str">
            <v>petroleum</v>
          </cell>
        </row>
        <row r="3664">
          <cell r="C3664" t="str">
            <v>IC</v>
          </cell>
          <cell r="D3664">
            <v>1.3</v>
          </cell>
          <cell r="H3664" t="str">
            <v>petroleum</v>
          </cell>
        </row>
        <row r="3665">
          <cell r="C3665" t="str">
            <v>IC</v>
          </cell>
          <cell r="D3665">
            <v>1.3</v>
          </cell>
          <cell r="H3665" t="str">
            <v>petroleum</v>
          </cell>
        </row>
        <row r="3666">
          <cell r="C3666" t="str">
            <v>IC</v>
          </cell>
          <cell r="D3666">
            <v>0.6</v>
          </cell>
          <cell r="H3666" t="str">
            <v>petroleum</v>
          </cell>
        </row>
        <row r="3667">
          <cell r="C3667" t="str">
            <v>IC</v>
          </cell>
          <cell r="D3667">
            <v>1.1000000000000001</v>
          </cell>
          <cell r="H3667" t="str">
            <v>petroleum</v>
          </cell>
        </row>
        <row r="3668">
          <cell r="C3668" t="str">
            <v>IC</v>
          </cell>
          <cell r="D3668">
            <v>1.1000000000000001</v>
          </cell>
          <cell r="H3668" t="str">
            <v>natural gas peaker</v>
          </cell>
        </row>
        <row r="3669">
          <cell r="C3669" t="str">
            <v>IC</v>
          </cell>
          <cell r="D3669">
            <v>0.1</v>
          </cell>
          <cell r="H3669" t="str">
            <v>petroleum</v>
          </cell>
        </row>
        <row r="3670">
          <cell r="C3670" t="str">
            <v>IC</v>
          </cell>
          <cell r="D3670">
            <v>0.4</v>
          </cell>
          <cell r="H3670" t="str">
            <v>natural gas peaker</v>
          </cell>
        </row>
        <row r="3671">
          <cell r="C3671" t="str">
            <v>IC</v>
          </cell>
          <cell r="D3671">
            <v>0.6</v>
          </cell>
          <cell r="H3671" t="str">
            <v>petroleum</v>
          </cell>
        </row>
        <row r="3672">
          <cell r="C3672" t="str">
            <v>IC</v>
          </cell>
          <cell r="D3672">
            <v>0.9</v>
          </cell>
          <cell r="H3672" t="str">
            <v>petroleum</v>
          </cell>
        </row>
        <row r="3673">
          <cell r="C3673" t="str">
            <v>IC</v>
          </cell>
          <cell r="D3673">
            <v>2.2999999999999998</v>
          </cell>
          <cell r="H3673" t="str">
            <v>natural gas peaker</v>
          </cell>
        </row>
        <row r="3674">
          <cell r="C3674" t="str">
            <v>IC</v>
          </cell>
          <cell r="D3674">
            <v>0.8</v>
          </cell>
          <cell r="H3674" t="str">
            <v>natural gas peaker</v>
          </cell>
        </row>
        <row r="3675">
          <cell r="C3675" t="str">
            <v>IC</v>
          </cell>
          <cell r="D3675">
            <v>1.4</v>
          </cell>
          <cell r="H3675" t="str">
            <v>natural gas peaker</v>
          </cell>
        </row>
        <row r="3676">
          <cell r="C3676" t="str">
            <v>IC</v>
          </cell>
          <cell r="D3676">
            <v>2</v>
          </cell>
          <cell r="H3676" t="str">
            <v>natural gas peaker</v>
          </cell>
        </row>
        <row r="3677">
          <cell r="C3677" t="str">
            <v>IC</v>
          </cell>
          <cell r="D3677">
            <v>5.9</v>
          </cell>
          <cell r="H3677" t="str">
            <v>natural gas peaker</v>
          </cell>
        </row>
        <row r="3678">
          <cell r="C3678" t="str">
            <v>IC</v>
          </cell>
          <cell r="D3678">
            <v>6</v>
          </cell>
          <cell r="H3678" t="str">
            <v>natural gas peaker</v>
          </cell>
        </row>
        <row r="3679">
          <cell r="C3679" t="str">
            <v>IC</v>
          </cell>
          <cell r="D3679">
            <v>9.3000000000000007</v>
          </cell>
          <cell r="H3679" t="str">
            <v>natural gas peaker</v>
          </cell>
        </row>
        <row r="3680">
          <cell r="C3680" t="str">
            <v>IC</v>
          </cell>
          <cell r="D3680">
            <v>0.6</v>
          </cell>
          <cell r="H3680" t="str">
            <v>natural gas peaker</v>
          </cell>
        </row>
        <row r="3681">
          <cell r="C3681" t="str">
            <v>IC</v>
          </cell>
          <cell r="D3681">
            <v>1.3</v>
          </cell>
          <cell r="H3681" t="str">
            <v>natural gas peaker</v>
          </cell>
        </row>
        <row r="3682">
          <cell r="C3682" t="str">
            <v>IC</v>
          </cell>
          <cell r="D3682">
            <v>1.1000000000000001</v>
          </cell>
          <cell r="H3682" t="str">
            <v>natural gas peaker</v>
          </cell>
        </row>
        <row r="3683">
          <cell r="C3683" t="str">
            <v>IC</v>
          </cell>
          <cell r="D3683">
            <v>0.9</v>
          </cell>
          <cell r="H3683" t="str">
            <v>natural gas peaker</v>
          </cell>
        </row>
        <row r="3684">
          <cell r="C3684" t="str">
            <v>GT</v>
          </cell>
          <cell r="D3684">
            <v>38</v>
          </cell>
          <cell r="H3684" t="str">
            <v>natural gas peaker</v>
          </cell>
        </row>
        <row r="3685">
          <cell r="C3685" t="str">
            <v>ST</v>
          </cell>
          <cell r="D3685">
            <v>15.5</v>
          </cell>
          <cell r="H3685" t="str">
            <v>hard coal</v>
          </cell>
        </row>
        <row r="3686">
          <cell r="C3686" t="str">
            <v>ST</v>
          </cell>
          <cell r="D3686">
            <v>21</v>
          </cell>
          <cell r="H3686" t="str">
            <v>hard coal</v>
          </cell>
        </row>
        <row r="3687">
          <cell r="C3687" t="str">
            <v>ST</v>
          </cell>
          <cell r="D3687">
            <v>82</v>
          </cell>
          <cell r="H3687" t="str">
            <v>hard coal</v>
          </cell>
        </row>
        <row r="3688">
          <cell r="C3688" t="str">
            <v>WT</v>
          </cell>
          <cell r="D3688">
            <v>40.9</v>
          </cell>
          <cell r="H3688" t="str">
            <v>onshore wind</v>
          </cell>
        </row>
        <row r="3689">
          <cell r="C3689" t="str">
            <v>PV</v>
          </cell>
          <cell r="D3689">
            <v>1.3</v>
          </cell>
          <cell r="H3689" t="str">
            <v>solar PV</v>
          </cell>
        </row>
        <row r="3690">
          <cell r="C3690" t="str">
            <v>PV</v>
          </cell>
          <cell r="D3690">
            <v>1</v>
          </cell>
          <cell r="H3690" t="str">
            <v>solar PV</v>
          </cell>
        </row>
        <row r="3691">
          <cell r="C3691" t="str">
            <v>GT</v>
          </cell>
          <cell r="D3691">
            <v>13.6</v>
          </cell>
          <cell r="H3691" t="str">
            <v>natural gas peaker</v>
          </cell>
        </row>
        <row r="3692">
          <cell r="C3692" t="str">
            <v>GT</v>
          </cell>
          <cell r="D3692">
            <v>34</v>
          </cell>
          <cell r="H3692" t="str">
            <v>natural gas peaker</v>
          </cell>
        </row>
        <row r="3693">
          <cell r="C3693" t="str">
            <v>GT</v>
          </cell>
          <cell r="D3693">
            <v>34</v>
          </cell>
          <cell r="H3693" t="str">
            <v>natural gas peaker</v>
          </cell>
        </row>
        <row r="3694">
          <cell r="C3694" t="str">
            <v>GT</v>
          </cell>
          <cell r="D3694">
            <v>18</v>
          </cell>
          <cell r="H3694" t="str">
            <v>natural gas peaker</v>
          </cell>
        </row>
        <row r="3695">
          <cell r="C3695" t="str">
            <v>ST</v>
          </cell>
          <cell r="D3695">
            <v>16</v>
          </cell>
          <cell r="H3695" t="str">
            <v>natural gas peaker</v>
          </cell>
        </row>
        <row r="3696">
          <cell r="C3696" t="str">
            <v>ST</v>
          </cell>
          <cell r="D3696">
            <v>25</v>
          </cell>
          <cell r="H3696" t="str">
            <v>natural gas peaker</v>
          </cell>
        </row>
        <row r="3697">
          <cell r="C3697" t="str">
            <v>IC</v>
          </cell>
          <cell r="D3697">
            <v>0.7</v>
          </cell>
          <cell r="H3697" t="str">
            <v>petroleum</v>
          </cell>
        </row>
        <row r="3698">
          <cell r="C3698" t="str">
            <v>IC</v>
          </cell>
          <cell r="D3698">
            <v>0.7</v>
          </cell>
          <cell r="H3698" t="str">
            <v>petroleum</v>
          </cell>
        </row>
        <row r="3699">
          <cell r="C3699" t="str">
            <v>IC</v>
          </cell>
          <cell r="D3699">
            <v>1</v>
          </cell>
          <cell r="H3699" t="str">
            <v>petroleum</v>
          </cell>
        </row>
        <row r="3700">
          <cell r="C3700" t="str">
            <v>IC</v>
          </cell>
          <cell r="D3700">
            <v>1</v>
          </cell>
          <cell r="H3700" t="str">
            <v>petroleum</v>
          </cell>
        </row>
        <row r="3701">
          <cell r="C3701" t="str">
            <v>IC</v>
          </cell>
          <cell r="D3701">
            <v>0.6</v>
          </cell>
          <cell r="H3701" t="str">
            <v>petroleum</v>
          </cell>
        </row>
        <row r="3702">
          <cell r="C3702" t="str">
            <v>IC</v>
          </cell>
          <cell r="D3702">
            <v>3.6</v>
          </cell>
          <cell r="H3702" t="str">
            <v>petroleum</v>
          </cell>
        </row>
        <row r="3703">
          <cell r="C3703" t="str">
            <v>IC</v>
          </cell>
          <cell r="D3703">
            <v>1.1000000000000001</v>
          </cell>
          <cell r="H3703" t="str">
            <v>natural gas peaker</v>
          </cell>
        </row>
        <row r="3704">
          <cell r="C3704" t="str">
            <v>IC</v>
          </cell>
          <cell r="D3704">
            <v>0.7</v>
          </cell>
          <cell r="H3704" t="str">
            <v>natural gas peaker</v>
          </cell>
        </row>
        <row r="3705">
          <cell r="C3705" t="str">
            <v>IC</v>
          </cell>
          <cell r="D3705">
            <v>1.1000000000000001</v>
          </cell>
          <cell r="H3705" t="str">
            <v>natural gas peaker</v>
          </cell>
        </row>
        <row r="3706">
          <cell r="C3706" t="str">
            <v>GT</v>
          </cell>
          <cell r="D3706">
            <v>29</v>
          </cell>
          <cell r="H3706" t="str">
            <v>natural gas peaker</v>
          </cell>
        </row>
        <row r="3707">
          <cell r="C3707" t="str">
            <v>IC</v>
          </cell>
          <cell r="D3707">
            <v>0.2</v>
          </cell>
          <cell r="H3707" t="str">
            <v>petroleum</v>
          </cell>
        </row>
        <row r="3708">
          <cell r="C3708" t="str">
            <v>IC</v>
          </cell>
          <cell r="D3708">
            <v>0.3</v>
          </cell>
          <cell r="H3708" t="str">
            <v>petroleum</v>
          </cell>
        </row>
        <row r="3709">
          <cell r="C3709" t="str">
            <v>IC</v>
          </cell>
          <cell r="D3709">
            <v>0.6</v>
          </cell>
          <cell r="H3709" t="str">
            <v>petroleum</v>
          </cell>
        </row>
        <row r="3710">
          <cell r="C3710" t="str">
            <v>IC</v>
          </cell>
          <cell r="D3710">
            <v>5.8</v>
          </cell>
          <cell r="H3710" t="str">
            <v>natural gas peaker</v>
          </cell>
        </row>
        <row r="3711">
          <cell r="C3711" t="str">
            <v>IC</v>
          </cell>
          <cell r="D3711">
            <v>1</v>
          </cell>
          <cell r="H3711" t="str">
            <v>petroleum</v>
          </cell>
        </row>
        <row r="3712">
          <cell r="C3712" t="str">
            <v>IC</v>
          </cell>
          <cell r="D3712">
            <v>2</v>
          </cell>
          <cell r="H3712" t="str">
            <v>natural gas peaker</v>
          </cell>
        </row>
        <row r="3713">
          <cell r="C3713" t="str">
            <v>IC</v>
          </cell>
          <cell r="D3713">
            <v>2.7</v>
          </cell>
          <cell r="H3713" t="str">
            <v>natural gas peaker</v>
          </cell>
        </row>
        <row r="3714">
          <cell r="C3714" t="str">
            <v>IC</v>
          </cell>
          <cell r="D3714">
            <v>1.7</v>
          </cell>
          <cell r="H3714" t="str">
            <v>natural gas peaker</v>
          </cell>
        </row>
        <row r="3715">
          <cell r="C3715" t="str">
            <v>IC</v>
          </cell>
          <cell r="D3715">
            <v>3.6</v>
          </cell>
          <cell r="H3715" t="str">
            <v>natural gas peaker</v>
          </cell>
        </row>
        <row r="3716">
          <cell r="C3716" t="str">
            <v>IC</v>
          </cell>
          <cell r="D3716">
            <v>5.8</v>
          </cell>
          <cell r="H3716" t="str">
            <v>natural gas peaker</v>
          </cell>
        </row>
        <row r="3717">
          <cell r="C3717" t="str">
            <v>IC</v>
          </cell>
          <cell r="D3717">
            <v>1.6</v>
          </cell>
          <cell r="H3717" t="str">
            <v>natural gas peaker</v>
          </cell>
        </row>
        <row r="3718">
          <cell r="C3718" t="str">
            <v>IC</v>
          </cell>
          <cell r="D3718">
            <v>1.6</v>
          </cell>
          <cell r="H3718" t="str">
            <v>natural gas peaker</v>
          </cell>
        </row>
        <row r="3719">
          <cell r="C3719" t="str">
            <v>HY</v>
          </cell>
          <cell r="D3719">
            <v>15</v>
          </cell>
          <cell r="H3719" t="str">
            <v>hydro</v>
          </cell>
        </row>
        <row r="3720">
          <cell r="C3720" t="str">
            <v>HY</v>
          </cell>
          <cell r="D3720">
            <v>15</v>
          </cell>
          <cell r="H3720" t="str">
            <v>hydro</v>
          </cell>
        </row>
        <row r="3721">
          <cell r="C3721" t="str">
            <v>HY</v>
          </cell>
          <cell r="D3721">
            <v>15</v>
          </cell>
          <cell r="H3721" t="str">
            <v>hydro</v>
          </cell>
        </row>
        <row r="3722">
          <cell r="C3722" t="str">
            <v>GT</v>
          </cell>
          <cell r="D3722">
            <v>42.5</v>
          </cell>
          <cell r="H3722" t="str">
            <v>natural gas peaker</v>
          </cell>
        </row>
        <row r="3723">
          <cell r="C3723" t="str">
            <v>GT</v>
          </cell>
          <cell r="D3723">
            <v>41.5</v>
          </cell>
          <cell r="H3723" t="str">
            <v>petroleum</v>
          </cell>
        </row>
        <row r="3724">
          <cell r="C3724" t="str">
            <v>HY</v>
          </cell>
          <cell r="D3724">
            <v>1</v>
          </cell>
          <cell r="H3724" t="str">
            <v>hydro</v>
          </cell>
        </row>
        <row r="3725">
          <cell r="C3725" t="str">
            <v>GT</v>
          </cell>
          <cell r="D3725">
            <v>42.7</v>
          </cell>
          <cell r="H3725" t="str">
            <v>petroleum</v>
          </cell>
        </row>
        <row r="3726">
          <cell r="C3726" t="str">
            <v>HY</v>
          </cell>
          <cell r="D3726">
            <v>1</v>
          </cell>
          <cell r="H3726" t="str">
            <v>hydro</v>
          </cell>
        </row>
        <row r="3727">
          <cell r="C3727" t="str">
            <v>HY</v>
          </cell>
          <cell r="D3727">
            <v>1</v>
          </cell>
          <cell r="H3727" t="str">
            <v>hydro</v>
          </cell>
        </row>
        <row r="3728">
          <cell r="C3728" t="str">
            <v>HY</v>
          </cell>
          <cell r="D3728">
            <v>1</v>
          </cell>
          <cell r="H3728" t="str">
            <v>hydro</v>
          </cell>
        </row>
        <row r="3729">
          <cell r="C3729" t="str">
            <v>HY</v>
          </cell>
          <cell r="D3729">
            <v>12</v>
          </cell>
          <cell r="H3729" t="str">
            <v>hydro</v>
          </cell>
        </row>
        <row r="3730">
          <cell r="C3730" t="str">
            <v>HY</v>
          </cell>
          <cell r="D3730">
            <v>12</v>
          </cell>
          <cell r="H3730" t="str">
            <v>hydro</v>
          </cell>
        </row>
        <row r="3731">
          <cell r="C3731" t="str">
            <v>ST</v>
          </cell>
          <cell r="D3731">
            <v>104</v>
          </cell>
          <cell r="H3731" t="str">
            <v>hard coal</v>
          </cell>
        </row>
        <row r="3732">
          <cell r="C3732" t="str">
            <v>ST</v>
          </cell>
          <cell r="D3732">
            <v>115</v>
          </cell>
          <cell r="H3732" t="str">
            <v>hard coal</v>
          </cell>
        </row>
        <row r="3733">
          <cell r="C3733" t="str">
            <v>GT</v>
          </cell>
          <cell r="D3733">
            <v>61.3</v>
          </cell>
          <cell r="H3733" t="str">
            <v>petroleum</v>
          </cell>
        </row>
        <row r="3734">
          <cell r="C3734" t="str">
            <v>GT</v>
          </cell>
          <cell r="D3734">
            <v>61.3</v>
          </cell>
          <cell r="H3734" t="str">
            <v>petroleum</v>
          </cell>
        </row>
        <row r="3735">
          <cell r="C3735" t="str">
            <v>ST</v>
          </cell>
          <cell r="D3735">
            <v>64.8</v>
          </cell>
          <cell r="H3735" t="str">
            <v>natural gas peaker</v>
          </cell>
        </row>
        <row r="3736">
          <cell r="C3736" t="str">
            <v>ST</v>
          </cell>
          <cell r="D3736">
            <v>90.8</v>
          </cell>
          <cell r="H3736" t="str">
            <v>natural gas peaker</v>
          </cell>
        </row>
        <row r="3737">
          <cell r="C3737" t="str">
            <v>ST</v>
          </cell>
          <cell r="D3737">
            <v>86</v>
          </cell>
          <cell r="H3737" t="str">
            <v>natural gas peaker</v>
          </cell>
        </row>
        <row r="3738">
          <cell r="C3738" t="str">
            <v>ST</v>
          </cell>
          <cell r="D3738">
            <v>120.1</v>
          </cell>
          <cell r="H3738" t="str">
            <v>hard coal</v>
          </cell>
        </row>
        <row r="3739">
          <cell r="C3739" t="str">
            <v>ST</v>
          </cell>
          <cell r="D3739">
            <v>216.2</v>
          </cell>
          <cell r="H3739" t="str">
            <v>hard coal</v>
          </cell>
        </row>
        <row r="3740">
          <cell r="C3740" t="str">
            <v>GT</v>
          </cell>
          <cell r="D3740">
            <v>55.4</v>
          </cell>
          <cell r="H3740" t="str">
            <v>natural gas peaker</v>
          </cell>
        </row>
        <row r="3741">
          <cell r="C3741" t="str">
            <v>GT</v>
          </cell>
          <cell r="D3741">
            <v>55.9</v>
          </cell>
          <cell r="H3741" t="str">
            <v>natural gas peaker</v>
          </cell>
        </row>
        <row r="3742">
          <cell r="C3742" t="str">
            <v>GT</v>
          </cell>
          <cell r="D3742">
            <v>107.7</v>
          </cell>
          <cell r="H3742" t="str">
            <v>natural gas peaker</v>
          </cell>
        </row>
        <row r="3743">
          <cell r="C3743" t="str">
            <v>GT</v>
          </cell>
          <cell r="D3743">
            <v>49</v>
          </cell>
          <cell r="H3743" t="str">
            <v>natural gas peaker</v>
          </cell>
        </row>
        <row r="3744">
          <cell r="C3744" t="str">
            <v>GT</v>
          </cell>
          <cell r="D3744">
            <v>47.9</v>
          </cell>
          <cell r="H3744" t="str">
            <v>natural gas peaker</v>
          </cell>
        </row>
        <row r="3745">
          <cell r="C3745" t="str">
            <v>IC</v>
          </cell>
          <cell r="D3745">
            <v>3.4</v>
          </cell>
          <cell r="H3745" t="str">
            <v>petroleum</v>
          </cell>
        </row>
        <row r="3746">
          <cell r="C3746" t="str">
            <v>IC</v>
          </cell>
          <cell r="D3746">
            <v>5</v>
          </cell>
          <cell r="H3746" t="str">
            <v>petroleum</v>
          </cell>
        </row>
        <row r="3747">
          <cell r="C3747" t="str">
            <v>IC</v>
          </cell>
          <cell r="D3747">
            <v>1</v>
          </cell>
          <cell r="H3747" t="str">
            <v>petroleum</v>
          </cell>
        </row>
        <row r="3748">
          <cell r="C3748" t="str">
            <v>IC</v>
          </cell>
          <cell r="D3748">
            <v>2</v>
          </cell>
          <cell r="H3748" t="str">
            <v>petroleum</v>
          </cell>
        </row>
        <row r="3749">
          <cell r="C3749" t="str">
            <v>IC</v>
          </cell>
          <cell r="D3749">
            <v>1.4</v>
          </cell>
          <cell r="H3749" t="str">
            <v>petroleum</v>
          </cell>
        </row>
        <row r="3750">
          <cell r="C3750" t="str">
            <v>IC</v>
          </cell>
          <cell r="D3750">
            <v>1.4</v>
          </cell>
          <cell r="H3750" t="str">
            <v>petroleum</v>
          </cell>
        </row>
        <row r="3751">
          <cell r="C3751" t="str">
            <v>IC</v>
          </cell>
          <cell r="D3751">
            <v>0.5</v>
          </cell>
          <cell r="H3751" t="str">
            <v>natural gas peaker</v>
          </cell>
        </row>
        <row r="3752">
          <cell r="C3752" t="str">
            <v>IC</v>
          </cell>
          <cell r="D3752">
            <v>0.8</v>
          </cell>
          <cell r="H3752" t="str">
            <v>natural gas peaker</v>
          </cell>
        </row>
        <row r="3753">
          <cell r="C3753" t="str">
            <v>IC</v>
          </cell>
          <cell r="D3753">
            <v>0.5</v>
          </cell>
          <cell r="H3753" t="str">
            <v>natural gas peaker</v>
          </cell>
        </row>
        <row r="3754">
          <cell r="C3754" t="str">
            <v>IC</v>
          </cell>
          <cell r="D3754">
            <v>1.2</v>
          </cell>
          <cell r="H3754" t="str">
            <v>natural gas peaker</v>
          </cell>
        </row>
        <row r="3755">
          <cell r="C3755" t="str">
            <v>IC</v>
          </cell>
          <cell r="D3755">
            <v>1.2</v>
          </cell>
          <cell r="H3755" t="str">
            <v>natural gas peaker</v>
          </cell>
        </row>
        <row r="3756">
          <cell r="C3756" t="str">
            <v>IC</v>
          </cell>
          <cell r="D3756">
            <v>2</v>
          </cell>
          <cell r="H3756" t="str">
            <v>natural gas peaker</v>
          </cell>
        </row>
        <row r="3757">
          <cell r="C3757" t="str">
            <v>IC</v>
          </cell>
          <cell r="D3757">
            <v>0.5</v>
          </cell>
          <cell r="H3757" t="str">
            <v>natural gas peaker</v>
          </cell>
        </row>
        <row r="3758">
          <cell r="C3758" t="str">
            <v>IC</v>
          </cell>
          <cell r="D3758">
            <v>0.8</v>
          </cell>
          <cell r="H3758" t="str">
            <v>natural gas peaker</v>
          </cell>
        </row>
        <row r="3759">
          <cell r="C3759" t="str">
            <v>IC</v>
          </cell>
          <cell r="D3759">
            <v>1.1000000000000001</v>
          </cell>
          <cell r="H3759" t="str">
            <v>petroleum</v>
          </cell>
        </row>
        <row r="3760">
          <cell r="C3760" t="str">
            <v>IC</v>
          </cell>
          <cell r="D3760">
            <v>0.9</v>
          </cell>
          <cell r="H3760" t="str">
            <v>petroleum</v>
          </cell>
        </row>
        <row r="3761">
          <cell r="C3761" t="str">
            <v>IC</v>
          </cell>
          <cell r="D3761">
            <v>1.2</v>
          </cell>
          <cell r="H3761" t="str">
            <v>petroleum</v>
          </cell>
        </row>
        <row r="3762">
          <cell r="C3762" t="str">
            <v>IC</v>
          </cell>
          <cell r="D3762">
            <v>1.8</v>
          </cell>
          <cell r="H3762" t="str">
            <v>petroleum</v>
          </cell>
        </row>
        <row r="3763">
          <cell r="C3763" t="str">
            <v>IC</v>
          </cell>
          <cell r="D3763">
            <v>0.6</v>
          </cell>
          <cell r="H3763" t="str">
            <v>petroleum</v>
          </cell>
        </row>
        <row r="3764">
          <cell r="C3764" t="str">
            <v>IC</v>
          </cell>
          <cell r="D3764">
            <v>1.2</v>
          </cell>
          <cell r="H3764" t="str">
            <v>petroleum</v>
          </cell>
        </row>
        <row r="3765">
          <cell r="C3765" t="str">
            <v>IC</v>
          </cell>
          <cell r="D3765">
            <v>1.2</v>
          </cell>
          <cell r="H3765" t="str">
            <v>petroleum</v>
          </cell>
        </row>
        <row r="3766">
          <cell r="C3766" t="str">
            <v>IC</v>
          </cell>
          <cell r="D3766">
            <v>2.2000000000000002</v>
          </cell>
          <cell r="H3766" t="str">
            <v>petroleum</v>
          </cell>
        </row>
        <row r="3767">
          <cell r="C3767" t="str">
            <v>IC</v>
          </cell>
          <cell r="D3767">
            <v>1.1000000000000001</v>
          </cell>
          <cell r="H3767" t="str">
            <v>petroleum</v>
          </cell>
        </row>
        <row r="3768">
          <cell r="C3768" t="str">
            <v>IC</v>
          </cell>
          <cell r="D3768">
            <v>0.9</v>
          </cell>
          <cell r="H3768" t="str">
            <v>petroleum</v>
          </cell>
        </row>
        <row r="3769">
          <cell r="C3769" t="str">
            <v>IC</v>
          </cell>
          <cell r="D3769">
            <v>0.4</v>
          </cell>
          <cell r="H3769" t="str">
            <v>petroleum</v>
          </cell>
        </row>
        <row r="3770">
          <cell r="C3770" t="str">
            <v>IC</v>
          </cell>
          <cell r="D3770">
            <v>1</v>
          </cell>
          <cell r="H3770" t="str">
            <v>natural gas peaker</v>
          </cell>
        </row>
        <row r="3771">
          <cell r="C3771" t="str">
            <v>IC</v>
          </cell>
          <cell r="D3771">
            <v>0.6</v>
          </cell>
          <cell r="H3771" t="str">
            <v>petroleum</v>
          </cell>
        </row>
        <row r="3772">
          <cell r="C3772" t="str">
            <v>IC</v>
          </cell>
          <cell r="D3772">
            <v>2.5</v>
          </cell>
          <cell r="H3772" t="str">
            <v>natural gas peaker</v>
          </cell>
        </row>
        <row r="3773">
          <cell r="C3773" t="str">
            <v>HY</v>
          </cell>
          <cell r="D3773">
            <v>0.1</v>
          </cell>
          <cell r="H3773" t="str">
            <v>hydro</v>
          </cell>
        </row>
        <row r="3774">
          <cell r="C3774" t="str">
            <v>HY</v>
          </cell>
          <cell r="D3774">
            <v>0.1</v>
          </cell>
          <cell r="H3774" t="str">
            <v>hydro</v>
          </cell>
        </row>
        <row r="3775">
          <cell r="C3775" t="str">
            <v>IC</v>
          </cell>
          <cell r="D3775">
            <v>0.2</v>
          </cell>
          <cell r="H3775" t="str">
            <v>petroleum</v>
          </cell>
        </row>
        <row r="3776">
          <cell r="C3776" t="str">
            <v>IC</v>
          </cell>
          <cell r="D3776">
            <v>0.4</v>
          </cell>
          <cell r="H3776" t="str">
            <v>petroleum</v>
          </cell>
        </row>
        <row r="3777">
          <cell r="C3777" t="str">
            <v>IC</v>
          </cell>
          <cell r="D3777">
            <v>1.3</v>
          </cell>
          <cell r="H3777" t="str">
            <v>petroleum</v>
          </cell>
        </row>
        <row r="3778">
          <cell r="C3778" t="str">
            <v>IC</v>
          </cell>
          <cell r="D3778">
            <v>0.7</v>
          </cell>
          <cell r="H3778" t="str">
            <v>petroleum</v>
          </cell>
        </row>
        <row r="3779">
          <cell r="C3779" t="str">
            <v>IC</v>
          </cell>
          <cell r="D3779">
            <v>0.2</v>
          </cell>
          <cell r="H3779" t="str">
            <v>petroleum</v>
          </cell>
        </row>
        <row r="3780">
          <cell r="C3780" t="str">
            <v>IC</v>
          </cell>
          <cell r="D3780">
            <v>0.2</v>
          </cell>
          <cell r="H3780" t="str">
            <v>petroleum</v>
          </cell>
        </row>
        <row r="3781">
          <cell r="C3781" t="str">
            <v>IC</v>
          </cell>
          <cell r="D3781">
            <v>0.8</v>
          </cell>
          <cell r="H3781" t="str">
            <v>petroleum</v>
          </cell>
        </row>
        <row r="3782">
          <cell r="C3782" t="str">
            <v>IC</v>
          </cell>
          <cell r="D3782">
            <v>0.6</v>
          </cell>
          <cell r="H3782" t="str">
            <v>petroleum</v>
          </cell>
        </row>
        <row r="3783">
          <cell r="C3783" t="str">
            <v>IC</v>
          </cell>
          <cell r="D3783">
            <v>1.4</v>
          </cell>
          <cell r="H3783" t="str">
            <v>petroleum</v>
          </cell>
        </row>
        <row r="3784">
          <cell r="C3784" t="str">
            <v>IC</v>
          </cell>
          <cell r="D3784">
            <v>1</v>
          </cell>
          <cell r="H3784" t="str">
            <v>petroleum</v>
          </cell>
        </row>
        <row r="3785">
          <cell r="C3785" t="str">
            <v>IC</v>
          </cell>
          <cell r="D3785">
            <v>1.2</v>
          </cell>
          <cell r="H3785" t="str">
            <v>petroleum</v>
          </cell>
        </row>
        <row r="3786">
          <cell r="C3786" t="str">
            <v>IC</v>
          </cell>
          <cell r="D3786">
            <v>2.4</v>
          </cell>
          <cell r="H3786" t="str">
            <v>petroleum</v>
          </cell>
        </row>
        <row r="3787">
          <cell r="C3787" t="str">
            <v>IC</v>
          </cell>
          <cell r="D3787">
            <v>2.1</v>
          </cell>
          <cell r="H3787" t="str">
            <v>natural gas peaker</v>
          </cell>
        </row>
        <row r="3788">
          <cell r="C3788" t="str">
            <v>IC</v>
          </cell>
          <cell r="D3788">
            <v>0.4</v>
          </cell>
          <cell r="H3788" t="str">
            <v>petroleum</v>
          </cell>
        </row>
        <row r="3789">
          <cell r="C3789" t="str">
            <v>IC</v>
          </cell>
          <cell r="D3789">
            <v>4.4000000000000004</v>
          </cell>
          <cell r="H3789" t="str">
            <v>natural gas peaker</v>
          </cell>
        </row>
        <row r="3790">
          <cell r="C3790" t="str">
            <v>IC</v>
          </cell>
          <cell r="D3790">
            <v>1.1000000000000001</v>
          </cell>
          <cell r="H3790" t="str">
            <v>natural gas peaker</v>
          </cell>
        </row>
        <row r="3791">
          <cell r="C3791" t="str">
            <v>IC</v>
          </cell>
          <cell r="D3791">
            <v>2.2000000000000002</v>
          </cell>
          <cell r="H3791" t="str">
            <v>natural gas peaker</v>
          </cell>
        </row>
        <row r="3792">
          <cell r="C3792" t="str">
            <v>IC</v>
          </cell>
          <cell r="D3792">
            <v>3.4</v>
          </cell>
          <cell r="H3792" t="str">
            <v>natural gas peaker</v>
          </cell>
        </row>
        <row r="3793">
          <cell r="C3793" t="str">
            <v>IC</v>
          </cell>
          <cell r="D3793">
            <v>0.5</v>
          </cell>
          <cell r="H3793" t="str">
            <v>natural gas peaker</v>
          </cell>
        </row>
        <row r="3794">
          <cell r="C3794" t="str">
            <v>IC</v>
          </cell>
          <cell r="D3794">
            <v>1</v>
          </cell>
          <cell r="H3794" t="str">
            <v>natural gas peaker</v>
          </cell>
        </row>
        <row r="3795">
          <cell r="C3795" t="str">
            <v>IC</v>
          </cell>
          <cell r="D3795">
            <v>1.1000000000000001</v>
          </cell>
          <cell r="H3795" t="str">
            <v>natural gas peaker</v>
          </cell>
        </row>
        <row r="3796">
          <cell r="C3796" t="str">
            <v>IC</v>
          </cell>
          <cell r="D3796">
            <v>0.6</v>
          </cell>
          <cell r="H3796" t="str">
            <v>natural gas peaker</v>
          </cell>
        </row>
        <row r="3797">
          <cell r="C3797" t="str">
            <v>IC</v>
          </cell>
          <cell r="D3797">
            <v>0.8</v>
          </cell>
          <cell r="H3797" t="str">
            <v>petroleum</v>
          </cell>
        </row>
        <row r="3798">
          <cell r="C3798" t="str">
            <v>IC</v>
          </cell>
          <cell r="D3798">
            <v>0.9</v>
          </cell>
          <cell r="H3798" t="str">
            <v>petroleum</v>
          </cell>
        </row>
        <row r="3799">
          <cell r="C3799" t="str">
            <v>IC</v>
          </cell>
          <cell r="D3799">
            <v>1.8</v>
          </cell>
          <cell r="H3799" t="str">
            <v>petroleum</v>
          </cell>
        </row>
        <row r="3800">
          <cell r="C3800" t="str">
            <v>IC</v>
          </cell>
          <cell r="D3800">
            <v>1.9</v>
          </cell>
          <cell r="H3800" t="str">
            <v>petroleum</v>
          </cell>
        </row>
        <row r="3801">
          <cell r="C3801" t="str">
            <v>IC</v>
          </cell>
          <cell r="D3801">
            <v>3.3</v>
          </cell>
          <cell r="H3801" t="str">
            <v>petroleum</v>
          </cell>
        </row>
        <row r="3802">
          <cell r="C3802" t="str">
            <v>IC</v>
          </cell>
          <cell r="D3802">
            <v>4.9000000000000004</v>
          </cell>
          <cell r="H3802" t="str">
            <v>petroleum</v>
          </cell>
        </row>
        <row r="3803">
          <cell r="C3803" t="str">
            <v>IC</v>
          </cell>
          <cell r="D3803">
            <v>3.3</v>
          </cell>
          <cell r="H3803" t="str">
            <v>petroleum</v>
          </cell>
        </row>
        <row r="3804">
          <cell r="C3804" t="str">
            <v>IC</v>
          </cell>
          <cell r="D3804">
            <v>3.3</v>
          </cell>
          <cell r="H3804" t="str">
            <v>petroleum</v>
          </cell>
        </row>
        <row r="3805">
          <cell r="C3805" t="str">
            <v>IC</v>
          </cell>
          <cell r="D3805">
            <v>0.9</v>
          </cell>
          <cell r="H3805" t="str">
            <v>natural gas peaker</v>
          </cell>
        </row>
        <row r="3806">
          <cell r="C3806" t="str">
            <v>IC</v>
          </cell>
          <cell r="D3806">
            <v>1.2</v>
          </cell>
          <cell r="H3806" t="str">
            <v>natural gas peaker</v>
          </cell>
        </row>
        <row r="3807">
          <cell r="C3807" t="str">
            <v>IC</v>
          </cell>
          <cell r="D3807">
            <v>2.2999999999999998</v>
          </cell>
          <cell r="H3807" t="str">
            <v>natural gas peaker</v>
          </cell>
        </row>
        <row r="3808">
          <cell r="C3808" t="str">
            <v>IC</v>
          </cell>
          <cell r="D3808">
            <v>0.9</v>
          </cell>
          <cell r="H3808" t="str">
            <v>petroleum</v>
          </cell>
        </row>
        <row r="3809">
          <cell r="C3809" t="str">
            <v>IC</v>
          </cell>
          <cell r="D3809">
            <v>0.6</v>
          </cell>
          <cell r="H3809" t="str">
            <v>petroleum</v>
          </cell>
        </row>
        <row r="3810">
          <cell r="C3810" t="str">
            <v>IC</v>
          </cell>
          <cell r="D3810">
            <v>1.6</v>
          </cell>
          <cell r="H3810" t="str">
            <v>petroleum</v>
          </cell>
        </row>
        <row r="3811">
          <cell r="C3811" t="str">
            <v>IC</v>
          </cell>
          <cell r="D3811">
            <v>0.8</v>
          </cell>
          <cell r="H3811" t="str">
            <v>petroleum</v>
          </cell>
        </row>
        <row r="3812">
          <cell r="C3812" t="str">
            <v>IC</v>
          </cell>
          <cell r="D3812">
            <v>1.5</v>
          </cell>
          <cell r="H3812" t="str">
            <v>petroleum</v>
          </cell>
        </row>
        <row r="3813">
          <cell r="C3813" t="str">
            <v>IC</v>
          </cell>
          <cell r="D3813">
            <v>1.5</v>
          </cell>
          <cell r="H3813" t="str">
            <v>petroleum</v>
          </cell>
        </row>
        <row r="3814">
          <cell r="C3814" t="str">
            <v>CA</v>
          </cell>
          <cell r="D3814">
            <v>85</v>
          </cell>
          <cell r="H3814" t="str">
            <v>natural gas nonpeaker</v>
          </cell>
        </row>
        <row r="3815">
          <cell r="C3815" t="str">
            <v>GT</v>
          </cell>
          <cell r="D3815">
            <v>52</v>
          </cell>
          <cell r="H3815" t="str">
            <v>natural gas peaker</v>
          </cell>
        </row>
        <row r="3816">
          <cell r="C3816" t="str">
            <v>GT</v>
          </cell>
          <cell r="D3816">
            <v>52</v>
          </cell>
          <cell r="H3816" t="str">
            <v>natural gas peaker</v>
          </cell>
        </row>
        <row r="3817">
          <cell r="C3817" t="str">
            <v>GT</v>
          </cell>
          <cell r="D3817">
            <v>52</v>
          </cell>
          <cell r="H3817" t="str">
            <v>natural gas peaker</v>
          </cell>
        </row>
        <row r="3818">
          <cell r="C3818" t="str">
            <v>GT</v>
          </cell>
          <cell r="D3818">
            <v>52</v>
          </cell>
          <cell r="H3818" t="str">
            <v>natural gas peaker</v>
          </cell>
        </row>
        <row r="3819">
          <cell r="C3819" t="str">
            <v>GT</v>
          </cell>
          <cell r="D3819">
            <v>52</v>
          </cell>
          <cell r="H3819" t="str">
            <v>natural gas peaker</v>
          </cell>
        </row>
        <row r="3820">
          <cell r="C3820" t="str">
            <v>GT</v>
          </cell>
          <cell r="D3820">
            <v>52</v>
          </cell>
          <cell r="H3820" t="str">
            <v>natural gas peaker</v>
          </cell>
        </row>
        <row r="3821">
          <cell r="C3821" t="str">
            <v>GT</v>
          </cell>
          <cell r="D3821">
            <v>52</v>
          </cell>
          <cell r="H3821" t="str">
            <v>natural gas peaker</v>
          </cell>
        </row>
        <row r="3822">
          <cell r="C3822" t="str">
            <v>GT</v>
          </cell>
          <cell r="D3822">
            <v>52</v>
          </cell>
          <cell r="H3822" t="str">
            <v>natural gas peaker</v>
          </cell>
        </row>
        <row r="3823">
          <cell r="C3823" t="str">
            <v>GT</v>
          </cell>
          <cell r="D3823">
            <v>52</v>
          </cell>
          <cell r="H3823" t="str">
            <v>natural gas peaker</v>
          </cell>
        </row>
        <row r="3824">
          <cell r="C3824" t="str">
            <v>GT</v>
          </cell>
          <cell r="D3824">
            <v>52</v>
          </cell>
          <cell r="H3824" t="str">
            <v>natural gas peaker</v>
          </cell>
        </row>
        <row r="3825">
          <cell r="C3825" t="str">
            <v>GT</v>
          </cell>
          <cell r="D3825">
            <v>52</v>
          </cell>
          <cell r="H3825" t="str">
            <v>natural gas peaker</v>
          </cell>
        </row>
        <row r="3826">
          <cell r="C3826" t="str">
            <v>GT</v>
          </cell>
          <cell r="D3826">
            <v>52</v>
          </cell>
          <cell r="H3826" t="str">
            <v>natural gas peaker</v>
          </cell>
        </row>
        <row r="3827">
          <cell r="C3827" t="str">
            <v>CA</v>
          </cell>
          <cell r="D3827">
            <v>85</v>
          </cell>
          <cell r="H3827" t="str">
            <v>natural gas nonpeaker</v>
          </cell>
        </row>
        <row r="3828">
          <cell r="C3828" t="str">
            <v>GT</v>
          </cell>
          <cell r="D3828">
            <v>55</v>
          </cell>
          <cell r="H3828" t="str">
            <v>natural gas peaker</v>
          </cell>
        </row>
        <row r="3829">
          <cell r="C3829" t="str">
            <v>CT</v>
          </cell>
          <cell r="D3829">
            <v>73</v>
          </cell>
          <cell r="H3829" t="str">
            <v>natural gas nonpeaker</v>
          </cell>
        </row>
        <row r="3830">
          <cell r="C3830" t="str">
            <v>CT</v>
          </cell>
          <cell r="D3830">
            <v>73</v>
          </cell>
          <cell r="H3830" t="str">
            <v>natural gas nonpeaker</v>
          </cell>
        </row>
        <row r="3831">
          <cell r="C3831" t="str">
            <v>CT</v>
          </cell>
          <cell r="D3831">
            <v>73</v>
          </cell>
          <cell r="H3831" t="str">
            <v>natural gas nonpeaker</v>
          </cell>
        </row>
        <row r="3832">
          <cell r="C3832" t="str">
            <v>CT</v>
          </cell>
          <cell r="D3832">
            <v>73</v>
          </cell>
          <cell r="H3832" t="str">
            <v>natural gas nonpeaker</v>
          </cell>
        </row>
        <row r="3833">
          <cell r="C3833" t="str">
            <v>ST</v>
          </cell>
          <cell r="D3833">
            <v>113</v>
          </cell>
          <cell r="H3833" t="str">
            <v>natural gas peaker</v>
          </cell>
        </row>
        <row r="3834">
          <cell r="C3834" t="str">
            <v>ST</v>
          </cell>
          <cell r="D3834">
            <v>113</v>
          </cell>
          <cell r="H3834" t="str">
            <v>natural gas peaker</v>
          </cell>
        </row>
        <row r="3835">
          <cell r="C3835" t="str">
            <v>CA</v>
          </cell>
          <cell r="D3835">
            <v>263</v>
          </cell>
          <cell r="H3835" t="str">
            <v>natural gas nonpeaker</v>
          </cell>
        </row>
        <row r="3836">
          <cell r="C3836" t="str">
            <v>ST</v>
          </cell>
          <cell r="D3836">
            <v>108</v>
          </cell>
          <cell r="H3836" t="str">
            <v>natural gas peaker</v>
          </cell>
        </row>
        <row r="3837">
          <cell r="C3837" t="str">
            <v>CT</v>
          </cell>
          <cell r="D3837">
            <v>64</v>
          </cell>
          <cell r="H3837" t="str">
            <v>natural gas nonpeaker</v>
          </cell>
        </row>
        <row r="3838">
          <cell r="C3838" t="str">
            <v>CA</v>
          </cell>
          <cell r="D3838">
            <v>40</v>
          </cell>
          <cell r="H3838" t="str">
            <v>natural gas nonpeaker</v>
          </cell>
        </row>
        <row r="3839">
          <cell r="C3839" t="str">
            <v>CT</v>
          </cell>
          <cell r="D3839">
            <v>145</v>
          </cell>
          <cell r="H3839" t="str">
            <v>natural gas nonpeaker</v>
          </cell>
        </row>
        <row r="3840">
          <cell r="C3840" t="str">
            <v>CT</v>
          </cell>
          <cell r="D3840">
            <v>145</v>
          </cell>
          <cell r="H3840" t="str">
            <v>natural gas nonpeaker</v>
          </cell>
        </row>
        <row r="3841">
          <cell r="C3841" t="str">
            <v>GT</v>
          </cell>
          <cell r="D3841">
            <v>66.3</v>
          </cell>
          <cell r="H3841" t="str">
            <v>natural gas peaker</v>
          </cell>
        </row>
        <row r="3842">
          <cell r="C3842" t="str">
            <v>GT</v>
          </cell>
          <cell r="D3842">
            <v>66.3</v>
          </cell>
          <cell r="H3842" t="str">
            <v>natural gas peaker</v>
          </cell>
        </row>
        <row r="3843">
          <cell r="C3843" t="str">
            <v>HY</v>
          </cell>
          <cell r="D3843">
            <v>22.5</v>
          </cell>
          <cell r="H3843" t="str">
            <v>hydro</v>
          </cell>
        </row>
        <row r="3844">
          <cell r="C3844" t="str">
            <v>HY</v>
          </cell>
          <cell r="D3844">
            <v>47.8</v>
          </cell>
          <cell r="H3844" t="str">
            <v>hydro</v>
          </cell>
        </row>
        <row r="3845">
          <cell r="C3845" t="str">
            <v>HY</v>
          </cell>
          <cell r="D3845">
            <v>47.8</v>
          </cell>
          <cell r="H3845" t="str">
            <v>hydro</v>
          </cell>
        </row>
        <row r="3846">
          <cell r="C3846" t="str">
            <v>HY</v>
          </cell>
          <cell r="D3846">
            <v>47.8</v>
          </cell>
          <cell r="H3846" t="str">
            <v>hydro</v>
          </cell>
        </row>
        <row r="3847">
          <cell r="C3847" t="str">
            <v>HY</v>
          </cell>
          <cell r="D3847">
            <v>47.2</v>
          </cell>
          <cell r="H3847" t="str">
            <v>hydro</v>
          </cell>
        </row>
        <row r="3848">
          <cell r="C3848" t="str">
            <v>HY</v>
          </cell>
          <cell r="D3848">
            <v>47.2</v>
          </cell>
          <cell r="H3848" t="str">
            <v>hydro</v>
          </cell>
        </row>
        <row r="3849">
          <cell r="C3849" t="str">
            <v>HY</v>
          </cell>
          <cell r="D3849">
            <v>47.2</v>
          </cell>
          <cell r="H3849" t="str">
            <v>hydro</v>
          </cell>
        </row>
        <row r="3850">
          <cell r="C3850" t="str">
            <v>HY</v>
          </cell>
          <cell r="D3850">
            <v>47.2</v>
          </cell>
          <cell r="H3850" t="str">
            <v>hydro</v>
          </cell>
        </row>
        <row r="3851">
          <cell r="C3851" t="str">
            <v>HY</v>
          </cell>
          <cell r="D3851">
            <v>2.4</v>
          </cell>
          <cell r="H3851" t="str">
            <v>hydro</v>
          </cell>
        </row>
        <row r="3852">
          <cell r="C3852" t="str">
            <v>HY</v>
          </cell>
          <cell r="D3852">
            <v>4</v>
          </cell>
          <cell r="H3852" t="str">
            <v>hydro</v>
          </cell>
        </row>
        <row r="3853">
          <cell r="C3853" t="str">
            <v>HY</v>
          </cell>
          <cell r="D3853">
            <v>2.4</v>
          </cell>
          <cell r="H3853" t="str">
            <v>hydro</v>
          </cell>
        </row>
        <row r="3854">
          <cell r="C3854" t="str">
            <v>HY</v>
          </cell>
          <cell r="D3854">
            <v>2.4</v>
          </cell>
          <cell r="H3854" t="str">
            <v>hydro</v>
          </cell>
        </row>
        <row r="3855">
          <cell r="C3855" t="str">
            <v>HY</v>
          </cell>
          <cell r="D3855">
            <v>2.4</v>
          </cell>
          <cell r="H3855" t="str">
            <v>hydro</v>
          </cell>
        </row>
        <row r="3856">
          <cell r="C3856" t="str">
            <v>HY</v>
          </cell>
          <cell r="D3856">
            <v>3.6</v>
          </cell>
          <cell r="H3856" t="str">
            <v>hydro</v>
          </cell>
        </row>
        <row r="3857">
          <cell r="C3857" t="str">
            <v>HY</v>
          </cell>
          <cell r="D3857">
            <v>4.5</v>
          </cell>
          <cell r="H3857" t="str">
            <v>hydro</v>
          </cell>
        </row>
        <row r="3858">
          <cell r="C3858" t="str">
            <v>HY</v>
          </cell>
          <cell r="D3858">
            <v>4.5</v>
          </cell>
          <cell r="H3858" t="str">
            <v>hydro</v>
          </cell>
        </row>
        <row r="3859">
          <cell r="C3859" t="str">
            <v>HY</v>
          </cell>
          <cell r="D3859">
            <v>3.6</v>
          </cell>
          <cell r="H3859" t="str">
            <v>hydro</v>
          </cell>
        </row>
        <row r="3860">
          <cell r="C3860" t="str">
            <v>HY</v>
          </cell>
          <cell r="D3860">
            <v>4</v>
          </cell>
          <cell r="H3860" t="str">
            <v>hydro</v>
          </cell>
        </row>
        <row r="3861">
          <cell r="C3861" t="str">
            <v>HY</v>
          </cell>
          <cell r="D3861">
            <v>18.100000000000001</v>
          </cell>
          <cell r="H3861" t="str">
            <v>hydro</v>
          </cell>
        </row>
        <row r="3862">
          <cell r="C3862" t="str">
            <v>HY</v>
          </cell>
          <cell r="D3862">
            <v>18.100000000000001</v>
          </cell>
          <cell r="H3862" t="str">
            <v>hydro</v>
          </cell>
        </row>
        <row r="3863">
          <cell r="C3863" t="str">
            <v>HY</v>
          </cell>
          <cell r="D3863">
            <v>2.8</v>
          </cell>
          <cell r="H3863" t="str">
            <v>hydro</v>
          </cell>
        </row>
        <row r="3864">
          <cell r="C3864" t="str">
            <v>HY</v>
          </cell>
          <cell r="D3864">
            <v>6.2</v>
          </cell>
          <cell r="H3864" t="str">
            <v>hydro</v>
          </cell>
        </row>
        <row r="3865">
          <cell r="C3865" t="str">
            <v>HY</v>
          </cell>
          <cell r="D3865">
            <v>5.3</v>
          </cell>
          <cell r="H3865" t="str">
            <v>hydro</v>
          </cell>
        </row>
        <row r="3866">
          <cell r="C3866" t="str">
            <v>HY</v>
          </cell>
          <cell r="D3866">
            <v>5.3</v>
          </cell>
          <cell r="H3866" t="str">
            <v>hydro</v>
          </cell>
        </row>
        <row r="3867">
          <cell r="C3867" t="str">
            <v>HY</v>
          </cell>
          <cell r="D3867">
            <v>2.8</v>
          </cell>
          <cell r="H3867" t="str">
            <v>hydro</v>
          </cell>
        </row>
        <row r="3868">
          <cell r="C3868" t="str">
            <v>HY</v>
          </cell>
          <cell r="D3868">
            <v>2.8</v>
          </cell>
          <cell r="H3868" t="str">
            <v>hydro</v>
          </cell>
        </row>
        <row r="3869">
          <cell r="C3869" t="str">
            <v>HY</v>
          </cell>
          <cell r="D3869">
            <v>2.8</v>
          </cell>
          <cell r="H3869" t="str">
            <v>hydro</v>
          </cell>
        </row>
        <row r="3870">
          <cell r="C3870" t="str">
            <v>HY</v>
          </cell>
          <cell r="D3870">
            <v>1.8</v>
          </cell>
          <cell r="H3870" t="str">
            <v>hydro</v>
          </cell>
        </row>
        <row r="3871">
          <cell r="C3871" t="str">
            <v>HY</v>
          </cell>
          <cell r="D3871">
            <v>3.8</v>
          </cell>
          <cell r="H3871" t="str">
            <v>hydro</v>
          </cell>
        </row>
        <row r="3872">
          <cell r="C3872" t="str">
            <v>HY</v>
          </cell>
          <cell r="D3872">
            <v>3.4</v>
          </cell>
          <cell r="H3872" t="str">
            <v>hydro</v>
          </cell>
        </row>
        <row r="3873">
          <cell r="C3873" t="str">
            <v>HY</v>
          </cell>
          <cell r="D3873">
            <v>3.3</v>
          </cell>
          <cell r="H3873" t="str">
            <v>hydro</v>
          </cell>
        </row>
        <row r="3874">
          <cell r="C3874" t="str">
            <v>HY</v>
          </cell>
          <cell r="D3874">
            <v>2.4</v>
          </cell>
          <cell r="H3874" t="str">
            <v>hydro</v>
          </cell>
        </row>
        <row r="3875">
          <cell r="C3875" t="str">
            <v>HY</v>
          </cell>
          <cell r="D3875">
            <v>3.2</v>
          </cell>
          <cell r="H3875" t="str">
            <v>hydro</v>
          </cell>
        </row>
        <row r="3876">
          <cell r="C3876" t="str">
            <v>HY</v>
          </cell>
          <cell r="D3876">
            <v>0.4</v>
          </cell>
          <cell r="H3876" t="str">
            <v>hydro</v>
          </cell>
        </row>
        <row r="3877">
          <cell r="C3877" t="str">
            <v>HY</v>
          </cell>
          <cell r="D3877">
            <v>0.4</v>
          </cell>
          <cell r="H3877" t="str">
            <v>hydro</v>
          </cell>
        </row>
        <row r="3878">
          <cell r="C3878" t="str">
            <v>HY</v>
          </cell>
          <cell r="D3878">
            <v>0.6</v>
          </cell>
          <cell r="H3878" t="str">
            <v>hydro</v>
          </cell>
        </row>
        <row r="3879">
          <cell r="C3879" t="str">
            <v>HY</v>
          </cell>
          <cell r="D3879">
            <v>0.6</v>
          </cell>
          <cell r="H3879" t="str">
            <v>hydro</v>
          </cell>
        </row>
        <row r="3880">
          <cell r="C3880" t="str">
            <v>HY</v>
          </cell>
          <cell r="D3880">
            <v>1.6</v>
          </cell>
          <cell r="H3880" t="str">
            <v>hydro</v>
          </cell>
        </row>
        <row r="3881">
          <cell r="C3881" t="str">
            <v>HY</v>
          </cell>
          <cell r="D3881">
            <v>3.6</v>
          </cell>
          <cell r="H3881" t="str">
            <v>hydro</v>
          </cell>
        </row>
        <row r="3882">
          <cell r="C3882" t="str">
            <v>GT</v>
          </cell>
          <cell r="D3882">
            <v>14</v>
          </cell>
          <cell r="H3882" t="str">
            <v>petroleum</v>
          </cell>
        </row>
        <row r="3883">
          <cell r="C3883" t="str">
            <v>ST</v>
          </cell>
          <cell r="D3883">
            <v>108</v>
          </cell>
          <cell r="H3883" t="str">
            <v>hard coal</v>
          </cell>
        </row>
        <row r="3884">
          <cell r="C3884" t="str">
            <v>ST</v>
          </cell>
          <cell r="D3884">
            <v>330.5</v>
          </cell>
          <cell r="H3884" t="str">
            <v>hard coal</v>
          </cell>
        </row>
        <row r="3885">
          <cell r="C3885" t="str">
            <v>GT</v>
          </cell>
          <cell r="D3885">
            <v>16.8</v>
          </cell>
          <cell r="H3885" t="str">
            <v>petroleum</v>
          </cell>
        </row>
        <row r="3886">
          <cell r="C3886" t="str">
            <v>GT</v>
          </cell>
          <cell r="D3886">
            <v>16.8</v>
          </cell>
          <cell r="H3886" t="str">
            <v>petroleum</v>
          </cell>
        </row>
        <row r="3887">
          <cell r="C3887" t="str">
            <v>ST</v>
          </cell>
          <cell r="D3887">
            <v>47.5</v>
          </cell>
          <cell r="H3887" t="str">
            <v>hard coal</v>
          </cell>
        </row>
        <row r="3888">
          <cell r="C3888" t="str">
            <v>ST</v>
          </cell>
          <cell r="D3888">
            <v>43.1</v>
          </cell>
          <cell r="H3888" t="str">
            <v>biomass</v>
          </cell>
        </row>
        <row r="3889">
          <cell r="C3889" t="str">
            <v>ST</v>
          </cell>
          <cell r="D3889">
            <v>47.9</v>
          </cell>
          <cell r="H3889" t="str">
            <v>hard coal</v>
          </cell>
        </row>
        <row r="3890">
          <cell r="C3890" t="str">
            <v>GT</v>
          </cell>
          <cell r="D3890">
            <v>17</v>
          </cell>
          <cell r="H3890" t="str">
            <v>petroleum</v>
          </cell>
        </row>
        <row r="3891">
          <cell r="C3891" t="str">
            <v>HY</v>
          </cell>
          <cell r="D3891">
            <v>11.7</v>
          </cell>
          <cell r="H3891" t="str">
            <v>hydro</v>
          </cell>
        </row>
        <row r="3892">
          <cell r="C3892" t="str">
            <v>GT</v>
          </cell>
          <cell r="D3892">
            <v>17.5</v>
          </cell>
          <cell r="H3892" t="str">
            <v>petroleum</v>
          </cell>
        </row>
        <row r="3893">
          <cell r="C3893" t="str">
            <v>GT</v>
          </cell>
          <cell r="D3893">
            <v>37.6</v>
          </cell>
          <cell r="H3893" t="str">
            <v>natural gas peaker</v>
          </cell>
        </row>
        <row r="3894">
          <cell r="C3894" t="str">
            <v>GT</v>
          </cell>
          <cell r="D3894">
            <v>39.200000000000003</v>
          </cell>
          <cell r="H3894" t="str">
            <v>natural gas peaker</v>
          </cell>
        </row>
        <row r="3895">
          <cell r="C3895" t="str">
            <v>GT</v>
          </cell>
          <cell r="D3895">
            <v>50</v>
          </cell>
          <cell r="H3895" t="str">
            <v>natural gas peaker</v>
          </cell>
        </row>
        <row r="3896">
          <cell r="C3896" t="str">
            <v>GT</v>
          </cell>
          <cell r="D3896">
            <v>50</v>
          </cell>
          <cell r="H3896" t="str">
            <v>natural gas peaker</v>
          </cell>
        </row>
        <row r="3897">
          <cell r="C3897" t="str">
            <v>GT</v>
          </cell>
          <cell r="D3897">
            <v>50</v>
          </cell>
          <cell r="H3897" t="str">
            <v>natural gas peaker</v>
          </cell>
        </row>
        <row r="3898">
          <cell r="C3898" t="str">
            <v>GT</v>
          </cell>
          <cell r="D3898">
            <v>50</v>
          </cell>
          <cell r="H3898" t="str">
            <v>natural gas peaker</v>
          </cell>
        </row>
        <row r="3899">
          <cell r="C3899" t="str">
            <v>CT</v>
          </cell>
          <cell r="D3899">
            <v>47</v>
          </cell>
          <cell r="H3899" t="str">
            <v>natural gas nonpeaker</v>
          </cell>
        </row>
        <row r="3900">
          <cell r="C3900" t="str">
            <v>CT</v>
          </cell>
          <cell r="D3900">
            <v>47</v>
          </cell>
          <cell r="H3900" t="str">
            <v>natural gas nonpeaker</v>
          </cell>
        </row>
        <row r="3901">
          <cell r="C3901" t="str">
            <v>CT</v>
          </cell>
          <cell r="D3901">
            <v>49</v>
          </cell>
          <cell r="H3901" t="str">
            <v>natural gas nonpeaker</v>
          </cell>
        </row>
        <row r="3902">
          <cell r="C3902" t="str">
            <v>CT</v>
          </cell>
          <cell r="D3902">
            <v>47</v>
          </cell>
          <cell r="H3902" t="str">
            <v>natural gas nonpeaker</v>
          </cell>
        </row>
        <row r="3903">
          <cell r="C3903" t="str">
            <v>CA</v>
          </cell>
          <cell r="D3903">
            <v>104</v>
          </cell>
          <cell r="H3903" t="str">
            <v>natural gas nonpeaker</v>
          </cell>
        </row>
        <row r="3904">
          <cell r="C3904" t="str">
            <v>GT</v>
          </cell>
          <cell r="D3904">
            <v>150</v>
          </cell>
          <cell r="H3904" t="str">
            <v>petroleum</v>
          </cell>
        </row>
        <row r="3905">
          <cell r="C3905" t="str">
            <v>CT</v>
          </cell>
          <cell r="D3905">
            <v>110</v>
          </cell>
          <cell r="H3905" t="str">
            <v>natural gas nonpeaker</v>
          </cell>
        </row>
        <row r="3906">
          <cell r="C3906" t="str">
            <v>CT</v>
          </cell>
          <cell r="D3906">
            <v>110</v>
          </cell>
          <cell r="H3906" t="str">
            <v>natural gas nonpeaker</v>
          </cell>
        </row>
        <row r="3907">
          <cell r="C3907" t="str">
            <v>CT</v>
          </cell>
          <cell r="D3907">
            <v>110</v>
          </cell>
          <cell r="H3907" t="str">
            <v>natural gas nonpeaker</v>
          </cell>
        </row>
        <row r="3908">
          <cell r="C3908" t="str">
            <v>CT</v>
          </cell>
          <cell r="D3908">
            <v>110</v>
          </cell>
          <cell r="H3908" t="str">
            <v>natural gas nonpeaker</v>
          </cell>
        </row>
        <row r="3909">
          <cell r="C3909" t="str">
            <v>CA</v>
          </cell>
          <cell r="D3909">
            <v>198</v>
          </cell>
          <cell r="H3909" t="str">
            <v>natural gas nonpeaker</v>
          </cell>
        </row>
        <row r="3910">
          <cell r="C3910" t="str">
            <v>CT</v>
          </cell>
          <cell r="D3910">
            <v>177.3</v>
          </cell>
          <cell r="H3910" t="str">
            <v>natural gas nonpeaker</v>
          </cell>
        </row>
        <row r="3911">
          <cell r="C3911" t="str">
            <v>CT</v>
          </cell>
          <cell r="D3911">
            <v>177.3</v>
          </cell>
          <cell r="H3911" t="str">
            <v>natural gas nonpeaker</v>
          </cell>
        </row>
        <row r="3912">
          <cell r="C3912" t="str">
            <v>CA</v>
          </cell>
          <cell r="D3912">
            <v>236.4</v>
          </cell>
          <cell r="H3912" t="str">
            <v>natural gas nonpeaker</v>
          </cell>
        </row>
        <row r="3913">
          <cell r="C3913" t="str">
            <v>GT</v>
          </cell>
          <cell r="D3913">
            <v>42</v>
          </cell>
          <cell r="H3913" t="str">
            <v>natural gas peaker</v>
          </cell>
        </row>
        <row r="3914">
          <cell r="C3914" t="str">
            <v>GT</v>
          </cell>
          <cell r="D3914">
            <v>42</v>
          </cell>
          <cell r="H3914" t="str">
            <v>natural gas peaker</v>
          </cell>
        </row>
        <row r="3915">
          <cell r="C3915" t="str">
            <v>GT</v>
          </cell>
          <cell r="D3915">
            <v>42</v>
          </cell>
          <cell r="H3915" t="str">
            <v>natural gas peaker</v>
          </cell>
        </row>
        <row r="3916">
          <cell r="C3916" t="str">
            <v>GT</v>
          </cell>
          <cell r="D3916">
            <v>42</v>
          </cell>
          <cell r="H3916" t="str">
            <v>natural gas peaker</v>
          </cell>
        </row>
        <row r="3917">
          <cell r="C3917" t="str">
            <v>GT</v>
          </cell>
          <cell r="D3917">
            <v>81</v>
          </cell>
          <cell r="H3917" t="str">
            <v>natural gas peaker</v>
          </cell>
        </row>
        <row r="3918">
          <cell r="C3918" t="str">
            <v>GT</v>
          </cell>
          <cell r="D3918">
            <v>46.9</v>
          </cell>
          <cell r="H3918" t="str">
            <v>natural gas peaker</v>
          </cell>
        </row>
        <row r="3919">
          <cell r="C3919" t="str">
            <v>GT</v>
          </cell>
          <cell r="D3919">
            <v>46.9</v>
          </cell>
          <cell r="H3919" t="str">
            <v>natural gas peaker</v>
          </cell>
        </row>
        <row r="3920">
          <cell r="C3920" t="str">
            <v>GT</v>
          </cell>
          <cell r="D3920">
            <v>46.9</v>
          </cell>
          <cell r="H3920" t="str">
            <v>natural gas peaker</v>
          </cell>
        </row>
        <row r="3921">
          <cell r="C3921" t="str">
            <v>GT</v>
          </cell>
          <cell r="D3921">
            <v>46.9</v>
          </cell>
          <cell r="H3921" t="str">
            <v>natural gas peaker</v>
          </cell>
        </row>
        <row r="3922">
          <cell r="C3922" t="str">
            <v>GT</v>
          </cell>
          <cell r="D3922">
            <v>46.9</v>
          </cell>
          <cell r="H3922" t="str">
            <v>natural gas peaker</v>
          </cell>
        </row>
        <row r="3923">
          <cell r="C3923" t="str">
            <v>GT</v>
          </cell>
          <cell r="D3923">
            <v>46.9</v>
          </cell>
          <cell r="H3923" t="str">
            <v>natural gas peaker</v>
          </cell>
        </row>
        <row r="3924">
          <cell r="C3924" t="str">
            <v>GT</v>
          </cell>
          <cell r="D3924">
            <v>44.5</v>
          </cell>
          <cell r="H3924" t="str">
            <v>natural gas peaker</v>
          </cell>
        </row>
        <row r="3925">
          <cell r="C3925" t="str">
            <v>GT</v>
          </cell>
          <cell r="D3925">
            <v>44.5</v>
          </cell>
          <cell r="H3925" t="str">
            <v>natural gas peaker</v>
          </cell>
        </row>
        <row r="3926">
          <cell r="C3926" t="str">
            <v>GT</v>
          </cell>
          <cell r="D3926">
            <v>44.5</v>
          </cell>
          <cell r="H3926" t="str">
            <v>natural gas peaker</v>
          </cell>
        </row>
        <row r="3927">
          <cell r="C3927" t="str">
            <v>GT</v>
          </cell>
          <cell r="D3927">
            <v>44.5</v>
          </cell>
          <cell r="H3927" t="str">
            <v>natural gas peaker</v>
          </cell>
        </row>
        <row r="3928">
          <cell r="C3928" t="str">
            <v>CA</v>
          </cell>
          <cell r="D3928">
            <v>238.4</v>
          </cell>
          <cell r="H3928" t="str">
            <v>natural gas nonpeaker</v>
          </cell>
        </row>
        <row r="3929">
          <cell r="C3929" t="str">
            <v>CT</v>
          </cell>
          <cell r="D3929">
            <v>188.3</v>
          </cell>
          <cell r="H3929" t="str">
            <v>natural gas nonpeaker</v>
          </cell>
        </row>
        <row r="3930">
          <cell r="C3930" t="str">
            <v>CT</v>
          </cell>
          <cell r="D3930">
            <v>188.3</v>
          </cell>
          <cell r="H3930" t="str">
            <v>natural gas nonpeaker</v>
          </cell>
        </row>
        <row r="3931">
          <cell r="C3931" t="str">
            <v>CA</v>
          </cell>
          <cell r="D3931">
            <v>238.4</v>
          </cell>
          <cell r="H3931" t="str">
            <v>natural gas nonpeaker</v>
          </cell>
        </row>
        <row r="3932">
          <cell r="C3932" t="str">
            <v>CT</v>
          </cell>
          <cell r="D3932">
            <v>188.3</v>
          </cell>
          <cell r="H3932" t="str">
            <v>natural gas nonpeaker</v>
          </cell>
        </row>
        <row r="3933">
          <cell r="C3933" t="str">
            <v>CT</v>
          </cell>
          <cell r="D3933">
            <v>188.3</v>
          </cell>
          <cell r="H3933" t="str">
            <v>natural gas nonpeaker</v>
          </cell>
        </row>
        <row r="3934">
          <cell r="C3934" t="str">
            <v>GT</v>
          </cell>
          <cell r="D3934">
            <v>86</v>
          </cell>
          <cell r="H3934" t="str">
            <v>natural gas peaker</v>
          </cell>
        </row>
        <row r="3935">
          <cell r="C3935" t="str">
            <v>GT</v>
          </cell>
          <cell r="D3935">
            <v>86</v>
          </cell>
          <cell r="H3935" t="str">
            <v>natural gas peaker</v>
          </cell>
        </row>
        <row r="3936">
          <cell r="C3936" t="str">
            <v>GT</v>
          </cell>
          <cell r="D3936">
            <v>84</v>
          </cell>
          <cell r="H3936" t="str">
            <v>natural gas peaker</v>
          </cell>
        </row>
        <row r="3937">
          <cell r="C3937" t="str">
            <v>GT</v>
          </cell>
          <cell r="D3937">
            <v>80.2</v>
          </cell>
          <cell r="H3937" t="str">
            <v>natural gas peaker</v>
          </cell>
        </row>
        <row r="3938">
          <cell r="C3938" t="str">
            <v>ST</v>
          </cell>
          <cell r="D3938">
            <v>1153</v>
          </cell>
          <cell r="H3938" t="str">
            <v>nuclear</v>
          </cell>
        </row>
        <row r="3939">
          <cell r="C3939" t="str">
            <v>ST</v>
          </cell>
          <cell r="D3939">
            <v>1142.0999999999999</v>
          </cell>
          <cell r="H3939" t="str">
            <v>nuclear</v>
          </cell>
        </row>
        <row r="3940">
          <cell r="C3940" t="str">
            <v>GT</v>
          </cell>
          <cell r="D3940">
            <v>38.4</v>
          </cell>
          <cell r="H3940" t="str">
            <v>petroleum</v>
          </cell>
        </row>
        <row r="3941">
          <cell r="C3941" t="str">
            <v>CT</v>
          </cell>
          <cell r="D3941">
            <v>328</v>
          </cell>
          <cell r="H3941" t="str">
            <v>natural gas nonpeaker</v>
          </cell>
        </row>
        <row r="3942">
          <cell r="C3942" t="str">
            <v>CA</v>
          </cell>
          <cell r="D3942">
            <v>196.5</v>
          </cell>
          <cell r="H3942" t="str">
            <v>natural gas nonpeaker</v>
          </cell>
        </row>
        <row r="3943">
          <cell r="C3943" t="str">
            <v>GT</v>
          </cell>
          <cell r="D3943">
            <v>55</v>
          </cell>
          <cell r="H3943" t="str">
            <v>natural gas peaker</v>
          </cell>
        </row>
        <row r="3944">
          <cell r="C3944" t="str">
            <v>ST</v>
          </cell>
          <cell r="D3944">
            <v>770</v>
          </cell>
          <cell r="H3944" t="str">
            <v>hard coal</v>
          </cell>
        </row>
        <row r="3945">
          <cell r="C3945" t="str">
            <v>ST</v>
          </cell>
          <cell r="D3945">
            <v>770</v>
          </cell>
          <cell r="H3945" t="str">
            <v>hard coal</v>
          </cell>
        </row>
        <row r="3946">
          <cell r="C3946" t="str">
            <v>ST</v>
          </cell>
          <cell r="D3946">
            <v>45</v>
          </cell>
          <cell r="H3946" t="str">
            <v>natural gas peaker</v>
          </cell>
        </row>
        <row r="3947">
          <cell r="C3947" t="str">
            <v>ST</v>
          </cell>
          <cell r="D3947">
            <v>46</v>
          </cell>
          <cell r="H3947" t="str">
            <v>natural gas peaker</v>
          </cell>
        </row>
        <row r="3948">
          <cell r="C3948" t="str">
            <v>ST</v>
          </cell>
          <cell r="D3948">
            <v>144</v>
          </cell>
          <cell r="H3948" t="str">
            <v>natural gas peaker</v>
          </cell>
        </row>
        <row r="3949">
          <cell r="C3949" t="str">
            <v>GT</v>
          </cell>
          <cell r="D3949">
            <v>88</v>
          </cell>
          <cell r="H3949" t="str">
            <v>natural gas peaker</v>
          </cell>
        </row>
        <row r="3950">
          <cell r="C3950" t="str">
            <v>ST</v>
          </cell>
          <cell r="D3950">
            <v>112</v>
          </cell>
          <cell r="H3950" t="str">
            <v>natural gas peaker</v>
          </cell>
        </row>
        <row r="3951">
          <cell r="C3951" t="str">
            <v>GT</v>
          </cell>
          <cell r="D3951">
            <v>61</v>
          </cell>
          <cell r="H3951" t="str">
            <v>natural gas peaker</v>
          </cell>
        </row>
        <row r="3952">
          <cell r="C3952" t="str">
            <v>GT</v>
          </cell>
          <cell r="D3952">
            <v>10</v>
          </cell>
          <cell r="H3952" t="str">
            <v>natural gas peaker</v>
          </cell>
        </row>
        <row r="3953">
          <cell r="C3953" t="str">
            <v>ST</v>
          </cell>
          <cell r="D3953">
            <v>44</v>
          </cell>
          <cell r="H3953" t="str">
            <v>natural gas peaker</v>
          </cell>
        </row>
        <row r="3954">
          <cell r="C3954" t="str">
            <v>ST</v>
          </cell>
          <cell r="D3954">
            <v>44</v>
          </cell>
          <cell r="H3954" t="str">
            <v>natural gas peaker</v>
          </cell>
        </row>
        <row r="3955">
          <cell r="C3955" t="str">
            <v>ST</v>
          </cell>
          <cell r="D3955">
            <v>66</v>
          </cell>
          <cell r="H3955" t="str">
            <v>natural gas peaker</v>
          </cell>
        </row>
        <row r="3956">
          <cell r="C3956" t="str">
            <v>ST</v>
          </cell>
          <cell r="D3956">
            <v>340</v>
          </cell>
          <cell r="H3956" t="str">
            <v>hard coal</v>
          </cell>
        </row>
        <row r="3957">
          <cell r="C3957" t="str">
            <v>ST</v>
          </cell>
          <cell r="D3957">
            <v>507</v>
          </cell>
          <cell r="H3957" t="str">
            <v>hard coal</v>
          </cell>
        </row>
        <row r="3958">
          <cell r="C3958" t="str">
            <v>ST</v>
          </cell>
          <cell r="D3958">
            <v>71</v>
          </cell>
          <cell r="H3958" t="str">
            <v>natural gas peaker</v>
          </cell>
        </row>
        <row r="3959">
          <cell r="C3959" t="str">
            <v>ST</v>
          </cell>
          <cell r="D3959">
            <v>183</v>
          </cell>
          <cell r="H3959" t="str">
            <v>natural gas peaker</v>
          </cell>
        </row>
        <row r="3960">
          <cell r="C3960" t="str">
            <v>GT</v>
          </cell>
          <cell r="D3960">
            <v>106</v>
          </cell>
          <cell r="H3960" t="str">
            <v>natural gas peaker</v>
          </cell>
        </row>
        <row r="3961">
          <cell r="C3961" t="str">
            <v>GT</v>
          </cell>
          <cell r="D3961">
            <v>103</v>
          </cell>
          <cell r="H3961" t="str">
            <v>natural gas peaker</v>
          </cell>
        </row>
        <row r="3962">
          <cell r="C3962" t="str">
            <v>GT</v>
          </cell>
          <cell r="D3962">
            <v>17</v>
          </cell>
          <cell r="H3962" t="str">
            <v>natural gas peaker</v>
          </cell>
        </row>
        <row r="3963">
          <cell r="C3963" t="str">
            <v>HY</v>
          </cell>
          <cell r="D3963">
            <v>0.2</v>
          </cell>
          <cell r="H3963" t="str">
            <v>hydro</v>
          </cell>
        </row>
        <row r="3964">
          <cell r="C3964" t="str">
            <v>ST</v>
          </cell>
          <cell r="D3964">
            <v>15</v>
          </cell>
          <cell r="H3964" t="str">
            <v>natural gas peaker</v>
          </cell>
        </row>
        <row r="3965">
          <cell r="C3965" t="str">
            <v>ST</v>
          </cell>
          <cell r="D3965">
            <v>15</v>
          </cell>
          <cell r="H3965" t="str">
            <v>natural gas peaker</v>
          </cell>
        </row>
        <row r="3966">
          <cell r="C3966" t="str">
            <v>ST</v>
          </cell>
          <cell r="D3966">
            <v>15</v>
          </cell>
          <cell r="H3966" t="str">
            <v>natural gas peaker</v>
          </cell>
        </row>
        <row r="3967">
          <cell r="C3967" t="str">
            <v>ST</v>
          </cell>
          <cell r="D3967">
            <v>70.7</v>
          </cell>
          <cell r="H3967" t="str">
            <v>natural gas peaker</v>
          </cell>
        </row>
        <row r="3968">
          <cell r="C3968" t="str">
            <v>ST</v>
          </cell>
          <cell r="D3968">
            <v>65.7</v>
          </cell>
          <cell r="H3968" t="str">
            <v>natural gas peaker</v>
          </cell>
        </row>
        <row r="3969">
          <cell r="C3969" t="str">
            <v>ST</v>
          </cell>
          <cell r="D3969">
            <v>137.69999999999999</v>
          </cell>
          <cell r="H3969" t="str">
            <v>natural gas peaker</v>
          </cell>
        </row>
        <row r="3970">
          <cell r="C3970" t="str">
            <v>ST</v>
          </cell>
          <cell r="D3970">
            <v>221.7</v>
          </cell>
          <cell r="H3970" t="str">
            <v>natural gas peaker</v>
          </cell>
        </row>
        <row r="3971">
          <cell r="C3971" t="str">
            <v>IC</v>
          </cell>
          <cell r="D3971">
            <v>2.5</v>
          </cell>
          <cell r="H3971" t="str">
            <v>petroleum</v>
          </cell>
        </row>
        <row r="3972">
          <cell r="C3972" t="str">
            <v>IC</v>
          </cell>
          <cell r="D3972">
            <v>2.5</v>
          </cell>
          <cell r="H3972" t="str">
            <v>petroleum</v>
          </cell>
        </row>
        <row r="3973">
          <cell r="C3973" t="str">
            <v>HY</v>
          </cell>
          <cell r="D3973">
            <v>2.4</v>
          </cell>
          <cell r="H3973" t="str">
            <v>hydro</v>
          </cell>
        </row>
        <row r="3974">
          <cell r="C3974" t="str">
            <v>HY</v>
          </cell>
          <cell r="D3974">
            <v>2.4</v>
          </cell>
          <cell r="H3974" t="str">
            <v>hydro</v>
          </cell>
        </row>
        <row r="3975">
          <cell r="C3975" t="str">
            <v>HY</v>
          </cell>
          <cell r="D3975">
            <v>25</v>
          </cell>
          <cell r="H3975" t="str">
            <v>hydro</v>
          </cell>
        </row>
        <row r="3976">
          <cell r="C3976" t="str">
            <v>GT</v>
          </cell>
          <cell r="D3976">
            <v>20.100000000000001</v>
          </cell>
          <cell r="H3976" t="str">
            <v>other</v>
          </cell>
        </row>
        <row r="3977">
          <cell r="C3977" t="str">
            <v>HY</v>
          </cell>
          <cell r="D3977">
            <v>4.8</v>
          </cell>
          <cell r="H3977" t="str">
            <v>hydro</v>
          </cell>
        </row>
        <row r="3978">
          <cell r="C3978" t="str">
            <v>HY</v>
          </cell>
          <cell r="D3978">
            <v>4.8</v>
          </cell>
          <cell r="H3978" t="str">
            <v>hydro</v>
          </cell>
        </row>
        <row r="3979">
          <cell r="C3979" t="str">
            <v>HY</v>
          </cell>
          <cell r="D3979">
            <v>4.8</v>
          </cell>
          <cell r="H3979" t="str">
            <v>hydro</v>
          </cell>
        </row>
        <row r="3980">
          <cell r="C3980" t="str">
            <v>GT</v>
          </cell>
          <cell r="D3980">
            <v>19.600000000000001</v>
          </cell>
          <cell r="H3980" t="str">
            <v>natural gas peaker</v>
          </cell>
        </row>
        <row r="3981">
          <cell r="C3981" t="str">
            <v>ST</v>
          </cell>
          <cell r="D3981">
            <v>338.2</v>
          </cell>
          <cell r="H3981" t="str">
            <v>natural gas peaker</v>
          </cell>
        </row>
        <row r="3982">
          <cell r="C3982" t="str">
            <v>ST</v>
          </cell>
          <cell r="D3982">
            <v>522.20000000000005</v>
          </cell>
          <cell r="H3982" t="str">
            <v>natural gas peaker</v>
          </cell>
        </row>
        <row r="3983">
          <cell r="C3983" t="str">
            <v>GT</v>
          </cell>
          <cell r="D3983">
            <v>12</v>
          </cell>
          <cell r="H3983" t="str">
            <v>natural gas peaker</v>
          </cell>
        </row>
        <row r="3984">
          <cell r="C3984" t="str">
            <v>GT</v>
          </cell>
          <cell r="D3984">
            <v>153.30000000000001</v>
          </cell>
          <cell r="H3984" t="str">
            <v>natural gas peaker</v>
          </cell>
        </row>
        <row r="3985">
          <cell r="C3985" t="str">
            <v>GT</v>
          </cell>
          <cell r="D3985">
            <v>154.80000000000001</v>
          </cell>
          <cell r="H3985" t="str">
            <v>natural gas peaker</v>
          </cell>
        </row>
        <row r="3986">
          <cell r="C3986" t="str">
            <v>ST</v>
          </cell>
          <cell r="D3986">
            <v>144.5</v>
          </cell>
          <cell r="H3986" t="str">
            <v>natural gas peaker</v>
          </cell>
        </row>
        <row r="3987">
          <cell r="C3987" t="str">
            <v>ST</v>
          </cell>
          <cell r="D3987">
            <v>186.9</v>
          </cell>
          <cell r="H3987" t="str">
            <v>natural gas peaker</v>
          </cell>
        </row>
        <row r="3988">
          <cell r="C3988" t="str">
            <v>GT</v>
          </cell>
          <cell r="D3988">
            <v>18.8</v>
          </cell>
          <cell r="H3988" t="str">
            <v>petroleum</v>
          </cell>
        </row>
        <row r="3989">
          <cell r="C3989" t="str">
            <v>GT</v>
          </cell>
          <cell r="D3989">
            <v>19.399999999999999</v>
          </cell>
          <cell r="H3989" t="str">
            <v>petroleum</v>
          </cell>
        </row>
        <row r="3990">
          <cell r="C3990" t="str">
            <v>GT</v>
          </cell>
          <cell r="D3990">
            <v>17.7</v>
          </cell>
          <cell r="H3990" t="str">
            <v>petroleum</v>
          </cell>
        </row>
        <row r="3991">
          <cell r="C3991" t="str">
            <v>GT</v>
          </cell>
          <cell r="D3991">
            <v>16.7</v>
          </cell>
          <cell r="H3991" t="str">
            <v>petroleum</v>
          </cell>
        </row>
        <row r="3992">
          <cell r="C3992" t="str">
            <v>GT</v>
          </cell>
          <cell r="D3992">
            <v>17.2</v>
          </cell>
          <cell r="H3992" t="str">
            <v>petroleum</v>
          </cell>
        </row>
        <row r="3993">
          <cell r="C3993" t="str">
            <v>GT</v>
          </cell>
          <cell r="D3993">
            <v>16.600000000000001</v>
          </cell>
          <cell r="H3993" t="str">
            <v>petroleum</v>
          </cell>
        </row>
        <row r="3994">
          <cell r="C3994" t="str">
            <v>GT</v>
          </cell>
          <cell r="D3994">
            <v>17.600000000000001</v>
          </cell>
          <cell r="H3994" t="str">
            <v>petroleum</v>
          </cell>
        </row>
        <row r="3995">
          <cell r="C3995" t="str">
            <v>GT</v>
          </cell>
          <cell r="D3995">
            <v>15.9</v>
          </cell>
          <cell r="H3995" t="str">
            <v>petroleum</v>
          </cell>
        </row>
        <row r="3996">
          <cell r="C3996" t="str">
            <v>GT</v>
          </cell>
          <cell r="D3996">
            <v>17</v>
          </cell>
          <cell r="H3996" t="str">
            <v>natural gas peaker</v>
          </cell>
        </row>
        <row r="3997">
          <cell r="C3997" t="str">
            <v>GT</v>
          </cell>
          <cell r="D3997">
            <v>18.3</v>
          </cell>
          <cell r="H3997" t="str">
            <v>natural gas peaker</v>
          </cell>
        </row>
        <row r="3998">
          <cell r="C3998" t="str">
            <v>GT</v>
          </cell>
          <cell r="D3998">
            <v>19.100000000000001</v>
          </cell>
          <cell r="H3998" t="str">
            <v>natural gas peaker</v>
          </cell>
        </row>
        <row r="3999">
          <cell r="C3999" t="str">
            <v>GT</v>
          </cell>
          <cell r="D3999">
            <v>17.3</v>
          </cell>
          <cell r="H3999" t="str">
            <v>natural gas peaker</v>
          </cell>
        </row>
        <row r="4000">
          <cell r="C4000" t="str">
            <v>GT</v>
          </cell>
          <cell r="D4000">
            <v>18</v>
          </cell>
          <cell r="H4000" t="str">
            <v>natural gas peaker</v>
          </cell>
        </row>
        <row r="4001">
          <cell r="C4001" t="str">
            <v>GT</v>
          </cell>
          <cell r="D4001">
            <v>19.5</v>
          </cell>
          <cell r="H4001" t="str">
            <v>natural gas peaker</v>
          </cell>
        </row>
        <row r="4002">
          <cell r="C4002" t="str">
            <v>GT</v>
          </cell>
          <cell r="D4002">
            <v>19.100000000000001</v>
          </cell>
          <cell r="H4002" t="str">
            <v>natural gas peaker</v>
          </cell>
        </row>
        <row r="4003">
          <cell r="C4003" t="str">
            <v>GT</v>
          </cell>
          <cell r="D4003">
            <v>17.7</v>
          </cell>
          <cell r="H4003" t="str">
            <v>natural gas peaker</v>
          </cell>
        </row>
        <row r="4004">
          <cell r="C4004" t="str">
            <v>GT</v>
          </cell>
          <cell r="D4004">
            <v>16.899999999999999</v>
          </cell>
          <cell r="H4004" t="str">
            <v>natural gas peaker</v>
          </cell>
        </row>
        <row r="4005">
          <cell r="C4005" t="str">
            <v>GT</v>
          </cell>
          <cell r="D4005">
            <v>17.100000000000001</v>
          </cell>
          <cell r="H4005" t="str">
            <v>natural gas peaker</v>
          </cell>
        </row>
        <row r="4006">
          <cell r="C4006" t="str">
            <v>GT</v>
          </cell>
          <cell r="D4006">
            <v>18</v>
          </cell>
          <cell r="H4006" t="str">
            <v>natural gas peaker</v>
          </cell>
        </row>
        <row r="4007">
          <cell r="C4007" t="str">
            <v>GT</v>
          </cell>
          <cell r="D4007">
            <v>16.2</v>
          </cell>
          <cell r="H4007" t="str">
            <v>natural gas peaker</v>
          </cell>
        </row>
        <row r="4008">
          <cell r="C4008" t="str">
            <v>GT</v>
          </cell>
          <cell r="D4008">
            <v>17.3</v>
          </cell>
          <cell r="H4008" t="str">
            <v>natural gas peaker</v>
          </cell>
        </row>
        <row r="4009">
          <cell r="C4009" t="str">
            <v>GT</v>
          </cell>
          <cell r="D4009">
            <v>15.5</v>
          </cell>
          <cell r="H4009" t="str">
            <v>natural gas peaker</v>
          </cell>
        </row>
        <row r="4010">
          <cell r="C4010" t="str">
            <v>GT</v>
          </cell>
          <cell r="D4010">
            <v>18.100000000000001</v>
          </cell>
          <cell r="H4010" t="str">
            <v>natural gas peaker</v>
          </cell>
        </row>
        <row r="4011">
          <cell r="C4011" t="str">
            <v>GT</v>
          </cell>
          <cell r="D4011">
            <v>16.899999999999999</v>
          </cell>
          <cell r="H4011" t="str">
            <v>natural gas peaker</v>
          </cell>
        </row>
        <row r="4012">
          <cell r="C4012" t="str">
            <v>GT</v>
          </cell>
          <cell r="D4012">
            <v>18.899999999999999</v>
          </cell>
          <cell r="H4012" t="str">
            <v>petroleum</v>
          </cell>
        </row>
        <row r="4013">
          <cell r="C4013" t="str">
            <v>GT</v>
          </cell>
          <cell r="D4013">
            <v>17.600000000000001</v>
          </cell>
          <cell r="H4013" t="str">
            <v>petroleum</v>
          </cell>
        </row>
        <row r="4014">
          <cell r="C4014" t="str">
            <v>GT</v>
          </cell>
          <cell r="D4014">
            <v>16.600000000000001</v>
          </cell>
          <cell r="H4014" t="str">
            <v>petroleum</v>
          </cell>
        </row>
        <row r="4015">
          <cell r="C4015" t="str">
            <v>GT</v>
          </cell>
          <cell r="D4015">
            <v>16.5</v>
          </cell>
          <cell r="H4015" t="str">
            <v>petroleum</v>
          </cell>
        </row>
        <row r="4016">
          <cell r="C4016" t="str">
            <v>GT</v>
          </cell>
          <cell r="D4016">
            <v>16.399999999999999</v>
          </cell>
          <cell r="H4016" t="str">
            <v>petroleum</v>
          </cell>
        </row>
        <row r="4017">
          <cell r="C4017" t="str">
            <v>GT</v>
          </cell>
          <cell r="D4017">
            <v>18.100000000000001</v>
          </cell>
          <cell r="H4017" t="str">
            <v>petroleum</v>
          </cell>
        </row>
        <row r="4018">
          <cell r="C4018" t="str">
            <v>GT</v>
          </cell>
          <cell r="D4018">
            <v>17.2</v>
          </cell>
          <cell r="H4018" t="str">
            <v>petroleum</v>
          </cell>
        </row>
        <row r="4019">
          <cell r="C4019" t="str">
            <v>GT</v>
          </cell>
          <cell r="D4019">
            <v>17.399999999999999</v>
          </cell>
          <cell r="H4019" t="str">
            <v>petroleum</v>
          </cell>
        </row>
        <row r="4020">
          <cell r="C4020" t="str">
            <v>GT</v>
          </cell>
          <cell r="D4020">
            <v>16.7</v>
          </cell>
          <cell r="H4020" t="str">
            <v>other</v>
          </cell>
        </row>
        <row r="4021">
          <cell r="C4021" t="str">
            <v>GT</v>
          </cell>
          <cell r="D4021">
            <v>14.2</v>
          </cell>
          <cell r="H4021" t="str">
            <v>other</v>
          </cell>
        </row>
        <row r="4022">
          <cell r="C4022" t="str">
            <v>ST</v>
          </cell>
          <cell r="D4022">
            <v>1016.1</v>
          </cell>
          <cell r="H4022" t="str">
            <v>nuclear</v>
          </cell>
        </row>
        <row r="4023">
          <cell r="C4023" t="str">
            <v>GT</v>
          </cell>
          <cell r="D4023">
            <v>19.3</v>
          </cell>
          <cell r="H4023" t="str">
            <v>natural gas peaker</v>
          </cell>
        </row>
        <row r="4024">
          <cell r="C4024" t="str">
            <v>GT</v>
          </cell>
          <cell r="D4024">
            <v>17.100000000000001</v>
          </cell>
          <cell r="H4024" t="str">
            <v>natural gas peaker</v>
          </cell>
        </row>
        <row r="4025">
          <cell r="C4025" t="str">
            <v>GT</v>
          </cell>
          <cell r="D4025">
            <v>18.3</v>
          </cell>
          <cell r="H4025" t="str">
            <v>natural gas peaker</v>
          </cell>
        </row>
        <row r="4026">
          <cell r="C4026" t="str">
            <v>GT</v>
          </cell>
          <cell r="D4026">
            <v>18.8</v>
          </cell>
          <cell r="H4026" t="str">
            <v>natural gas peaker</v>
          </cell>
        </row>
        <row r="4027">
          <cell r="C4027" t="str">
            <v>GT</v>
          </cell>
          <cell r="D4027">
            <v>19.899999999999999</v>
          </cell>
          <cell r="H4027" t="str">
            <v>natural gas peaker</v>
          </cell>
        </row>
        <row r="4028">
          <cell r="C4028" t="str">
            <v>GT</v>
          </cell>
          <cell r="D4028">
            <v>16.5</v>
          </cell>
          <cell r="H4028" t="str">
            <v>natural gas peaker</v>
          </cell>
        </row>
        <row r="4029">
          <cell r="C4029" t="str">
            <v>GT</v>
          </cell>
          <cell r="D4029">
            <v>19.399999999999999</v>
          </cell>
          <cell r="H4029" t="str">
            <v>natural gas peaker</v>
          </cell>
        </row>
        <row r="4030">
          <cell r="C4030" t="str">
            <v>GT</v>
          </cell>
          <cell r="D4030">
            <v>17.5</v>
          </cell>
          <cell r="H4030" t="str">
            <v>natural gas peaker</v>
          </cell>
        </row>
        <row r="4031">
          <cell r="C4031" t="str">
            <v>GT</v>
          </cell>
          <cell r="D4031">
            <v>19.2</v>
          </cell>
          <cell r="H4031" t="str">
            <v>natural gas peaker</v>
          </cell>
        </row>
        <row r="4032">
          <cell r="C4032" t="str">
            <v>GT</v>
          </cell>
          <cell r="D4032">
            <v>16.399999999999999</v>
          </cell>
          <cell r="H4032" t="str">
            <v>natural gas peaker</v>
          </cell>
        </row>
        <row r="4033">
          <cell r="C4033" t="str">
            <v>GT</v>
          </cell>
          <cell r="D4033">
            <v>17.5</v>
          </cell>
          <cell r="H4033" t="str">
            <v>natural gas peaker</v>
          </cell>
        </row>
        <row r="4034">
          <cell r="C4034" t="str">
            <v>GT</v>
          </cell>
          <cell r="D4034">
            <v>17.899999999999999</v>
          </cell>
          <cell r="H4034" t="str">
            <v>natural gas peaker</v>
          </cell>
        </row>
        <row r="4035">
          <cell r="C4035" t="str">
            <v>GT</v>
          </cell>
          <cell r="D4035">
            <v>18.100000000000001</v>
          </cell>
          <cell r="H4035" t="str">
            <v>natural gas peaker</v>
          </cell>
        </row>
        <row r="4036">
          <cell r="C4036" t="str">
            <v>GT</v>
          </cell>
          <cell r="D4036">
            <v>16.3</v>
          </cell>
          <cell r="H4036" t="str">
            <v>natural gas peaker</v>
          </cell>
        </row>
        <row r="4037">
          <cell r="C4037" t="str">
            <v>GT</v>
          </cell>
          <cell r="D4037">
            <v>18.5</v>
          </cell>
          <cell r="H4037" t="str">
            <v>natural gas peaker</v>
          </cell>
        </row>
        <row r="4038">
          <cell r="C4038" t="str">
            <v>GT</v>
          </cell>
          <cell r="D4038">
            <v>16.3</v>
          </cell>
          <cell r="H4038" t="str">
            <v>natural gas peaker</v>
          </cell>
        </row>
        <row r="4039">
          <cell r="C4039" t="str">
            <v>ST</v>
          </cell>
          <cell r="D4039">
            <v>370.8</v>
          </cell>
          <cell r="H4039" t="str">
            <v>natural gas peaker</v>
          </cell>
        </row>
        <row r="4040">
          <cell r="C4040" t="str">
            <v>ST</v>
          </cell>
          <cell r="D4040">
            <v>377.5</v>
          </cell>
          <cell r="H4040" t="str">
            <v>natural gas peaker</v>
          </cell>
        </row>
        <row r="4041">
          <cell r="C4041" t="str">
            <v>ST</v>
          </cell>
          <cell r="D4041">
            <v>988.5</v>
          </cell>
          <cell r="H4041" t="str">
            <v>natural gas peaker</v>
          </cell>
        </row>
        <row r="4042">
          <cell r="C4042" t="str">
            <v>CT</v>
          </cell>
          <cell r="D4042">
            <v>169.7</v>
          </cell>
          <cell r="H4042" t="str">
            <v>natural gas nonpeaker</v>
          </cell>
        </row>
        <row r="4043">
          <cell r="C4043" t="str">
            <v>CA</v>
          </cell>
          <cell r="D4043">
            <v>79.099999999999994</v>
          </cell>
          <cell r="H4043" t="str">
            <v>natural gas nonpeaker</v>
          </cell>
        </row>
        <row r="4044">
          <cell r="C4044" t="str">
            <v>GT</v>
          </cell>
          <cell r="D4044">
            <v>8.6999999999999993</v>
          </cell>
          <cell r="H4044" t="str">
            <v>natural gas peaker</v>
          </cell>
        </row>
        <row r="4045">
          <cell r="C4045" t="str">
            <v>GT</v>
          </cell>
          <cell r="D4045">
            <v>16.5</v>
          </cell>
          <cell r="H4045" t="str">
            <v>natural gas peaker</v>
          </cell>
        </row>
        <row r="4046">
          <cell r="C4046" t="str">
            <v>GT</v>
          </cell>
          <cell r="D4046">
            <v>16.399999999999999</v>
          </cell>
          <cell r="H4046" t="str">
            <v>natural gas peaker</v>
          </cell>
        </row>
        <row r="4047">
          <cell r="C4047" t="str">
            <v>GT</v>
          </cell>
          <cell r="D4047">
            <v>30.6</v>
          </cell>
          <cell r="H4047" t="str">
            <v>natural gas peaker</v>
          </cell>
        </row>
        <row r="4048">
          <cell r="C4048" t="str">
            <v>GT</v>
          </cell>
          <cell r="D4048">
            <v>32</v>
          </cell>
          <cell r="H4048" t="str">
            <v>natural gas peaker</v>
          </cell>
        </row>
        <row r="4049">
          <cell r="C4049" t="str">
            <v>GT</v>
          </cell>
          <cell r="D4049">
            <v>30.7</v>
          </cell>
          <cell r="H4049" t="str">
            <v>natural gas peaker</v>
          </cell>
        </row>
        <row r="4050">
          <cell r="C4050" t="str">
            <v>GT</v>
          </cell>
          <cell r="D4050">
            <v>30.9</v>
          </cell>
          <cell r="H4050" t="str">
            <v>natural gas peaker</v>
          </cell>
        </row>
        <row r="4051">
          <cell r="C4051" t="str">
            <v>GT</v>
          </cell>
          <cell r="D4051">
            <v>30.7</v>
          </cell>
          <cell r="H4051" t="str">
            <v>natural gas peaker</v>
          </cell>
        </row>
        <row r="4052">
          <cell r="C4052" t="str">
            <v>GT</v>
          </cell>
          <cell r="D4052">
            <v>29.7</v>
          </cell>
          <cell r="H4052" t="str">
            <v>natural gas peaker</v>
          </cell>
        </row>
        <row r="4053">
          <cell r="C4053" t="str">
            <v>GT</v>
          </cell>
          <cell r="D4053">
            <v>29.8</v>
          </cell>
          <cell r="H4053" t="str">
            <v>natural gas peaker</v>
          </cell>
        </row>
        <row r="4054">
          <cell r="C4054" t="str">
            <v>GT</v>
          </cell>
          <cell r="D4054">
            <v>12.9</v>
          </cell>
          <cell r="H4054" t="str">
            <v>natural gas peaker</v>
          </cell>
        </row>
        <row r="4055">
          <cell r="C4055" t="str">
            <v>GT</v>
          </cell>
          <cell r="D4055">
            <v>15.5</v>
          </cell>
          <cell r="H4055" t="str">
            <v>natural gas peaker</v>
          </cell>
        </row>
        <row r="4056">
          <cell r="C4056" t="str">
            <v>GT</v>
          </cell>
          <cell r="D4056">
            <v>12.6</v>
          </cell>
          <cell r="H4056" t="str">
            <v>natural gas peaker</v>
          </cell>
        </row>
        <row r="4057">
          <cell r="C4057" t="str">
            <v>GT</v>
          </cell>
          <cell r="D4057">
            <v>16.3</v>
          </cell>
          <cell r="H4057" t="str">
            <v>natural gas peaker</v>
          </cell>
        </row>
        <row r="4058">
          <cell r="C4058" t="str">
            <v>GT</v>
          </cell>
          <cell r="D4058">
            <v>15.6</v>
          </cell>
          <cell r="H4058" t="str">
            <v>natural gas peaker</v>
          </cell>
        </row>
        <row r="4059">
          <cell r="C4059" t="str">
            <v>GT</v>
          </cell>
          <cell r="D4059">
            <v>15.9</v>
          </cell>
          <cell r="H4059" t="str">
            <v>other</v>
          </cell>
        </row>
        <row r="4060">
          <cell r="C4060" t="str">
            <v>GT</v>
          </cell>
          <cell r="D4060">
            <v>19.3</v>
          </cell>
          <cell r="H4060" t="str">
            <v>other</v>
          </cell>
        </row>
        <row r="4061">
          <cell r="C4061" t="str">
            <v>GT</v>
          </cell>
          <cell r="D4061">
            <v>40.6</v>
          </cell>
          <cell r="H4061" t="str">
            <v>natural gas peaker</v>
          </cell>
        </row>
        <row r="4062">
          <cell r="C4062" t="str">
            <v>GT</v>
          </cell>
          <cell r="D4062">
            <v>40.1</v>
          </cell>
          <cell r="H4062" t="str">
            <v>natural gas peaker</v>
          </cell>
        </row>
        <row r="4063">
          <cell r="C4063" t="str">
            <v>GT</v>
          </cell>
          <cell r="D4063">
            <v>40.9</v>
          </cell>
          <cell r="H4063" t="str">
            <v>natural gas peaker</v>
          </cell>
        </row>
        <row r="4064">
          <cell r="C4064" t="str">
            <v>GT</v>
          </cell>
          <cell r="D4064">
            <v>17.7</v>
          </cell>
          <cell r="H4064" t="str">
            <v>natural gas peaker</v>
          </cell>
        </row>
        <row r="4065">
          <cell r="C4065" t="str">
            <v>GT</v>
          </cell>
          <cell r="D4065">
            <v>16.8</v>
          </cell>
          <cell r="H4065" t="str">
            <v>natural gas peaker</v>
          </cell>
        </row>
        <row r="4066">
          <cell r="C4066" t="str">
            <v>GT</v>
          </cell>
          <cell r="D4066">
            <v>17.600000000000001</v>
          </cell>
          <cell r="H4066" t="str">
            <v>natural gas peaker</v>
          </cell>
        </row>
        <row r="4067">
          <cell r="C4067" t="str">
            <v>GT</v>
          </cell>
          <cell r="D4067">
            <v>16.399999999999999</v>
          </cell>
          <cell r="H4067" t="str">
            <v>natural gas peaker</v>
          </cell>
        </row>
        <row r="4068">
          <cell r="C4068" t="str">
            <v>GT</v>
          </cell>
          <cell r="D4068">
            <v>15.1</v>
          </cell>
          <cell r="H4068" t="str">
            <v>natural gas peaker</v>
          </cell>
        </row>
        <row r="4069">
          <cell r="C4069" t="str">
            <v>GT</v>
          </cell>
          <cell r="D4069">
            <v>41.2</v>
          </cell>
          <cell r="H4069" t="str">
            <v>natural gas peaker</v>
          </cell>
        </row>
        <row r="4070">
          <cell r="C4070" t="str">
            <v>GT</v>
          </cell>
          <cell r="D4070">
            <v>17.399999999999999</v>
          </cell>
          <cell r="H4070" t="str">
            <v>natural gas peaker</v>
          </cell>
        </row>
        <row r="4071">
          <cell r="C4071" t="str">
            <v>GT</v>
          </cell>
          <cell r="D4071">
            <v>17.600000000000001</v>
          </cell>
          <cell r="H4071" t="str">
            <v>natural gas peaker</v>
          </cell>
        </row>
        <row r="4072">
          <cell r="C4072" t="str">
            <v>ST</v>
          </cell>
          <cell r="D4072">
            <v>194.2</v>
          </cell>
          <cell r="H4072" t="str">
            <v>natural gas peaker</v>
          </cell>
        </row>
        <row r="4073">
          <cell r="C4073" t="str">
            <v>ST</v>
          </cell>
          <cell r="D4073">
            <v>178</v>
          </cell>
          <cell r="H4073" t="str">
            <v>natural gas peaker</v>
          </cell>
        </row>
        <row r="4074">
          <cell r="C4074" t="str">
            <v>GT</v>
          </cell>
          <cell r="D4074">
            <v>19.2</v>
          </cell>
          <cell r="H4074" t="str">
            <v>petroleum</v>
          </cell>
        </row>
        <row r="4075">
          <cell r="C4075" t="str">
            <v>IC</v>
          </cell>
          <cell r="D4075">
            <v>2</v>
          </cell>
          <cell r="H4075" t="str">
            <v>petroleum</v>
          </cell>
        </row>
        <row r="4076">
          <cell r="C4076" t="str">
            <v>IC</v>
          </cell>
          <cell r="D4076">
            <v>2</v>
          </cell>
          <cell r="H4076" t="str">
            <v>petroleum</v>
          </cell>
        </row>
        <row r="4077">
          <cell r="C4077" t="str">
            <v>IC</v>
          </cell>
          <cell r="D4077">
            <v>2</v>
          </cell>
          <cell r="H4077" t="str">
            <v>petroleum</v>
          </cell>
        </row>
        <row r="4078">
          <cell r="C4078" t="str">
            <v>GT</v>
          </cell>
          <cell r="D4078">
            <v>49</v>
          </cell>
          <cell r="H4078" t="str">
            <v>petroleum</v>
          </cell>
        </row>
        <row r="4079">
          <cell r="C4079" t="str">
            <v>GT</v>
          </cell>
          <cell r="D4079">
            <v>55.1</v>
          </cell>
          <cell r="H4079" t="str">
            <v>petroleum</v>
          </cell>
        </row>
        <row r="4080">
          <cell r="C4080" t="str">
            <v>ST</v>
          </cell>
          <cell r="D4080">
            <v>398</v>
          </cell>
          <cell r="H4080" t="str">
            <v>natural gas peaker</v>
          </cell>
        </row>
        <row r="4081">
          <cell r="C4081" t="str">
            <v>ST</v>
          </cell>
          <cell r="D4081">
            <v>398.5</v>
          </cell>
          <cell r="H4081" t="str">
            <v>natural gas peaker</v>
          </cell>
        </row>
        <row r="4082">
          <cell r="C4082" t="str">
            <v>ST</v>
          </cell>
          <cell r="D4082">
            <v>398</v>
          </cell>
          <cell r="H4082" t="str">
            <v>natural gas peaker</v>
          </cell>
        </row>
        <row r="4083">
          <cell r="C4083" t="str">
            <v>GT</v>
          </cell>
          <cell r="D4083">
            <v>11.8</v>
          </cell>
          <cell r="H4083" t="str">
            <v>petroleum</v>
          </cell>
        </row>
        <row r="4084">
          <cell r="C4084" t="str">
            <v>ST</v>
          </cell>
          <cell r="D4084">
            <v>397.7</v>
          </cell>
          <cell r="H4084" t="str">
            <v>natural gas peaker</v>
          </cell>
        </row>
        <row r="4085">
          <cell r="C4085" t="str">
            <v>ST</v>
          </cell>
          <cell r="D4085">
            <v>192</v>
          </cell>
          <cell r="H4085" t="str">
            <v>natural gas peaker</v>
          </cell>
        </row>
        <row r="4086">
          <cell r="C4086" t="str">
            <v>ST</v>
          </cell>
          <cell r="D4086">
            <v>193</v>
          </cell>
          <cell r="H4086" t="str">
            <v>natural gas peaker</v>
          </cell>
        </row>
        <row r="4087">
          <cell r="C4087" t="str">
            <v>GT</v>
          </cell>
          <cell r="D4087">
            <v>12.9</v>
          </cell>
          <cell r="H4087" t="str">
            <v>petroleum</v>
          </cell>
        </row>
        <row r="4088">
          <cell r="C4088" t="str">
            <v>GT</v>
          </cell>
          <cell r="D4088">
            <v>42.6</v>
          </cell>
          <cell r="H4088" t="str">
            <v>natural gas peaker</v>
          </cell>
        </row>
        <row r="4089">
          <cell r="C4089" t="str">
            <v>GT</v>
          </cell>
          <cell r="D4089">
            <v>40.1</v>
          </cell>
          <cell r="H4089" t="str">
            <v>natural gas peaker</v>
          </cell>
        </row>
        <row r="4090">
          <cell r="C4090" t="str">
            <v>GT</v>
          </cell>
          <cell r="D4090">
            <v>49.8</v>
          </cell>
          <cell r="H4090" t="str">
            <v>petroleum</v>
          </cell>
        </row>
        <row r="4091">
          <cell r="C4091" t="str">
            <v>GT</v>
          </cell>
          <cell r="D4091">
            <v>15.9</v>
          </cell>
          <cell r="H4091" t="str">
            <v>petroleum</v>
          </cell>
        </row>
        <row r="4092">
          <cell r="C4092" t="str">
            <v>GT</v>
          </cell>
          <cell r="D4092">
            <v>8.5</v>
          </cell>
          <cell r="H4092" t="str">
            <v>petroleum</v>
          </cell>
        </row>
        <row r="4093">
          <cell r="C4093" t="str">
            <v>GT</v>
          </cell>
          <cell r="D4093">
            <v>10</v>
          </cell>
          <cell r="H4093" t="str">
            <v>petroleum</v>
          </cell>
        </row>
        <row r="4094">
          <cell r="C4094" t="str">
            <v>GT</v>
          </cell>
          <cell r="D4094">
            <v>49.7</v>
          </cell>
          <cell r="H4094" t="str">
            <v>petroleum</v>
          </cell>
        </row>
        <row r="4095">
          <cell r="C4095" t="str">
            <v>HY</v>
          </cell>
          <cell r="D4095">
            <v>1.2</v>
          </cell>
          <cell r="H4095" t="str">
            <v>hydro</v>
          </cell>
        </row>
        <row r="4096">
          <cell r="C4096" t="str">
            <v>HY</v>
          </cell>
          <cell r="D4096">
            <v>1.2</v>
          </cell>
          <cell r="H4096" t="str">
            <v>hydro</v>
          </cell>
        </row>
        <row r="4097">
          <cell r="C4097" t="str">
            <v>HY</v>
          </cell>
          <cell r="D4097">
            <v>3.1</v>
          </cell>
          <cell r="H4097" t="str">
            <v>hydro</v>
          </cell>
        </row>
        <row r="4098">
          <cell r="C4098" t="str">
            <v>ST</v>
          </cell>
          <cell r="D4098">
            <v>104.5</v>
          </cell>
          <cell r="H4098" t="str">
            <v>natural gas peaker</v>
          </cell>
        </row>
        <row r="4099">
          <cell r="C4099" t="str">
            <v>IC</v>
          </cell>
          <cell r="D4099">
            <v>1.7</v>
          </cell>
          <cell r="H4099" t="str">
            <v>petroleum</v>
          </cell>
        </row>
        <row r="4100">
          <cell r="C4100" t="str">
            <v>IC</v>
          </cell>
          <cell r="D4100">
            <v>2.2999999999999998</v>
          </cell>
          <cell r="H4100" t="str">
            <v>petroleum</v>
          </cell>
        </row>
        <row r="4101">
          <cell r="C4101" t="str">
            <v>HY</v>
          </cell>
          <cell r="D4101">
            <v>4</v>
          </cell>
          <cell r="H4101" t="str">
            <v>hydro</v>
          </cell>
        </row>
        <row r="4102">
          <cell r="C4102" t="str">
            <v>HY</v>
          </cell>
          <cell r="D4102">
            <v>4</v>
          </cell>
          <cell r="H4102" t="str">
            <v>hydro</v>
          </cell>
        </row>
        <row r="4103">
          <cell r="C4103" t="str">
            <v>HY</v>
          </cell>
          <cell r="D4103">
            <v>7</v>
          </cell>
          <cell r="H4103" t="str">
            <v>hydro</v>
          </cell>
        </row>
        <row r="4104">
          <cell r="C4104" t="str">
            <v>HY</v>
          </cell>
          <cell r="D4104">
            <v>3.8</v>
          </cell>
          <cell r="H4104" t="str">
            <v>hydro</v>
          </cell>
        </row>
        <row r="4105">
          <cell r="C4105" t="str">
            <v>HY</v>
          </cell>
          <cell r="D4105">
            <v>3.8</v>
          </cell>
          <cell r="H4105" t="str">
            <v>hydro</v>
          </cell>
        </row>
        <row r="4106">
          <cell r="C4106" t="str">
            <v>HY</v>
          </cell>
          <cell r="D4106">
            <v>6</v>
          </cell>
          <cell r="H4106" t="str">
            <v>hydro</v>
          </cell>
        </row>
        <row r="4107">
          <cell r="C4107" t="str">
            <v>CT</v>
          </cell>
          <cell r="D4107">
            <v>188.6</v>
          </cell>
          <cell r="H4107" t="str">
            <v>natural gas nonpeaker</v>
          </cell>
        </row>
        <row r="4108">
          <cell r="C4108" t="str">
            <v>CT</v>
          </cell>
          <cell r="D4108">
            <v>172</v>
          </cell>
          <cell r="H4108" t="str">
            <v>natural gas nonpeaker</v>
          </cell>
        </row>
        <row r="4109">
          <cell r="C4109" t="str">
            <v>CT</v>
          </cell>
          <cell r="D4109">
            <v>188.6</v>
          </cell>
          <cell r="H4109" t="str">
            <v>natural gas nonpeaker</v>
          </cell>
        </row>
        <row r="4110">
          <cell r="C4110" t="str">
            <v>CA</v>
          </cell>
          <cell r="D4110">
            <v>265.39999999999998</v>
          </cell>
          <cell r="H4110" t="str">
            <v>natural gas nonpeaker</v>
          </cell>
        </row>
        <row r="4111">
          <cell r="C4111" t="str">
            <v>HY</v>
          </cell>
          <cell r="D4111">
            <v>3.5</v>
          </cell>
          <cell r="H4111" t="str">
            <v>hydro</v>
          </cell>
        </row>
        <row r="4112">
          <cell r="C4112" t="str">
            <v>HY</v>
          </cell>
          <cell r="D4112">
            <v>8.5</v>
          </cell>
          <cell r="H4112" t="str">
            <v>hydro</v>
          </cell>
        </row>
        <row r="4113">
          <cell r="C4113" t="str">
            <v>HY</v>
          </cell>
          <cell r="D4113">
            <v>8.1</v>
          </cell>
          <cell r="H4113" t="str">
            <v>hydro</v>
          </cell>
        </row>
        <row r="4114">
          <cell r="C4114" t="str">
            <v>HY</v>
          </cell>
          <cell r="D4114">
            <v>0.4</v>
          </cell>
          <cell r="H4114" t="str">
            <v>hydro</v>
          </cell>
        </row>
        <row r="4115">
          <cell r="C4115" t="str">
            <v>HY</v>
          </cell>
          <cell r="D4115">
            <v>0.5</v>
          </cell>
          <cell r="H4115" t="str">
            <v>hydro</v>
          </cell>
        </row>
        <row r="4116">
          <cell r="C4116" t="str">
            <v>HY</v>
          </cell>
          <cell r="D4116">
            <v>0.9</v>
          </cell>
          <cell r="H4116" t="str">
            <v>hydro</v>
          </cell>
        </row>
        <row r="4117">
          <cell r="C4117" t="str">
            <v>HY</v>
          </cell>
          <cell r="D4117">
            <v>8.4</v>
          </cell>
          <cell r="H4117" t="str">
            <v>hydro</v>
          </cell>
        </row>
        <row r="4118">
          <cell r="C4118" t="str">
            <v>HY</v>
          </cell>
          <cell r="D4118">
            <v>8.4</v>
          </cell>
          <cell r="H4118" t="str">
            <v>hydro</v>
          </cell>
        </row>
        <row r="4119">
          <cell r="C4119" t="str">
            <v>HY</v>
          </cell>
          <cell r="D4119">
            <v>6.3</v>
          </cell>
          <cell r="H4119" t="str">
            <v>hydro</v>
          </cell>
        </row>
        <row r="4120">
          <cell r="C4120" t="str">
            <v>HY</v>
          </cell>
          <cell r="D4120">
            <v>7.2</v>
          </cell>
          <cell r="H4120" t="str">
            <v>hydro</v>
          </cell>
        </row>
        <row r="4121">
          <cell r="C4121" t="str">
            <v>HY</v>
          </cell>
          <cell r="D4121">
            <v>1.5</v>
          </cell>
          <cell r="H4121" t="str">
            <v>hydro</v>
          </cell>
        </row>
        <row r="4122">
          <cell r="C4122" t="str">
            <v>HY</v>
          </cell>
          <cell r="D4122">
            <v>1.5</v>
          </cell>
          <cell r="H4122" t="str">
            <v>hydro</v>
          </cell>
        </row>
        <row r="4123">
          <cell r="C4123" t="str">
            <v>HY</v>
          </cell>
          <cell r="D4123">
            <v>1.5</v>
          </cell>
          <cell r="H4123" t="str">
            <v>hydro</v>
          </cell>
        </row>
        <row r="4124">
          <cell r="C4124" t="str">
            <v>HY</v>
          </cell>
          <cell r="D4124">
            <v>14.2</v>
          </cell>
          <cell r="H4124" t="str">
            <v>hydro</v>
          </cell>
        </row>
        <row r="4125">
          <cell r="C4125" t="str">
            <v>HY</v>
          </cell>
          <cell r="D4125">
            <v>7.9</v>
          </cell>
          <cell r="H4125" t="str">
            <v>hydro</v>
          </cell>
        </row>
        <row r="4126">
          <cell r="C4126" t="str">
            <v>HY</v>
          </cell>
          <cell r="D4126">
            <v>7.9</v>
          </cell>
          <cell r="H4126" t="str">
            <v>hydro</v>
          </cell>
        </row>
        <row r="4127">
          <cell r="C4127" t="str">
            <v>HY</v>
          </cell>
          <cell r="D4127">
            <v>0.5</v>
          </cell>
          <cell r="H4127" t="str">
            <v>hydro</v>
          </cell>
        </row>
        <row r="4128">
          <cell r="C4128" t="str">
            <v>HY</v>
          </cell>
          <cell r="D4128">
            <v>0.5</v>
          </cell>
          <cell r="H4128" t="str">
            <v>hydro</v>
          </cell>
        </row>
        <row r="4129">
          <cell r="C4129" t="str">
            <v>HY</v>
          </cell>
          <cell r="D4129">
            <v>0.6</v>
          </cell>
          <cell r="H4129" t="str">
            <v>hydro</v>
          </cell>
        </row>
        <row r="4130">
          <cell r="C4130" t="str">
            <v>HY</v>
          </cell>
          <cell r="D4130">
            <v>9.9</v>
          </cell>
          <cell r="H4130" t="str">
            <v>hydro</v>
          </cell>
        </row>
        <row r="4131">
          <cell r="C4131" t="str">
            <v>HY</v>
          </cell>
          <cell r="D4131">
            <v>10.3</v>
          </cell>
          <cell r="H4131" t="str">
            <v>hydro</v>
          </cell>
        </row>
        <row r="4132">
          <cell r="C4132" t="str">
            <v>HY</v>
          </cell>
          <cell r="D4132">
            <v>9.5</v>
          </cell>
          <cell r="H4132" t="str">
            <v>hydro</v>
          </cell>
        </row>
        <row r="4133">
          <cell r="C4133" t="str">
            <v>HY</v>
          </cell>
          <cell r="D4133">
            <v>3.6</v>
          </cell>
          <cell r="H4133" t="str">
            <v>hydro</v>
          </cell>
        </row>
        <row r="4134">
          <cell r="C4134" t="str">
            <v>HY</v>
          </cell>
          <cell r="D4134">
            <v>3.6</v>
          </cell>
          <cell r="H4134" t="str">
            <v>hydro</v>
          </cell>
        </row>
        <row r="4135">
          <cell r="C4135" t="str">
            <v>HY</v>
          </cell>
          <cell r="D4135">
            <v>3.6</v>
          </cell>
          <cell r="H4135" t="str">
            <v>hydro</v>
          </cell>
        </row>
        <row r="4136">
          <cell r="C4136" t="str">
            <v>ST</v>
          </cell>
          <cell r="D4136">
            <v>75</v>
          </cell>
          <cell r="H4136" t="str">
            <v>hard coal</v>
          </cell>
        </row>
        <row r="4137">
          <cell r="C4137" t="str">
            <v>ST</v>
          </cell>
          <cell r="D4137">
            <v>75</v>
          </cell>
          <cell r="H4137" t="str">
            <v>hard coal</v>
          </cell>
        </row>
        <row r="4138">
          <cell r="C4138" t="str">
            <v>ST</v>
          </cell>
          <cell r="D4138">
            <v>185</v>
          </cell>
          <cell r="H4138" t="str">
            <v>hard coal</v>
          </cell>
        </row>
        <row r="4139">
          <cell r="C4139" t="str">
            <v>ST</v>
          </cell>
          <cell r="D4139">
            <v>185</v>
          </cell>
          <cell r="H4139" t="str">
            <v>hard coal</v>
          </cell>
        </row>
        <row r="4140">
          <cell r="C4140" t="str">
            <v>HY</v>
          </cell>
          <cell r="D4140">
            <v>1.4</v>
          </cell>
          <cell r="H4140" t="str">
            <v>hydro</v>
          </cell>
        </row>
        <row r="4141">
          <cell r="C4141" t="str">
            <v>HY</v>
          </cell>
          <cell r="D4141">
            <v>1.2</v>
          </cell>
          <cell r="H4141" t="str">
            <v>hydro</v>
          </cell>
        </row>
        <row r="4142">
          <cell r="C4142" t="str">
            <v>HY</v>
          </cell>
          <cell r="D4142">
            <v>1.2</v>
          </cell>
          <cell r="H4142" t="str">
            <v>hydro</v>
          </cell>
        </row>
        <row r="4143">
          <cell r="C4143" t="str">
            <v>HY</v>
          </cell>
          <cell r="D4143">
            <v>2</v>
          </cell>
          <cell r="H4143" t="str">
            <v>hydro</v>
          </cell>
        </row>
        <row r="4144">
          <cell r="C4144" t="str">
            <v>HY</v>
          </cell>
          <cell r="D4144">
            <v>0.4</v>
          </cell>
          <cell r="H4144" t="str">
            <v>hydro</v>
          </cell>
        </row>
        <row r="4145">
          <cell r="C4145" t="str">
            <v>HY</v>
          </cell>
          <cell r="D4145">
            <v>0.8</v>
          </cell>
          <cell r="H4145" t="str">
            <v>hydro</v>
          </cell>
        </row>
        <row r="4146">
          <cell r="C4146" t="str">
            <v>HY</v>
          </cell>
          <cell r="D4146">
            <v>0.8</v>
          </cell>
          <cell r="H4146" t="str">
            <v>hydro</v>
          </cell>
        </row>
        <row r="4147">
          <cell r="C4147" t="str">
            <v>HY</v>
          </cell>
          <cell r="D4147">
            <v>0.4</v>
          </cell>
          <cell r="H4147" t="str">
            <v>hydro</v>
          </cell>
        </row>
        <row r="4148">
          <cell r="C4148" t="str">
            <v>HY</v>
          </cell>
          <cell r="D4148">
            <v>0.4</v>
          </cell>
          <cell r="H4148" t="str">
            <v>hydro</v>
          </cell>
        </row>
        <row r="4149">
          <cell r="C4149" t="str">
            <v>HY</v>
          </cell>
          <cell r="D4149">
            <v>0.4</v>
          </cell>
          <cell r="H4149" t="str">
            <v>hydro</v>
          </cell>
        </row>
        <row r="4150">
          <cell r="C4150" t="str">
            <v>HY</v>
          </cell>
          <cell r="D4150">
            <v>1.7</v>
          </cell>
          <cell r="H4150" t="str">
            <v>hydro</v>
          </cell>
        </row>
        <row r="4151">
          <cell r="C4151" t="str">
            <v>HY</v>
          </cell>
          <cell r="D4151">
            <v>1</v>
          </cell>
          <cell r="H4151" t="str">
            <v>hydro</v>
          </cell>
        </row>
        <row r="4152">
          <cell r="C4152" t="str">
            <v>HY</v>
          </cell>
          <cell r="D4152">
            <v>1</v>
          </cell>
          <cell r="H4152" t="str">
            <v>hydro</v>
          </cell>
        </row>
        <row r="4153">
          <cell r="C4153" t="str">
            <v>HY</v>
          </cell>
          <cell r="D4153">
            <v>0.9</v>
          </cell>
          <cell r="H4153" t="str">
            <v>hydro</v>
          </cell>
        </row>
        <row r="4154">
          <cell r="C4154" t="str">
            <v>HY</v>
          </cell>
          <cell r="D4154">
            <v>0.9</v>
          </cell>
          <cell r="H4154" t="str">
            <v>hydro</v>
          </cell>
        </row>
        <row r="4155">
          <cell r="C4155" t="str">
            <v>HY</v>
          </cell>
          <cell r="D4155">
            <v>0.9</v>
          </cell>
          <cell r="H4155" t="str">
            <v>hydro</v>
          </cell>
        </row>
        <row r="4156">
          <cell r="C4156" t="str">
            <v>HY</v>
          </cell>
          <cell r="D4156">
            <v>1</v>
          </cell>
          <cell r="H4156" t="str">
            <v>hydro</v>
          </cell>
        </row>
        <row r="4157">
          <cell r="C4157" t="str">
            <v>HY</v>
          </cell>
          <cell r="D4157">
            <v>4.0999999999999996</v>
          </cell>
          <cell r="H4157" t="str">
            <v>hydro</v>
          </cell>
        </row>
        <row r="4158">
          <cell r="C4158" t="str">
            <v>HY</v>
          </cell>
          <cell r="D4158">
            <v>22.4</v>
          </cell>
          <cell r="H4158" t="str">
            <v>hydro</v>
          </cell>
        </row>
        <row r="4159">
          <cell r="C4159" t="str">
            <v>HY</v>
          </cell>
          <cell r="D4159">
            <v>2.4</v>
          </cell>
          <cell r="H4159" t="str">
            <v>hydro</v>
          </cell>
        </row>
        <row r="4160">
          <cell r="C4160" t="str">
            <v>HY</v>
          </cell>
          <cell r="D4160">
            <v>2.8</v>
          </cell>
          <cell r="H4160" t="str">
            <v>hydro</v>
          </cell>
        </row>
        <row r="4161">
          <cell r="C4161" t="str">
            <v>HY</v>
          </cell>
          <cell r="D4161">
            <v>0.9</v>
          </cell>
          <cell r="H4161" t="str">
            <v>hydro</v>
          </cell>
        </row>
        <row r="4162">
          <cell r="C4162" t="str">
            <v>HY</v>
          </cell>
          <cell r="D4162">
            <v>1.1000000000000001</v>
          </cell>
          <cell r="H4162" t="str">
            <v>hydro</v>
          </cell>
        </row>
        <row r="4163">
          <cell r="C4163" t="str">
            <v>HY</v>
          </cell>
          <cell r="D4163">
            <v>0.1</v>
          </cell>
          <cell r="H4163" t="str">
            <v>hydro</v>
          </cell>
        </row>
        <row r="4164">
          <cell r="C4164" t="str">
            <v>HY</v>
          </cell>
          <cell r="D4164">
            <v>0.1</v>
          </cell>
          <cell r="H4164" t="str">
            <v>hydro</v>
          </cell>
        </row>
        <row r="4165">
          <cell r="C4165" t="str">
            <v>HY</v>
          </cell>
          <cell r="D4165">
            <v>0.5</v>
          </cell>
          <cell r="H4165" t="str">
            <v>hydro</v>
          </cell>
        </row>
        <row r="4166">
          <cell r="C4166" t="str">
            <v>HY</v>
          </cell>
          <cell r="D4166">
            <v>0.5</v>
          </cell>
          <cell r="H4166" t="str">
            <v>hydro</v>
          </cell>
        </row>
        <row r="4167">
          <cell r="C4167" t="str">
            <v>HY</v>
          </cell>
          <cell r="D4167">
            <v>0.5</v>
          </cell>
          <cell r="H4167" t="str">
            <v>hydro</v>
          </cell>
        </row>
        <row r="4168">
          <cell r="C4168" t="str">
            <v>HY</v>
          </cell>
          <cell r="D4168">
            <v>5.0999999999999996</v>
          </cell>
          <cell r="H4168" t="str">
            <v>hydro</v>
          </cell>
        </row>
        <row r="4169">
          <cell r="C4169" t="str">
            <v>HY</v>
          </cell>
          <cell r="D4169">
            <v>5.0999999999999996</v>
          </cell>
          <cell r="H4169" t="str">
            <v>hydro</v>
          </cell>
        </row>
        <row r="4170">
          <cell r="C4170" t="str">
            <v>HY</v>
          </cell>
          <cell r="D4170">
            <v>3.6</v>
          </cell>
          <cell r="H4170" t="str">
            <v>hydro</v>
          </cell>
        </row>
        <row r="4171">
          <cell r="C4171" t="str">
            <v>HY</v>
          </cell>
          <cell r="D4171">
            <v>3.6</v>
          </cell>
          <cell r="H4171" t="str">
            <v>hydro</v>
          </cell>
        </row>
        <row r="4172">
          <cell r="C4172" t="str">
            <v>HY</v>
          </cell>
          <cell r="D4172">
            <v>1.5</v>
          </cell>
          <cell r="H4172" t="str">
            <v>hydro</v>
          </cell>
        </row>
        <row r="4173">
          <cell r="C4173" t="str">
            <v>HY</v>
          </cell>
          <cell r="D4173">
            <v>1.5</v>
          </cell>
          <cell r="H4173" t="str">
            <v>hydro</v>
          </cell>
        </row>
        <row r="4174">
          <cell r="C4174" t="str">
            <v>HY</v>
          </cell>
          <cell r="D4174">
            <v>1.5</v>
          </cell>
          <cell r="H4174" t="str">
            <v>hydro</v>
          </cell>
        </row>
        <row r="4175">
          <cell r="C4175" t="str">
            <v>HY</v>
          </cell>
          <cell r="D4175">
            <v>0.4</v>
          </cell>
          <cell r="H4175" t="str">
            <v>hydro</v>
          </cell>
        </row>
        <row r="4176">
          <cell r="C4176" t="str">
            <v>HY</v>
          </cell>
          <cell r="D4176">
            <v>0.4</v>
          </cell>
          <cell r="H4176" t="str">
            <v>hydro</v>
          </cell>
        </row>
        <row r="4177">
          <cell r="C4177" t="str">
            <v>HY</v>
          </cell>
          <cell r="D4177">
            <v>2.2000000000000002</v>
          </cell>
          <cell r="H4177" t="str">
            <v>hydro</v>
          </cell>
        </row>
        <row r="4178">
          <cell r="C4178" t="str">
            <v>HY</v>
          </cell>
          <cell r="D4178">
            <v>2.2000000000000002</v>
          </cell>
          <cell r="H4178" t="str">
            <v>hydro</v>
          </cell>
        </row>
        <row r="4179">
          <cell r="C4179" t="str">
            <v>HY</v>
          </cell>
          <cell r="D4179">
            <v>2.2000000000000002</v>
          </cell>
          <cell r="H4179" t="str">
            <v>hydro</v>
          </cell>
        </row>
        <row r="4180">
          <cell r="C4180" t="str">
            <v>HY</v>
          </cell>
          <cell r="D4180">
            <v>2.2000000000000002</v>
          </cell>
          <cell r="H4180" t="str">
            <v>hydro</v>
          </cell>
        </row>
        <row r="4181">
          <cell r="C4181" t="str">
            <v>HY</v>
          </cell>
          <cell r="D4181">
            <v>1.8</v>
          </cell>
          <cell r="H4181" t="str">
            <v>hydro</v>
          </cell>
        </row>
        <row r="4182">
          <cell r="C4182" t="str">
            <v>HY</v>
          </cell>
          <cell r="D4182">
            <v>1.8</v>
          </cell>
          <cell r="H4182" t="str">
            <v>hydro</v>
          </cell>
        </row>
        <row r="4183">
          <cell r="C4183" t="str">
            <v>HY</v>
          </cell>
          <cell r="D4183">
            <v>1.8</v>
          </cell>
          <cell r="H4183" t="str">
            <v>hydro</v>
          </cell>
        </row>
        <row r="4184">
          <cell r="C4184" t="str">
            <v>HY</v>
          </cell>
          <cell r="D4184">
            <v>1.5</v>
          </cell>
          <cell r="H4184" t="str">
            <v>hydro</v>
          </cell>
        </row>
        <row r="4185">
          <cell r="C4185" t="str">
            <v>HY</v>
          </cell>
          <cell r="D4185">
            <v>1.6</v>
          </cell>
          <cell r="H4185" t="str">
            <v>hydro</v>
          </cell>
        </row>
        <row r="4186">
          <cell r="C4186" t="str">
            <v>HY</v>
          </cell>
          <cell r="D4186">
            <v>1.6</v>
          </cell>
          <cell r="H4186" t="str">
            <v>hydro</v>
          </cell>
        </row>
        <row r="4187">
          <cell r="C4187" t="str">
            <v>HY</v>
          </cell>
          <cell r="D4187">
            <v>1.6</v>
          </cell>
          <cell r="H4187" t="str">
            <v>hydro</v>
          </cell>
        </row>
        <row r="4188">
          <cell r="C4188" t="str">
            <v>HY</v>
          </cell>
          <cell r="D4188">
            <v>2.8</v>
          </cell>
          <cell r="H4188" t="str">
            <v>hydro</v>
          </cell>
        </row>
        <row r="4189">
          <cell r="C4189" t="str">
            <v>HY</v>
          </cell>
          <cell r="D4189">
            <v>2.8</v>
          </cell>
          <cell r="H4189" t="str">
            <v>hydro</v>
          </cell>
        </row>
        <row r="4190">
          <cell r="C4190" t="str">
            <v>HY</v>
          </cell>
          <cell r="D4190">
            <v>3.4</v>
          </cell>
          <cell r="H4190" t="str">
            <v>hydro</v>
          </cell>
        </row>
        <row r="4191">
          <cell r="C4191" t="str">
            <v>HY</v>
          </cell>
          <cell r="D4191">
            <v>1.1000000000000001</v>
          </cell>
          <cell r="H4191" t="str">
            <v>hydro</v>
          </cell>
        </row>
        <row r="4192">
          <cell r="C4192" t="str">
            <v>HY</v>
          </cell>
          <cell r="D4192">
            <v>1.4</v>
          </cell>
          <cell r="H4192" t="str">
            <v>hydro</v>
          </cell>
        </row>
        <row r="4193">
          <cell r="C4193" t="str">
            <v>HY</v>
          </cell>
          <cell r="D4193">
            <v>1.3</v>
          </cell>
          <cell r="H4193" t="str">
            <v>hydro</v>
          </cell>
        </row>
        <row r="4194">
          <cell r="C4194" t="str">
            <v>HY</v>
          </cell>
          <cell r="D4194">
            <v>1.3</v>
          </cell>
          <cell r="H4194" t="str">
            <v>hydro</v>
          </cell>
        </row>
        <row r="4195">
          <cell r="C4195" t="str">
            <v>HY</v>
          </cell>
          <cell r="D4195">
            <v>1.3</v>
          </cell>
          <cell r="H4195" t="str">
            <v>hydro</v>
          </cell>
        </row>
        <row r="4196">
          <cell r="C4196" t="str">
            <v>HY</v>
          </cell>
          <cell r="D4196">
            <v>4</v>
          </cell>
          <cell r="H4196" t="str">
            <v>hydro</v>
          </cell>
        </row>
        <row r="4197">
          <cell r="C4197" t="str">
            <v>HY</v>
          </cell>
          <cell r="D4197">
            <v>3.6</v>
          </cell>
          <cell r="H4197" t="str">
            <v>hydro</v>
          </cell>
        </row>
        <row r="4198">
          <cell r="C4198" t="str">
            <v>HY</v>
          </cell>
          <cell r="D4198">
            <v>0.8</v>
          </cell>
          <cell r="H4198" t="str">
            <v>hydro</v>
          </cell>
        </row>
        <row r="4199">
          <cell r="C4199" t="str">
            <v>HY</v>
          </cell>
          <cell r="D4199">
            <v>1.4</v>
          </cell>
          <cell r="H4199" t="str">
            <v>hydro</v>
          </cell>
        </row>
        <row r="4200">
          <cell r="C4200" t="str">
            <v>HY</v>
          </cell>
          <cell r="D4200">
            <v>1.4</v>
          </cell>
          <cell r="H4200" t="str">
            <v>hydro</v>
          </cell>
        </row>
        <row r="4201">
          <cell r="C4201" t="str">
            <v>HY</v>
          </cell>
          <cell r="D4201">
            <v>1.4</v>
          </cell>
          <cell r="H4201" t="str">
            <v>hydro</v>
          </cell>
        </row>
        <row r="4202">
          <cell r="C4202" t="str">
            <v>HY</v>
          </cell>
          <cell r="D4202">
            <v>1.4</v>
          </cell>
          <cell r="H4202" t="str">
            <v>hydro</v>
          </cell>
        </row>
        <row r="4203">
          <cell r="C4203" t="str">
            <v>HY</v>
          </cell>
          <cell r="D4203">
            <v>1.4</v>
          </cell>
          <cell r="H4203" t="str">
            <v>hydro</v>
          </cell>
        </row>
        <row r="4204">
          <cell r="C4204" t="str">
            <v>HY</v>
          </cell>
          <cell r="D4204">
            <v>4</v>
          </cell>
          <cell r="H4204" t="str">
            <v>hydro</v>
          </cell>
        </row>
        <row r="4205">
          <cell r="C4205" t="str">
            <v>HY</v>
          </cell>
          <cell r="D4205">
            <v>4</v>
          </cell>
          <cell r="H4205" t="str">
            <v>hydro</v>
          </cell>
        </row>
        <row r="4206">
          <cell r="C4206" t="str">
            <v>ST</v>
          </cell>
          <cell r="D4206">
            <v>621.4</v>
          </cell>
          <cell r="H4206" t="str">
            <v>nuclear</v>
          </cell>
        </row>
        <row r="4207">
          <cell r="C4207" t="str">
            <v>ST</v>
          </cell>
          <cell r="D4207">
            <v>1292.2</v>
          </cell>
          <cell r="H4207" t="str">
            <v>nuclear</v>
          </cell>
        </row>
        <row r="4208">
          <cell r="C4208" t="str">
            <v>HY</v>
          </cell>
          <cell r="D4208">
            <v>5.0999999999999996</v>
          </cell>
          <cell r="H4208" t="str">
            <v>hydro</v>
          </cell>
        </row>
        <row r="4209">
          <cell r="C4209" t="str">
            <v>HY</v>
          </cell>
          <cell r="D4209">
            <v>2.2000000000000002</v>
          </cell>
          <cell r="H4209" t="str">
            <v>hydro</v>
          </cell>
        </row>
        <row r="4210">
          <cell r="C4210" t="str">
            <v>ST</v>
          </cell>
          <cell r="D4210">
            <v>818.7</v>
          </cell>
          <cell r="H4210" t="str">
            <v>petroleum</v>
          </cell>
        </row>
        <row r="4211">
          <cell r="C4211" t="str">
            <v>ST</v>
          </cell>
          <cell r="D4211">
            <v>823.2</v>
          </cell>
          <cell r="H4211" t="str">
            <v>petroleum</v>
          </cell>
        </row>
        <row r="4212">
          <cell r="C4212" t="str">
            <v>HY</v>
          </cell>
          <cell r="D4212">
            <v>1.4</v>
          </cell>
          <cell r="H4212" t="str">
            <v>hydro</v>
          </cell>
        </row>
        <row r="4213">
          <cell r="C4213" t="str">
            <v>HY</v>
          </cell>
          <cell r="D4213">
            <v>1.4</v>
          </cell>
          <cell r="H4213" t="str">
            <v>hydro</v>
          </cell>
        </row>
        <row r="4214">
          <cell r="C4214" t="str">
            <v>HY</v>
          </cell>
          <cell r="D4214">
            <v>1.4</v>
          </cell>
          <cell r="H4214" t="str">
            <v>hydro</v>
          </cell>
        </row>
        <row r="4215">
          <cell r="C4215" t="str">
            <v>HY</v>
          </cell>
          <cell r="D4215">
            <v>0.9</v>
          </cell>
          <cell r="H4215" t="str">
            <v>hydro</v>
          </cell>
        </row>
        <row r="4216">
          <cell r="C4216" t="str">
            <v>HY</v>
          </cell>
          <cell r="D4216">
            <v>0.9</v>
          </cell>
          <cell r="H4216" t="str">
            <v>hydro</v>
          </cell>
        </row>
        <row r="4217">
          <cell r="C4217" t="str">
            <v>HY</v>
          </cell>
          <cell r="D4217">
            <v>0.4</v>
          </cell>
          <cell r="H4217" t="str">
            <v>hydro</v>
          </cell>
        </row>
        <row r="4218">
          <cell r="C4218" t="str">
            <v>HY</v>
          </cell>
          <cell r="D4218">
            <v>0.4</v>
          </cell>
          <cell r="H4218" t="str">
            <v>hydro</v>
          </cell>
        </row>
        <row r="4219">
          <cell r="C4219" t="str">
            <v>HY</v>
          </cell>
          <cell r="D4219">
            <v>2.2999999999999998</v>
          </cell>
          <cell r="H4219" t="str">
            <v>hydro</v>
          </cell>
        </row>
        <row r="4220">
          <cell r="C4220" t="str">
            <v>HY</v>
          </cell>
          <cell r="D4220">
            <v>1.6</v>
          </cell>
          <cell r="H4220" t="str">
            <v>hydro</v>
          </cell>
        </row>
        <row r="4221">
          <cell r="C4221" t="str">
            <v>HY</v>
          </cell>
          <cell r="D4221">
            <v>0.6</v>
          </cell>
          <cell r="H4221" t="str">
            <v>hydro</v>
          </cell>
        </row>
        <row r="4222">
          <cell r="C4222" t="str">
            <v>HY</v>
          </cell>
          <cell r="D4222">
            <v>0.6</v>
          </cell>
          <cell r="H4222" t="str">
            <v>hydro</v>
          </cell>
        </row>
        <row r="4223">
          <cell r="C4223" t="str">
            <v>HY</v>
          </cell>
          <cell r="D4223">
            <v>18.3</v>
          </cell>
          <cell r="H4223" t="str">
            <v>hydro</v>
          </cell>
        </row>
        <row r="4224">
          <cell r="C4224" t="str">
            <v>HY</v>
          </cell>
          <cell r="D4224">
            <v>24</v>
          </cell>
          <cell r="H4224" t="str">
            <v>hydro</v>
          </cell>
        </row>
        <row r="4225">
          <cell r="C4225" t="str">
            <v>HY</v>
          </cell>
          <cell r="D4225">
            <v>2.2999999999999998</v>
          </cell>
          <cell r="H4225" t="str">
            <v>hydro</v>
          </cell>
        </row>
        <row r="4226">
          <cell r="C4226" t="str">
            <v>HY</v>
          </cell>
          <cell r="D4226">
            <v>1.2</v>
          </cell>
          <cell r="H4226" t="str">
            <v>hydro</v>
          </cell>
        </row>
        <row r="4227">
          <cell r="C4227" t="str">
            <v>HY</v>
          </cell>
          <cell r="D4227">
            <v>1.2</v>
          </cell>
          <cell r="H4227" t="str">
            <v>hydro</v>
          </cell>
        </row>
        <row r="4228">
          <cell r="C4228" t="str">
            <v>HY</v>
          </cell>
          <cell r="D4228">
            <v>0.8</v>
          </cell>
          <cell r="H4228" t="str">
            <v>hydro</v>
          </cell>
        </row>
        <row r="4229">
          <cell r="C4229" t="str">
            <v>HY</v>
          </cell>
          <cell r="D4229">
            <v>0.2</v>
          </cell>
          <cell r="H4229" t="str">
            <v>hydro</v>
          </cell>
        </row>
        <row r="4230">
          <cell r="C4230" t="str">
            <v>HY</v>
          </cell>
          <cell r="D4230">
            <v>7.5</v>
          </cell>
          <cell r="H4230" t="str">
            <v>hydro</v>
          </cell>
        </row>
        <row r="4231">
          <cell r="C4231" t="str">
            <v>HY</v>
          </cell>
          <cell r="D4231">
            <v>5.9</v>
          </cell>
          <cell r="H4231" t="str">
            <v>hydro</v>
          </cell>
        </row>
        <row r="4232">
          <cell r="C4232" t="str">
            <v>HY</v>
          </cell>
          <cell r="D4232">
            <v>6.1</v>
          </cell>
          <cell r="H4232" t="str">
            <v>hydro</v>
          </cell>
        </row>
        <row r="4233">
          <cell r="C4233" t="str">
            <v>HY</v>
          </cell>
          <cell r="D4233">
            <v>6.6</v>
          </cell>
          <cell r="H4233" t="str">
            <v>hydro</v>
          </cell>
        </row>
        <row r="4234">
          <cell r="C4234" t="str">
            <v>HY</v>
          </cell>
          <cell r="D4234">
            <v>10.8</v>
          </cell>
          <cell r="H4234" t="str">
            <v>hydro</v>
          </cell>
        </row>
        <row r="4235">
          <cell r="C4235" t="str">
            <v>HY</v>
          </cell>
          <cell r="D4235">
            <v>4</v>
          </cell>
          <cell r="H4235" t="str">
            <v>hydro</v>
          </cell>
        </row>
        <row r="4236">
          <cell r="C4236" t="str">
            <v>HY</v>
          </cell>
          <cell r="D4236">
            <v>4.0999999999999996</v>
          </cell>
          <cell r="H4236" t="str">
            <v>hydro</v>
          </cell>
        </row>
        <row r="4237">
          <cell r="C4237" t="str">
            <v>HY</v>
          </cell>
          <cell r="D4237">
            <v>3.8</v>
          </cell>
          <cell r="H4237" t="str">
            <v>hydro</v>
          </cell>
        </row>
        <row r="4238">
          <cell r="C4238" t="str">
            <v>HY</v>
          </cell>
          <cell r="D4238">
            <v>4</v>
          </cell>
          <cell r="H4238" t="str">
            <v>hydro</v>
          </cell>
        </row>
        <row r="4239">
          <cell r="C4239" t="str">
            <v>HY</v>
          </cell>
          <cell r="D4239">
            <v>1.5</v>
          </cell>
          <cell r="H4239" t="str">
            <v>hydro</v>
          </cell>
        </row>
        <row r="4240">
          <cell r="C4240" t="str">
            <v>HY</v>
          </cell>
          <cell r="D4240">
            <v>1.1000000000000001</v>
          </cell>
          <cell r="H4240" t="str">
            <v>hydro</v>
          </cell>
        </row>
        <row r="4241">
          <cell r="C4241" t="str">
            <v>HY</v>
          </cell>
          <cell r="D4241">
            <v>1.1000000000000001</v>
          </cell>
          <cell r="H4241" t="str">
            <v>hydro</v>
          </cell>
        </row>
        <row r="4242">
          <cell r="C4242" t="str">
            <v>HY</v>
          </cell>
          <cell r="D4242">
            <v>6.7</v>
          </cell>
          <cell r="H4242" t="str">
            <v>hydro</v>
          </cell>
        </row>
        <row r="4243">
          <cell r="C4243" t="str">
            <v>HY</v>
          </cell>
          <cell r="D4243">
            <v>7</v>
          </cell>
          <cell r="H4243" t="str">
            <v>hydro</v>
          </cell>
        </row>
        <row r="4244">
          <cell r="C4244" t="str">
            <v>HY</v>
          </cell>
          <cell r="D4244">
            <v>7</v>
          </cell>
          <cell r="H4244" t="str">
            <v>hydro</v>
          </cell>
        </row>
        <row r="4245">
          <cell r="C4245" t="str">
            <v>HY</v>
          </cell>
          <cell r="D4245">
            <v>7.2</v>
          </cell>
          <cell r="H4245" t="str">
            <v>hydro</v>
          </cell>
        </row>
        <row r="4246">
          <cell r="C4246" t="str">
            <v>HY</v>
          </cell>
          <cell r="D4246">
            <v>7.7</v>
          </cell>
          <cell r="H4246" t="str">
            <v>hydro</v>
          </cell>
        </row>
        <row r="4247">
          <cell r="C4247" t="str">
            <v>HY</v>
          </cell>
          <cell r="D4247">
            <v>1.3</v>
          </cell>
          <cell r="H4247" t="str">
            <v>hydro</v>
          </cell>
        </row>
        <row r="4248">
          <cell r="C4248" t="str">
            <v>HY</v>
          </cell>
          <cell r="D4248">
            <v>7.2</v>
          </cell>
          <cell r="H4248" t="str">
            <v>hydro</v>
          </cell>
        </row>
        <row r="4249">
          <cell r="C4249" t="str">
            <v>HY</v>
          </cell>
          <cell r="D4249">
            <v>7.2</v>
          </cell>
          <cell r="H4249" t="str">
            <v>hydro</v>
          </cell>
        </row>
        <row r="4250">
          <cell r="C4250" t="str">
            <v>HY</v>
          </cell>
          <cell r="D4250">
            <v>19.8</v>
          </cell>
          <cell r="H4250" t="str">
            <v>hydro</v>
          </cell>
        </row>
        <row r="4251">
          <cell r="C4251" t="str">
            <v>HY</v>
          </cell>
          <cell r="D4251">
            <v>8.5</v>
          </cell>
          <cell r="H4251" t="str">
            <v>hydro</v>
          </cell>
        </row>
        <row r="4252">
          <cell r="C4252" t="str">
            <v>HY</v>
          </cell>
          <cell r="D4252">
            <v>46</v>
          </cell>
          <cell r="H4252" t="str">
            <v>hydro</v>
          </cell>
        </row>
        <row r="4253">
          <cell r="C4253" t="str">
            <v>HY</v>
          </cell>
          <cell r="D4253">
            <v>23.3</v>
          </cell>
          <cell r="H4253" t="str">
            <v>hydro</v>
          </cell>
        </row>
        <row r="4254">
          <cell r="C4254" t="str">
            <v>HY</v>
          </cell>
          <cell r="D4254">
            <v>37.5</v>
          </cell>
          <cell r="H4254" t="str">
            <v>hydro</v>
          </cell>
        </row>
        <row r="4255">
          <cell r="C4255" t="str">
            <v>HY</v>
          </cell>
          <cell r="D4255">
            <v>2.5</v>
          </cell>
          <cell r="H4255" t="str">
            <v>hydro</v>
          </cell>
        </row>
        <row r="4256">
          <cell r="C4256" t="str">
            <v>HY</v>
          </cell>
          <cell r="D4256">
            <v>2.1</v>
          </cell>
          <cell r="H4256" t="str">
            <v>hydro</v>
          </cell>
        </row>
        <row r="4257">
          <cell r="C4257" t="str">
            <v>HY</v>
          </cell>
          <cell r="D4257">
            <v>2</v>
          </cell>
          <cell r="H4257" t="str">
            <v>hydro</v>
          </cell>
        </row>
        <row r="4258">
          <cell r="C4258" t="str">
            <v>HY</v>
          </cell>
          <cell r="D4258">
            <v>1.1000000000000001</v>
          </cell>
          <cell r="H4258" t="str">
            <v>hydro</v>
          </cell>
        </row>
        <row r="4259">
          <cell r="C4259" t="str">
            <v>HY</v>
          </cell>
          <cell r="D4259">
            <v>0.9</v>
          </cell>
          <cell r="H4259" t="str">
            <v>hydro</v>
          </cell>
        </row>
        <row r="4260">
          <cell r="C4260" t="str">
            <v>HY</v>
          </cell>
          <cell r="D4260">
            <v>1.1000000000000001</v>
          </cell>
          <cell r="H4260" t="str">
            <v>hydro</v>
          </cell>
        </row>
        <row r="4261">
          <cell r="C4261" t="str">
            <v>HY</v>
          </cell>
          <cell r="D4261">
            <v>1.3</v>
          </cell>
          <cell r="H4261" t="str">
            <v>hydro</v>
          </cell>
        </row>
        <row r="4262">
          <cell r="C4262" t="str">
            <v>HY</v>
          </cell>
          <cell r="D4262">
            <v>8.1</v>
          </cell>
          <cell r="H4262" t="str">
            <v>hydro</v>
          </cell>
        </row>
        <row r="4263">
          <cell r="C4263" t="str">
            <v>HY</v>
          </cell>
          <cell r="D4263">
            <v>8.1</v>
          </cell>
          <cell r="H4263" t="str">
            <v>hydro</v>
          </cell>
        </row>
        <row r="4264">
          <cell r="C4264" t="str">
            <v>HY</v>
          </cell>
          <cell r="D4264">
            <v>9.6999999999999993</v>
          </cell>
          <cell r="H4264" t="str">
            <v>hydro</v>
          </cell>
        </row>
        <row r="4265">
          <cell r="C4265" t="str">
            <v>HY</v>
          </cell>
          <cell r="D4265">
            <v>1.4</v>
          </cell>
          <cell r="H4265" t="str">
            <v>hydro</v>
          </cell>
        </row>
        <row r="4266">
          <cell r="C4266" t="str">
            <v>HY</v>
          </cell>
          <cell r="D4266">
            <v>1.4</v>
          </cell>
          <cell r="H4266" t="str">
            <v>hydro</v>
          </cell>
        </row>
        <row r="4267">
          <cell r="C4267" t="str">
            <v>HY</v>
          </cell>
          <cell r="D4267">
            <v>1.4</v>
          </cell>
          <cell r="H4267" t="str">
            <v>hydro</v>
          </cell>
        </row>
        <row r="4268">
          <cell r="C4268" t="str">
            <v>HY</v>
          </cell>
          <cell r="D4268">
            <v>1.4</v>
          </cell>
          <cell r="H4268" t="str">
            <v>hydro</v>
          </cell>
        </row>
        <row r="4269">
          <cell r="C4269" t="str">
            <v>HY</v>
          </cell>
          <cell r="D4269">
            <v>1.8</v>
          </cell>
          <cell r="H4269" t="str">
            <v>hydro</v>
          </cell>
        </row>
        <row r="4270">
          <cell r="C4270" t="str">
            <v>HY</v>
          </cell>
          <cell r="D4270">
            <v>2</v>
          </cell>
          <cell r="H4270" t="str">
            <v>hydro</v>
          </cell>
        </row>
        <row r="4271">
          <cell r="C4271" t="str">
            <v>HY</v>
          </cell>
          <cell r="D4271">
            <v>0.4</v>
          </cell>
          <cell r="H4271" t="str">
            <v>hydro</v>
          </cell>
        </row>
        <row r="4272">
          <cell r="C4272" t="str">
            <v>HY</v>
          </cell>
          <cell r="D4272">
            <v>0.2</v>
          </cell>
          <cell r="H4272" t="str">
            <v>hydro</v>
          </cell>
        </row>
        <row r="4273">
          <cell r="C4273" t="str">
            <v>ST</v>
          </cell>
          <cell r="D4273">
            <v>575</v>
          </cell>
          <cell r="H4273" t="str">
            <v>natural gas peaker</v>
          </cell>
        </row>
        <row r="4274">
          <cell r="C4274" t="str">
            <v>ST</v>
          </cell>
          <cell r="D4274">
            <v>562</v>
          </cell>
          <cell r="H4274" t="str">
            <v>natural gas peaker</v>
          </cell>
        </row>
        <row r="4275">
          <cell r="C4275" t="str">
            <v>HY</v>
          </cell>
          <cell r="D4275">
            <v>18</v>
          </cell>
          <cell r="H4275" t="str">
            <v>hydro</v>
          </cell>
        </row>
        <row r="4276">
          <cell r="C4276" t="str">
            <v>GT</v>
          </cell>
          <cell r="D4276">
            <v>33.1</v>
          </cell>
          <cell r="H4276" t="str">
            <v>natural gas peaker</v>
          </cell>
        </row>
        <row r="4277">
          <cell r="C4277" t="str">
            <v>HY</v>
          </cell>
          <cell r="D4277">
            <v>4.3</v>
          </cell>
          <cell r="H4277" t="str">
            <v>hydro</v>
          </cell>
        </row>
        <row r="4278">
          <cell r="C4278" t="str">
            <v>HY</v>
          </cell>
          <cell r="D4278">
            <v>1.1000000000000001</v>
          </cell>
          <cell r="H4278" t="str">
            <v>hydro</v>
          </cell>
        </row>
        <row r="4279">
          <cell r="C4279" t="str">
            <v>HY</v>
          </cell>
          <cell r="D4279">
            <v>1.1000000000000001</v>
          </cell>
          <cell r="H4279" t="str">
            <v>hydro</v>
          </cell>
        </row>
        <row r="4280">
          <cell r="C4280" t="str">
            <v>HY</v>
          </cell>
          <cell r="D4280">
            <v>1.1000000000000001</v>
          </cell>
          <cell r="H4280" t="str">
            <v>hydro</v>
          </cell>
        </row>
        <row r="4281">
          <cell r="C4281" t="str">
            <v>HY</v>
          </cell>
          <cell r="D4281">
            <v>10.1</v>
          </cell>
          <cell r="H4281" t="str">
            <v>hydro</v>
          </cell>
        </row>
        <row r="4282">
          <cell r="C4282" t="str">
            <v>HY</v>
          </cell>
          <cell r="D4282">
            <v>0.8</v>
          </cell>
          <cell r="H4282" t="str">
            <v>hydro</v>
          </cell>
        </row>
        <row r="4283">
          <cell r="C4283" t="str">
            <v>GT</v>
          </cell>
          <cell r="D4283">
            <v>33</v>
          </cell>
          <cell r="H4283" t="str">
            <v>natural gas peaker</v>
          </cell>
        </row>
        <row r="4284">
          <cell r="C4284" t="str">
            <v>HY</v>
          </cell>
          <cell r="D4284">
            <v>7.4</v>
          </cell>
          <cell r="H4284" t="str">
            <v>hydro</v>
          </cell>
        </row>
        <row r="4285">
          <cell r="C4285" t="str">
            <v>HY</v>
          </cell>
          <cell r="D4285">
            <v>1.2</v>
          </cell>
          <cell r="H4285" t="str">
            <v>hydro</v>
          </cell>
        </row>
        <row r="4286">
          <cell r="C4286" t="str">
            <v>HY</v>
          </cell>
          <cell r="D4286">
            <v>3</v>
          </cell>
          <cell r="H4286" t="str">
            <v>hydro</v>
          </cell>
        </row>
        <row r="4287">
          <cell r="C4287" t="str">
            <v>HY</v>
          </cell>
          <cell r="D4287">
            <v>8.5</v>
          </cell>
          <cell r="H4287" t="str">
            <v>hydro</v>
          </cell>
        </row>
        <row r="4288">
          <cell r="C4288" t="str">
            <v>HY</v>
          </cell>
          <cell r="D4288">
            <v>12.9</v>
          </cell>
          <cell r="H4288" t="str">
            <v>hydro</v>
          </cell>
        </row>
        <row r="4289">
          <cell r="C4289" t="str">
            <v>HY</v>
          </cell>
          <cell r="D4289">
            <v>12.9</v>
          </cell>
          <cell r="H4289" t="str">
            <v>hydro</v>
          </cell>
        </row>
        <row r="4290">
          <cell r="C4290" t="str">
            <v>HY</v>
          </cell>
          <cell r="D4290">
            <v>18</v>
          </cell>
          <cell r="H4290" t="str">
            <v>hydro</v>
          </cell>
        </row>
        <row r="4291">
          <cell r="C4291" t="str">
            <v>HY</v>
          </cell>
          <cell r="D4291">
            <v>0.6</v>
          </cell>
          <cell r="H4291" t="str">
            <v>hydro</v>
          </cell>
        </row>
        <row r="4292">
          <cell r="C4292" t="str">
            <v>HY</v>
          </cell>
          <cell r="D4292">
            <v>0.4</v>
          </cell>
          <cell r="H4292" t="str">
            <v>hydro</v>
          </cell>
        </row>
        <row r="4293">
          <cell r="C4293" t="str">
            <v>IC</v>
          </cell>
          <cell r="D4293">
            <v>2.2000000000000002</v>
          </cell>
          <cell r="H4293" t="str">
            <v>petroleum</v>
          </cell>
        </row>
        <row r="4294">
          <cell r="C4294" t="str">
            <v>IC</v>
          </cell>
          <cell r="D4294">
            <v>2</v>
          </cell>
          <cell r="H4294" t="str">
            <v>petroleum</v>
          </cell>
        </row>
        <row r="4295">
          <cell r="C4295" t="str">
            <v>IC</v>
          </cell>
          <cell r="D4295">
            <v>4.5</v>
          </cell>
          <cell r="H4295" t="str">
            <v>petroleum</v>
          </cell>
        </row>
        <row r="4296">
          <cell r="C4296" t="str">
            <v>GT</v>
          </cell>
          <cell r="D4296">
            <v>16.8</v>
          </cell>
          <cell r="H4296" t="str">
            <v>natural gas peaker</v>
          </cell>
        </row>
        <row r="4297">
          <cell r="C4297" t="str">
            <v>GT</v>
          </cell>
          <cell r="D4297">
            <v>49</v>
          </cell>
          <cell r="H4297" t="str">
            <v>natural gas peaker</v>
          </cell>
        </row>
        <row r="4298">
          <cell r="C4298" t="str">
            <v>IC</v>
          </cell>
          <cell r="D4298">
            <v>1.5</v>
          </cell>
          <cell r="H4298" t="str">
            <v>petroleum</v>
          </cell>
        </row>
        <row r="4299">
          <cell r="C4299" t="str">
            <v>IC</v>
          </cell>
          <cell r="D4299">
            <v>1.2</v>
          </cell>
          <cell r="H4299" t="str">
            <v>petroleum</v>
          </cell>
        </row>
        <row r="4300">
          <cell r="C4300" t="str">
            <v>IC</v>
          </cell>
          <cell r="D4300">
            <v>1.6</v>
          </cell>
          <cell r="H4300" t="str">
            <v>petroleum</v>
          </cell>
        </row>
        <row r="4301">
          <cell r="C4301" t="str">
            <v>IC</v>
          </cell>
          <cell r="D4301">
            <v>2.6</v>
          </cell>
          <cell r="H4301" t="str">
            <v>petroleum</v>
          </cell>
        </row>
        <row r="4302">
          <cell r="C4302" t="str">
            <v>IC</v>
          </cell>
          <cell r="D4302">
            <v>1.6</v>
          </cell>
          <cell r="H4302" t="str">
            <v>petroleum</v>
          </cell>
        </row>
        <row r="4303">
          <cell r="C4303" t="str">
            <v>ST</v>
          </cell>
          <cell r="D4303">
            <v>22.5</v>
          </cell>
          <cell r="H4303" t="str">
            <v>natural gas peaker</v>
          </cell>
        </row>
        <row r="4304">
          <cell r="C4304" t="str">
            <v>ST</v>
          </cell>
          <cell r="D4304">
            <v>22.5</v>
          </cell>
          <cell r="H4304" t="str">
            <v>natural gas peaker</v>
          </cell>
        </row>
        <row r="4305">
          <cell r="C4305" t="str">
            <v>GT</v>
          </cell>
          <cell r="D4305">
            <v>42</v>
          </cell>
          <cell r="H4305" t="str">
            <v>natural gas peaker</v>
          </cell>
        </row>
        <row r="4306">
          <cell r="C4306" t="str">
            <v>HY</v>
          </cell>
          <cell r="D4306">
            <v>2.8</v>
          </cell>
          <cell r="H4306" t="str">
            <v>hydro</v>
          </cell>
        </row>
        <row r="4307">
          <cell r="C4307" t="str">
            <v>HY</v>
          </cell>
          <cell r="D4307">
            <v>2.8</v>
          </cell>
          <cell r="H4307" t="str">
            <v>hydro</v>
          </cell>
        </row>
        <row r="4308">
          <cell r="C4308" t="str">
            <v>HY</v>
          </cell>
          <cell r="D4308">
            <v>3</v>
          </cell>
          <cell r="H4308" t="str">
            <v>hydro</v>
          </cell>
        </row>
        <row r="4309">
          <cell r="C4309" t="str">
            <v>HY</v>
          </cell>
          <cell r="D4309">
            <v>3</v>
          </cell>
          <cell r="H4309" t="str">
            <v>hydro</v>
          </cell>
        </row>
        <row r="4310">
          <cell r="C4310" t="str">
            <v>HY</v>
          </cell>
          <cell r="D4310">
            <v>2.8</v>
          </cell>
          <cell r="H4310" t="str">
            <v>hydro</v>
          </cell>
        </row>
        <row r="4311">
          <cell r="C4311" t="str">
            <v>HY</v>
          </cell>
          <cell r="D4311">
            <v>2.8</v>
          </cell>
          <cell r="H4311" t="str">
            <v>hydro</v>
          </cell>
        </row>
        <row r="4312">
          <cell r="C4312" t="str">
            <v>HY</v>
          </cell>
          <cell r="D4312">
            <v>3</v>
          </cell>
          <cell r="H4312" t="str">
            <v>hydro</v>
          </cell>
        </row>
        <row r="4313">
          <cell r="C4313" t="str">
            <v>HY</v>
          </cell>
          <cell r="D4313">
            <v>3</v>
          </cell>
          <cell r="H4313" t="str">
            <v>hydro</v>
          </cell>
        </row>
        <row r="4314">
          <cell r="C4314" t="str">
            <v>PS</v>
          </cell>
          <cell r="D4314">
            <v>293.7</v>
          </cell>
          <cell r="H4314" t="str">
            <v>other</v>
          </cell>
        </row>
        <row r="4315">
          <cell r="C4315" t="str">
            <v>PS</v>
          </cell>
          <cell r="D4315">
            <v>292.3</v>
          </cell>
          <cell r="H4315" t="str">
            <v>other</v>
          </cell>
        </row>
        <row r="4316">
          <cell r="C4316" t="str">
            <v>PS</v>
          </cell>
          <cell r="D4316">
            <v>292.3</v>
          </cell>
          <cell r="H4316" t="str">
            <v>other</v>
          </cell>
        </row>
        <row r="4317">
          <cell r="C4317" t="str">
            <v>PS</v>
          </cell>
          <cell r="D4317">
            <v>293</v>
          </cell>
          <cell r="H4317" t="str">
            <v>other</v>
          </cell>
        </row>
        <row r="4318">
          <cell r="C4318" t="str">
            <v>PS</v>
          </cell>
          <cell r="D4318">
            <v>20</v>
          </cell>
          <cell r="H4318" t="str">
            <v>other</v>
          </cell>
        </row>
        <row r="4319">
          <cell r="C4319" t="str">
            <v>PS</v>
          </cell>
          <cell r="D4319">
            <v>20</v>
          </cell>
          <cell r="H4319" t="str">
            <v>other</v>
          </cell>
        </row>
        <row r="4320">
          <cell r="C4320" t="str">
            <v>PS</v>
          </cell>
          <cell r="D4320">
            <v>20</v>
          </cell>
          <cell r="H4320" t="str">
            <v>other</v>
          </cell>
        </row>
        <row r="4321">
          <cell r="C4321" t="str">
            <v>PS</v>
          </cell>
          <cell r="D4321">
            <v>20</v>
          </cell>
          <cell r="H4321" t="str">
            <v>other</v>
          </cell>
        </row>
        <row r="4322">
          <cell r="C4322" t="str">
            <v>PS</v>
          </cell>
          <cell r="D4322">
            <v>20</v>
          </cell>
          <cell r="H4322" t="str">
            <v>other</v>
          </cell>
        </row>
        <row r="4323">
          <cell r="C4323" t="str">
            <v>PS</v>
          </cell>
          <cell r="D4323">
            <v>20</v>
          </cell>
          <cell r="H4323" t="str">
            <v>other</v>
          </cell>
        </row>
        <row r="4324">
          <cell r="C4324" t="str">
            <v>PS</v>
          </cell>
          <cell r="D4324">
            <v>20</v>
          </cell>
          <cell r="H4324" t="str">
            <v>other</v>
          </cell>
        </row>
        <row r="4325">
          <cell r="C4325" t="str">
            <v>PS</v>
          </cell>
          <cell r="D4325">
            <v>20</v>
          </cell>
          <cell r="H4325" t="str">
            <v>other</v>
          </cell>
        </row>
        <row r="4326">
          <cell r="C4326" t="str">
            <v>PS</v>
          </cell>
          <cell r="D4326">
            <v>20</v>
          </cell>
          <cell r="H4326" t="str">
            <v>other</v>
          </cell>
        </row>
        <row r="4327">
          <cell r="C4327" t="str">
            <v>PS</v>
          </cell>
          <cell r="D4327">
            <v>20</v>
          </cell>
          <cell r="H4327" t="str">
            <v>other</v>
          </cell>
        </row>
        <row r="4328">
          <cell r="C4328" t="str">
            <v>PS</v>
          </cell>
          <cell r="D4328">
            <v>20</v>
          </cell>
          <cell r="H4328" t="str">
            <v>other</v>
          </cell>
        </row>
        <row r="4329">
          <cell r="C4329" t="str">
            <v>PS</v>
          </cell>
          <cell r="D4329">
            <v>20</v>
          </cell>
          <cell r="H4329" t="str">
            <v>other</v>
          </cell>
        </row>
        <row r="4330">
          <cell r="C4330" t="str">
            <v>HY</v>
          </cell>
          <cell r="D4330">
            <v>187.3</v>
          </cell>
          <cell r="H4330" t="str">
            <v>hydro</v>
          </cell>
        </row>
        <row r="4331">
          <cell r="C4331" t="str">
            <v>HY</v>
          </cell>
          <cell r="D4331">
            <v>187.3</v>
          </cell>
          <cell r="H4331" t="str">
            <v>hydro</v>
          </cell>
        </row>
        <row r="4332">
          <cell r="C4332" t="str">
            <v>HY</v>
          </cell>
          <cell r="D4332">
            <v>187.3</v>
          </cell>
          <cell r="H4332" t="str">
            <v>hydro</v>
          </cell>
        </row>
        <row r="4333">
          <cell r="C4333" t="str">
            <v>HY</v>
          </cell>
          <cell r="D4333">
            <v>187.3</v>
          </cell>
          <cell r="H4333" t="str">
            <v>hydro</v>
          </cell>
        </row>
        <row r="4334">
          <cell r="C4334" t="str">
            <v>HY</v>
          </cell>
          <cell r="D4334">
            <v>187.3</v>
          </cell>
          <cell r="H4334" t="str">
            <v>hydro</v>
          </cell>
        </row>
        <row r="4335">
          <cell r="C4335" t="str">
            <v>HY</v>
          </cell>
          <cell r="D4335">
            <v>187.3</v>
          </cell>
          <cell r="H4335" t="str">
            <v>hydro</v>
          </cell>
        </row>
        <row r="4336">
          <cell r="C4336" t="str">
            <v>HY</v>
          </cell>
          <cell r="D4336">
            <v>187.3</v>
          </cell>
          <cell r="H4336" t="str">
            <v>hydro</v>
          </cell>
        </row>
        <row r="4337">
          <cell r="C4337" t="str">
            <v>HY</v>
          </cell>
          <cell r="D4337">
            <v>187.3</v>
          </cell>
          <cell r="H4337" t="str">
            <v>hydro</v>
          </cell>
        </row>
        <row r="4338">
          <cell r="C4338" t="str">
            <v>HY</v>
          </cell>
          <cell r="D4338">
            <v>187.3</v>
          </cell>
          <cell r="H4338" t="str">
            <v>hydro</v>
          </cell>
        </row>
        <row r="4339">
          <cell r="C4339" t="str">
            <v>HY</v>
          </cell>
          <cell r="D4339">
            <v>187.3</v>
          </cell>
          <cell r="H4339" t="str">
            <v>hydro</v>
          </cell>
        </row>
        <row r="4340">
          <cell r="C4340" t="str">
            <v>HY</v>
          </cell>
          <cell r="D4340">
            <v>187.3</v>
          </cell>
          <cell r="H4340" t="str">
            <v>hydro</v>
          </cell>
        </row>
        <row r="4341">
          <cell r="C4341" t="str">
            <v>HY</v>
          </cell>
          <cell r="D4341">
            <v>187.3</v>
          </cell>
          <cell r="H4341" t="str">
            <v>hydro</v>
          </cell>
        </row>
        <row r="4342">
          <cell r="C4342" t="str">
            <v>HY</v>
          </cell>
          <cell r="D4342">
            <v>187.3</v>
          </cell>
          <cell r="H4342" t="str">
            <v>hydro</v>
          </cell>
        </row>
        <row r="4343">
          <cell r="C4343" t="str">
            <v>HY</v>
          </cell>
          <cell r="D4343">
            <v>53.5</v>
          </cell>
          <cell r="H4343" t="str">
            <v>hydro</v>
          </cell>
        </row>
        <row r="4344">
          <cell r="C4344" t="str">
            <v>HY</v>
          </cell>
          <cell r="D4344">
            <v>53.5</v>
          </cell>
          <cell r="H4344" t="str">
            <v>hydro</v>
          </cell>
        </row>
        <row r="4345">
          <cell r="C4345" t="str">
            <v>HY</v>
          </cell>
          <cell r="D4345">
            <v>53.5</v>
          </cell>
          <cell r="H4345" t="str">
            <v>hydro</v>
          </cell>
        </row>
        <row r="4346">
          <cell r="C4346" t="str">
            <v>HY</v>
          </cell>
          <cell r="D4346">
            <v>53.5</v>
          </cell>
          <cell r="H4346" t="str">
            <v>hydro</v>
          </cell>
        </row>
        <row r="4347">
          <cell r="C4347" t="str">
            <v>HY</v>
          </cell>
          <cell r="D4347">
            <v>53.5</v>
          </cell>
          <cell r="H4347" t="str">
            <v>hydro</v>
          </cell>
        </row>
        <row r="4348">
          <cell r="C4348" t="str">
            <v>HY</v>
          </cell>
          <cell r="D4348">
            <v>53.5</v>
          </cell>
          <cell r="H4348" t="str">
            <v>hydro</v>
          </cell>
        </row>
        <row r="4349">
          <cell r="C4349" t="str">
            <v>HY</v>
          </cell>
          <cell r="D4349">
            <v>53.5</v>
          </cell>
          <cell r="H4349" t="str">
            <v>hydro</v>
          </cell>
        </row>
        <row r="4350">
          <cell r="C4350" t="str">
            <v>HY</v>
          </cell>
          <cell r="D4350">
            <v>53.5</v>
          </cell>
          <cell r="H4350" t="str">
            <v>hydro</v>
          </cell>
        </row>
        <row r="4351">
          <cell r="C4351" t="str">
            <v>HY</v>
          </cell>
          <cell r="D4351">
            <v>53.5</v>
          </cell>
          <cell r="H4351" t="str">
            <v>hydro</v>
          </cell>
        </row>
        <row r="4352">
          <cell r="C4352" t="str">
            <v>HY</v>
          </cell>
          <cell r="D4352">
            <v>53.5</v>
          </cell>
          <cell r="H4352" t="str">
            <v>hydro</v>
          </cell>
        </row>
        <row r="4353">
          <cell r="C4353" t="str">
            <v>HY</v>
          </cell>
          <cell r="D4353">
            <v>53.5</v>
          </cell>
          <cell r="H4353" t="str">
            <v>hydro</v>
          </cell>
        </row>
        <row r="4354">
          <cell r="C4354" t="str">
            <v>HY</v>
          </cell>
          <cell r="D4354">
            <v>53.5</v>
          </cell>
          <cell r="H4354" t="str">
            <v>hydro</v>
          </cell>
        </row>
        <row r="4355">
          <cell r="C4355" t="str">
            <v>HY</v>
          </cell>
          <cell r="D4355">
            <v>53.5</v>
          </cell>
          <cell r="H4355" t="str">
            <v>hydro</v>
          </cell>
        </row>
        <row r="4356">
          <cell r="C4356" t="str">
            <v>HY</v>
          </cell>
          <cell r="D4356">
            <v>53.5</v>
          </cell>
          <cell r="H4356" t="str">
            <v>hydro</v>
          </cell>
        </row>
        <row r="4357">
          <cell r="C4357" t="str">
            <v>HY</v>
          </cell>
          <cell r="D4357">
            <v>53.5</v>
          </cell>
          <cell r="H4357" t="str">
            <v>hydro</v>
          </cell>
        </row>
        <row r="4358">
          <cell r="C4358" t="str">
            <v>HY</v>
          </cell>
          <cell r="D4358">
            <v>53.5</v>
          </cell>
          <cell r="H4358" t="str">
            <v>hydro</v>
          </cell>
        </row>
        <row r="4359">
          <cell r="C4359" t="str">
            <v>IC</v>
          </cell>
          <cell r="D4359">
            <v>3.2</v>
          </cell>
          <cell r="H4359" t="str">
            <v>natural gas peaker</v>
          </cell>
        </row>
        <row r="4360">
          <cell r="C4360" t="str">
            <v>IC</v>
          </cell>
          <cell r="D4360">
            <v>5.2</v>
          </cell>
          <cell r="H4360" t="str">
            <v>natural gas peaker</v>
          </cell>
        </row>
        <row r="4361">
          <cell r="C4361" t="str">
            <v>IC</v>
          </cell>
          <cell r="D4361">
            <v>5.5</v>
          </cell>
          <cell r="H4361" t="str">
            <v>natural gas peaker</v>
          </cell>
        </row>
        <row r="4362">
          <cell r="C4362" t="str">
            <v>IC</v>
          </cell>
          <cell r="D4362">
            <v>5.5</v>
          </cell>
          <cell r="H4362" t="str">
            <v>natural gas peaker</v>
          </cell>
        </row>
        <row r="4363">
          <cell r="C4363" t="str">
            <v>IC</v>
          </cell>
          <cell r="D4363">
            <v>6.2</v>
          </cell>
          <cell r="H4363" t="str">
            <v>natural gas peaker</v>
          </cell>
        </row>
        <row r="4364">
          <cell r="C4364" t="str">
            <v>IC</v>
          </cell>
          <cell r="D4364">
            <v>3.2</v>
          </cell>
          <cell r="H4364" t="str">
            <v>natural gas peaker</v>
          </cell>
        </row>
        <row r="4365">
          <cell r="C4365" t="str">
            <v>HY</v>
          </cell>
          <cell r="D4365">
            <v>2.1</v>
          </cell>
          <cell r="H4365" t="str">
            <v>hydro</v>
          </cell>
        </row>
        <row r="4366">
          <cell r="C4366" t="str">
            <v>HY</v>
          </cell>
          <cell r="D4366">
            <v>2.1</v>
          </cell>
          <cell r="H4366" t="str">
            <v>hydro</v>
          </cell>
        </row>
        <row r="4367">
          <cell r="C4367" t="str">
            <v>HY</v>
          </cell>
          <cell r="D4367">
            <v>2.1</v>
          </cell>
          <cell r="H4367" t="str">
            <v>hydro</v>
          </cell>
        </row>
        <row r="4368">
          <cell r="C4368" t="str">
            <v>ST</v>
          </cell>
          <cell r="D4368">
            <v>189</v>
          </cell>
          <cell r="H4368" t="str">
            <v>hard coal</v>
          </cell>
        </row>
        <row r="4369">
          <cell r="C4369" t="str">
            <v>ST</v>
          </cell>
          <cell r="D4369">
            <v>189</v>
          </cell>
          <cell r="H4369" t="str">
            <v>hard coal</v>
          </cell>
        </row>
        <row r="4370">
          <cell r="C4370" t="str">
            <v>CT</v>
          </cell>
          <cell r="D4370">
            <v>191.2</v>
          </cell>
          <cell r="H4370" t="str">
            <v>natural gas nonpeaker</v>
          </cell>
        </row>
        <row r="4371">
          <cell r="C4371" t="str">
            <v>GT</v>
          </cell>
          <cell r="D4371">
            <v>160</v>
          </cell>
          <cell r="H4371" t="str">
            <v>natural gas peaker</v>
          </cell>
        </row>
        <row r="4372">
          <cell r="C4372" t="str">
            <v>GT</v>
          </cell>
          <cell r="D4372">
            <v>160</v>
          </cell>
          <cell r="H4372" t="str">
            <v>natural gas peaker</v>
          </cell>
        </row>
        <row r="4373">
          <cell r="C4373" t="str">
            <v>CA</v>
          </cell>
          <cell r="D4373">
            <v>102</v>
          </cell>
          <cell r="H4373" t="str">
            <v>natural gas nonpeaker</v>
          </cell>
        </row>
        <row r="4374">
          <cell r="C4374" t="str">
            <v>HY</v>
          </cell>
          <cell r="D4374">
            <v>4</v>
          </cell>
          <cell r="H4374" t="str">
            <v>hydro</v>
          </cell>
        </row>
        <row r="4375">
          <cell r="C4375" t="str">
            <v>HY</v>
          </cell>
          <cell r="D4375">
            <v>4</v>
          </cell>
          <cell r="H4375" t="str">
            <v>hydro</v>
          </cell>
        </row>
        <row r="4376">
          <cell r="C4376" t="str">
            <v>HY</v>
          </cell>
          <cell r="D4376">
            <v>4</v>
          </cell>
          <cell r="H4376" t="str">
            <v>hydro</v>
          </cell>
        </row>
        <row r="4377">
          <cell r="C4377" t="str">
            <v>HY</v>
          </cell>
          <cell r="D4377">
            <v>5</v>
          </cell>
          <cell r="H4377" t="str">
            <v>hydro</v>
          </cell>
        </row>
        <row r="4378">
          <cell r="C4378" t="str">
            <v>HY</v>
          </cell>
          <cell r="D4378">
            <v>5</v>
          </cell>
          <cell r="H4378" t="str">
            <v>hydro</v>
          </cell>
        </row>
        <row r="4379">
          <cell r="C4379" t="str">
            <v>HY</v>
          </cell>
          <cell r="D4379">
            <v>5</v>
          </cell>
          <cell r="H4379" t="str">
            <v>hydro</v>
          </cell>
        </row>
        <row r="4380">
          <cell r="C4380" t="str">
            <v>GT</v>
          </cell>
          <cell r="D4380">
            <v>13</v>
          </cell>
          <cell r="H4380" t="str">
            <v>petroleum</v>
          </cell>
        </row>
        <row r="4381">
          <cell r="C4381" t="str">
            <v>GT</v>
          </cell>
          <cell r="D4381">
            <v>13</v>
          </cell>
          <cell r="H4381" t="str">
            <v>petroleum</v>
          </cell>
        </row>
        <row r="4382">
          <cell r="C4382" t="str">
            <v>GT</v>
          </cell>
          <cell r="D4382">
            <v>13</v>
          </cell>
          <cell r="H4382" t="str">
            <v>petroleum</v>
          </cell>
        </row>
        <row r="4383">
          <cell r="C4383" t="str">
            <v>GT</v>
          </cell>
          <cell r="D4383">
            <v>13</v>
          </cell>
          <cell r="H4383" t="str">
            <v>petroleum</v>
          </cell>
        </row>
        <row r="4384">
          <cell r="C4384" t="str">
            <v>HY</v>
          </cell>
          <cell r="D4384">
            <v>2</v>
          </cell>
          <cell r="H4384" t="str">
            <v>hydro</v>
          </cell>
        </row>
        <row r="4385">
          <cell r="C4385" t="str">
            <v>HY</v>
          </cell>
          <cell r="D4385">
            <v>2</v>
          </cell>
          <cell r="H4385" t="str">
            <v>hydro</v>
          </cell>
        </row>
        <row r="4386">
          <cell r="C4386" t="str">
            <v>ST</v>
          </cell>
          <cell r="D4386">
            <v>379</v>
          </cell>
          <cell r="H4386" t="str">
            <v>hard coal</v>
          </cell>
        </row>
        <row r="4387">
          <cell r="C4387" t="str">
            <v>ST</v>
          </cell>
          <cell r="D4387">
            <v>668</v>
          </cell>
          <cell r="H4387" t="str">
            <v>hard coal</v>
          </cell>
        </row>
        <row r="4388">
          <cell r="C4388" t="str">
            <v>ST</v>
          </cell>
          <cell r="D4388">
            <v>694</v>
          </cell>
          <cell r="H4388" t="str">
            <v>hard coal</v>
          </cell>
        </row>
        <row r="4389">
          <cell r="C4389" t="str">
            <v>ST</v>
          </cell>
          <cell r="D4389">
            <v>698</v>
          </cell>
          <cell r="H4389" t="str">
            <v>hard coal</v>
          </cell>
        </row>
        <row r="4390">
          <cell r="C4390" t="str">
            <v>HY</v>
          </cell>
          <cell r="D4390">
            <v>21</v>
          </cell>
          <cell r="H4390" t="str">
            <v>hydro</v>
          </cell>
        </row>
        <row r="4391">
          <cell r="C4391" t="str">
            <v>HY</v>
          </cell>
          <cell r="D4391">
            <v>18</v>
          </cell>
          <cell r="H4391" t="str">
            <v>hydro</v>
          </cell>
        </row>
        <row r="4392">
          <cell r="C4392" t="str">
            <v>HY</v>
          </cell>
          <cell r="D4392">
            <v>21</v>
          </cell>
          <cell r="H4392" t="str">
            <v>hydro</v>
          </cell>
        </row>
        <row r="4393">
          <cell r="C4393" t="str">
            <v>HY</v>
          </cell>
          <cell r="D4393">
            <v>24</v>
          </cell>
          <cell r="H4393" t="str">
            <v>hydro</v>
          </cell>
        </row>
        <row r="4394">
          <cell r="C4394" t="str">
            <v>HY</v>
          </cell>
          <cell r="D4394">
            <v>36</v>
          </cell>
          <cell r="H4394" t="str">
            <v>hydro</v>
          </cell>
        </row>
        <row r="4395">
          <cell r="C4395" t="str">
            <v>HY</v>
          </cell>
          <cell r="D4395">
            <v>40</v>
          </cell>
          <cell r="H4395" t="str">
            <v>hydro</v>
          </cell>
        </row>
        <row r="4396">
          <cell r="C4396" t="str">
            <v>HY</v>
          </cell>
          <cell r="D4396">
            <v>36</v>
          </cell>
          <cell r="H4396" t="str">
            <v>hydro</v>
          </cell>
        </row>
        <row r="4397">
          <cell r="C4397" t="str">
            <v>GT</v>
          </cell>
          <cell r="D4397">
            <v>31</v>
          </cell>
          <cell r="H4397" t="str">
            <v>petroleum</v>
          </cell>
        </row>
        <row r="4398">
          <cell r="C4398" t="str">
            <v>GT</v>
          </cell>
          <cell r="D4398">
            <v>31</v>
          </cell>
          <cell r="H4398" t="str">
            <v>petroleum</v>
          </cell>
        </row>
        <row r="4399">
          <cell r="C4399" t="str">
            <v>GT</v>
          </cell>
          <cell r="D4399">
            <v>32</v>
          </cell>
          <cell r="H4399" t="str">
            <v>petroleum</v>
          </cell>
        </row>
        <row r="4400">
          <cell r="C4400" t="str">
            <v>GT</v>
          </cell>
          <cell r="D4400">
            <v>30</v>
          </cell>
          <cell r="H4400" t="str">
            <v>petroleum</v>
          </cell>
        </row>
        <row r="4401">
          <cell r="C4401" t="str">
            <v>ST</v>
          </cell>
          <cell r="D4401">
            <v>162</v>
          </cell>
          <cell r="H4401" t="str">
            <v>hard coal</v>
          </cell>
        </row>
        <row r="4402">
          <cell r="C4402" t="str">
            <v>ST</v>
          </cell>
          <cell r="D4402">
            <v>162</v>
          </cell>
          <cell r="H4402" t="str">
            <v>hard coal</v>
          </cell>
        </row>
        <row r="4403">
          <cell r="C4403" t="str">
            <v>ST</v>
          </cell>
          <cell r="D4403">
            <v>258</v>
          </cell>
          <cell r="H4403" t="str">
            <v>hard coal</v>
          </cell>
        </row>
        <row r="4404">
          <cell r="C4404" t="str">
            <v>ST</v>
          </cell>
          <cell r="D4404">
            <v>257</v>
          </cell>
          <cell r="H4404" t="str">
            <v>hard coal</v>
          </cell>
        </row>
        <row r="4405">
          <cell r="C4405" t="str">
            <v>ST</v>
          </cell>
          <cell r="D4405">
            <v>259</v>
          </cell>
          <cell r="H4405" t="str">
            <v>hard coal</v>
          </cell>
        </row>
        <row r="4406">
          <cell r="C4406" t="str">
            <v>HY</v>
          </cell>
          <cell r="D4406">
            <v>15</v>
          </cell>
          <cell r="H4406" t="str">
            <v>hydro</v>
          </cell>
        </row>
        <row r="4407">
          <cell r="C4407" t="str">
            <v>HY</v>
          </cell>
          <cell r="D4407">
            <v>15</v>
          </cell>
          <cell r="H4407" t="str">
            <v>hydro</v>
          </cell>
        </row>
        <row r="4408">
          <cell r="C4408" t="str">
            <v>HY</v>
          </cell>
          <cell r="D4408">
            <v>1.5</v>
          </cell>
          <cell r="H4408" t="str">
            <v>hydro</v>
          </cell>
        </row>
        <row r="4409">
          <cell r="C4409" t="str">
            <v>CT</v>
          </cell>
          <cell r="D4409">
            <v>178</v>
          </cell>
          <cell r="H4409" t="str">
            <v>natural gas nonpeaker</v>
          </cell>
        </row>
        <row r="4410">
          <cell r="C4410" t="str">
            <v>CT</v>
          </cell>
          <cell r="D4410">
            <v>178</v>
          </cell>
          <cell r="H4410" t="str">
            <v>natural gas nonpeaker</v>
          </cell>
        </row>
        <row r="4411">
          <cell r="C4411" t="str">
            <v>CA</v>
          </cell>
          <cell r="D4411">
            <v>312</v>
          </cell>
          <cell r="H4411" t="str">
            <v>natural gas nonpeaker</v>
          </cell>
        </row>
        <row r="4412">
          <cell r="C4412" t="str">
            <v>ST</v>
          </cell>
          <cell r="D4412">
            <v>544</v>
          </cell>
          <cell r="H4412" t="str">
            <v>hard coal</v>
          </cell>
        </row>
        <row r="4413">
          <cell r="C4413" t="str">
            <v>ST</v>
          </cell>
          <cell r="D4413">
            <v>844</v>
          </cell>
          <cell r="H4413" t="str">
            <v>hard coal</v>
          </cell>
        </row>
        <row r="4414">
          <cell r="C4414" t="str">
            <v>HY</v>
          </cell>
          <cell r="D4414">
            <v>81</v>
          </cell>
          <cell r="H4414" t="str">
            <v>hydro</v>
          </cell>
        </row>
        <row r="4415">
          <cell r="C4415" t="str">
            <v>HY</v>
          </cell>
          <cell r="D4415">
            <v>81</v>
          </cell>
          <cell r="H4415" t="str">
            <v>hydro</v>
          </cell>
        </row>
        <row r="4416">
          <cell r="C4416" t="str">
            <v>HY</v>
          </cell>
          <cell r="D4416">
            <v>81</v>
          </cell>
          <cell r="H4416" t="str">
            <v>hydro</v>
          </cell>
        </row>
        <row r="4417">
          <cell r="C4417" t="str">
            <v>HY</v>
          </cell>
          <cell r="D4417">
            <v>81</v>
          </cell>
          <cell r="H4417" t="str">
            <v>hydro</v>
          </cell>
        </row>
        <row r="4418">
          <cell r="C4418" t="str">
            <v>CT</v>
          </cell>
          <cell r="D4418">
            <v>171</v>
          </cell>
          <cell r="H4418" t="str">
            <v>natural gas nonpeaker</v>
          </cell>
        </row>
        <row r="4419">
          <cell r="C4419" t="str">
            <v>CT</v>
          </cell>
          <cell r="D4419">
            <v>171</v>
          </cell>
          <cell r="H4419" t="str">
            <v>natural gas nonpeaker</v>
          </cell>
        </row>
        <row r="4420">
          <cell r="C4420" t="str">
            <v>CA</v>
          </cell>
          <cell r="D4420">
            <v>320</v>
          </cell>
          <cell r="H4420" t="str">
            <v>natural gas nonpeaker</v>
          </cell>
        </row>
        <row r="4421">
          <cell r="C4421" t="str">
            <v>HY</v>
          </cell>
          <cell r="D4421">
            <v>9</v>
          </cell>
          <cell r="H4421" t="str">
            <v>hydro</v>
          </cell>
        </row>
        <row r="4422">
          <cell r="C4422" t="str">
            <v>HY</v>
          </cell>
          <cell r="D4422">
            <v>9</v>
          </cell>
          <cell r="H4422" t="str">
            <v>hydro</v>
          </cell>
        </row>
        <row r="4423">
          <cell r="C4423" t="str">
            <v>HY</v>
          </cell>
          <cell r="D4423">
            <v>9</v>
          </cell>
          <cell r="H4423" t="str">
            <v>hydro</v>
          </cell>
        </row>
        <row r="4424">
          <cell r="C4424" t="str">
            <v>ST</v>
          </cell>
          <cell r="D4424">
            <v>370</v>
          </cell>
          <cell r="H4424" t="str">
            <v>hard coal</v>
          </cell>
        </row>
        <row r="4425">
          <cell r="C4425" t="str">
            <v>ST</v>
          </cell>
          <cell r="D4425">
            <v>370</v>
          </cell>
          <cell r="H4425" t="str">
            <v>hard coal</v>
          </cell>
        </row>
        <row r="4426">
          <cell r="C4426" t="str">
            <v>ST</v>
          </cell>
          <cell r="D4426">
            <v>658</v>
          </cell>
          <cell r="H4426" t="str">
            <v>hard coal</v>
          </cell>
        </row>
        <row r="4427">
          <cell r="C4427" t="str">
            <v>ST</v>
          </cell>
          <cell r="D4427">
            <v>660</v>
          </cell>
          <cell r="H4427" t="str">
            <v>hard coal</v>
          </cell>
        </row>
        <row r="4428">
          <cell r="C4428" t="str">
            <v>HY</v>
          </cell>
          <cell r="D4428">
            <v>14</v>
          </cell>
          <cell r="H4428" t="str">
            <v>hydro</v>
          </cell>
        </row>
        <row r="4429">
          <cell r="C4429" t="str">
            <v>HY</v>
          </cell>
          <cell r="D4429">
            <v>14</v>
          </cell>
          <cell r="H4429" t="str">
            <v>hydro</v>
          </cell>
        </row>
        <row r="4430">
          <cell r="C4430" t="str">
            <v>HY</v>
          </cell>
          <cell r="D4430">
            <v>17</v>
          </cell>
          <cell r="H4430" t="str">
            <v>hydro</v>
          </cell>
        </row>
        <row r="4431">
          <cell r="C4431" t="str">
            <v>HY</v>
          </cell>
          <cell r="D4431">
            <v>17</v>
          </cell>
          <cell r="H4431" t="str">
            <v>hydro</v>
          </cell>
        </row>
        <row r="4432">
          <cell r="C4432" t="str">
            <v>HY</v>
          </cell>
          <cell r="D4432">
            <v>20</v>
          </cell>
          <cell r="H4432" t="str">
            <v>hydro</v>
          </cell>
        </row>
        <row r="4433">
          <cell r="C4433" t="str">
            <v>HY</v>
          </cell>
          <cell r="D4433">
            <v>20</v>
          </cell>
          <cell r="H4433" t="str">
            <v>hydro</v>
          </cell>
        </row>
        <row r="4434">
          <cell r="C4434" t="str">
            <v>HY</v>
          </cell>
          <cell r="D4434">
            <v>9.5</v>
          </cell>
          <cell r="H4434" t="str">
            <v>hydro</v>
          </cell>
        </row>
        <row r="4435">
          <cell r="C4435" t="str">
            <v>HY</v>
          </cell>
          <cell r="D4435">
            <v>11.5</v>
          </cell>
          <cell r="H4435" t="str">
            <v>hydro</v>
          </cell>
        </row>
        <row r="4436">
          <cell r="C4436" t="str">
            <v>HY</v>
          </cell>
          <cell r="D4436">
            <v>12.4</v>
          </cell>
          <cell r="H4436" t="str">
            <v>hydro</v>
          </cell>
        </row>
        <row r="4437">
          <cell r="C4437" t="str">
            <v>HY</v>
          </cell>
          <cell r="D4437">
            <v>2.7</v>
          </cell>
          <cell r="H4437" t="str">
            <v>hydro</v>
          </cell>
        </row>
        <row r="4438">
          <cell r="C4438" t="str">
            <v>HY</v>
          </cell>
          <cell r="D4438">
            <v>2.7</v>
          </cell>
          <cell r="H4438" t="str">
            <v>hydro</v>
          </cell>
        </row>
        <row r="4439">
          <cell r="C4439" t="str">
            <v>HY</v>
          </cell>
          <cell r="D4439">
            <v>3.2</v>
          </cell>
          <cell r="H4439" t="str">
            <v>hydro</v>
          </cell>
        </row>
        <row r="4440">
          <cell r="C4440" t="str">
            <v>HY</v>
          </cell>
          <cell r="D4440">
            <v>3.2</v>
          </cell>
          <cell r="H4440" t="str">
            <v>hydro</v>
          </cell>
        </row>
        <row r="4441">
          <cell r="C4441" t="str">
            <v>HY</v>
          </cell>
          <cell r="D4441">
            <v>9.5</v>
          </cell>
          <cell r="H4441" t="str">
            <v>hydro</v>
          </cell>
        </row>
        <row r="4442">
          <cell r="C4442" t="str">
            <v>HY</v>
          </cell>
          <cell r="D4442">
            <v>6.4</v>
          </cell>
          <cell r="H4442" t="str">
            <v>hydro</v>
          </cell>
        </row>
        <row r="4443">
          <cell r="C4443" t="str">
            <v>HY</v>
          </cell>
          <cell r="D4443">
            <v>0.5</v>
          </cell>
          <cell r="H4443" t="str">
            <v>hydro</v>
          </cell>
        </row>
        <row r="4444">
          <cell r="C4444" t="str">
            <v>HY</v>
          </cell>
          <cell r="D4444">
            <v>0.5</v>
          </cell>
          <cell r="H4444" t="str">
            <v>hydro</v>
          </cell>
        </row>
        <row r="4445">
          <cell r="C4445" t="str">
            <v>HY</v>
          </cell>
          <cell r="D4445">
            <v>0.6</v>
          </cell>
          <cell r="H4445" t="str">
            <v>hydro</v>
          </cell>
        </row>
        <row r="4446">
          <cell r="C4446" t="str">
            <v>HY</v>
          </cell>
          <cell r="D4446">
            <v>0.6</v>
          </cell>
          <cell r="H4446" t="str">
            <v>hydro</v>
          </cell>
        </row>
        <row r="4447">
          <cell r="C4447" t="str">
            <v>HY</v>
          </cell>
          <cell r="D4447">
            <v>0.6</v>
          </cell>
          <cell r="H4447" t="str">
            <v>hydro</v>
          </cell>
        </row>
        <row r="4448">
          <cell r="C4448" t="str">
            <v>HY</v>
          </cell>
          <cell r="D4448">
            <v>50</v>
          </cell>
          <cell r="H4448" t="str">
            <v>hydro</v>
          </cell>
        </row>
        <row r="4449">
          <cell r="C4449" t="str">
            <v>HY</v>
          </cell>
          <cell r="D4449">
            <v>9.8000000000000007</v>
          </cell>
          <cell r="H4449" t="str">
            <v>hydro</v>
          </cell>
        </row>
        <row r="4450">
          <cell r="C4450" t="str">
            <v>HY</v>
          </cell>
          <cell r="D4450">
            <v>19.7</v>
          </cell>
          <cell r="H4450" t="str">
            <v>hydro</v>
          </cell>
        </row>
        <row r="4451">
          <cell r="C4451" t="str">
            <v>HY</v>
          </cell>
          <cell r="D4451">
            <v>2.5</v>
          </cell>
          <cell r="H4451" t="str">
            <v>hydro</v>
          </cell>
        </row>
        <row r="4452">
          <cell r="C4452" t="str">
            <v>HY</v>
          </cell>
          <cell r="D4452">
            <v>55</v>
          </cell>
          <cell r="H4452" t="str">
            <v>hydro</v>
          </cell>
        </row>
        <row r="4453">
          <cell r="C4453" t="str">
            <v>HY</v>
          </cell>
          <cell r="D4453">
            <v>55</v>
          </cell>
          <cell r="H4453" t="str">
            <v>hydro</v>
          </cell>
        </row>
        <row r="4454">
          <cell r="C4454" t="str">
            <v>HY</v>
          </cell>
          <cell r="D4454">
            <v>55</v>
          </cell>
          <cell r="H4454" t="str">
            <v>hydro</v>
          </cell>
        </row>
        <row r="4455">
          <cell r="C4455" t="str">
            <v>HY</v>
          </cell>
          <cell r="D4455">
            <v>55</v>
          </cell>
          <cell r="H4455" t="str">
            <v>hydro</v>
          </cell>
        </row>
        <row r="4456">
          <cell r="C4456" t="str">
            <v>HY</v>
          </cell>
          <cell r="D4456">
            <v>24</v>
          </cell>
          <cell r="H4456" t="str">
            <v>hydro</v>
          </cell>
        </row>
        <row r="4457">
          <cell r="C4457" t="str">
            <v>HY</v>
          </cell>
          <cell r="D4457">
            <v>24</v>
          </cell>
          <cell r="H4457" t="str">
            <v>hydro</v>
          </cell>
        </row>
        <row r="4458">
          <cell r="C4458" t="str">
            <v>HY</v>
          </cell>
          <cell r="D4458">
            <v>24</v>
          </cell>
          <cell r="H4458" t="str">
            <v>hydro</v>
          </cell>
        </row>
        <row r="4459">
          <cell r="C4459" t="str">
            <v>HY</v>
          </cell>
          <cell r="D4459">
            <v>23</v>
          </cell>
          <cell r="H4459" t="str">
            <v>hydro</v>
          </cell>
        </row>
        <row r="4460">
          <cell r="C4460" t="str">
            <v>HY</v>
          </cell>
          <cell r="D4460">
            <v>1.2</v>
          </cell>
          <cell r="H4460" t="str">
            <v>hydro</v>
          </cell>
        </row>
        <row r="4461">
          <cell r="C4461" t="str">
            <v>HY</v>
          </cell>
          <cell r="D4461">
            <v>2.4</v>
          </cell>
          <cell r="H4461" t="str">
            <v>hydro</v>
          </cell>
        </row>
        <row r="4462">
          <cell r="C4462" t="str">
            <v>HY</v>
          </cell>
          <cell r="D4462">
            <v>13.9</v>
          </cell>
          <cell r="H4462" t="str">
            <v>hydro</v>
          </cell>
        </row>
        <row r="4463">
          <cell r="C4463" t="str">
            <v>HY</v>
          </cell>
          <cell r="D4463">
            <v>101.4</v>
          </cell>
          <cell r="H4463" t="str">
            <v>hydro</v>
          </cell>
        </row>
        <row r="4464">
          <cell r="C4464" t="str">
            <v>HY</v>
          </cell>
          <cell r="D4464">
            <v>101.4</v>
          </cell>
          <cell r="H4464" t="str">
            <v>hydro</v>
          </cell>
        </row>
        <row r="4465">
          <cell r="C4465" t="str">
            <v>HY</v>
          </cell>
          <cell r="D4465">
            <v>101.4</v>
          </cell>
          <cell r="H4465" t="str">
            <v>hydro</v>
          </cell>
        </row>
        <row r="4466">
          <cell r="C4466" t="str">
            <v>HY</v>
          </cell>
          <cell r="D4466">
            <v>87.7</v>
          </cell>
          <cell r="H4466" t="str">
            <v>hydro</v>
          </cell>
        </row>
        <row r="4467">
          <cell r="C4467" t="str">
            <v>PS</v>
          </cell>
          <cell r="D4467">
            <v>86</v>
          </cell>
          <cell r="H4467" t="str">
            <v>other</v>
          </cell>
        </row>
        <row r="4468">
          <cell r="C4468" t="str">
            <v>IC</v>
          </cell>
          <cell r="D4468">
            <v>3</v>
          </cell>
          <cell r="H4468" t="str">
            <v>petroleum</v>
          </cell>
        </row>
        <row r="4469">
          <cell r="C4469" t="str">
            <v>IC</v>
          </cell>
          <cell r="D4469">
            <v>3</v>
          </cell>
          <cell r="H4469" t="str">
            <v>petroleum</v>
          </cell>
        </row>
        <row r="4470">
          <cell r="C4470" t="str">
            <v>IC</v>
          </cell>
          <cell r="D4470">
            <v>3</v>
          </cell>
          <cell r="H4470" t="str">
            <v>petroleum</v>
          </cell>
        </row>
        <row r="4471">
          <cell r="C4471" t="str">
            <v>IC</v>
          </cell>
          <cell r="D4471">
            <v>3</v>
          </cell>
          <cell r="H4471" t="str">
            <v>petroleum</v>
          </cell>
        </row>
        <row r="4472">
          <cell r="C4472" t="str">
            <v>IC</v>
          </cell>
          <cell r="D4472">
            <v>3</v>
          </cell>
          <cell r="H4472" t="str">
            <v>petroleum</v>
          </cell>
        </row>
        <row r="4473">
          <cell r="C4473" t="str">
            <v>ST</v>
          </cell>
          <cell r="D4473">
            <v>29.5</v>
          </cell>
          <cell r="H4473" t="str">
            <v>lignite</v>
          </cell>
        </row>
        <row r="4474">
          <cell r="C4474" t="str">
            <v>ST</v>
          </cell>
          <cell r="D4474">
            <v>74.8</v>
          </cell>
          <cell r="H4474" t="str">
            <v>lignite</v>
          </cell>
        </row>
        <row r="4475">
          <cell r="C4475" t="str">
            <v>GT</v>
          </cell>
          <cell r="D4475">
            <v>88</v>
          </cell>
          <cell r="H4475" t="str">
            <v>natural gas peaker</v>
          </cell>
        </row>
        <row r="4476">
          <cell r="C4476" t="str">
            <v>GT</v>
          </cell>
          <cell r="D4476">
            <v>20.5</v>
          </cell>
          <cell r="H4476" t="str">
            <v>petroleum</v>
          </cell>
        </row>
        <row r="4477">
          <cell r="C4477" t="str">
            <v>GT</v>
          </cell>
          <cell r="D4477">
            <v>21.2</v>
          </cell>
          <cell r="H4477" t="str">
            <v>petroleum</v>
          </cell>
        </row>
        <row r="4478">
          <cell r="C4478" t="str">
            <v>IC</v>
          </cell>
          <cell r="D4478">
            <v>0.6</v>
          </cell>
          <cell r="H4478" t="str">
            <v>petroleum</v>
          </cell>
        </row>
        <row r="4479">
          <cell r="C4479" t="str">
            <v>IC</v>
          </cell>
          <cell r="D4479">
            <v>0.8</v>
          </cell>
          <cell r="H4479" t="str">
            <v>petroleum</v>
          </cell>
        </row>
        <row r="4480">
          <cell r="C4480" t="str">
            <v>IC</v>
          </cell>
          <cell r="D4480">
            <v>1.3</v>
          </cell>
          <cell r="H4480" t="str">
            <v>petroleum</v>
          </cell>
        </row>
        <row r="4481">
          <cell r="C4481" t="str">
            <v>IC</v>
          </cell>
          <cell r="D4481">
            <v>1.3</v>
          </cell>
          <cell r="H4481" t="str">
            <v>petroleum</v>
          </cell>
        </row>
        <row r="4482">
          <cell r="C4482" t="str">
            <v>HY</v>
          </cell>
          <cell r="D4482">
            <v>102</v>
          </cell>
          <cell r="H4482" t="str">
            <v>hydro</v>
          </cell>
        </row>
        <row r="4483">
          <cell r="C4483" t="str">
            <v>HY</v>
          </cell>
          <cell r="D4483">
            <v>102</v>
          </cell>
          <cell r="H4483" t="str">
            <v>hydro</v>
          </cell>
        </row>
        <row r="4484">
          <cell r="C4484" t="str">
            <v>HY</v>
          </cell>
          <cell r="D4484">
            <v>102</v>
          </cell>
          <cell r="H4484" t="str">
            <v>hydro</v>
          </cell>
        </row>
        <row r="4485">
          <cell r="C4485" t="str">
            <v>HY</v>
          </cell>
          <cell r="D4485">
            <v>102</v>
          </cell>
          <cell r="H4485" t="str">
            <v>hydro</v>
          </cell>
        </row>
        <row r="4486">
          <cell r="C4486" t="str">
            <v>HY</v>
          </cell>
          <cell r="D4486">
            <v>102</v>
          </cell>
          <cell r="H4486" t="str">
            <v>hydro</v>
          </cell>
        </row>
        <row r="4487">
          <cell r="C4487" t="str">
            <v>ST</v>
          </cell>
          <cell r="D4487">
            <v>221</v>
          </cell>
          <cell r="H4487" t="str">
            <v>hard coal</v>
          </cell>
        </row>
        <row r="4488">
          <cell r="C4488" t="str">
            <v>ST</v>
          </cell>
          <cell r="D4488">
            <v>445</v>
          </cell>
          <cell r="H4488" t="str">
            <v>hard coal</v>
          </cell>
        </row>
        <row r="4489">
          <cell r="C4489" t="str">
            <v>ST</v>
          </cell>
          <cell r="D4489">
            <v>237</v>
          </cell>
          <cell r="H4489" t="str">
            <v>hard coal</v>
          </cell>
        </row>
        <row r="4490">
          <cell r="C4490" t="str">
            <v>ST</v>
          </cell>
          <cell r="D4490">
            <v>447</v>
          </cell>
          <cell r="H4490" t="str">
            <v>hard coal</v>
          </cell>
        </row>
        <row r="4491">
          <cell r="C4491" t="str">
            <v>ST</v>
          </cell>
          <cell r="D4491">
            <v>585</v>
          </cell>
          <cell r="H4491" t="str">
            <v>hard coal</v>
          </cell>
        </row>
        <row r="4492">
          <cell r="C4492" t="str">
            <v>ST</v>
          </cell>
          <cell r="D4492">
            <v>585</v>
          </cell>
          <cell r="H4492" t="str">
            <v>hard coal</v>
          </cell>
        </row>
        <row r="4493">
          <cell r="C4493" t="str">
            <v>ST</v>
          </cell>
          <cell r="D4493">
            <v>620</v>
          </cell>
          <cell r="H4493" t="str">
            <v>hard coal</v>
          </cell>
        </row>
        <row r="4494">
          <cell r="C4494" t="str">
            <v>BA</v>
          </cell>
          <cell r="D4494">
            <v>2</v>
          </cell>
          <cell r="H4494" t="str">
            <v>other</v>
          </cell>
        </row>
        <row r="4495">
          <cell r="C4495" t="str">
            <v>BA</v>
          </cell>
          <cell r="D4495">
            <v>2</v>
          </cell>
          <cell r="H4495" t="str">
            <v>other</v>
          </cell>
        </row>
        <row r="4496">
          <cell r="C4496" t="str">
            <v>GT</v>
          </cell>
          <cell r="D4496">
            <v>92</v>
          </cell>
          <cell r="H4496" t="str">
            <v>natural gas peaker</v>
          </cell>
        </row>
        <row r="4497">
          <cell r="C4497" t="str">
            <v>GT</v>
          </cell>
          <cell r="D4497">
            <v>14.2</v>
          </cell>
          <cell r="H4497" t="str">
            <v>natural gas peaker</v>
          </cell>
        </row>
        <row r="4498">
          <cell r="C4498" t="str">
            <v>GT</v>
          </cell>
          <cell r="D4498">
            <v>15</v>
          </cell>
          <cell r="H4498" t="str">
            <v>natural gas peaker</v>
          </cell>
        </row>
        <row r="4499">
          <cell r="C4499" t="str">
            <v>GT</v>
          </cell>
          <cell r="D4499">
            <v>15</v>
          </cell>
          <cell r="H4499" t="str">
            <v>natural gas peaker</v>
          </cell>
        </row>
        <row r="4500">
          <cell r="C4500" t="str">
            <v>ST</v>
          </cell>
          <cell r="D4500">
            <v>510</v>
          </cell>
          <cell r="H4500" t="str">
            <v>hard coal</v>
          </cell>
        </row>
        <row r="4501">
          <cell r="C4501" t="str">
            <v>ST</v>
          </cell>
          <cell r="D4501">
            <v>510</v>
          </cell>
          <cell r="H4501" t="str">
            <v>hard coal</v>
          </cell>
        </row>
        <row r="4502">
          <cell r="C4502" t="str">
            <v>GT</v>
          </cell>
          <cell r="D4502">
            <v>14</v>
          </cell>
          <cell r="H4502" t="str">
            <v>petroleum</v>
          </cell>
        </row>
        <row r="4503">
          <cell r="C4503" t="str">
            <v>GT</v>
          </cell>
          <cell r="D4503">
            <v>14</v>
          </cell>
          <cell r="H4503" t="str">
            <v>petroleum</v>
          </cell>
        </row>
        <row r="4504">
          <cell r="C4504" t="str">
            <v>GT</v>
          </cell>
          <cell r="D4504">
            <v>14</v>
          </cell>
          <cell r="H4504" t="str">
            <v>petroleum</v>
          </cell>
        </row>
        <row r="4505">
          <cell r="C4505" t="str">
            <v>GT</v>
          </cell>
          <cell r="D4505">
            <v>14</v>
          </cell>
          <cell r="H4505" t="str">
            <v>petroleum</v>
          </cell>
        </row>
        <row r="4506">
          <cell r="C4506" t="str">
            <v>GT</v>
          </cell>
          <cell r="D4506">
            <v>25</v>
          </cell>
          <cell r="H4506" t="str">
            <v>petroleum</v>
          </cell>
        </row>
        <row r="4507">
          <cell r="C4507" t="str">
            <v>ST</v>
          </cell>
          <cell r="D4507">
            <v>615</v>
          </cell>
          <cell r="H4507" t="str">
            <v>hard coal</v>
          </cell>
        </row>
        <row r="4508">
          <cell r="C4508" t="str">
            <v>GT</v>
          </cell>
          <cell r="D4508">
            <v>24</v>
          </cell>
          <cell r="H4508" t="str">
            <v>petroleum</v>
          </cell>
        </row>
        <row r="4509">
          <cell r="C4509" t="str">
            <v>ST</v>
          </cell>
          <cell r="D4509">
            <v>780</v>
          </cell>
          <cell r="H4509" t="str">
            <v>hard coal</v>
          </cell>
        </row>
        <row r="4510">
          <cell r="C4510" t="str">
            <v>GT</v>
          </cell>
          <cell r="D4510">
            <v>91.4</v>
          </cell>
          <cell r="H4510" t="str">
            <v>natural gas peaker</v>
          </cell>
        </row>
        <row r="4511">
          <cell r="C4511" t="str">
            <v>GT</v>
          </cell>
          <cell r="D4511">
            <v>89.1</v>
          </cell>
          <cell r="H4511" t="str">
            <v>natural gas peaker</v>
          </cell>
        </row>
        <row r="4512">
          <cell r="C4512" t="str">
            <v>GT</v>
          </cell>
          <cell r="D4512">
            <v>81.099999999999994</v>
          </cell>
          <cell r="H4512" t="str">
            <v>natural gas peaker</v>
          </cell>
        </row>
        <row r="4513">
          <cell r="C4513" t="str">
            <v>GT</v>
          </cell>
          <cell r="D4513">
            <v>88.7</v>
          </cell>
          <cell r="H4513" t="str">
            <v>natural gas peaker</v>
          </cell>
        </row>
        <row r="4514">
          <cell r="C4514" t="str">
            <v>GT</v>
          </cell>
          <cell r="D4514">
            <v>83.8</v>
          </cell>
          <cell r="H4514" t="str">
            <v>natural gas peaker</v>
          </cell>
        </row>
        <row r="4515">
          <cell r="C4515" t="str">
            <v>GT</v>
          </cell>
          <cell r="D4515">
            <v>80.5</v>
          </cell>
          <cell r="H4515" t="str">
            <v>natural gas peaker</v>
          </cell>
        </row>
        <row r="4516">
          <cell r="C4516" t="str">
            <v>GT</v>
          </cell>
          <cell r="D4516">
            <v>80.5</v>
          </cell>
          <cell r="H4516" t="str">
            <v>natural gas peaker</v>
          </cell>
        </row>
        <row r="4517">
          <cell r="C4517" t="str">
            <v>IC</v>
          </cell>
          <cell r="D4517">
            <v>3</v>
          </cell>
          <cell r="H4517" t="str">
            <v>petroleum</v>
          </cell>
        </row>
        <row r="4518">
          <cell r="C4518" t="str">
            <v>IC</v>
          </cell>
          <cell r="D4518">
            <v>3</v>
          </cell>
          <cell r="H4518" t="str">
            <v>petroleum</v>
          </cell>
        </row>
        <row r="4519">
          <cell r="C4519" t="str">
            <v>IC</v>
          </cell>
          <cell r="D4519">
            <v>3</v>
          </cell>
          <cell r="H4519" t="str">
            <v>petroleum</v>
          </cell>
        </row>
        <row r="4520">
          <cell r="C4520" t="str">
            <v>IC</v>
          </cell>
          <cell r="D4520">
            <v>3</v>
          </cell>
          <cell r="H4520" t="str">
            <v>petroleum</v>
          </cell>
        </row>
        <row r="4521">
          <cell r="C4521" t="str">
            <v>GT</v>
          </cell>
          <cell r="D4521">
            <v>25.3</v>
          </cell>
          <cell r="H4521" t="str">
            <v>natural gas peaker</v>
          </cell>
        </row>
        <row r="4522">
          <cell r="C4522" t="str">
            <v>IC</v>
          </cell>
          <cell r="D4522">
            <v>2.4</v>
          </cell>
          <cell r="H4522" t="str">
            <v>petroleum</v>
          </cell>
        </row>
        <row r="4523">
          <cell r="C4523" t="str">
            <v>IC</v>
          </cell>
          <cell r="D4523">
            <v>2.4</v>
          </cell>
          <cell r="H4523" t="str">
            <v>petroleum</v>
          </cell>
        </row>
        <row r="4524">
          <cell r="C4524" t="str">
            <v>IC</v>
          </cell>
          <cell r="D4524">
            <v>2.4</v>
          </cell>
          <cell r="H4524" t="str">
            <v>petroleum</v>
          </cell>
        </row>
        <row r="4525">
          <cell r="C4525" t="str">
            <v>IC</v>
          </cell>
          <cell r="D4525">
            <v>2.4</v>
          </cell>
          <cell r="H4525" t="str">
            <v>petroleum</v>
          </cell>
        </row>
        <row r="4526">
          <cell r="C4526" t="str">
            <v>IC</v>
          </cell>
          <cell r="D4526">
            <v>2.4</v>
          </cell>
          <cell r="H4526" t="str">
            <v>petroleum</v>
          </cell>
        </row>
        <row r="4527">
          <cell r="C4527" t="str">
            <v>IC</v>
          </cell>
          <cell r="D4527">
            <v>2.7</v>
          </cell>
          <cell r="H4527" t="str">
            <v>petroleum</v>
          </cell>
        </row>
        <row r="4528">
          <cell r="C4528" t="str">
            <v>IC</v>
          </cell>
          <cell r="D4528">
            <v>2.7</v>
          </cell>
          <cell r="H4528" t="str">
            <v>petroleum</v>
          </cell>
        </row>
        <row r="4529">
          <cell r="C4529" t="str">
            <v>IC</v>
          </cell>
          <cell r="D4529">
            <v>2.7</v>
          </cell>
          <cell r="H4529" t="str">
            <v>petroleum</v>
          </cell>
        </row>
        <row r="4530">
          <cell r="C4530" t="str">
            <v>IC</v>
          </cell>
          <cell r="D4530">
            <v>2.7</v>
          </cell>
          <cell r="H4530" t="str">
            <v>petroleum</v>
          </cell>
        </row>
        <row r="4531">
          <cell r="C4531" t="str">
            <v>IC</v>
          </cell>
          <cell r="D4531">
            <v>2.7</v>
          </cell>
          <cell r="H4531" t="str">
            <v>petroleum</v>
          </cell>
        </row>
        <row r="4532">
          <cell r="C4532" t="str">
            <v>GT</v>
          </cell>
          <cell r="D4532">
            <v>19.899999999999999</v>
          </cell>
          <cell r="H4532" t="str">
            <v>natural gas peaker</v>
          </cell>
        </row>
        <row r="4533">
          <cell r="C4533" t="str">
            <v>GT</v>
          </cell>
          <cell r="D4533">
            <v>20.100000000000001</v>
          </cell>
          <cell r="H4533" t="str">
            <v>natural gas peaker</v>
          </cell>
        </row>
        <row r="4534">
          <cell r="C4534" t="str">
            <v>GT</v>
          </cell>
          <cell r="D4534">
            <v>20.7</v>
          </cell>
          <cell r="H4534" t="str">
            <v>natural gas peaker</v>
          </cell>
        </row>
        <row r="4535">
          <cell r="C4535" t="str">
            <v>GT</v>
          </cell>
          <cell r="D4535">
            <v>14.9</v>
          </cell>
          <cell r="H4535" t="str">
            <v>natural gas peaker</v>
          </cell>
        </row>
        <row r="4536">
          <cell r="C4536" t="str">
            <v>GT</v>
          </cell>
          <cell r="D4536">
            <v>13.7</v>
          </cell>
          <cell r="H4536" t="str">
            <v>natural gas peaker</v>
          </cell>
        </row>
        <row r="4537">
          <cell r="C4537" t="str">
            <v>GT</v>
          </cell>
          <cell r="D4537">
            <v>13.3</v>
          </cell>
          <cell r="H4537" t="str">
            <v>natural gas peaker</v>
          </cell>
        </row>
        <row r="4538">
          <cell r="C4538" t="str">
            <v>GT</v>
          </cell>
          <cell r="D4538">
            <v>13.3</v>
          </cell>
          <cell r="H4538" t="str">
            <v>natural gas peaker</v>
          </cell>
        </row>
        <row r="4539">
          <cell r="C4539" t="str">
            <v>PV</v>
          </cell>
          <cell r="D4539">
            <v>1.1000000000000001</v>
          </cell>
          <cell r="H4539" t="str">
            <v>solar PV</v>
          </cell>
        </row>
        <row r="4540">
          <cell r="C4540" t="str">
            <v>GT</v>
          </cell>
          <cell r="D4540">
            <v>25</v>
          </cell>
          <cell r="H4540" t="str">
            <v>petroleum</v>
          </cell>
        </row>
        <row r="4541">
          <cell r="C4541" t="str">
            <v>ST</v>
          </cell>
          <cell r="D4541">
            <v>180</v>
          </cell>
          <cell r="H4541" t="str">
            <v>hard coal</v>
          </cell>
        </row>
        <row r="4542">
          <cell r="C4542" t="str">
            <v>ST</v>
          </cell>
          <cell r="D4542">
            <v>180</v>
          </cell>
          <cell r="H4542" t="str">
            <v>hard coal</v>
          </cell>
        </row>
        <row r="4543">
          <cell r="C4543" t="str">
            <v>ST</v>
          </cell>
          <cell r="D4543">
            <v>180</v>
          </cell>
          <cell r="H4543" t="str">
            <v>hard coal</v>
          </cell>
        </row>
        <row r="4544">
          <cell r="C4544" t="str">
            <v>ST</v>
          </cell>
          <cell r="D4544">
            <v>180</v>
          </cell>
          <cell r="H4544" t="str">
            <v>hard coal</v>
          </cell>
        </row>
        <row r="4545">
          <cell r="C4545" t="str">
            <v>ST</v>
          </cell>
          <cell r="D4545">
            <v>290</v>
          </cell>
          <cell r="H4545" t="str">
            <v>hard coal</v>
          </cell>
        </row>
        <row r="4546">
          <cell r="C4546" t="str">
            <v>ST</v>
          </cell>
          <cell r="D4546">
            <v>600</v>
          </cell>
          <cell r="H4546" t="str">
            <v>hard coal</v>
          </cell>
        </row>
        <row r="4547">
          <cell r="C4547" t="str">
            <v>ST</v>
          </cell>
          <cell r="D4547">
            <v>600</v>
          </cell>
          <cell r="H4547" t="str">
            <v>hard coal</v>
          </cell>
        </row>
        <row r="4548">
          <cell r="C4548" t="str">
            <v>IC</v>
          </cell>
          <cell r="D4548">
            <v>3</v>
          </cell>
          <cell r="H4548" t="str">
            <v>petroleum</v>
          </cell>
        </row>
        <row r="4549">
          <cell r="C4549" t="str">
            <v>IC</v>
          </cell>
          <cell r="D4549">
            <v>3</v>
          </cell>
          <cell r="H4549" t="str">
            <v>petroleum</v>
          </cell>
        </row>
        <row r="4550">
          <cell r="C4550" t="str">
            <v>IC</v>
          </cell>
          <cell r="D4550">
            <v>3</v>
          </cell>
          <cell r="H4550" t="str">
            <v>petroleum</v>
          </cell>
        </row>
        <row r="4551">
          <cell r="C4551" t="str">
            <v>IC</v>
          </cell>
          <cell r="D4551">
            <v>2</v>
          </cell>
          <cell r="H4551" t="str">
            <v>petroleum</v>
          </cell>
        </row>
        <row r="4552">
          <cell r="C4552" t="str">
            <v>IC</v>
          </cell>
          <cell r="D4552">
            <v>2</v>
          </cell>
          <cell r="H4552" t="str">
            <v>petroleum</v>
          </cell>
        </row>
        <row r="4553">
          <cell r="C4553" t="str">
            <v>GT</v>
          </cell>
          <cell r="D4553">
            <v>49.7</v>
          </cell>
          <cell r="H4553" t="str">
            <v>petroleum</v>
          </cell>
        </row>
        <row r="4554">
          <cell r="C4554" t="str">
            <v>GT</v>
          </cell>
          <cell r="D4554">
            <v>57</v>
          </cell>
          <cell r="H4554" t="str">
            <v>petroleum</v>
          </cell>
        </row>
        <row r="4555">
          <cell r="C4555" t="str">
            <v>GT</v>
          </cell>
          <cell r="D4555">
            <v>85</v>
          </cell>
          <cell r="H4555" t="str">
            <v>natural gas peaker</v>
          </cell>
        </row>
        <row r="4556">
          <cell r="C4556" t="str">
            <v>GT</v>
          </cell>
          <cell r="D4556">
            <v>85</v>
          </cell>
          <cell r="H4556" t="str">
            <v>natural gas peaker</v>
          </cell>
        </row>
        <row r="4557">
          <cell r="C4557" t="str">
            <v>GT</v>
          </cell>
          <cell r="D4557">
            <v>85</v>
          </cell>
          <cell r="H4557" t="str">
            <v>natural gas peaker</v>
          </cell>
        </row>
        <row r="4558">
          <cell r="C4558" t="str">
            <v>GT</v>
          </cell>
          <cell r="D4558">
            <v>85</v>
          </cell>
          <cell r="H4558" t="str">
            <v>natural gas peaker</v>
          </cell>
        </row>
        <row r="4559">
          <cell r="C4559" t="str">
            <v>GT</v>
          </cell>
          <cell r="D4559">
            <v>85</v>
          </cell>
          <cell r="H4559" t="str">
            <v>natural gas peaker</v>
          </cell>
        </row>
        <row r="4560">
          <cell r="C4560" t="str">
            <v>ST</v>
          </cell>
          <cell r="D4560">
            <v>194</v>
          </cell>
          <cell r="H4560" t="str">
            <v>hard coal</v>
          </cell>
        </row>
        <row r="4561">
          <cell r="C4561" t="str">
            <v>ST</v>
          </cell>
          <cell r="D4561">
            <v>192.2</v>
          </cell>
          <cell r="H4561" t="str">
            <v>hard coal</v>
          </cell>
        </row>
        <row r="4562">
          <cell r="C4562" t="str">
            <v>ST</v>
          </cell>
          <cell r="D4562">
            <v>192.2</v>
          </cell>
          <cell r="H4562" t="str">
            <v>hard coal</v>
          </cell>
        </row>
        <row r="4563">
          <cell r="C4563" t="str">
            <v>ST</v>
          </cell>
          <cell r="D4563">
            <v>192.2</v>
          </cell>
          <cell r="H4563" t="str">
            <v>hard coal</v>
          </cell>
        </row>
        <row r="4564">
          <cell r="C4564" t="str">
            <v>ST</v>
          </cell>
          <cell r="D4564">
            <v>192.2</v>
          </cell>
          <cell r="H4564" t="str">
            <v>hard coal</v>
          </cell>
        </row>
        <row r="4565">
          <cell r="C4565" t="str">
            <v>ST</v>
          </cell>
          <cell r="D4565">
            <v>136</v>
          </cell>
          <cell r="H4565" t="str">
            <v>petroleum</v>
          </cell>
        </row>
        <row r="4566">
          <cell r="C4566" t="str">
            <v>GT</v>
          </cell>
          <cell r="D4566">
            <v>16</v>
          </cell>
          <cell r="H4566" t="str">
            <v>petroleum</v>
          </cell>
        </row>
        <row r="4567">
          <cell r="C4567" t="str">
            <v>GT</v>
          </cell>
          <cell r="D4567">
            <v>11</v>
          </cell>
          <cell r="H4567" t="str">
            <v>petroleum</v>
          </cell>
        </row>
        <row r="4568">
          <cell r="C4568" t="str">
            <v>GT</v>
          </cell>
          <cell r="D4568">
            <v>11</v>
          </cell>
          <cell r="H4568" t="str">
            <v>natural gas peaker</v>
          </cell>
        </row>
        <row r="4569">
          <cell r="C4569" t="str">
            <v>GT</v>
          </cell>
          <cell r="D4569">
            <v>11</v>
          </cell>
          <cell r="H4569" t="str">
            <v>natural gas peaker</v>
          </cell>
        </row>
        <row r="4570">
          <cell r="C4570" t="str">
            <v>GT</v>
          </cell>
          <cell r="D4570">
            <v>112</v>
          </cell>
          <cell r="H4570" t="str">
            <v>natural gas peaker</v>
          </cell>
        </row>
        <row r="4571">
          <cell r="C4571" t="str">
            <v>GT</v>
          </cell>
          <cell r="D4571">
            <v>112</v>
          </cell>
          <cell r="H4571" t="str">
            <v>natural gas peaker</v>
          </cell>
        </row>
        <row r="4572">
          <cell r="C4572" t="str">
            <v>GT</v>
          </cell>
          <cell r="D4572">
            <v>112</v>
          </cell>
          <cell r="H4572" t="str">
            <v>natural gas peaker</v>
          </cell>
        </row>
        <row r="4573">
          <cell r="C4573" t="str">
            <v>GT</v>
          </cell>
          <cell r="D4573">
            <v>17</v>
          </cell>
          <cell r="H4573" t="str">
            <v>petroleum</v>
          </cell>
        </row>
        <row r="4574">
          <cell r="C4574" t="str">
            <v>IC</v>
          </cell>
          <cell r="D4574">
            <v>0.8</v>
          </cell>
          <cell r="H4574" t="str">
            <v>petroleum</v>
          </cell>
        </row>
        <row r="4575">
          <cell r="C4575" t="str">
            <v>IC</v>
          </cell>
          <cell r="D4575">
            <v>0.6</v>
          </cell>
          <cell r="H4575" t="str">
            <v>petroleum</v>
          </cell>
        </row>
        <row r="4576">
          <cell r="C4576" t="str">
            <v>GT</v>
          </cell>
          <cell r="D4576">
            <v>12.5</v>
          </cell>
          <cell r="H4576" t="str">
            <v>natural gas peaker</v>
          </cell>
        </row>
        <row r="4577">
          <cell r="C4577" t="str">
            <v>GT</v>
          </cell>
          <cell r="D4577">
            <v>12.5</v>
          </cell>
          <cell r="H4577" t="str">
            <v>natural gas peaker</v>
          </cell>
        </row>
        <row r="4578">
          <cell r="C4578" t="str">
            <v>IC</v>
          </cell>
          <cell r="D4578">
            <v>2.5</v>
          </cell>
          <cell r="H4578" t="str">
            <v>petroleum</v>
          </cell>
        </row>
        <row r="4579">
          <cell r="C4579" t="str">
            <v>GT</v>
          </cell>
          <cell r="D4579">
            <v>4</v>
          </cell>
          <cell r="H4579" t="str">
            <v>natural gas peaker</v>
          </cell>
        </row>
        <row r="4580">
          <cell r="C4580" t="str">
            <v>GT</v>
          </cell>
          <cell r="D4580">
            <v>16</v>
          </cell>
          <cell r="H4580" t="str">
            <v>petroleum</v>
          </cell>
        </row>
        <row r="4581">
          <cell r="C4581" t="str">
            <v>GT</v>
          </cell>
          <cell r="D4581">
            <v>16</v>
          </cell>
          <cell r="H4581" t="str">
            <v>natural gas peaker</v>
          </cell>
        </row>
        <row r="4582">
          <cell r="C4582" t="str">
            <v>GT</v>
          </cell>
          <cell r="D4582">
            <v>16</v>
          </cell>
          <cell r="H4582" t="str">
            <v>natural gas peaker</v>
          </cell>
        </row>
        <row r="4583">
          <cell r="C4583" t="str">
            <v>ST</v>
          </cell>
          <cell r="D4583">
            <v>8</v>
          </cell>
          <cell r="H4583" t="str">
            <v>hard coal</v>
          </cell>
        </row>
        <row r="4584">
          <cell r="C4584" t="str">
            <v>ST</v>
          </cell>
          <cell r="D4584">
            <v>15.2</v>
          </cell>
          <cell r="H4584" t="str">
            <v>hard coal</v>
          </cell>
        </row>
        <row r="4585">
          <cell r="C4585" t="str">
            <v>IC</v>
          </cell>
          <cell r="D4585">
            <v>2.4</v>
          </cell>
          <cell r="H4585" t="str">
            <v>petroleum</v>
          </cell>
        </row>
        <row r="4586">
          <cell r="C4586" t="str">
            <v>GT</v>
          </cell>
          <cell r="D4586">
            <v>15.3</v>
          </cell>
          <cell r="H4586" t="str">
            <v>natural gas peaker</v>
          </cell>
        </row>
        <row r="4587">
          <cell r="C4587" t="str">
            <v>ST</v>
          </cell>
          <cell r="D4587">
            <v>10</v>
          </cell>
          <cell r="H4587" t="str">
            <v>natural gas peaker</v>
          </cell>
        </row>
        <row r="4588">
          <cell r="C4588" t="str">
            <v>ST</v>
          </cell>
          <cell r="D4588">
            <v>25</v>
          </cell>
          <cell r="H4588" t="str">
            <v>natural gas peaker</v>
          </cell>
        </row>
        <row r="4589">
          <cell r="C4589" t="str">
            <v>ST</v>
          </cell>
          <cell r="D4589">
            <v>25</v>
          </cell>
          <cell r="H4589" t="str">
            <v>natural gas peaker</v>
          </cell>
        </row>
        <row r="4590">
          <cell r="C4590" t="str">
            <v>ST</v>
          </cell>
          <cell r="D4590">
            <v>51</v>
          </cell>
          <cell r="H4590" t="str">
            <v>natural gas peaker</v>
          </cell>
        </row>
        <row r="4591">
          <cell r="C4591" t="str">
            <v>GT</v>
          </cell>
          <cell r="D4591">
            <v>12</v>
          </cell>
          <cell r="H4591" t="str">
            <v>natural gas peaker</v>
          </cell>
        </row>
        <row r="4592">
          <cell r="C4592" t="str">
            <v>IC</v>
          </cell>
          <cell r="D4592">
            <v>1</v>
          </cell>
          <cell r="H4592" t="str">
            <v>petroleum</v>
          </cell>
        </row>
        <row r="4593">
          <cell r="C4593" t="str">
            <v>IC</v>
          </cell>
          <cell r="D4593">
            <v>0.5</v>
          </cell>
          <cell r="H4593" t="str">
            <v>natural gas peaker</v>
          </cell>
        </row>
        <row r="4594">
          <cell r="C4594" t="str">
            <v>IC</v>
          </cell>
          <cell r="D4594">
            <v>3.1</v>
          </cell>
          <cell r="H4594" t="str">
            <v>natural gas peaker</v>
          </cell>
        </row>
        <row r="4595">
          <cell r="C4595" t="str">
            <v>IC</v>
          </cell>
          <cell r="D4595">
            <v>3.1</v>
          </cell>
          <cell r="H4595" t="str">
            <v>natural gas peaker</v>
          </cell>
        </row>
        <row r="4596">
          <cell r="C4596" t="str">
            <v>IC</v>
          </cell>
          <cell r="D4596">
            <v>2.5</v>
          </cell>
          <cell r="H4596" t="str">
            <v>natural gas peaker</v>
          </cell>
        </row>
        <row r="4597">
          <cell r="C4597" t="str">
            <v>IC</v>
          </cell>
          <cell r="D4597">
            <v>2.7</v>
          </cell>
          <cell r="H4597" t="str">
            <v>natural gas peaker</v>
          </cell>
        </row>
        <row r="4598">
          <cell r="C4598" t="str">
            <v>IC</v>
          </cell>
          <cell r="D4598">
            <v>3</v>
          </cell>
          <cell r="H4598" t="str">
            <v>natural gas peaker</v>
          </cell>
        </row>
        <row r="4599">
          <cell r="C4599" t="str">
            <v>IC</v>
          </cell>
          <cell r="D4599">
            <v>0.4</v>
          </cell>
          <cell r="H4599" t="str">
            <v>natural gas peaker</v>
          </cell>
        </row>
        <row r="4600">
          <cell r="C4600" t="str">
            <v>IC</v>
          </cell>
          <cell r="D4600">
            <v>2.1</v>
          </cell>
          <cell r="H4600" t="str">
            <v>natural gas peaker</v>
          </cell>
        </row>
        <row r="4601">
          <cell r="C4601" t="str">
            <v>ST</v>
          </cell>
          <cell r="D4601">
            <v>23</v>
          </cell>
          <cell r="H4601" t="str">
            <v>hard coal</v>
          </cell>
        </row>
        <row r="4602">
          <cell r="C4602" t="str">
            <v>ST</v>
          </cell>
          <cell r="D4602">
            <v>23</v>
          </cell>
          <cell r="H4602" t="str">
            <v>natural gas peaker</v>
          </cell>
        </row>
        <row r="4603">
          <cell r="C4603" t="str">
            <v>ST</v>
          </cell>
          <cell r="D4603">
            <v>5</v>
          </cell>
          <cell r="H4603" t="str">
            <v>hard coal</v>
          </cell>
        </row>
        <row r="4604">
          <cell r="C4604" t="str">
            <v>ST</v>
          </cell>
          <cell r="D4604">
            <v>7.5</v>
          </cell>
          <cell r="H4604" t="str">
            <v>hard coal</v>
          </cell>
        </row>
        <row r="4605">
          <cell r="C4605" t="str">
            <v>ST</v>
          </cell>
          <cell r="D4605">
            <v>20</v>
          </cell>
          <cell r="H4605" t="str">
            <v>hard coal</v>
          </cell>
        </row>
        <row r="4606">
          <cell r="C4606" t="str">
            <v>ST</v>
          </cell>
          <cell r="D4606">
            <v>7</v>
          </cell>
          <cell r="H4606" t="str">
            <v>hard coal</v>
          </cell>
        </row>
        <row r="4607">
          <cell r="C4607" t="str">
            <v>ST</v>
          </cell>
          <cell r="D4607">
            <v>15.5</v>
          </cell>
          <cell r="H4607" t="str">
            <v>hard coal</v>
          </cell>
        </row>
        <row r="4608">
          <cell r="C4608" t="str">
            <v>ST</v>
          </cell>
          <cell r="D4608">
            <v>17.5</v>
          </cell>
          <cell r="H4608" t="str">
            <v>hard coal</v>
          </cell>
        </row>
        <row r="4609">
          <cell r="C4609" t="str">
            <v>ST</v>
          </cell>
          <cell r="D4609">
            <v>7</v>
          </cell>
          <cell r="H4609" t="str">
            <v>hard coal</v>
          </cell>
        </row>
        <row r="4610">
          <cell r="C4610" t="str">
            <v>IC</v>
          </cell>
          <cell r="D4610">
            <v>1.8</v>
          </cell>
          <cell r="H4610" t="str">
            <v>petroleum</v>
          </cell>
        </row>
        <row r="4611">
          <cell r="C4611" t="str">
            <v>GT</v>
          </cell>
          <cell r="D4611">
            <v>16.5</v>
          </cell>
          <cell r="H4611" t="str">
            <v>petroleum</v>
          </cell>
        </row>
        <row r="4612">
          <cell r="C4612" t="str">
            <v>GT</v>
          </cell>
          <cell r="D4612">
            <v>20</v>
          </cell>
          <cell r="H4612" t="str">
            <v>petroleum</v>
          </cell>
        </row>
        <row r="4613">
          <cell r="C4613" t="str">
            <v>GT</v>
          </cell>
          <cell r="D4613">
            <v>12</v>
          </cell>
          <cell r="H4613" t="str">
            <v>petroleum</v>
          </cell>
        </row>
        <row r="4614">
          <cell r="C4614" t="str">
            <v>GT</v>
          </cell>
          <cell r="D4614">
            <v>10.4</v>
          </cell>
          <cell r="H4614" t="str">
            <v>natural gas peaker</v>
          </cell>
        </row>
        <row r="4615">
          <cell r="C4615" t="str">
            <v>IC</v>
          </cell>
          <cell r="D4615">
            <v>1.2</v>
          </cell>
          <cell r="H4615" t="str">
            <v>petroleum</v>
          </cell>
        </row>
        <row r="4616">
          <cell r="C4616" t="str">
            <v>IC</v>
          </cell>
          <cell r="D4616">
            <v>1.2</v>
          </cell>
          <cell r="H4616" t="str">
            <v>petroleum</v>
          </cell>
        </row>
        <row r="4617">
          <cell r="C4617" t="str">
            <v>IC</v>
          </cell>
          <cell r="D4617">
            <v>0.6</v>
          </cell>
          <cell r="H4617" t="str">
            <v>petroleum</v>
          </cell>
        </row>
        <row r="4618">
          <cell r="C4618" t="str">
            <v>IC</v>
          </cell>
          <cell r="D4618">
            <v>1.2</v>
          </cell>
          <cell r="H4618" t="str">
            <v>petroleum</v>
          </cell>
        </row>
        <row r="4619">
          <cell r="C4619" t="str">
            <v>IC</v>
          </cell>
          <cell r="D4619">
            <v>1.5</v>
          </cell>
          <cell r="H4619" t="str">
            <v>petroleum</v>
          </cell>
        </row>
        <row r="4620">
          <cell r="C4620" t="str">
            <v>IC</v>
          </cell>
          <cell r="D4620">
            <v>2.1</v>
          </cell>
          <cell r="H4620" t="str">
            <v>petroleum</v>
          </cell>
        </row>
        <row r="4621">
          <cell r="C4621" t="str">
            <v>GT</v>
          </cell>
          <cell r="D4621">
            <v>41.9</v>
          </cell>
          <cell r="H4621" t="str">
            <v>natural gas peaker</v>
          </cell>
        </row>
        <row r="4622">
          <cell r="C4622" t="str">
            <v>ST</v>
          </cell>
          <cell r="D4622">
            <v>163</v>
          </cell>
          <cell r="H4622" t="str">
            <v>natural gas peaker</v>
          </cell>
        </row>
        <row r="4623">
          <cell r="C4623" t="str">
            <v>ST</v>
          </cell>
          <cell r="D4623">
            <v>403</v>
          </cell>
          <cell r="H4623" t="str">
            <v>natural gas peaker</v>
          </cell>
        </row>
        <row r="4624">
          <cell r="C4624" t="str">
            <v>GT</v>
          </cell>
          <cell r="D4624">
            <v>43.5</v>
          </cell>
          <cell r="H4624" t="str">
            <v>natural gas peaker</v>
          </cell>
        </row>
        <row r="4625">
          <cell r="C4625" t="str">
            <v>ST</v>
          </cell>
          <cell r="D4625">
            <v>211</v>
          </cell>
          <cell r="H4625" t="str">
            <v>natural gas peaker</v>
          </cell>
        </row>
        <row r="4626">
          <cell r="C4626" t="str">
            <v>ST</v>
          </cell>
          <cell r="D4626">
            <v>423</v>
          </cell>
          <cell r="H4626" t="str">
            <v>natural gas peaker</v>
          </cell>
        </row>
        <row r="4627">
          <cell r="C4627" t="str">
            <v>ST</v>
          </cell>
          <cell r="D4627">
            <v>442</v>
          </cell>
          <cell r="H4627" t="str">
            <v>natural gas peaker</v>
          </cell>
        </row>
        <row r="4628">
          <cell r="C4628" t="str">
            <v>ST</v>
          </cell>
          <cell r="D4628">
            <v>503</v>
          </cell>
          <cell r="H4628" t="str">
            <v>hard coal</v>
          </cell>
        </row>
        <row r="4629">
          <cell r="C4629" t="str">
            <v>GT</v>
          </cell>
          <cell r="D4629">
            <v>57</v>
          </cell>
          <cell r="H4629" t="str">
            <v>natural gas peaker</v>
          </cell>
        </row>
        <row r="4630">
          <cell r="C4630" t="str">
            <v>GT</v>
          </cell>
          <cell r="D4630">
            <v>57</v>
          </cell>
          <cell r="H4630" t="str">
            <v>natural gas peaker</v>
          </cell>
        </row>
        <row r="4631">
          <cell r="C4631" t="str">
            <v>GT</v>
          </cell>
          <cell r="D4631">
            <v>58</v>
          </cell>
          <cell r="H4631" t="str">
            <v>natural gas peaker</v>
          </cell>
        </row>
        <row r="4632">
          <cell r="C4632" t="str">
            <v>GT</v>
          </cell>
          <cell r="D4632">
            <v>58</v>
          </cell>
          <cell r="H4632" t="str">
            <v>natural gas peaker</v>
          </cell>
        </row>
        <row r="4633">
          <cell r="C4633" t="str">
            <v>GT</v>
          </cell>
          <cell r="D4633">
            <v>57</v>
          </cell>
          <cell r="H4633" t="str">
            <v>natural gas peaker</v>
          </cell>
        </row>
        <row r="4634">
          <cell r="C4634" t="str">
            <v>GT</v>
          </cell>
          <cell r="D4634">
            <v>57</v>
          </cell>
          <cell r="H4634" t="str">
            <v>natural gas peaker</v>
          </cell>
        </row>
        <row r="4635">
          <cell r="C4635" t="str">
            <v>GT</v>
          </cell>
          <cell r="D4635">
            <v>57</v>
          </cell>
          <cell r="H4635" t="str">
            <v>natural gas peaker</v>
          </cell>
        </row>
        <row r="4636">
          <cell r="C4636" t="str">
            <v>PV</v>
          </cell>
          <cell r="D4636">
            <v>2.5</v>
          </cell>
          <cell r="H4636" t="str">
            <v>solar PV</v>
          </cell>
        </row>
        <row r="4637">
          <cell r="C4637" t="str">
            <v>ST</v>
          </cell>
          <cell r="D4637">
            <v>426</v>
          </cell>
          <cell r="H4637" t="str">
            <v>natural gas peaker</v>
          </cell>
        </row>
        <row r="4638">
          <cell r="C4638" t="str">
            <v>ST</v>
          </cell>
          <cell r="D4638">
            <v>425</v>
          </cell>
          <cell r="H4638" t="str">
            <v>natural gas peaker</v>
          </cell>
        </row>
        <row r="4639">
          <cell r="C4639" t="str">
            <v>ST</v>
          </cell>
          <cell r="D4639">
            <v>464</v>
          </cell>
          <cell r="H4639" t="str">
            <v>natural gas peaker</v>
          </cell>
        </row>
        <row r="4640">
          <cell r="C4640" t="str">
            <v>CA</v>
          </cell>
          <cell r="D4640">
            <v>146</v>
          </cell>
          <cell r="H4640" t="str">
            <v>natural gas nonpeaker</v>
          </cell>
        </row>
        <row r="4641">
          <cell r="C4641" t="str">
            <v>CT</v>
          </cell>
          <cell r="D4641">
            <v>149</v>
          </cell>
          <cell r="H4641" t="str">
            <v>natural gas nonpeaker</v>
          </cell>
        </row>
        <row r="4642">
          <cell r="C4642" t="str">
            <v>CT</v>
          </cell>
          <cell r="D4642">
            <v>149</v>
          </cell>
          <cell r="H4642" t="str">
            <v>natural gas nonpeaker</v>
          </cell>
        </row>
        <row r="4643">
          <cell r="C4643" t="str">
            <v>ST</v>
          </cell>
          <cell r="D4643">
            <v>462</v>
          </cell>
          <cell r="H4643" t="str">
            <v>natural gas peaker</v>
          </cell>
        </row>
        <row r="4644">
          <cell r="C4644" t="str">
            <v>ST</v>
          </cell>
          <cell r="D4644">
            <v>460</v>
          </cell>
          <cell r="H4644" t="str">
            <v>hard coal</v>
          </cell>
        </row>
        <row r="4645">
          <cell r="C4645" t="str">
            <v>IC</v>
          </cell>
          <cell r="D4645">
            <v>4</v>
          </cell>
          <cell r="H4645" t="str">
            <v>petroleum</v>
          </cell>
        </row>
        <row r="4646">
          <cell r="C4646" t="str">
            <v>ST</v>
          </cell>
          <cell r="D4646">
            <v>78</v>
          </cell>
          <cell r="H4646" t="str">
            <v>natural gas peaker</v>
          </cell>
        </row>
        <row r="4647">
          <cell r="C4647" t="str">
            <v>ST</v>
          </cell>
          <cell r="D4647">
            <v>78</v>
          </cell>
          <cell r="H4647" t="str">
            <v>natural gas peaker</v>
          </cell>
        </row>
        <row r="4648">
          <cell r="C4648" t="str">
            <v>ST</v>
          </cell>
          <cell r="D4648">
            <v>295</v>
          </cell>
          <cell r="H4648" t="str">
            <v>natural gas peaker</v>
          </cell>
        </row>
        <row r="4649">
          <cell r="C4649" t="str">
            <v>GT</v>
          </cell>
          <cell r="D4649">
            <v>76</v>
          </cell>
          <cell r="H4649" t="str">
            <v>natural gas peaker</v>
          </cell>
        </row>
        <row r="4650">
          <cell r="C4650" t="str">
            <v>GT</v>
          </cell>
          <cell r="D4650">
            <v>76</v>
          </cell>
          <cell r="H4650" t="str">
            <v>natural gas peaker</v>
          </cell>
        </row>
        <row r="4651">
          <cell r="C4651" t="str">
            <v>IC</v>
          </cell>
          <cell r="D4651">
            <v>2</v>
          </cell>
          <cell r="H4651" t="str">
            <v>petroleum</v>
          </cell>
        </row>
        <row r="4652">
          <cell r="C4652" t="str">
            <v>ST</v>
          </cell>
          <cell r="D4652">
            <v>150</v>
          </cell>
          <cell r="H4652" t="str">
            <v>natural gas peaker</v>
          </cell>
        </row>
        <row r="4653">
          <cell r="C4653" t="str">
            <v>ST</v>
          </cell>
          <cell r="D4653">
            <v>155</v>
          </cell>
          <cell r="H4653" t="str">
            <v>natural gas peaker</v>
          </cell>
        </row>
        <row r="4654">
          <cell r="C4654" t="str">
            <v>IC</v>
          </cell>
          <cell r="D4654">
            <v>8.3000000000000007</v>
          </cell>
          <cell r="H4654" t="str">
            <v>petroleum</v>
          </cell>
        </row>
        <row r="4655">
          <cell r="C4655" t="str">
            <v>GT</v>
          </cell>
          <cell r="D4655">
            <v>55</v>
          </cell>
          <cell r="H4655" t="str">
            <v>natural gas peaker</v>
          </cell>
        </row>
        <row r="4656">
          <cell r="C4656" t="str">
            <v>GT</v>
          </cell>
          <cell r="D4656">
            <v>53</v>
          </cell>
          <cell r="H4656" t="str">
            <v>natural gas peaker</v>
          </cell>
        </row>
        <row r="4657">
          <cell r="C4657" t="str">
            <v>IC</v>
          </cell>
          <cell r="D4657">
            <v>4</v>
          </cell>
          <cell r="H4657" t="str">
            <v>petroleum</v>
          </cell>
        </row>
        <row r="4658">
          <cell r="C4658" t="str">
            <v>IC</v>
          </cell>
          <cell r="D4658">
            <v>1.8</v>
          </cell>
          <cell r="H4658" t="str">
            <v>petroleum</v>
          </cell>
        </row>
        <row r="4659">
          <cell r="C4659" t="str">
            <v>IC</v>
          </cell>
          <cell r="D4659">
            <v>4</v>
          </cell>
          <cell r="H4659" t="str">
            <v>petroleum</v>
          </cell>
        </row>
        <row r="4660">
          <cell r="C4660" t="str">
            <v>IC</v>
          </cell>
          <cell r="D4660">
            <v>6.3</v>
          </cell>
          <cell r="H4660" t="str">
            <v>petroleum</v>
          </cell>
        </row>
        <row r="4661">
          <cell r="C4661" t="str">
            <v>IC</v>
          </cell>
          <cell r="D4661">
            <v>0.8</v>
          </cell>
          <cell r="H4661" t="str">
            <v>petroleum</v>
          </cell>
        </row>
        <row r="4662">
          <cell r="C4662" t="str">
            <v>IC</v>
          </cell>
          <cell r="D4662">
            <v>0.4</v>
          </cell>
          <cell r="H4662" t="str">
            <v>petroleum</v>
          </cell>
        </row>
        <row r="4663">
          <cell r="C4663" t="str">
            <v>IC</v>
          </cell>
          <cell r="D4663">
            <v>0.4</v>
          </cell>
          <cell r="H4663" t="str">
            <v>petroleum</v>
          </cell>
        </row>
        <row r="4664">
          <cell r="C4664" t="str">
            <v>IC</v>
          </cell>
          <cell r="D4664">
            <v>0.4</v>
          </cell>
          <cell r="H4664" t="str">
            <v>petroleum</v>
          </cell>
        </row>
        <row r="4665">
          <cell r="C4665" t="str">
            <v>IC</v>
          </cell>
          <cell r="D4665">
            <v>0.6</v>
          </cell>
          <cell r="H4665" t="str">
            <v>petroleum</v>
          </cell>
        </row>
        <row r="4666">
          <cell r="C4666" t="str">
            <v>IC</v>
          </cell>
          <cell r="D4666">
            <v>1.9</v>
          </cell>
          <cell r="H4666" t="str">
            <v>petroleum</v>
          </cell>
        </row>
        <row r="4667">
          <cell r="C4667" t="str">
            <v>IC</v>
          </cell>
          <cell r="D4667">
            <v>1.9</v>
          </cell>
          <cell r="H4667" t="str">
            <v>petroleum</v>
          </cell>
        </row>
        <row r="4668">
          <cell r="C4668" t="str">
            <v>IC</v>
          </cell>
          <cell r="D4668">
            <v>2.7</v>
          </cell>
          <cell r="H4668" t="str">
            <v>petroleum</v>
          </cell>
        </row>
        <row r="4669">
          <cell r="C4669" t="str">
            <v>HY</v>
          </cell>
          <cell r="D4669">
            <v>32</v>
          </cell>
          <cell r="H4669" t="str">
            <v>hydro</v>
          </cell>
        </row>
        <row r="4670">
          <cell r="C4670" t="str">
            <v>HY</v>
          </cell>
          <cell r="D4670">
            <v>32</v>
          </cell>
          <cell r="H4670" t="str">
            <v>hydro</v>
          </cell>
        </row>
        <row r="4671">
          <cell r="C4671" t="str">
            <v>HY</v>
          </cell>
          <cell r="D4671">
            <v>32</v>
          </cell>
          <cell r="H4671" t="str">
            <v>hydro</v>
          </cell>
        </row>
        <row r="4672">
          <cell r="C4672" t="str">
            <v>HY</v>
          </cell>
          <cell r="D4672">
            <v>32</v>
          </cell>
          <cell r="H4672" t="str">
            <v>hydro</v>
          </cell>
        </row>
        <row r="4673">
          <cell r="C4673" t="str">
            <v>HY</v>
          </cell>
          <cell r="D4673">
            <v>21</v>
          </cell>
          <cell r="H4673" t="str">
            <v>hydro</v>
          </cell>
        </row>
        <row r="4674">
          <cell r="C4674" t="str">
            <v>HY</v>
          </cell>
          <cell r="D4674">
            <v>21</v>
          </cell>
          <cell r="H4674" t="str">
            <v>hydro</v>
          </cell>
        </row>
        <row r="4675">
          <cell r="C4675" t="str">
            <v>HY</v>
          </cell>
          <cell r="D4675">
            <v>21</v>
          </cell>
          <cell r="H4675" t="str">
            <v>hydro</v>
          </cell>
        </row>
        <row r="4676">
          <cell r="C4676" t="str">
            <v>HY</v>
          </cell>
          <cell r="D4676">
            <v>21</v>
          </cell>
          <cell r="H4676" t="str">
            <v>hydro</v>
          </cell>
        </row>
        <row r="4677">
          <cell r="C4677" t="str">
            <v>HY</v>
          </cell>
          <cell r="D4677">
            <v>21</v>
          </cell>
          <cell r="H4677" t="str">
            <v>hydro</v>
          </cell>
        </row>
        <row r="4678">
          <cell r="C4678" t="str">
            <v>HY</v>
          </cell>
          <cell r="D4678">
            <v>21</v>
          </cell>
          <cell r="H4678" t="str">
            <v>hydro</v>
          </cell>
        </row>
        <row r="4679">
          <cell r="C4679" t="str">
            <v>HY</v>
          </cell>
          <cell r="D4679">
            <v>0.5</v>
          </cell>
          <cell r="H4679" t="str">
            <v>hydro</v>
          </cell>
        </row>
        <row r="4680">
          <cell r="C4680" t="str">
            <v>PS</v>
          </cell>
          <cell r="D4680">
            <v>43</v>
          </cell>
          <cell r="H4680" t="str">
            <v>other</v>
          </cell>
        </row>
        <row r="4681">
          <cell r="C4681" t="str">
            <v>PS</v>
          </cell>
          <cell r="D4681">
            <v>43</v>
          </cell>
          <cell r="H4681" t="str">
            <v>other</v>
          </cell>
        </row>
        <row r="4682">
          <cell r="C4682" t="str">
            <v>PS</v>
          </cell>
          <cell r="D4682">
            <v>43</v>
          </cell>
          <cell r="H4682" t="str">
            <v>other</v>
          </cell>
        </row>
        <row r="4683">
          <cell r="C4683" t="str">
            <v>PS</v>
          </cell>
          <cell r="D4683">
            <v>43</v>
          </cell>
          <cell r="H4683" t="str">
            <v>other</v>
          </cell>
        </row>
        <row r="4684">
          <cell r="C4684" t="str">
            <v>PS</v>
          </cell>
          <cell r="D4684">
            <v>43</v>
          </cell>
          <cell r="H4684" t="str">
            <v>other</v>
          </cell>
        </row>
        <row r="4685">
          <cell r="C4685" t="str">
            <v>PS</v>
          </cell>
          <cell r="D4685">
            <v>43</v>
          </cell>
          <cell r="H4685" t="str">
            <v>other</v>
          </cell>
        </row>
        <row r="4686">
          <cell r="C4686" t="str">
            <v>HY</v>
          </cell>
          <cell r="D4686">
            <v>40</v>
          </cell>
          <cell r="H4686" t="str">
            <v>hydro</v>
          </cell>
        </row>
        <row r="4687">
          <cell r="C4687" t="str">
            <v>HY</v>
          </cell>
          <cell r="D4687">
            <v>40</v>
          </cell>
          <cell r="H4687" t="str">
            <v>hydro</v>
          </cell>
        </row>
        <row r="4688">
          <cell r="C4688" t="str">
            <v>HY</v>
          </cell>
          <cell r="D4688">
            <v>31.6</v>
          </cell>
          <cell r="H4688" t="str">
            <v>hydro</v>
          </cell>
        </row>
        <row r="4689">
          <cell r="C4689" t="str">
            <v>HY</v>
          </cell>
          <cell r="D4689">
            <v>31.6</v>
          </cell>
          <cell r="H4689" t="str">
            <v>hydro</v>
          </cell>
        </row>
        <row r="4690">
          <cell r="C4690" t="str">
            <v>HY</v>
          </cell>
          <cell r="D4690">
            <v>31.6</v>
          </cell>
          <cell r="H4690" t="str">
            <v>hydro</v>
          </cell>
        </row>
        <row r="4691">
          <cell r="C4691" t="str">
            <v>HY</v>
          </cell>
          <cell r="D4691">
            <v>20</v>
          </cell>
          <cell r="H4691" t="str">
            <v>hydro</v>
          </cell>
        </row>
        <row r="4692">
          <cell r="C4692" t="str">
            <v>IC</v>
          </cell>
          <cell r="D4692">
            <v>2.9</v>
          </cell>
          <cell r="H4692" t="str">
            <v>natural gas peaker</v>
          </cell>
        </row>
        <row r="4693">
          <cell r="C4693" t="str">
            <v>IC</v>
          </cell>
          <cell r="D4693">
            <v>1.2</v>
          </cell>
          <cell r="H4693" t="str">
            <v>natural gas peaker</v>
          </cell>
        </row>
        <row r="4694">
          <cell r="C4694" t="str">
            <v>IC</v>
          </cell>
          <cell r="D4694">
            <v>3</v>
          </cell>
          <cell r="H4694" t="str">
            <v>natural gas peaker</v>
          </cell>
        </row>
        <row r="4695">
          <cell r="C4695" t="str">
            <v>IC</v>
          </cell>
          <cell r="D4695">
            <v>1</v>
          </cell>
          <cell r="H4695" t="str">
            <v>natural gas peaker</v>
          </cell>
        </row>
        <row r="4696">
          <cell r="C4696" t="str">
            <v>IC</v>
          </cell>
          <cell r="D4696">
            <v>0.6</v>
          </cell>
          <cell r="H4696" t="str">
            <v>natural gas peaker</v>
          </cell>
        </row>
        <row r="4697">
          <cell r="C4697" t="str">
            <v>HY</v>
          </cell>
          <cell r="D4697">
            <v>25</v>
          </cell>
          <cell r="H4697" t="str">
            <v>hydro</v>
          </cell>
        </row>
        <row r="4698">
          <cell r="C4698" t="str">
            <v>HY</v>
          </cell>
          <cell r="D4698">
            <v>25</v>
          </cell>
          <cell r="H4698" t="str">
            <v>hydro</v>
          </cell>
        </row>
        <row r="4699">
          <cell r="C4699" t="str">
            <v>HY</v>
          </cell>
          <cell r="D4699">
            <v>23</v>
          </cell>
          <cell r="H4699" t="str">
            <v>hydro</v>
          </cell>
        </row>
        <row r="4700">
          <cell r="C4700" t="str">
            <v>IC</v>
          </cell>
          <cell r="D4700">
            <v>0.9</v>
          </cell>
          <cell r="H4700" t="str">
            <v>natural gas peaker</v>
          </cell>
        </row>
        <row r="4701">
          <cell r="C4701" t="str">
            <v>IC</v>
          </cell>
          <cell r="D4701">
            <v>1.2</v>
          </cell>
          <cell r="H4701" t="str">
            <v>natural gas peaker</v>
          </cell>
        </row>
        <row r="4702">
          <cell r="C4702" t="str">
            <v>IC</v>
          </cell>
          <cell r="D4702">
            <v>1.7</v>
          </cell>
          <cell r="H4702" t="str">
            <v>natural gas peaker</v>
          </cell>
        </row>
        <row r="4703">
          <cell r="C4703" t="str">
            <v>IC</v>
          </cell>
          <cell r="D4703">
            <v>1.6</v>
          </cell>
          <cell r="H4703" t="str">
            <v>natural gas peaker</v>
          </cell>
        </row>
        <row r="4704">
          <cell r="C4704" t="str">
            <v>IC</v>
          </cell>
          <cell r="D4704">
            <v>1.1000000000000001</v>
          </cell>
          <cell r="H4704" t="str">
            <v>petroleum</v>
          </cell>
        </row>
        <row r="4705">
          <cell r="C4705" t="str">
            <v>IC</v>
          </cell>
          <cell r="D4705">
            <v>1.2</v>
          </cell>
          <cell r="H4705" t="str">
            <v>petroleum</v>
          </cell>
        </row>
        <row r="4706">
          <cell r="C4706" t="str">
            <v>IC</v>
          </cell>
          <cell r="D4706">
            <v>2.5</v>
          </cell>
          <cell r="H4706" t="str">
            <v>petroleum</v>
          </cell>
        </row>
        <row r="4707">
          <cell r="C4707" t="str">
            <v>IC</v>
          </cell>
          <cell r="D4707">
            <v>2</v>
          </cell>
          <cell r="H4707" t="str">
            <v>petroleum</v>
          </cell>
        </row>
        <row r="4708">
          <cell r="C4708" t="str">
            <v>IC</v>
          </cell>
          <cell r="D4708">
            <v>2</v>
          </cell>
          <cell r="H4708" t="str">
            <v>petroleum</v>
          </cell>
        </row>
        <row r="4709">
          <cell r="C4709" t="str">
            <v>IC</v>
          </cell>
          <cell r="D4709">
            <v>2</v>
          </cell>
          <cell r="H4709" t="str">
            <v>petroleum</v>
          </cell>
        </row>
        <row r="4710">
          <cell r="C4710" t="str">
            <v>IC</v>
          </cell>
          <cell r="D4710">
            <v>2</v>
          </cell>
          <cell r="H4710" t="str">
            <v>petroleum</v>
          </cell>
        </row>
        <row r="4711">
          <cell r="C4711" t="str">
            <v>HY</v>
          </cell>
          <cell r="D4711">
            <v>12.9</v>
          </cell>
          <cell r="H4711" t="str">
            <v>hydro</v>
          </cell>
        </row>
        <row r="4712">
          <cell r="C4712" t="str">
            <v>HY</v>
          </cell>
          <cell r="D4712">
            <v>12.9</v>
          </cell>
          <cell r="H4712" t="str">
            <v>hydro</v>
          </cell>
        </row>
        <row r="4713">
          <cell r="C4713" t="str">
            <v>HY</v>
          </cell>
          <cell r="D4713">
            <v>12.9</v>
          </cell>
          <cell r="H4713" t="str">
            <v>hydro</v>
          </cell>
        </row>
        <row r="4714">
          <cell r="C4714" t="str">
            <v>HY</v>
          </cell>
          <cell r="D4714">
            <v>12.5</v>
          </cell>
          <cell r="H4714" t="str">
            <v>hydro</v>
          </cell>
        </row>
        <row r="4715">
          <cell r="C4715" t="str">
            <v>HY</v>
          </cell>
          <cell r="D4715">
            <v>21</v>
          </cell>
          <cell r="H4715" t="str">
            <v>hydro</v>
          </cell>
        </row>
        <row r="4716">
          <cell r="C4716" t="str">
            <v>HY</v>
          </cell>
          <cell r="D4716">
            <v>21</v>
          </cell>
          <cell r="H4716" t="str">
            <v>hydro</v>
          </cell>
        </row>
        <row r="4717">
          <cell r="C4717" t="str">
            <v>ST</v>
          </cell>
          <cell r="D4717">
            <v>12</v>
          </cell>
          <cell r="H4717" t="str">
            <v>natural gas peaker</v>
          </cell>
        </row>
        <row r="4718">
          <cell r="C4718" t="str">
            <v>GT</v>
          </cell>
          <cell r="D4718">
            <v>45</v>
          </cell>
          <cell r="H4718" t="str">
            <v>natural gas peaker</v>
          </cell>
        </row>
        <row r="4719">
          <cell r="C4719" t="str">
            <v>GT</v>
          </cell>
          <cell r="D4719">
            <v>45</v>
          </cell>
          <cell r="H4719" t="str">
            <v>natural gas peaker</v>
          </cell>
        </row>
        <row r="4720">
          <cell r="C4720" t="str">
            <v>ST</v>
          </cell>
          <cell r="D4720">
            <v>12</v>
          </cell>
          <cell r="H4720" t="str">
            <v>natural gas peaker</v>
          </cell>
        </row>
        <row r="4721">
          <cell r="C4721" t="str">
            <v>ST</v>
          </cell>
          <cell r="D4721">
            <v>44</v>
          </cell>
          <cell r="H4721" t="str">
            <v>natural gas peaker</v>
          </cell>
        </row>
        <row r="4722">
          <cell r="C4722" t="str">
            <v>CS</v>
          </cell>
          <cell r="D4722">
            <v>94</v>
          </cell>
          <cell r="H4722" t="str">
            <v>natural gas nonpeaker</v>
          </cell>
        </row>
        <row r="4723">
          <cell r="C4723" t="str">
            <v>CS</v>
          </cell>
          <cell r="D4723">
            <v>94</v>
          </cell>
          <cell r="H4723" t="str">
            <v>natural gas nonpeaker</v>
          </cell>
        </row>
        <row r="4724">
          <cell r="C4724" t="str">
            <v>CS</v>
          </cell>
          <cell r="D4724">
            <v>94</v>
          </cell>
          <cell r="H4724" t="str">
            <v>natural gas nonpeaker</v>
          </cell>
        </row>
        <row r="4725">
          <cell r="C4725" t="str">
            <v>GT</v>
          </cell>
          <cell r="D4725">
            <v>45</v>
          </cell>
          <cell r="H4725" t="str">
            <v>natural gas peaker</v>
          </cell>
        </row>
        <row r="4726">
          <cell r="C4726" t="str">
            <v>ST</v>
          </cell>
          <cell r="D4726">
            <v>50</v>
          </cell>
          <cell r="H4726" t="str">
            <v>natural gas peaker</v>
          </cell>
        </row>
        <row r="4727">
          <cell r="C4727" t="str">
            <v>ST</v>
          </cell>
          <cell r="D4727">
            <v>132</v>
          </cell>
          <cell r="H4727" t="str">
            <v>natural gas peaker</v>
          </cell>
        </row>
        <row r="4728">
          <cell r="C4728" t="str">
            <v>ST</v>
          </cell>
          <cell r="D4728">
            <v>140</v>
          </cell>
          <cell r="H4728" t="str">
            <v>natural gas peaker</v>
          </cell>
        </row>
        <row r="4729">
          <cell r="C4729" t="str">
            <v>HY</v>
          </cell>
          <cell r="D4729">
            <v>145.80000000000001</v>
          </cell>
          <cell r="H4729" t="str">
            <v>hydro</v>
          </cell>
        </row>
        <row r="4730">
          <cell r="C4730" t="str">
            <v>HY</v>
          </cell>
          <cell r="D4730">
            <v>150</v>
          </cell>
          <cell r="H4730" t="str">
            <v>hydro</v>
          </cell>
        </row>
        <row r="4731">
          <cell r="C4731" t="str">
            <v>HY</v>
          </cell>
          <cell r="D4731">
            <v>149.19999999999999</v>
          </cell>
          <cell r="H4731" t="str">
            <v>hydro</v>
          </cell>
        </row>
        <row r="4732">
          <cell r="C4732" t="str">
            <v>HY</v>
          </cell>
          <cell r="D4732">
            <v>55.3</v>
          </cell>
          <cell r="H4732" t="str">
            <v>hydro</v>
          </cell>
        </row>
        <row r="4733">
          <cell r="C4733" t="str">
            <v>HY</v>
          </cell>
          <cell r="D4733">
            <v>54.8</v>
          </cell>
          <cell r="H4733" t="str">
            <v>hydro</v>
          </cell>
        </row>
        <row r="4734">
          <cell r="C4734" t="str">
            <v>HY</v>
          </cell>
          <cell r="D4734">
            <v>54.9</v>
          </cell>
          <cell r="H4734" t="str">
            <v>hydro</v>
          </cell>
        </row>
        <row r="4735">
          <cell r="C4735" t="str">
            <v>HY</v>
          </cell>
          <cell r="D4735">
            <v>54.8</v>
          </cell>
          <cell r="H4735" t="str">
            <v>hydro</v>
          </cell>
        </row>
        <row r="4736">
          <cell r="C4736" t="str">
            <v>HY</v>
          </cell>
          <cell r="D4736">
            <v>17.899999999999999</v>
          </cell>
          <cell r="H4736" t="str">
            <v>hydro</v>
          </cell>
        </row>
        <row r="4737">
          <cell r="C4737" t="str">
            <v>HY</v>
          </cell>
          <cell r="D4737">
            <v>31</v>
          </cell>
          <cell r="H4737" t="str">
            <v>hydro</v>
          </cell>
        </row>
        <row r="4738">
          <cell r="C4738" t="str">
            <v>HY</v>
          </cell>
          <cell r="D4738">
            <v>2.8</v>
          </cell>
          <cell r="H4738" t="str">
            <v>hydro</v>
          </cell>
        </row>
        <row r="4739">
          <cell r="C4739" t="str">
            <v>HY</v>
          </cell>
          <cell r="D4739">
            <v>3</v>
          </cell>
          <cell r="H4739" t="str">
            <v>hydro</v>
          </cell>
        </row>
        <row r="4740">
          <cell r="C4740" t="str">
            <v>HY</v>
          </cell>
          <cell r="D4740">
            <v>10.4</v>
          </cell>
          <cell r="H4740" t="str">
            <v>hydro</v>
          </cell>
        </row>
        <row r="4741">
          <cell r="C4741" t="str">
            <v>HY</v>
          </cell>
          <cell r="D4741">
            <v>50.4</v>
          </cell>
          <cell r="H4741" t="str">
            <v>hydro</v>
          </cell>
        </row>
        <row r="4742">
          <cell r="C4742" t="str">
            <v>HY</v>
          </cell>
          <cell r="D4742">
            <v>47.6</v>
          </cell>
          <cell r="H4742" t="str">
            <v>hydro</v>
          </cell>
        </row>
        <row r="4743">
          <cell r="C4743" t="str">
            <v>HY</v>
          </cell>
          <cell r="D4743">
            <v>32</v>
          </cell>
          <cell r="H4743" t="str">
            <v>hydro</v>
          </cell>
        </row>
        <row r="4744">
          <cell r="C4744" t="str">
            <v>HY</v>
          </cell>
          <cell r="D4744">
            <v>4.5999999999999996</v>
          </cell>
          <cell r="H4744" t="str">
            <v>hydro</v>
          </cell>
        </row>
        <row r="4745">
          <cell r="C4745" t="str">
            <v>HY</v>
          </cell>
          <cell r="D4745">
            <v>18</v>
          </cell>
          <cell r="H4745" t="str">
            <v>hydro</v>
          </cell>
        </row>
        <row r="4746">
          <cell r="C4746" t="str">
            <v>HY</v>
          </cell>
          <cell r="D4746">
            <v>18</v>
          </cell>
          <cell r="H4746" t="str">
            <v>hydro</v>
          </cell>
        </row>
        <row r="4747">
          <cell r="C4747" t="str">
            <v>HY</v>
          </cell>
          <cell r="D4747">
            <v>7.7</v>
          </cell>
          <cell r="H4747" t="str">
            <v>hydro</v>
          </cell>
        </row>
        <row r="4748">
          <cell r="C4748" t="str">
            <v>HY</v>
          </cell>
          <cell r="D4748">
            <v>0.9</v>
          </cell>
          <cell r="H4748" t="str">
            <v>hydro</v>
          </cell>
        </row>
        <row r="4749">
          <cell r="C4749" t="str">
            <v>HY</v>
          </cell>
          <cell r="D4749">
            <v>18</v>
          </cell>
          <cell r="H4749" t="str">
            <v>hydro</v>
          </cell>
        </row>
        <row r="4750">
          <cell r="C4750" t="str">
            <v>HY</v>
          </cell>
          <cell r="D4750">
            <v>11.6</v>
          </cell>
          <cell r="H4750" t="str">
            <v>hydro</v>
          </cell>
        </row>
        <row r="4751">
          <cell r="C4751" t="str">
            <v>HY</v>
          </cell>
          <cell r="D4751">
            <v>15</v>
          </cell>
          <cell r="H4751" t="str">
            <v>hydro</v>
          </cell>
        </row>
        <row r="4752">
          <cell r="C4752" t="str">
            <v>HY</v>
          </cell>
          <cell r="D4752">
            <v>15</v>
          </cell>
          <cell r="H4752" t="str">
            <v>hydro</v>
          </cell>
        </row>
        <row r="4753">
          <cell r="C4753" t="str">
            <v>HY</v>
          </cell>
          <cell r="D4753">
            <v>15</v>
          </cell>
          <cell r="H4753" t="str">
            <v>hydro</v>
          </cell>
        </row>
        <row r="4754">
          <cell r="C4754" t="str">
            <v>HY</v>
          </cell>
          <cell r="D4754">
            <v>1.1000000000000001</v>
          </cell>
          <cell r="H4754" t="str">
            <v>hydro</v>
          </cell>
        </row>
        <row r="4755">
          <cell r="C4755" t="str">
            <v>HY</v>
          </cell>
          <cell r="D4755">
            <v>23.9</v>
          </cell>
          <cell r="H4755" t="str">
            <v>hydro</v>
          </cell>
        </row>
        <row r="4756">
          <cell r="C4756" t="str">
            <v>HY</v>
          </cell>
          <cell r="D4756">
            <v>27</v>
          </cell>
          <cell r="H4756" t="str">
            <v>hydro</v>
          </cell>
        </row>
        <row r="4757">
          <cell r="C4757" t="str">
            <v>HY</v>
          </cell>
          <cell r="D4757">
            <v>31</v>
          </cell>
          <cell r="H4757" t="str">
            <v>hydro</v>
          </cell>
        </row>
        <row r="4758">
          <cell r="C4758" t="str">
            <v>HY</v>
          </cell>
          <cell r="D4758">
            <v>38</v>
          </cell>
          <cell r="H4758" t="str">
            <v>hydro</v>
          </cell>
        </row>
        <row r="4759">
          <cell r="C4759" t="str">
            <v>HY</v>
          </cell>
          <cell r="D4759">
            <v>36</v>
          </cell>
          <cell r="H4759" t="str">
            <v>hydro</v>
          </cell>
        </row>
        <row r="4760">
          <cell r="C4760" t="str">
            <v>HY</v>
          </cell>
          <cell r="D4760">
            <v>36</v>
          </cell>
          <cell r="H4760" t="str">
            <v>hydro</v>
          </cell>
        </row>
        <row r="4761">
          <cell r="C4761" t="str">
            <v>HY</v>
          </cell>
          <cell r="D4761">
            <v>4.3</v>
          </cell>
          <cell r="H4761" t="str">
            <v>hydro</v>
          </cell>
        </row>
        <row r="4762">
          <cell r="C4762" t="str">
            <v>HY</v>
          </cell>
          <cell r="D4762">
            <v>4.3</v>
          </cell>
          <cell r="H4762" t="str">
            <v>hydro</v>
          </cell>
        </row>
        <row r="4763">
          <cell r="C4763" t="str">
            <v>HY</v>
          </cell>
          <cell r="D4763">
            <v>4.3</v>
          </cell>
          <cell r="H4763" t="str">
            <v>hydro</v>
          </cell>
        </row>
        <row r="4764">
          <cell r="C4764" t="str">
            <v>HY</v>
          </cell>
          <cell r="D4764">
            <v>5.2</v>
          </cell>
          <cell r="H4764" t="str">
            <v>hydro</v>
          </cell>
        </row>
        <row r="4765">
          <cell r="C4765" t="str">
            <v>HY</v>
          </cell>
          <cell r="D4765">
            <v>6.6</v>
          </cell>
          <cell r="H4765" t="str">
            <v>hydro</v>
          </cell>
        </row>
        <row r="4766">
          <cell r="C4766" t="str">
            <v>HY</v>
          </cell>
          <cell r="D4766">
            <v>110</v>
          </cell>
          <cell r="H4766" t="str">
            <v>hydro</v>
          </cell>
        </row>
        <row r="4767">
          <cell r="C4767" t="str">
            <v>HY</v>
          </cell>
          <cell r="D4767">
            <v>121.5</v>
          </cell>
          <cell r="H4767" t="str">
            <v>hydro</v>
          </cell>
        </row>
        <row r="4768">
          <cell r="C4768" t="str">
            <v>HY</v>
          </cell>
          <cell r="D4768">
            <v>121.5</v>
          </cell>
          <cell r="H4768" t="str">
            <v>hydro</v>
          </cell>
        </row>
        <row r="4769">
          <cell r="C4769" t="str">
            <v>HY</v>
          </cell>
          <cell r="D4769">
            <v>1.4</v>
          </cell>
          <cell r="H4769" t="str">
            <v>hydro</v>
          </cell>
        </row>
        <row r="4770">
          <cell r="C4770" t="str">
            <v>HY</v>
          </cell>
          <cell r="D4770">
            <v>1.5</v>
          </cell>
          <cell r="H4770" t="str">
            <v>hydro</v>
          </cell>
        </row>
        <row r="4771">
          <cell r="C4771" t="str">
            <v>HY</v>
          </cell>
          <cell r="D4771">
            <v>1.4</v>
          </cell>
          <cell r="H4771" t="str">
            <v>hydro</v>
          </cell>
        </row>
        <row r="4772">
          <cell r="C4772" t="str">
            <v>HY</v>
          </cell>
          <cell r="D4772">
            <v>1.4</v>
          </cell>
          <cell r="H4772" t="str">
            <v>hydro</v>
          </cell>
        </row>
        <row r="4773">
          <cell r="C4773" t="str">
            <v>HY</v>
          </cell>
          <cell r="D4773">
            <v>1.2</v>
          </cell>
          <cell r="H4773" t="str">
            <v>hydro</v>
          </cell>
        </row>
        <row r="4774">
          <cell r="C4774" t="str">
            <v>HY</v>
          </cell>
          <cell r="D4774">
            <v>1.5</v>
          </cell>
          <cell r="H4774" t="str">
            <v>hydro</v>
          </cell>
        </row>
        <row r="4775">
          <cell r="C4775" t="str">
            <v>HY</v>
          </cell>
          <cell r="D4775">
            <v>1.5</v>
          </cell>
          <cell r="H4775" t="str">
            <v>hydro</v>
          </cell>
        </row>
        <row r="4776">
          <cell r="C4776" t="str">
            <v>HY</v>
          </cell>
          <cell r="D4776">
            <v>1.5</v>
          </cell>
          <cell r="H4776" t="str">
            <v>hydro</v>
          </cell>
        </row>
        <row r="4777">
          <cell r="C4777" t="str">
            <v>HY</v>
          </cell>
          <cell r="D4777">
            <v>1.5</v>
          </cell>
          <cell r="H4777" t="str">
            <v>hydro</v>
          </cell>
        </row>
        <row r="4778">
          <cell r="C4778" t="str">
            <v>HY</v>
          </cell>
          <cell r="D4778">
            <v>1.5</v>
          </cell>
          <cell r="H4778" t="str">
            <v>hydro</v>
          </cell>
        </row>
        <row r="4779">
          <cell r="C4779" t="str">
            <v>HY</v>
          </cell>
          <cell r="D4779">
            <v>1.5</v>
          </cell>
          <cell r="H4779" t="str">
            <v>hydro</v>
          </cell>
        </row>
        <row r="4780">
          <cell r="C4780" t="str">
            <v>HY</v>
          </cell>
          <cell r="D4780">
            <v>1.4</v>
          </cell>
          <cell r="H4780" t="str">
            <v>hydro</v>
          </cell>
        </row>
        <row r="4781">
          <cell r="C4781" t="str">
            <v>HY</v>
          </cell>
          <cell r="D4781">
            <v>1</v>
          </cell>
          <cell r="H4781" t="str">
            <v>hydro</v>
          </cell>
        </row>
        <row r="4782">
          <cell r="C4782" t="str">
            <v>HY</v>
          </cell>
          <cell r="D4782">
            <v>50</v>
          </cell>
          <cell r="H4782" t="str">
            <v>hydro</v>
          </cell>
        </row>
        <row r="4783">
          <cell r="C4783" t="str">
            <v>HY</v>
          </cell>
          <cell r="D4783">
            <v>50</v>
          </cell>
          <cell r="H4783" t="str">
            <v>hydro</v>
          </cell>
        </row>
        <row r="4784">
          <cell r="C4784" t="str">
            <v>HY</v>
          </cell>
          <cell r="D4784">
            <v>3.8</v>
          </cell>
          <cell r="H4784" t="str">
            <v>hydro</v>
          </cell>
        </row>
        <row r="4785">
          <cell r="C4785" t="str">
            <v>HY</v>
          </cell>
          <cell r="D4785">
            <v>4</v>
          </cell>
          <cell r="H4785" t="str">
            <v>hydro</v>
          </cell>
        </row>
        <row r="4786">
          <cell r="C4786" t="str">
            <v>HY</v>
          </cell>
          <cell r="D4786">
            <v>4</v>
          </cell>
          <cell r="H4786" t="str">
            <v>hydro</v>
          </cell>
        </row>
        <row r="4787">
          <cell r="C4787" t="str">
            <v>HY</v>
          </cell>
          <cell r="D4787">
            <v>7.5</v>
          </cell>
          <cell r="H4787" t="str">
            <v>hydro</v>
          </cell>
        </row>
        <row r="4788">
          <cell r="C4788" t="str">
            <v>HY</v>
          </cell>
          <cell r="D4788">
            <v>21</v>
          </cell>
          <cell r="H4788" t="str">
            <v>hydro</v>
          </cell>
        </row>
        <row r="4789">
          <cell r="C4789" t="str">
            <v>HY</v>
          </cell>
          <cell r="D4789">
            <v>53.5</v>
          </cell>
          <cell r="H4789" t="str">
            <v>hydro</v>
          </cell>
        </row>
        <row r="4790">
          <cell r="C4790" t="str">
            <v>HY</v>
          </cell>
          <cell r="D4790">
            <v>54</v>
          </cell>
          <cell r="H4790" t="str">
            <v>hydro</v>
          </cell>
        </row>
        <row r="4791">
          <cell r="C4791" t="str">
            <v>HY</v>
          </cell>
          <cell r="D4791">
            <v>66.5</v>
          </cell>
          <cell r="H4791" t="str">
            <v>hydro</v>
          </cell>
        </row>
        <row r="4792">
          <cell r="C4792" t="str">
            <v>HY</v>
          </cell>
          <cell r="D4792">
            <v>66.5</v>
          </cell>
          <cell r="H4792" t="str">
            <v>hydro</v>
          </cell>
        </row>
        <row r="4793">
          <cell r="C4793" t="str">
            <v>HY</v>
          </cell>
          <cell r="D4793">
            <v>66.5</v>
          </cell>
          <cell r="H4793" t="str">
            <v>hydro</v>
          </cell>
        </row>
        <row r="4794">
          <cell r="C4794" t="str">
            <v>HY</v>
          </cell>
          <cell r="D4794">
            <v>66.5</v>
          </cell>
          <cell r="H4794" t="str">
            <v>hydro</v>
          </cell>
        </row>
        <row r="4795">
          <cell r="C4795" t="str">
            <v>HY</v>
          </cell>
          <cell r="D4795">
            <v>66.5</v>
          </cell>
          <cell r="H4795" t="str">
            <v>hydro</v>
          </cell>
        </row>
        <row r="4796">
          <cell r="C4796" t="str">
            <v>HY</v>
          </cell>
          <cell r="D4796">
            <v>66.5</v>
          </cell>
          <cell r="H4796" t="str">
            <v>hydro</v>
          </cell>
        </row>
        <row r="4797">
          <cell r="C4797" t="str">
            <v>HY</v>
          </cell>
          <cell r="D4797">
            <v>66.5</v>
          </cell>
          <cell r="H4797" t="str">
            <v>hydro</v>
          </cell>
        </row>
        <row r="4798">
          <cell r="C4798" t="str">
            <v>HY</v>
          </cell>
          <cell r="D4798">
            <v>66.5</v>
          </cell>
          <cell r="H4798" t="str">
            <v>hydro</v>
          </cell>
        </row>
        <row r="4799">
          <cell r="C4799" t="str">
            <v>HY</v>
          </cell>
          <cell r="D4799">
            <v>53.5</v>
          </cell>
          <cell r="H4799" t="str">
            <v>hydro</v>
          </cell>
        </row>
        <row r="4800">
          <cell r="C4800" t="str">
            <v>HY</v>
          </cell>
          <cell r="D4800">
            <v>62.1</v>
          </cell>
          <cell r="H4800" t="str">
            <v>hydro</v>
          </cell>
        </row>
        <row r="4801">
          <cell r="C4801" t="str">
            <v>HY</v>
          </cell>
          <cell r="D4801">
            <v>62.1</v>
          </cell>
          <cell r="H4801" t="str">
            <v>hydro</v>
          </cell>
        </row>
        <row r="4802">
          <cell r="C4802" t="str">
            <v>HY</v>
          </cell>
          <cell r="D4802">
            <v>62.1</v>
          </cell>
          <cell r="H4802" t="str">
            <v>hydro</v>
          </cell>
        </row>
        <row r="4803">
          <cell r="C4803" t="str">
            <v>HY</v>
          </cell>
          <cell r="D4803">
            <v>62.1</v>
          </cell>
          <cell r="H4803" t="str">
            <v>hydro</v>
          </cell>
        </row>
        <row r="4804">
          <cell r="C4804" t="str">
            <v>HY</v>
          </cell>
          <cell r="D4804">
            <v>62.1</v>
          </cell>
          <cell r="H4804" t="str">
            <v>hydro</v>
          </cell>
        </row>
        <row r="4805">
          <cell r="C4805" t="str">
            <v>HY</v>
          </cell>
          <cell r="D4805">
            <v>62.1</v>
          </cell>
          <cell r="H4805" t="str">
            <v>hydro</v>
          </cell>
        </row>
        <row r="4806">
          <cell r="C4806" t="str">
            <v>HY</v>
          </cell>
          <cell r="D4806">
            <v>62.1</v>
          </cell>
          <cell r="H4806" t="str">
            <v>hydro</v>
          </cell>
        </row>
        <row r="4807">
          <cell r="C4807" t="str">
            <v>HY</v>
          </cell>
          <cell r="D4807">
            <v>13.1</v>
          </cell>
          <cell r="H4807" t="str">
            <v>hydro</v>
          </cell>
        </row>
        <row r="4808">
          <cell r="C4808" t="str">
            <v>HY</v>
          </cell>
          <cell r="D4808">
            <v>13.1</v>
          </cell>
          <cell r="H4808" t="str">
            <v>hydro</v>
          </cell>
        </row>
        <row r="4809">
          <cell r="C4809" t="str">
            <v>HY</v>
          </cell>
          <cell r="D4809">
            <v>13</v>
          </cell>
          <cell r="H4809" t="str">
            <v>hydro</v>
          </cell>
        </row>
        <row r="4810">
          <cell r="C4810" t="str">
            <v>HY</v>
          </cell>
          <cell r="D4810">
            <v>13</v>
          </cell>
          <cell r="H4810" t="str">
            <v>hydro</v>
          </cell>
        </row>
        <row r="4811">
          <cell r="C4811" t="str">
            <v>HY</v>
          </cell>
          <cell r="D4811">
            <v>50</v>
          </cell>
          <cell r="H4811" t="str">
            <v>hydro</v>
          </cell>
        </row>
        <row r="4812">
          <cell r="C4812" t="str">
            <v>HY</v>
          </cell>
          <cell r="D4812">
            <v>50</v>
          </cell>
          <cell r="H4812" t="str">
            <v>hydro</v>
          </cell>
        </row>
        <row r="4813">
          <cell r="C4813" t="str">
            <v>HY</v>
          </cell>
          <cell r="D4813">
            <v>15</v>
          </cell>
          <cell r="H4813" t="str">
            <v>hydro</v>
          </cell>
        </row>
        <row r="4814">
          <cell r="C4814" t="str">
            <v>HY</v>
          </cell>
          <cell r="D4814">
            <v>40</v>
          </cell>
          <cell r="H4814" t="str">
            <v>hydro</v>
          </cell>
        </row>
        <row r="4815">
          <cell r="C4815" t="str">
            <v>HY</v>
          </cell>
          <cell r="D4815">
            <v>40</v>
          </cell>
          <cell r="H4815" t="str">
            <v>hydro</v>
          </cell>
        </row>
        <row r="4816">
          <cell r="C4816" t="str">
            <v>HY</v>
          </cell>
          <cell r="D4816">
            <v>15</v>
          </cell>
          <cell r="H4816" t="str">
            <v>hydro</v>
          </cell>
        </row>
        <row r="4817">
          <cell r="C4817" t="str">
            <v>HY</v>
          </cell>
          <cell r="D4817">
            <v>15</v>
          </cell>
          <cell r="H4817" t="str">
            <v>hydro</v>
          </cell>
        </row>
        <row r="4818">
          <cell r="C4818" t="str">
            <v>HY</v>
          </cell>
          <cell r="D4818">
            <v>135</v>
          </cell>
          <cell r="H4818" t="str">
            <v>hydro</v>
          </cell>
        </row>
        <row r="4819">
          <cell r="C4819" t="str">
            <v>HY</v>
          </cell>
          <cell r="D4819">
            <v>135</v>
          </cell>
          <cell r="H4819" t="str">
            <v>hydro</v>
          </cell>
        </row>
        <row r="4820">
          <cell r="C4820" t="str">
            <v>HY</v>
          </cell>
          <cell r="D4820">
            <v>118</v>
          </cell>
          <cell r="H4820" t="str">
            <v>hydro</v>
          </cell>
        </row>
        <row r="4821">
          <cell r="C4821" t="str">
            <v>HY</v>
          </cell>
          <cell r="D4821">
            <v>118</v>
          </cell>
          <cell r="H4821" t="str">
            <v>hydro</v>
          </cell>
        </row>
        <row r="4822">
          <cell r="C4822" t="str">
            <v>HY</v>
          </cell>
          <cell r="D4822">
            <v>135</v>
          </cell>
          <cell r="H4822" t="str">
            <v>hydro</v>
          </cell>
        </row>
        <row r="4823">
          <cell r="C4823" t="str">
            <v>HY</v>
          </cell>
          <cell r="D4823">
            <v>135</v>
          </cell>
          <cell r="H4823" t="str">
            <v>hydro</v>
          </cell>
        </row>
        <row r="4824">
          <cell r="C4824" t="str">
            <v>HY</v>
          </cell>
          <cell r="D4824">
            <v>135</v>
          </cell>
          <cell r="H4824" t="str">
            <v>hydro</v>
          </cell>
        </row>
        <row r="4825">
          <cell r="C4825" t="str">
            <v>HY</v>
          </cell>
          <cell r="D4825">
            <v>135</v>
          </cell>
          <cell r="H4825" t="str">
            <v>hydro</v>
          </cell>
        </row>
        <row r="4826">
          <cell r="C4826" t="str">
            <v>HY</v>
          </cell>
          <cell r="D4826">
            <v>135</v>
          </cell>
          <cell r="H4826" t="str">
            <v>hydro</v>
          </cell>
        </row>
        <row r="4827">
          <cell r="C4827" t="str">
            <v>HY</v>
          </cell>
          <cell r="D4827">
            <v>135</v>
          </cell>
          <cell r="H4827" t="str">
            <v>hydro</v>
          </cell>
        </row>
        <row r="4828">
          <cell r="C4828" t="str">
            <v>HY</v>
          </cell>
          <cell r="D4828">
            <v>118</v>
          </cell>
          <cell r="H4828" t="str">
            <v>hydro</v>
          </cell>
        </row>
        <row r="4829">
          <cell r="C4829" t="str">
            <v>HY</v>
          </cell>
          <cell r="D4829">
            <v>118</v>
          </cell>
          <cell r="H4829" t="str">
            <v>hydro</v>
          </cell>
        </row>
        <row r="4830">
          <cell r="C4830" t="str">
            <v>HY</v>
          </cell>
          <cell r="D4830">
            <v>135</v>
          </cell>
          <cell r="H4830" t="str">
            <v>hydro</v>
          </cell>
        </row>
        <row r="4831">
          <cell r="C4831" t="str">
            <v>HY</v>
          </cell>
          <cell r="D4831">
            <v>135</v>
          </cell>
          <cell r="H4831" t="str">
            <v>hydro</v>
          </cell>
        </row>
        <row r="4832">
          <cell r="C4832" t="str">
            <v>HY</v>
          </cell>
          <cell r="D4832">
            <v>118</v>
          </cell>
          <cell r="H4832" t="str">
            <v>hydro</v>
          </cell>
        </row>
        <row r="4833">
          <cell r="C4833" t="str">
            <v>HY</v>
          </cell>
          <cell r="D4833">
            <v>118</v>
          </cell>
          <cell r="H4833" t="str">
            <v>hydro</v>
          </cell>
        </row>
        <row r="4834">
          <cell r="C4834" t="str">
            <v>HY</v>
          </cell>
          <cell r="D4834">
            <v>40</v>
          </cell>
          <cell r="H4834" t="str">
            <v>hydro</v>
          </cell>
        </row>
        <row r="4835">
          <cell r="C4835" t="str">
            <v>HY</v>
          </cell>
          <cell r="D4835">
            <v>40</v>
          </cell>
          <cell r="H4835" t="str">
            <v>hydro</v>
          </cell>
        </row>
        <row r="4836">
          <cell r="C4836" t="str">
            <v>HY</v>
          </cell>
          <cell r="D4836">
            <v>40</v>
          </cell>
          <cell r="H4836" t="str">
            <v>hydro</v>
          </cell>
        </row>
        <row r="4837">
          <cell r="C4837" t="str">
            <v>HY</v>
          </cell>
          <cell r="D4837">
            <v>70</v>
          </cell>
          <cell r="H4837" t="str">
            <v>hydro</v>
          </cell>
        </row>
        <row r="4838">
          <cell r="C4838" t="str">
            <v>HY</v>
          </cell>
          <cell r="D4838">
            <v>70</v>
          </cell>
          <cell r="H4838" t="str">
            <v>hydro</v>
          </cell>
        </row>
        <row r="4839">
          <cell r="C4839" t="str">
            <v>HY</v>
          </cell>
          <cell r="D4839">
            <v>70</v>
          </cell>
          <cell r="H4839" t="str">
            <v>hydro</v>
          </cell>
        </row>
        <row r="4840">
          <cell r="C4840" t="str">
            <v>HY</v>
          </cell>
          <cell r="D4840">
            <v>70</v>
          </cell>
          <cell r="H4840" t="str">
            <v>hydro</v>
          </cell>
        </row>
        <row r="4841">
          <cell r="C4841" t="str">
            <v>HY</v>
          </cell>
          <cell r="D4841">
            <v>70</v>
          </cell>
          <cell r="H4841" t="str">
            <v>hydro</v>
          </cell>
        </row>
        <row r="4842">
          <cell r="C4842" t="str">
            <v>HY</v>
          </cell>
          <cell r="D4842">
            <v>80.5</v>
          </cell>
          <cell r="H4842" t="str">
            <v>hydro</v>
          </cell>
        </row>
        <row r="4843">
          <cell r="C4843" t="str">
            <v>HY</v>
          </cell>
          <cell r="D4843">
            <v>70</v>
          </cell>
          <cell r="H4843" t="str">
            <v>hydro</v>
          </cell>
        </row>
        <row r="4844">
          <cell r="C4844" t="str">
            <v>HY</v>
          </cell>
          <cell r="D4844">
            <v>70</v>
          </cell>
          <cell r="H4844" t="str">
            <v>hydro</v>
          </cell>
        </row>
        <row r="4845">
          <cell r="C4845" t="str">
            <v>HY</v>
          </cell>
          <cell r="D4845">
            <v>70</v>
          </cell>
          <cell r="H4845" t="str">
            <v>hydro</v>
          </cell>
        </row>
        <row r="4846">
          <cell r="C4846" t="str">
            <v>HY</v>
          </cell>
          <cell r="D4846">
            <v>70</v>
          </cell>
          <cell r="H4846" t="str">
            <v>hydro</v>
          </cell>
        </row>
        <row r="4847">
          <cell r="C4847" t="str">
            <v>HY</v>
          </cell>
          <cell r="D4847">
            <v>48</v>
          </cell>
          <cell r="H4847" t="str">
            <v>hydro</v>
          </cell>
        </row>
        <row r="4848">
          <cell r="C4848" t="str">
            <v>HY</v>
          </cell>
          <cell r="D4848">
            <v>70</v>
          </cell>
          <cell r="H4848" t="str">
            <v>hydro</v>
          </cell>
        </row>
        <row r="4849">
          <cell r="C4849" t="str">
            <v>HY</v>
          </cell>
          <cell r="D4849">
            <v>70</v>
          </cell>
          <cell r="H4849" t="str">
            <v>hydro</v>
          </cell>
        </row>
        <row r="4850">
          <cell r="C4850" t="str">
            <v>HY</v>
          </cell>
          <cell r="D4850">
            <v>70</v>
          </cell>
          <cell r="H4850" t="str">
            <v>hydro</v>
          </cell>
        </row>
        <row r="4851">
          <cell r="C4851" t="str">
            <v>GT</v>
          </cell>
          <cell r="D4851">
            <v>15</v>
          </cell>
          <cell r="H4851" t="str">
            <v>petroleum</v>
          </cell>
        </row>
        <row r="4852">
          <cell r="C4852" t="str">
            <v>CT</v>
          </cell>
          <cell r="D4852">
            <v>46</v>
          </cell>
          <cell r="H4852" t="str">
            <v>natural gas nonpeaker</v>
          </cell>
        </row>
        <row r="4853">
          <cell r="C4853" t="str">
            <v>CT</v>
          </cell>
          <cell r="D4853">
            <v>48</v>
          </cell>
          <cell r="H4853" t="str">
            <v>natural gas nonpeaker</v>
          </cell>
        </row>
        <row r="4854">
          <cell r="C4854" t="str">
            <v>CT</v>
          </cell>
          <cell r="D4854">
            <v>49</v>
          </cell>
          <cell r="H4854" t="str">
            <v>natural gas nonpeaker</v>
          </cell>
        </row>
        <row r="4855">
          <cell r="C4855" t="str">
            <v>CA</v>
          </cell>
          <cell r="D4855">
            <v>101</v>
          </cell>
          <cell r="H4855" t="str">
            <v>natural gas nonpeaker</v>
          </cell>
        </row>
        <row r="4856">
          <cell r="C4856" t="str">
            <v>GT</v>
          </cell>
          <cell r="D4856">
            <v>18</v>
          </cell>
          <cell r="H4856" t="str">
            <v>petroleum</v>
          </cell>
        </row>
        <row r="4857">
          <cell r="C4857" t="str">
            <v>GT</v>
          </cell>
          <cell r="D4857">
            <v>20</v>
          </cell>
          <cell r="H4857" t="str">
            <v>petroleum</v>
          </cell>
        </row>
        <row r="4858">
          <cell r="C4858" t="str">
            <v>GT</v>
          </cell>
          <cell r="D4858">
            <v>20</v>
          </cell>
          <cell r="H4858" t="str">
            <v>petroleum</v>
          </cell>
        </row>
        <row r="4859">
          <cell r="C4859" t="str">
            <v>GT</v>
          </cell>
          <cell r="D4859">
            <v>20</v>
          </cell>
          <cell r="H4859" t="str">
            <v>petroleum</v>
          </cell>
        </row>
        <row r="4860">
          <cell r="C4860" t="str">
            <v>GT</v>
          </cell>
          <cell r="D4860">
            <v>18</v>
          </cell>
          <cell r="H4860" t="str">
            <v>petroleum</v>
          </cell>
        </row>
        <row r="4861">
          <cell r="C4861" t="str">
            <v>GT</v>
          </cell>
          <cell r="D4861">
            <v>18</v>
          </cell>
          <cell r="H4861" t="str">
            <v>petroleum</v>
          </cell>
        </row>
        <row r="4862">
          <cell r="C4862" t="str">
            <v>GT</v>
          </cell>
          <cell r="D4862">
            <v>18</v>
          </cell>
          <cell r="H4862" t="str">
            <v>petroleum</v>
          </cell>
        </row>
        <row r="4863">
          <cell r="C4863" t="str">
            <v>GT</v>
          </cell>
          <cell r="D4863">
            <v>15</v>
          </cell>
          <cell r="H4863" t="str">
            <v>petroleum</v>
          </cell>
        </row>
        <row r="4864">
          <cell r="C4864" t="str">
            <v>GT</v>
          </cell>
          <cell r="D4864">
            <v>20</v>
          </cell>
          <cell r="H4864" t="str">
            <v>petroleum</v>
          </cell>
        </row>
        <row r="4865">
          <cell r="C4865" t="str">
            <v>GT</v>
          </cell>
          <cell r="D4865">
            <v>134</v>
          </cell>
          <cell r="H4865" t="str">
            <v>petroleum</v>
          </cell>
        </row>
        <row r="4866">
          <cell r="C4866" t="str">
            <v>GT</v>
          </cell>
          <cell r="D4866">
            <v>17</v>
          </cell>
          <cell r="H4866" t="str">
            <v>petroleum</v>
          </cell>
        </row>
        <row r="4867">
          <cell r="C4867" t="str">
            <v>GT</v>
          </cell>
          <cell r="D4867">
            <v>13</v>
          </cell>
          <cell r="H4867" t="str">
            <v>petroleum</v>
          </cell>
        </row>
        <row r="4868">
          <cell r="C4868" t="str">
            <v>GT</v>
          </cell>
          <cell r="D4868">
            <v>14</v>
          </cell>
          <cell r="H4868" t="str">
            <v>petroleum</v>
          </cell>
        </row>
        <row r="4869">
          <cell r="C4869" t="str">
            <v>GT</v>
          </cell>
          <cell r="D4869">
            <v>18</v>
          </cell>
          <cell r="H4869" t="str">
            <v>petroleum</v>
          </cell>
        </row>
        <row r="4870">
          <cell r="C4870" t="str">
            <v>GT</v>
          </cell>
          <cell r="D4870">
            <v>18</v>
          </cell>
          <cell r="H4870" t="str">
            <v>petroleum</v>
          </cell>
        </row>
        <row r="4871">
          <cell r="C4871" t="str">
            <v>HY</v>
          </cell>
          <cell r="D4871">
            <v>19</v>
          </cell>
          <cell r="H4871" t="str">
            <v>hydro</v>
          </cell>
        </row>
        <row r="4872">
          <cell r="C4872" t="str">
            <v>ST</v>
          </cell>
          <cell r="D4872">
            <v>850</v>
          </cell>
          <cell r="H4872" t="str">
            <v>hard coal</v>
          </cell>
        </row>
        <row r="4873">
          <cell r="C4873" t="str">
            <v>ST</v>
          </cell>
          <cell r="D4873">
            <v>850</v>
          </cell>
          <cell r="H4873" t="str">
            <v>hard coal</v>
          </cell>
        </row>
        <row r="4874">
          <cell r="C4874" t="str">
            <v>IC</v>
          </cell>
          <cell r="D4874">
            <v>2.8</v>
          </cell>
          <cell r="H4874" t="str">
            <v>petroleum</v>
          </cell>
        </row>
        <row r="4875">
          <cell r="C4875" t="str">
            <v>IC</v>
          </cell>
          <cell r="D4875">
            <v>2.8</v>
          </cell>
          <cell r="H4875" t="str">
            <v>petroleum</v>
          </cell>
        </row>
        <row r="4876">
          <cell r="C4876" t="str">
            <v>IC</v>
          </cell>
          <cell r="D4876">
            <v>2.8</v>
          </cell>
          <cell r="H4876" t="str">
            <v>petroleum</v>
          </cell>
        </row>
        <row r="4877">
          <cell r="C4877" t="str">
            <v>IC</v>
          </cell>
          <cell r="D4877">
            <v>2.8</v>
          </cell>
          <cell r="H4877" t="str">
            <v>petroleum</v>
          </cell>
        </row>
        <row r="4878">
          <cell r="C4878" t="str">
            <v>GT</v>
          </cell>
          <cell r="D4878">
            <v>19</v>
          </cell>
          <cell r="H4878" t="str">
            <v>natural gas peaker</v>
          </cell>
        </row>
        <row r="4879">
          <cell r="C4879" t="str">
            <v>ST</v>
          </cell>
          <cell r="D4879">
            <v>622.79999999999995</v>
          </cell>
          <cell r="H4879" t="str">
            <v>hard coal</v>
          </cell>
        </row>
        <row r="4880">
          <cell r="C4880" t="str">
            <v>ST</v>
          </cell>
          <cell r="D4880">
            <v>622.1</v>
          </cell>
          <cell r="H4880" t="str">
            <v>hard coal</v>
          </cell>
        </row>
        <row r="4881">
          <cell r="C4881" t="str">
            <v>ST</v>
          </cell>
          <cell r="D4881">
            <v>650.1</v>
          </cell>
          <cell r="H4881" t="str">
            <v>hard coal</v>
          </cell>
        </row>
        <row r="4882">
          <cell r="C4882" t="str">
            <v>HY</v>
          </cell>
          <cell r="D4882">
            <v>11.8</v>
          </cell>
          <cell r="H4882" t="str">
            <v>hydro</v>
          </cell>
        </row>
        <row r="4883">
          <cell r="C4883" t="str">
            <v>HY</v>
          </cell>
          <cell r="D4883">
            <v>11.8</v>
          </cell>
          <cell r="H4883" t="str">
            <v>hydro</v>
          </cell>
        </row>
        <row r="4884">
          <cell r="C4884" t="str">
            <v>HY</v>
          </cell>
          <cell r="D4884">
            <v>9.6</v>
          </cell>
          <cell r="H4884" t="str">
            <v>hydro</v>
          </cell>
        </row>
        <row r="4885">
          <cell r="C4885" t="str">
            <v>ST</v>
          </cell>
          <cell r="D4885">
            <v>521</v>
          </cell>
          <cell r="H4885" t="str">
            <v>hard coal</v>
          </cell>
        </row>
        <row r="4886">
          <cell r="C4886" t="str">
            <v>ST</v>
          </cell>
          <cell r="D4886">
            <v>122</v>
          </cell>
          <cell r="H4886" t="str">
            <v>natural gas peaker</v>
          </cell>
        </row>
        <row r="4887">
          <cell r="C4887" t="str">
            <v>ST</v>
          </cell>
          <cell r="D4887">
            <v>124.7</v>
          </cell>
          <cell r="H4887" t="str">
            <v>natural gas peaker</v>
          </cell>
        </row>
        <row r="4888">
          <cell r="C4888" t="str">
            <v>ST</v>
          </cell>
          <cell r="D4888">
            <v>172</v>
          </cell>
          <cell r="H4888" t="str">
            <v>natural gas peaker</v>
          </cell>
        </row>
        <row r="4889">
          <cell r="C4889" t="str">
            <v>ST</v>
          </cell>
          <cell r="D4889">
            <v>171</v>
          </cell>
          <cell r="H4889" t="str">
            <v>natural gas peaker</v>
          </cell>
        </row>
        <row r="4890">
          <cell r="C4890" t="str">
            <v>IC</v>
          </cell>
          <cell r="D4890">
            <v>2</v>
          </cell>
          <cell r="H4890" t="str">
            <v>petroleum</v>
          </cell>
        </row>
        <row r="4891">
          <cell r="C4891" t="str">
            <v>IC</v>
          </cell>
          <cell r="D4891">
            <v>2</v>
          </cell>
          <cell r="H4891" t="str">
            <v>petroleum</v>
          </cell>
        </row>
        <row r="4892">
          <cell r="C4892" t="str">
            <v>IC</v>
          </cell>
          <cell r="D4892">
            <v>2</v>
          </cell>
          <cell r="H4892" t="str">
            <v>petroleum</v>
          </cell>
        </row>
        <row r="4893">
          <cell r="C4893" t="str">
            <v>GT</v>
          </cell>
          <cell r="D4893">
            <v>50.1</v>
          </cell>
          <cell r="H4893" t="str">
            <v>natural gas peaker</v>
          </cell>
        </row>
        <row r="4894">
          <cell r="C4894" t="str">
            <v>ST</v>
          </cell>
          <cell r="D4894">
            <v>850</v>
          </cell>
          <cell r="H4894" t="str">
            <v>hard coal</v>
          </cell>
        </row>
        <row r="4895">
          <cell r="C4895" t="str">
            <v>ST</v>
          </cell>
          <cell r="D4895">
            <v>850</v>
          </cell>
          <cell r="H4895" t="str">
            <v>hard coal</v>
          </cell>
        </row>
        <row r="4896">
          <cell r="C4896" t="str">
            <v>IC</v>
          </cell>
          <cell r="D4896">
            <v>2.8</v>
          </cell>
          <cell r="H4896" t="str">
            <v>petroleum</v>
          </cell>
        </row>
        <row r="4897">
          <cell r="C4897" t="str">
            <v>IC</v>
          </cell>
          <cell r="D4897">
            <v>2.8</v>
          </cell>
          <cell r="H4897" t="str">
            <v>petroleum</v>
          </cell>
        </row>
        <row r="4898">
          <cell r="C4898" t="str">
            <v>IC</v>
          </cell>
          <cell r="D4898">
            <v>2.8</v>
          </cell>
          <cell r="H4898" t="str">
            <v>petroleum</v>
          </cell>
        </row>
        <row r="4899">
          <cell r="C4899" t="str">
            <v>IC</v>
          </cell>
          <cell r="D4899">
            <v>2.8</v>
          </cell>
          <cell r="H4899" t="str">
            <v>petroleum</v>
          </cell>
        </row>
        <row r="4900">
          <cell r="C4900" t="str">
            <v>ST</v>
          </cell>
          <cell r="D4900">
            <v>88</v>
          </cell>
          <cell r="H4900" t="str">
            <v>natural gas peaker</v>
          </cell>
        </row>
        <row r="4901">
          <cell r="C4901" t="str">
            <v>ST</v>
          </cell>
          <cell r="D4901">
            <v>87</v>
          </cell>
          <cell r="H4901" t="str">
            <v>natural gas peaker</v>
          </cell>
        </row>
        <row r="4902">
          <cell r="C4902" t="str">
            <v>ST</v>
          </cell>
          <cell r="D4902">
            <v>130</v>
          </cell>
          <cell r="H4902" t="str">
            <v>natural gas peaker</v>
          </cell>
        </row>
        <row r="4903">
          <cell r="C4903" t="str">
            <v>IC</v>
          </cell>
          <cell r="D4903">
            <v>2.5</v>
          </cell>
          <cell r="H4903" t="str">
            <v>petroleum</v>
          </cell>
        </row>
        <row r="4904">
          <cell r="C4904" t="str">
            <v>IC</v>
          </cell>
          <cell r="D4904">
            <v>2.5</v>
          </cell>
          <cell r="H4904" t="str">
            <v>petroleum</v>
          </cell>
        </row>
        <row r="4905">
          <cell r="C4905" t="str">
            <v>GT</v>
          </cell>
          <cell r="D4905">
            <v>14</v>
          </cell>
          <cell r="H4905" t="str">
            <v>petroleum</v>
          </cell>
        </row>
        <row r="4906">
          <cell r="C4906" t="str">
            <v>GT</v>
          </cell>
          <cell r="D4906">
            <v>14</v>
          </cell>
          <cell r="H4906" t="str">
            <v>petroleum</v>
          </cell>
        </row>
        <row r="4907">
          <cell r="C4907" t="str">
            <v>GT</v>
          </cell>
          <cell r="D4907">
            <v>14</v>
          </cell>
          <cell r="H4907" t="str">
            <v>petroleum</v>
          </cell>
        </row>
        <row r="4908">
          <cell r="C4908" t="str">
            <v>GT</v>
          </cell>
          <cell r="D4908">
            <v>14</v>
          </cell>
          <cell r="H4908" t="str">
            <v>petroleum</v>
          </cell>
        </row>
        <row r="4909">
          <cell r="C4909" t="str">
            <v>ST</v>
          </cell>
          <cell r="D4909">
            <v>306</v>
          </cell>
          <cell r="H4909" t="str">
            <v>natural gas peaker</v>
          </cell>
        </row>
        <row r="4910">
          <cell r="C4910" t="str">
            <v>ST</v>
          </cell>
          <cell r="D4910">
            <v>363</v>
          </cell>
          <cell r="H4910" t="str">
            <v>natural gas peaker</v>
          </cell>
        </row>
        <row r="4911">
          <cell r="C4911" t="str">
            <v>ST</v>
          </cell>
          <cell r="D4911">
            <v>742</v>
          </cell>
          <cell r="H4911" t="str">
            <v>hard coal</v>
          </cell>
        </row>
        <row r="4912">
          <cell r="C4912" t="str">
            <v>GT</v>
          </cell>
          <cell r="D4912">
            <v>14</v>
          </cell>
          <cell r="H4912" t="str">
            <v>petroleum</v>
          </cell>
        </row>
        <row r="4913">
          <cell r="C4913" t="str">
            <v>GT</v>
          </cell>
          <cell r="D4913">
            <v>14</v>
          </cell>
          <cell r="H4913" t="str">
            <v>petroleum</v>
          </cell>
        </row>
        <row r="4914">
          <cell r="C4914" t="str">
            <v>GT</v>
          </cell>
          <cell r="D4914">
            <v>14</v>
          </cell>
          <cell r="H4914" t="str">
            <v>petroleum</v>
          </cell>
        </row>
        <row r="4915">
          <cell r="C4915" t="str">
            <v>GT</v>
          </cell>
          <cell r="D4915">
            <v>14</v>
          </cell>
          <cell r="H4915" t="str">
            <v>petroleum</v>
          </cell>
        </row>
        <row r="4916">
          <cell r="C4916" t="str">
            <v>GT</v>
          </cell>
          <cell r="D4916">
            <v>14</v>
          </cell>
          <cell r="H4916" t="str">
            <v>petroleum</v>
          </cell>
        </row>
        <row r="4917">
          <cell r="C4917" t="str">
            <v>GT</v>
          </cell>
          <cell r="D4917">
            <v>13.5</v>
          </cell>
          <cell r="H4917" t="str">
            <v>petroleum</v>
          </cell>
        </row>
        <row r="4918">
          <cell r="C4918" t="str">
            <v>GT</v>
          </cell>
          <cell r="D4918">
            <v>13.5</v>
          </cell>
          <cell r="H4918" t="str">
            <v>petroleum</v>
          </cell>
        </row>
        <row r="4919">
          <cell r="C4919" t="str">
            <v>HY</v>
          </cell>
          <cell r="D4919">
            <v>10</v>
          </cell>
          <cell r="H4919" t="str">
            <v>hydro</v>
          </cell>
        </row>
        <row r="4920">
          <cell r="C4920" t="str">
            <v>HY</v>
          </cell>
          <cell r="D4920">
            <v>13.2</v>
          </cell>
          <cell r="H4920" t="str">
            <v>hydro</v>
          </cell>
        </row>
        <row r="4921">
          <cell r="C4921" t="str">
            <v>HY</v>
          </cell>
          <cell r="D4921">
            <v>1.2</v>
          </cell>
          <cell r="H4921" t="str">
            <v>hydro</v>
          </cell>
        </row>
        <row r="4922">
          <cell r="C4922" t="str">
            <v>HY</v>
          </cell>
          <cell r="D4922">
            <v>1.2</v>
          </cell>
          <cell r="H4922" t="str">
            <v>hydro</v>
          </cell>
        </row>
        <row r="4923">
          <cell r="C4923" t="str">
            <v>HY</v>
          </cell>
          <cell r="D4923">
            <v>64.599999999999994</v>
          </cell>
          <cell r="H4923" t="str">
            <v>hydro</v>
          </cell>
        </row>
        <row r="4924">
          <cell r="C4924" t="str">
            <v>HY</v>
          </cell>
          <cell r="D4924">
            <v>64.599999999999994</v>
          </cell>
          <cell r="H4924" t="str">
            <v>hydro</v>
          </cell>
        </row>
        <row r="4925">
          <cell r="C4925" t="str">
            <v>HY</v>
          </cell>
          <cell r="D4925">
            <v>11.7</v>
          </cell>
          <cell r="H4925" t="str">
            <v>hydro</v>
          </cell>
        </row>
        <row r="4926">
          <cell r="C4926" t="str">
            <v>HY</v>
          </cell>
          <cell r="D4926">
            <v>12.7</v>
          </cell>
          <cell r="H4926" t="str">
            <v>hydro</v>
          </cell>
        </row>
        <row r="4927">
          <cell r="C4927" t="str">
            <v>HY</v>
          </cell>
          <cell r="D4927">
            <v>11.2</v>
          </cell>
          <cell r="H4927" t="str">
            <v>hydro</v>
          </cell>
        </row>
        <row r="4928">
          <cell r="C4928" t="str">
            <v>HY</v>
          </cell>
          <cell r="D4928">
            <v>12.1</v>
          </cell>
          <cell r="H4928" t="str">
            <v>hydro</v>
          </cell>
        </row>
        <row r="4929">
          <cell r="C4929" t="str">
            <v>HY</v>
          </cell>
          <cell r="D4929">
            <v>12.5</v>
          </cell>
          <cell r="H4929" t="str">
            <v>hydro</v>
          </cell>
        </row>
        <row r="4930">
          <cell r="C4930" t="str">
            <v>HY</v>
          </cell>
          <cell r="D4930">
            <v>10.3</v>
          </cell>
          <cell r="H4930" t="str">
            <v>hydro</v>
          </cell>
        </row>
        <row r="4931">
          <cell r="C4931" t="str">
            <v>HY</v>
          </cell>
          <cell r="D4931">
            <v>10.5</v>
          </cell>
          <cell r="H4931" t="str">
            <v>hydro</v>
          </cell>
        </row>
        <row r="4932">
          <cell r="C4932" t="str">
            <v>HY</v>
          </cell>
          <cell r="D4932">
            <v>13.2</v>
          </cell>
          <cell r="H4932" t="str">
            <v>hydro</v>
          </cell>
        </row>
        <row r="4933">
          <cell r="C4933" t="str">
            <v>GT</v>
          </cell>
          <cell r="D4933">
            <v>14</v>
          </cell>
          <cell r="H4933" t="str">
            <v>petroleum</v>
          </cell>
        </row>
        <row r="4934">
          <cell r="C4934" t="str">
            <v>GT</v>
          </cell>
          <cell r="D4934">
            <v>14</v>
          </cell>
          <cell r="H4934" t="str">
            <v>petroleum</v>
          </cell>
        </row>
        <row r="4935">
          <cell r="C4935" t="str">
            <v>GT</v>
          </cell>
          <cell r="D4935">
            <v>14</v>
          </cell>
          <cell r="H4935" t="str">
            <v>petroleum</v>
          </cell>
        </row>
        <row r="4936">
          <cell r="C4936" t="str">
            <v>ST</v>
          </cell>
          <cell r="D4936">
            <v>850</v>
          </cell>
          <cell r="H4936" t="str">
            <v>natural gas peaker</v>
          </cell>
        </row>
        <row r="4937">
          <cell r="C4937" t="str">
            <v>ST</v>
          </cell>
          <cell r="D4937">
            <v>850</v>
          </cell>
          <cell r="H4937" t="str">
            <v>natural gas peaker</v>
          </cell>
        </row>
        <row r="4938">
          <cell r="C4938" t="str">
            <v>GT</v>
          </cell>
          <cell r="D4938">
            <v>18</v>
          </cell>
          <cell r="H4938" t="str">
            <v>natural gas peaker</v>
          </cell>
        </row>
        <row r="4939">
          <cell r="C4939" t="str">
            <v>GT</v>
          </cell>
          <cell r="D4939">
            <v>18</v>
          </cell>
          <cell r="H4939" t="str">
            <v>natural gas peaker</v>
          </cell>
        </row>
        <row r="4940">
          <cell r="C4940" t="str">
            <v>GT</v>
          </cell>
          <cell r="D4940">
            <v>18</v>
          </cell>
          <cell r="H4940" t="str">
            <v>natural gas peaker</v>
          </cell>
        </row>
        <row r="4941">
          <cell r="C4941" t="str">
            <v>GT</v>
          </cell>
          <cell r="D4941">
            <v>18</v>
          </cell>
          <cell r="H4941" t="str">
            <v>natural gas peaker</v>
          </cell>
        </row>
        <row r="4942">
          <cell r="C4942" t="str">
            <v>ST</v>
          </cell>
          <cell r="D4942">
            <v>752</v>
          </cell>
          <cell r="H4942" t="str">
            <v>hard coal</v>
          </cell>
        </row>
        <row r="4943">
          <cell r="C4943" t="str">
            <v>ST</v>
          </cell>
          <cell r="D4943">
            <v>752</v>
          </cell>
          <cell r="H4943" t="str">
            <v>hard coal</v>
          </cell>
        </row>
        <row r="4944">
          <cell r="C4944" t="str">
            <v>GT</v>
          </cell>
          <cell r="D4944">
            <v>18</v>
          </cell>
          <cell r="H4944" t="str">
            <v>petroleum</v>
          </cell>
        </row>
        <row r="4945">
          <cell r="C4945" t="str">
            <v>GT</v>
          </cell>
          <cell r="D4945">
            <v>18</v>
          </cell>
          <cell r="H4945" t="str">
            <v>petroleum</v>
          </cell>
        </row>
        <row r="4946">
          <cell r="C4946" t="str">
            <v>IC</v>
          </cell>
          <cell r="D4946">
            <v>5</v>
          </cell>
          <cell r="H4946" t="str">
            <v>petroleum</v>
          </cell>
        </row>
        <row r="4947">
          <cell r="C4947" t="str">
            <v>HY</v>
          </cell>
          <cell r="D4947">
            <v>22</v>
          </cell>
          <cell r="H4947" t="str">
            <v>hydro</v>
          </cell>
        </row>
        <row r="4948">
          <cell r="C4948" t="str">
            <v>HY</v>
          </cell>
          <cell r="D4948">
            <v>22</v>
          </cell>
          <cell r="H4948" t="str">
            <v>hydro</v>
          </cell>
        </row>
        <row r="4949">
          <cell r="C4949" t="str">
            <v>GT</v>
          </cell>
          <cell r="D4949">
            <v>14</v>
          </cell>
          <cell r="H4949" t="str">
            <v>petroleum</v>
          </cell>
        </row>
        <row r="4950">
          <cell r="C4950" t="str">
            <v>GT</v>
          </cell>
          <cell r="D4950">
            <v>14</v>
          </cell>
          <cell r="H4950" t="str">
            <v>petroleum</v>
          </cell>
        </row>
        <row r="4951">
          <cell r="C4951" t="str">
            <v>GT</v>
          </cell>
          <cell r="D4951">
            <v>13.5</v>
          </cell>
          <cell r="H4951" t="str">
            <v>petroleum</v>
          </cell>
        </row>
        <row r="4952">
          <cell r="C4952" t="str">
            <v>GT</v>
          </cell>
          <cell r="D4952">
            <v>13.5</v>
          </cell>
          <cell r="H4952" t="str">
            <v>petroleum</v>
          </cell>
        </row>
        <row r="4953">
          <cell r="C4953" t="str">
            <v>GT</v>
          </cell>
          <cell r="D4953">
            <v>13</v>
          </cell>
          <cell r="H4953" t="str">
            <v>petroleum</v>
          </cell>
        </row>
        <row r="4954">
          <cell r="C4954" t="str">
            <v>GT</v>
          </cell>
          <cell r="D4954">
            <v>13</v>
          </cell>
          <cell r="H4954" t="str">
            <v>petroleum</v>
          </cell>
        </row>
        <row r="4955">
          <cell r="C4955" t="str">
            <v>GT</v>
          </cell>
          <cell r="D4955">
            <v>13</v>
          </cell>
          <cell r="H4955" t="str">
            <v>petroleum</v>
          </cell>
        </row>
        <row r="4956">
          <cell r="C4956" t="str">
            <v>GT</v>
          </cell>
          <cell r="D4956">
            <v>13</v>
          </cell>
          <cell r="H4956" t="str">
            <v>petroleum</v>
          </cell>
        </row>
        <row r="4957">
          <cell r="C4957" t="str">
            <v>GT</v>
          </cell>
          <cell r="D4957">
            <v>13</v>
          </cell>
          <cell r="H4957" t="str">
            <v>petroleum</v>
          </cell>
        </row>
        <row r="4958">
          <cell r="C4958" t="str">
            <v>GT</v>
          </cell>
          <cell r="D4958">
            <v>13</v>
          </cell>
          <cell r="H4958" t="str">
            <v>petroleum</v>
          </cell>
        </row>
        <row r="4959">
          <cell r="C4959" t="str">
            <v>GT</v>
          </cell>
          <cell r="D4959">
            <v>17</v>
          </cell>
          <cell r="H4959" t="str">
            <v>petroleum</v>
          </cell>
        </row>
        <row r="4960">
          <cell r="C4960" t="str">
            <v>GT</v>
          </cell>
          <cell r="D4960">
            <v>13</v>
          </cell>
          <cell r="H4960" t="str">
            <v>petroleum</v>
          </cell>
        </row>
        <row r="4961">
          <cell r="C4961" t="str">
            <v>GT</v>
          </cell>
          <cell r="D4961">
            <v>13</v>
          </cell>
          <cell r="H4961" t="str">
            <v>petroleum</v>
          </cell>
        </row>
        <row r="4962">
          <cell r="C4962" t="str">
            <v>ST</v>
          </cell>
          <cell r="D4962">
            <v>380</v>
          </cell>
          <cell r="H4962" t="str">
            <v>natural gas peaker</v>
          </cell>
        </row>
        <row r="4963">
          <cell r="C4963" t="str">
            <v>GT</v>
          </cell>
          <cell r="D4963">
            <v>17</v>
          </cell>
          <cell r="H4963" t="str">
            <v>petroleum</v>
          </cell>
        </row>
        <row r="4964">
          <cell r="C4964" t="str">
            <v>ST</v>
          </cell>
          <cell r="D4964">
            <v>380</v>
          </cell>
          <cell r="H4964" t="str">
            <v>natural gas peaker</v>
          </cell>
        </row>
        <row r="4965">
          <cell r="C4965" t="str">
            <v>GT</v>
          </cell>
          <cell r="D4965">
            <v>17</v>
          </cell>
          <cell r="H4965" t="str">
            <v>petroleum</v>
          </cell>
        </row>
        <row r="4966">
          <cell r="C4966" t="str">
            <v>GT</v>
          </cell>
          <cell r="D4966">
            <v>17</v>
          </cell>
          <cell r="H4966" t="str">
            <v>petroleum</v>
          </cell>
        </row>
        <row r="4967">
          <cell r="C4967" t="str">
            <v>GT</v>
          </cell>
          <cell r="D4967">
            <v>17</v>
          </cell>
          <cell r="H4967" t="str">
            <v>petroleum</v>
          </cell>
        </row>
        <row r="4968">
          <cell r="C4968" t="str">
            <v>GT</v>
          </cell>
          <cell r="D4968">
            <v>17</v>
          </cell>
          <cell r="H4968" t="str">
            <v>petroleum</v>
          </cell>
        </row>
        <row r="4969">
          <cell r="C4969" t="str">
            <v>GT</v>
          </cell>
          <cell r="D4969">
            <v>17</v>
          </cell>
          <cell r="H4969" t="str">
            <v>petroleum</v>
          </cell>
        </row>
        <row r="4970">
          <cell r="C4970" t="str">
            <v>GT</v>
          </cell>
          <cell r="D4970">
            <v>17</v>
          </cell>
          <cell r="H4970" t="str">
            <v>petroleum</v>
          </cell>
        </row>
        <row r="4971">
          <cell r="C4971" t="str">
            <v>GT</v>
          </cell>
          <cell r="D4971">
            <v>17</v>
          </cell>
          <cell r="H4971" t="str">
            <v>petroleum</v>
          </cell>
        </row>
        <row r="4972">
          <cell r="C4972" t="str">
            <v>PS</v>
          </cell>
          <cell r="D4972">
            <v>134</v>
          </cell>
          <cell r="H4972" t="str">
            <v>other</v>
          </cell>
        </row>
        <row r="4973">
          <cell r="C4973" t="str">
            <v>PS</v>
          </cell>
          <cell r="D4973">
            <v>133</v>
          </cell>
          <cell r="H4973" t="str">
            <v>other</v>
          </cell>
        </row>
        <row r="4974">
          <cell r="C4974" t="str">
            <v>PS</v>
          </cell>
          <cell r="D4974">
            <v>134</v>
          </cell>
          <cell r="H4974" t="str">
            <v>other</v>
          </cell>
        </row>
        <row r="4975">
          <cell r="C4975" t="str">
            <v>PS</v>
          </cell>
          <cell r="D4975">
            <v>134</v>
          </cell>
          <cell r="H4975" t="str">
            <v>other</v>
          </cell>
        </row>
        <row r="4976">
          <cell r="C4976" t="str">
            <v>PS</v>
          </cell>
          <cell r="D4976">
            <v>134</v>
          </cell>
          <cell r="H4976" t="str">
            <v>other</v>
          </cell>
        </row>
        <row r="4977">
          <cell r="C4977" t="str">
            <v>PS</v>
          </cell>
          <cell r="D4977">
            <v>133</v>
          </cell>
          <cell r="H4977" t="str">
            <v>other</v>
          </cell>
        </row>
        <row r="4978">
          <cell r="C4978" t="str">
            <v>PS</v>
          </cell>
          <cell r="D4978">
            <v>134</v>
          </cell>
          <cell r="H4978" t="str">
            <v>other</v>
          </cell>
        </row>
        <row r="4979">
          <cell r="C4979" t="str">
            <v>PS</v>
          </cell>
          <cell r="D4979">
            <v>134</v>
          </cell>
          <cell r="H4979" t="str">
            <v>other</v>
          </cell>
        </row>
        <row r="4980">
          <cell r="C4980" t="str">
            <v>ST</v>
          </cell>
          <cell r="D4980">
            <v>1264.7</v>
          </cell>
          <cell r="H4980" t="str">
            <v>nuclear</v>
          </cell>
        </row>
        <row r="4981">
          <cell r="C4981" t="str">
            <v>ST</v>
          </cell>
          <cell r="D4981">
            <v>1284.7</v>
          </cell>
          <cell r="H4981" t="str">
            <v>nuclear</v>
          </cell>
        </row>
        <row r="4982">
          <cell r="C4982" t="str">
            <v>GT</v>
          </cell>
          <cell r="D4982">
            <v>49</v>
          </cell>
          <cell r="H4982" t="str">
            <v>petroleum</v>
          </cell>
        </row>
        <row r="4983">
          <cell r="C4983" t="str">
            <v>GT</v>
          </cell>
          <cell r="D4983">
            <v>49</v>
          </cell>
          <cell r="H4983" t="str">
            <v>petroleum</v>
          </cell>
        </row>
        <row r="4984">
          <cell r="C4984" t="str">
            <v>GT</v>
          </cell>
          <cell r="D4984">
            <v>13</v>
          </cell>
          <cell r="H4984" t="str">
            <v>petroleum</v>
          </cell>
        </row>
        <row r="4985">
          <cell r="C4985" t="str">
            <v>GT</v>
          </cell>
          <cell r="D4985">
            <v>17</v>
          </cell>
          <cell r="H4985" t="str">
            <v>petroleum</v>
          </cell>
        </row>
        <row r="4986">
          <cell r="C4986" t="str">
            <v>GT</v>
          </cell>
          <cell r="D4986">
            <v>13</v>
          </cell>
          <cell r="H4986" t="str">
            <v>petroleum</v>
          </cell>
        </row>
        <row r="4987">
          <cell r="C4987" t="str">
            <v>GT</v>
          </cell>
          <cell r="D4987">
            <v>13</v>
          </cell>
          <cell r="H4987" t="str">
            <v>petroleum</v>
          </cell>
        </row>
        <row r="4988">
          <cell r="C4988" t="str">
            <v>GT</v>
          </cell>
          <cell r="D4988">
            <v>13</v>
          </cell>
          <cell r="H4988" t="str">
            <v>petroleum</v>
          </cell>
        </row>
        <row r="4989">
          <cell r="C4989" t="str">
            <v>GT</v>
          </cell>
          <cell r="D4989">
            <v>13</v>
          </cell>
          <cell r="H4989" t="str">
            <v>petroleum</v>
          </cell>
        </row>
        <row r="4990">
          <cell r="C4990" t="str">
            <v>HY</v>
          </cell>
          <cell r="D4990">
            <v>33</v>
          </cell>
          <cell r="H4990" t="str">
            <v>hydro</v>
          </cell>
        </row>
        <row r="4991">
          <cell r="C4991" t="str">
            <v>HY</v>
          </cell>
          <cell r="D4991">
            <v>37.5</v>
          </cell>
          <cell r="H4991" t="str">
            <v>hydro</v>
          </cell>
        </row>
        <row r="4992">
          <cell r="C4992" t="str">
            <v>HY</v>
          </cell>
          <cell r="D4992">
            <v>37.5</v>
          </cell>
          <cell r="H4992" t="str">
            <v>hydro</v>
          </cell>
        </row>
        <row r="4993">
          <cell r="C4993" t="str">
            <v>HY</v>
          </cell>
          <cell r="D4993">
            <v>37.5</v>
          </cell>
          <cell r="H4993" t="str">
            <v>hydro</v>
          </cell>
        </row>
        <row r="4994">
          <cell r="C4994" t="str">
            <v>HY</v>
          </cell>
          <cell r="D4994">
            <v>33</v>
          </cell>
          <cell r="H4994" t="str">
            <v>hydro</v>
          </cell>
        </row>
        <row r="4995">
          <cell r="C4995" t="str">
            <v>HY</v>
          </cell>
          <cell r="D4995">
            <v>32</v>
          </cell>
          <cell r="H4995" t="str">
            <v>hydro</v>
          </cell>
        </row>
        <row r="4996">
          <cell r="C4996" t="str">
            <v>HY</v>
          </cell>
          <cell r="D4996">
            <v>32</v>
          </cell>
          <cell r="H4996" t="str">
            <v>hydro</v>
          </cell>
        </row>
        <row r="4997">
          <cell r="C4997" t="str">
            <v>HY</v>
          </cell>
          <cell r="D4997">
            <v>2</v>
          </cell>
          <cell r="H4997" t="str">
            <v>hydro</v>
          </cell>
        </row>
        <row r="4998">
          <cell r="C4998" t="str">
            <v>HY</v>
          </cell>
          <cell r="D4998">
            <v>2</v>
          </cell>
          <cell r="H4998" t="str">
            <v>hydro</v>
          </cell>
        </row>
        <row r="4999">
          <cell r="C4999" t="str">
            <v>HY</v>
          </cell>
          <cell r="D4999">
            <v>32</v>
          </cell>
          <cell r="H4999" t="str">
            <v>hydro</v>
          </cell>
        </row>
        <row r="5000">
          <cell r="C5000" t="str">
            <v>HY</v>
          </cell>
          <cell r="D5000">
            <v>32</v>
          </cell>
          <cell r="H5000" t="str">
            <v>hydro</v>
          </cell>
        </row>
        <row r="5001">
          <cell r="C5001" t="str">
            <v>HY</v>
          </cell>
          <cell r="D5001">
            <v>32</v>
          </cell>
          <cell r="H5001" t="str">
            <v>hydro</v>
          </cell>
        </row>
        <row r="5002">
          <cell r="C5002" t="str">
            <v>HY</v>
          </cell>
          <cell r="D5002">
            <v>37.5</v>
          </cell>
          <cell r="H5002" t="str">
            <v>hydro</v>
          </cell>
        </row>
        <row r="5003">
          <cell r="C5003" t="str">
            <v>HY</v>
          </cell>
          <cell r="D5003">
            <v>37.5</v>
          </cell>
          <cell r="H5003" t="str">
            <v>hydro</v>
          </cell>
        </row>
        <row r="5004">
          <cell r="C5004" t="str">
            <v>CA</v>
          </cell>
          <cell r="D5004">
            <v>29.2</v>
          </cell>
          <cell r="H5004" t="str">
            <v>natural gas nonpeaker</v>
          </cell>
        </row>
        <row r="5005">
          <cell r="C5005" t="str">
            <v>CT</v>
          </cell>
          <cell r="D5005">
            <v>48.2</v>
          </cell>
          <cell r="H5005" t="str">
            <v>natural gas nonpeaker</v>
          </cell>
        </row>
        <row r="5006">
          <cell r="C5006" t="str">
            <v>CT</v>
          </cell>
          <cell r="D5006">
            <v>48</v>
          </cell>
          <cell r="H5006" t="str">
            <v>natural gas nonpeaker</v>
          </cell>
        </row>
        <row r="5007">
          <cell r="C5007" t="str">
            <v>CT</v>
          </cell>
          <cell r="D5007">
            <v>110.1</v>
          </cell>
          <cell r="H5007" t="str">
            <v>natural gas nonpeaker</v>
          </cell>
        </row>
        <row r="5008">
          <cell r="C5008" t="str">
            <v>CT</v>
          </cell>
          <cell r="D5008">
            <v>110.2</v>
          </cell>
          <cell r="H5008" t="str">
            <v>natural gas nonpeaker</v>
          </cell>
        </row>
        <row r="5009">
          <cell r="C5009" t="str">
            <v>CA</v>
          </cell>
          <cell r="D5009">
            <v>46.9</v>
          </cell>
          <cell r="H5009" t="str">
            <v>natural gas nonpeaker</v>
          </cell>
        </row>
        <row r="5010">
          <cell r="C5010" t="str">
            <v>CA</v>
          </cell>
          <cell r="D5010">
            <v>46.8</v>
          </cell>
          <cell r="H5010" t="str">
            <v>natural gas nonpeaker</v>
          </cell>
        </row>
        <row r="5011">
          <cell r="C5011" t="str">
            <v>CT</v>
          </cell>
          <cell r="D5011">
            <v>107.1</v>
          </cell>
          <cell r="H5011" t="str">
            <v>natural gas nonpeaker</v>
          </cell>
        </row>
        <row r="5012">
          <cell r="C5012" t="str">
            <v>CA</v>
          </cell>
          <cell r="D5012">
            <v>46.9</v>
          </cell>
          <cell r="H5012" t="str">
            <v>natural gas nonpeaker</v>
          </cell>
        </row>
        <row r="5013">
          <cell r="C5013" t="str">
            <v>GT</v>
          </cell>
          <cell r="D5013">
            <v>50</v>
          </cell>
          <cell r="H5013" t="str">
            <v>natural gas peaker</v>
          </cell>
        </row>
        <row r="5014">
          <cell r="C5014" t="str">
            <v>GT</v>
          </cell>
          <cell r="D5014">
            <v>49</v>
          </cell>
          <cell r="H5014" t="str">
            <v>petroleum</v>
          </cell>
        </row>
        <row r="5015">
          <cell r="C5015" t="str">
            <v>GT</v>
          </cell>
          <cell r="D5015">
            <v>118</v>
          </cell>
          <cell r="H5015" t="str">
            <v>natural gas peaker</v>
          </cell>
        </row>
        <row r="5016">
          <cell r="C5016" t="str">
            <v>GT</v>
          </cell>
          <cell r="D5016">
            <v>116</v>
          </cell>
          <cell r="H5016" t="str">
            <v>natural gas peaker</v>
          </cell>
        </row>
        <row r="5017">
          <cell r="C5017" t="str">
            <v>GT</v>
          </cell>
          <cell r="D5017">
            <v>48</v>
          </cell>
          <cell r="H5017" t="str">
            <v>petroleum</v>
          </cell>
        </row>
        <row r="5018">
          <cell r="C5018" t="str">
            <v>GT</v>
          </cell>
          <cell r="D5018">
            <v>50</v>
          </cell>
          <cell r="H5018" t="str">
            <v>natural gas peaker</v>
          </cell>
        </row>
        <row r="5019">
          <cell r="C5019" t="str">
            <v>GT</v>
          </cell>
          <cell r="D5019">
            <v>48</v>
          </cell>
          <cell r="H5019" t="str">
            <v>petroleum</v>
          </cell>
        </row>
        <row r="5020">
          <cell r="C5020" t="str">
            <v>GT</v>
          </cell>
          <cell r="D5020">
            <v>43</v>
          </cell>
          <cell r="H5020" t="str">
            <v>petroleum</v>
          </cell>
        </row>
        <row r="5021">
          <cell r="C5021" t="str">
            <v>GT</v>
          </cell>
          <cell r="D5021">
            <v>47</v>
          </cell>
          <cell r="H5021" t="str">
            <v>natural gas peaker</v>
          </cell>
        </row>
        <row r="5022">
          <cell r="C5022" t="str">
            <v>GT</v>
          </cell>
          <cell r="D5022">
            <v>44</v>
          </cell>
          <cell r="H5022" t="str">
            <v>petroleum</v>
          </cell>
        </row>
        <row r="5023">
          <cell r="C5023" t="str">
            <v>ST</v>
          </cell>
          <cell r="D5023">
            <v>741</v>
          </cell>
          <cell r="H5023" t="str">
            <v>nuclear</v>
          </cell>
        </row>
        <row r="5024">
          <cell r="C5024" t="str">
            <v>HY</v>
          </cell>
          <cell r="D5024">
            <v>0.7</v>
          </cell>
          <cell r="H5024" t="str">
            <v>hydro</v>
          </cell>
        </row>
        <row r="5025">
          <cell r="C5025" t="str">
            <v>HY</v>
          </cell>
          <cell r="D5025">
            <v>0.7</v>
          </cell>
          <cell r="H5025" t="str">
            <v>hydro</v>
          </cell>
        </row>
        <row r="5026">
          <cell r="C5026" t="str">
            <v>HY</v>
          </cell>
          <cell r="D5026">
            <v>2.2999999999999998</v>
          </cell>
          <cell r="H5026" t="str">
            <v>hydro</v>
          </cell>
        </row>
        <row r="5027">
          <cell r="C5027" t="str">
            <v>HY</v>
          </cell>
          <cell r="D5027">
            <v>2.2999999999999998</v>
          </cell>
          <cell r="H5027" t="str">
            <v>hydro</v>
          </cell>
        </row>
        <row r="5028">
          <cell r="C5028" t="str">
            <v>HY</v>
          </cell>
          <cell r="D5028">
            <v>2.2999999999999998</v>
          </cell>
          <cell r="H5028" t="str">
            <v>hydro</v>
          </cell>
        </row>
        <row r="5029">
          <cell r="C5029" t="str">
            <v>HY</v>
          </cell>
          <cell r="D5029">
            <v>15</v>
          </cell>
          <cell r="H5029" t="str">
            <v>hydro</v>
          </cell>
        </row>
        <row r="5030">
          <cell r="C5030" t="str">
            <v>HY</v>
          </cell>
          <cell r="D5030">
            <v>15</v>
          </cell>
          <cell r="H5030" t="str">
            <v>hydro</v>
          </cell>
        </row>
        <row r="5031">
          <cell r="C5031" t="str">
            <v>HY</v>
          </cell>
          <cell r="D5031">
            <v>15</v>
          </cell>
          <cell r="H5031" t="str">
            <v>hydro</v>
          </cell>
        </row>
        <row r="5032">
          <cell r="C5032" t="str">
            <v>HY</v>
          </cell>
          <cell r="D5032">
            <v>14</v>
          </cell>
          <cell r="H5032" t="str">
            <v>hydro</v>
          </cell>
        </row>
        <row r="5033">
          <cell r="C5033" t="str">
            <v>HY</v>
          </cell>
          <cell r="D5033">
            <v>14</v>
          </cell>
          <cell r="H5033" t="str">
            <v>hydro</v>
          </cell>
        </row>
        <row r="5034">
          <cell r="C5034" t="str">
            <v>HY</v>
          </cell>
          <cell r="D5034">
            <v>14</v>
          </cell>
          <cell r="H5034" t="str">
            <v>hydro</v>
          </cell>
        </row>
        <row r="5035">
          <cell r="C5035" t="str">
            <v>HY</v>
          </cell>
          <cell r="D5035">
            <v>11</v>
          </cell>
          <cell r="H5035" t="str">
            <v>hydro</v>
          </cell>
        </row>
        <row r="5036">
          <cell r="C5036" t="str">
            <v>HY</v>
          </cell>
          <cell r="D5036">
            <v>10</v>
          </cell>
          <cell r="H5036" t="str">
            <v>hydro</v>
          </cell>
        </row>
        <row r="5037">
          <cell r="C5037" t="str">
            <v>HY</v>
          </cell>
          <cell r="D5037">
            <v>10</v>
          </cell>
          <cell r="H5037" t="str">
            <v>hydro</v>
          </cell>
        </row>
        <row r="5038">
          <cell r="C5038" t="str">
            <v>HY</v>
          </cell>
          <cell r="D5038">
            <v>11</v>
          </cell>
          <cell r="H5038" t="str">
            <v>hydro</v>
          </cell>
        </row>
        <row r="5039">
          <cell r="C5039" t="str">
            <v>HY</v>
          </cell>
          <cell r="D5039">
            <v>8</v>
          </cell>
          <cell r="H5039" t="str">
            <v>hydro</v>
          </cell>
        </row>
        <row r="5040">
          <cell r="C5040" t="str">
            <v>HY</v>
          </cell>
          <cell r="D5040">
            <v>1</v>
          </cell>
          <cell r="H5040" t="str">
            <v>hydro</v>
          </cell>
        </row>
        <row r="5041">
          <cell r="C5041" t="str">
            <v>HY</v>
          </cell>
          <cell r="D5041">
            <v>2</v>
          </cell>
          <cell r="H5041" t="str">
            <v>hydro</v>
          </cell>
        </row>
        <row r="5042">
          <cell r="C5042" t="str">
            <v>HY</v>
          </cell>
          <cell r="D5042">
            <v>2</v>
          </cell>
          <cell r="H5042" t="str">
            <v>hydro</v>
          </cell>
        </row>
        <row r="5043">
          <cell r="C5043" t="str">
            <v>HY</v>
          </cell>
          <cell r="D5043">
            <v>2.5</v>
          </cell>
          <cell r="H5043" t="str">
            <v>hydro</v>
          </cell>
        </row>
        <row r="5044">
          <cell r="C5044" t="str">
            <v>HY</v>
          </cell>
          <cell r="D5044">
            <v>3</v>
          </cell>
          <cell r="H5044" t="str">
            <v>hydro</v>
          </cell>
        </row>
        <row r="5045">
          <cell r="C5045" t="str">
            <v>HY</v>
          </cell>
          <cell r="D5045">
            <v>3</v>
          </cell>
          <cell r="H5045" t="str">
            <v>hydro</v>
          </cell>
        </row>
        <row r="5046">
          <cell r="C5046" t="str">
            <v>HY</v>
          </cell>
          <cell r="D5046">
            <v>3</v>
          </cell>
          <cell r="H5046" t="str">
            <v>hydro</v>
          </cell>
        </row>
        <row r="5047">
          <cell r="C5047" t="str">
            <v>HY</v>
          </cell>
          <cell r="D5047">
            <v>3</v>
          </cell>
          <cell r="H5047" t="str">
            <v>hydro</v>
          </cell>
        </row>
        <row r="5048">
          <cell r="C5048" t="str">
            <v>HY</v>
          </cell>
          <cell r="D5048">
            <v>1.2</v>
          </cell>
          <cell r="H5048" t="str">
            <v>hydro</v>
          </cell>
        </row>
        <row r="5049">
          <cell r="C5049" t="str">
            <v>HY</v>
          </cell>
          <cell r="D5049">
            <v>1.2</v>
          </cell>
          <cell r="H5049" t="str">
            <v>hydro</v>
          </cell>
        </row>
        <row r="5050">
          <cell r="C5050" t="str">
            <v>HY</v>
          </cell>
          <cell r="D5050">
            <v>1.2</v>
          </cell>
          <cell r="H5050" t="str">
            <v>hydro</v>
          </cell>
        </row>
        <row r="5051">
          <cell r="C5051" t="str">
            <v>HY</v>
          </cell>
          <cell r="D5051">
            <v>1.2</v>
          </cell>
          <cell r="H5051" t="str">
            <v>hydro</v>
          </cell>
        </row>
        <row r="5052">
          <cell r="C5052" t="str">
            <v>PS</v>
          </cell>
          <cell r="D5052">
            <v>195</v>
          </cell>
          <cell r="H5052" t="str">
            <v>other</v>
          </cell>
        </row>
        <row r="5053">
          <cell r="C5053" t="str">
            <v>PS</v>
          </cell>
          <cell r="D5053">
            <v>195</v>
          </cell>
          <cell r="H5053" t="str">
            <v>other</v>
          </cell>
        </row>
        <row r="5054">
          <cell r="C5054" t="str">
            <v>PS</v>
          </cell>
          <cell r="D5054">
            <v>195</v>
          </cell>
          <cell r="H5054" t="str">
            <v>other</v>
          </cell>
        </row>
        <row r="5055">
          <cell r="C5055" t="str">
            <v>PS</v>
          </cell>
          <cell r="D5055">
            <v>195</v>
          </cell>
          <cell r="H5055" t="str">
            <v>other</v>
          </cell>
        </row>
        <row r="5056">
          <cell r="C5056" t="str">
            <v>ST</v>
          </cell>
          <cell r="D5056">
            <v>170</v>
          </cell>
          <cell r="H5056" t="str">
            <v>natural gas peaker</v>
          </cell>
        </row>
        <row r="5057">
          <cell r="C5057" t="str">
            <v>GT</v>
          </cell>
          <cell r="D5057">
            <v>42</v>
          </cell>
          <cell r="H5057" t="str">
            <v>natural gas peaker</v>
          </cell>
        </row>
        <row r="5058">
          <cell r="C5058" t="str">
            <v>GT</v>
          </cell>
          <cell r="D5058">
            <v>42</v>
          </cell>
          <cell r="H5058" t="str">
            <v>natural gas peaker</v>
          </cell>
        </row>
        <row r="5059">
          <cell r="C5059" t="str">
            <v>CT</v>
          </cell>
          <cell r="D5059">
            <v>237</v>
          </cell>
          <cell r="H5059" t="str">
            <v>natural gas nonpeaker</v>
          </cell>
        </row>
        <row r="5060">
          <cell r="C5060" t="str">
            <v>CT</v>
          </cell>
          <cell r="D5060">
            <v>236</v>
          </cell>
          <cell r="H5060" t="str">
            <v>natural gas nonpeaker</v>
          </cell>
        </row>
        <row r="5061">
          <cell r="C5061" t="str">
            <v>CA</v>
          </cell>
          <cell r="D5061">
            <v>313</v>
          </cell>
          <cell r="H5061" t="str">
            <v>natural gas nonpeaker</v>
          </cell>
        </row>
        <row r="5062">
          <cell r="C5062" t="str">
            <v>ST</v>
          </cell>
          <cell r="D5062">
            <v>847</v>
          </cell>
          <cell r="H5062" t="str">
            <v>nuclear</v>
          </cell>
        </row>
        <row r="5063">
          <cell r="C5063" t="str">
            <v>ST</v>
          </cell>
          <cell r="D5063">
            <v>848</v>
          </cell>
          <cell r="H5063" t="str">
            <v>nuclear</v>
          </cell>
        </row>
        <row r="5064">
          <cell r="C5064" t="str">
            <v>ST</v>
          </cell>
          <cell r="D5064">
            <v>859</v>
          </cell>
          <cell r="H5064" t="str">
            <v>nuclear</v>
          </cell>
        </row>
        <row r="5065">
          <cell r="C5065" t="str">
            <v>HY</v>
          </cell>
          <cell r="D5065">
            <v>0.6</v>
          </cell>
          <cell r="H5065" t="str">
            <v>hydro</v>
          </cell>
        </row>
        <row r="5066">
          <cell r="C5066" t="str">
            <v>HY</v>
          </cell>
          <cell r="D5066">
            <v>0.6</v>
          </cell>
          <cell r="H5066" t="str">
            <v>hydro</v>
          </cell>
        </row>
        <row r="5067">
          <cell r="C5067" t="str">
            <v>HY</v>
          </cell>
          <cell r="D5067">
            <v>0.6</v>
          </cell>
          <cell r="H5067" t="str">
            <v>hydro</v>
          </cell>
        </row>
        <row r="5068">
          <cell r="C5068" t="str">
            <v>HY</v>
          </cell>
          <cell r="D5068">
            <v>0.6</v>
          </cell>
          <cell r="H5068" t="str">
            <v>hydro</v>
          </cell>
        </row>
        <row r="5069">
          <cell r="C5069" t="str">
            <v>HY</v>
          </cell>
          <cell r="D5069">
            <v>17</v>
          </cell>
          <cell r="H5069" t="str">
            <v>hydro</v>
          </cell>
        </row>
        <row r="5070">
          <cell r="C5070" t="str">
            <v>HY</v>
          </cell>
          <cell r="D5070">
            <v>17</v>
          </cell>
          <cell r="H5070" t="str">
            <v>hydro</v>
          </cell>
        </row>
        <row r="5071">
          <cell r="C5071" t="str">
            <v>HY</v>
          </cell>
          <cell r="D5071">
            <v>17</v>
          </cell>
          <cell r="H5071" t="str">
            <v>hydro</v>
          </cell>
        </row>
        <row r="5072">
          <cell r="C5072" t="str">
            <v>HY</v>
          </cell>
          <cell r="D5072">
            <v>17</v>
          </cell>
          <cell r="H5072" t="str">
            <v>hydro</v>
          </cell>
        </row>
        <row r="5073">
          <cell r="C5073" t="str">
            <v>HY</v>
          </cell>
          <cell r="D5073">
            <v>17</v>
          </cell>
          <cell r="H5073" t="str">
            <v>hydro</v>
          </cell>
        </row>
        <row r="5074">
          <cell r="C5074" t="str">
            <v>HY</v>
          </cell>
          <cell r="D5074">
            <v>18</v>
          </cell>
          <cell r="H5074" t="str">
            <v>hydro</v>
          </cell>
        </row>
        <row r="5075">
          <cell r="C5075" t="str">
            <v>HY</v>
          </cell>
          <cell r="D5075">
            <v>18</v>
          </cell>
          <cell r="H5075" t="str">
            <v>hydro</v>
          </cell>
        </row>
        <row r="5076">
          <cell r="C5076" t="str">
            <v>HY</v>
          </cell>
          <cell r="D5076">
            <v>18</v>
          </cell>
          <cell r="H5076" t="str">
            <v>hydro</v>
          </cell>
        </row>
        <row r="5077">
          <cell r="C5077" t="str">
            <v>HY</v>
          </cell>
          <cell r="D5077">
            <v>6</v>
          </cell>
          <cell r="H5077" t="str">
            <v>hydro</v>
          </cell>
        </row>
        <row r="5078">
          <cell r="C5078" t="str">
            <v>HY</v>
          </cell>
          <cell r="D5078">
            <v>4.2</v>
          </cell>
          <cell r="H5078" t="str">
            <v>hydro</v>
          </cell>
        </row>
        <row r="5079">
          <cell r="C5079" t="str">
            <v>HY</v>
          </cell>
          <cell r="D5079">
            <v>3.4</v>
          </cell>
          <cell r="H5079" t="str">
            <v>hydro</v>
          </cell>
        </row>
        <row r="5080">
          <cell r="C5080" t="str">
            <v>HY</v>
          </cell>
          <cell r="D5080">
            <v>4.2</v>
          </cell>
          <cell r="H5080" t="str">
            <v>hydro</v>
          </cell>
        </row>
        <row r="5081">
          <cell r="C5081" t="str">
            <v>HY</v>
          </cell>
          <cell r="D5081">
            <v>3.4</v>
          </cell>
          <cell r="H5081" t="str">
            <v>hydro</v>
          </cell>
        </row>
        <row r="5082">
          <cell r="C5082" t="str">
            <v>HY</v>
          </cell>
          <cell r="D5082">
            <v>4.2</v>
          </cell>
          <cell r="H5082" t="str">
            <v>hydro</v>
          </cell>
        </row>
        <row r="5083">
          <cell r="C5083" t="str">
            <v>HY</v>
          </cell>
          <cell r="D5083">
            <v>4.2</v>
          </cell>
          <cell r="H5083" t="str">
            <v>hydro</v>
          </cell>
        </row>
        <row r="5084">
          <cell r="C5084" t="str">
            <v>HY</v>
          </cell>
          <cell r="D5084">
            <v>4.2</v>
          </cell>
          <cell r="H5084" t="str">
            <v>hydro</v>
          </cell>
        </row>
        <row r="5085">
          <cell r="C5085" t="str">
            <v>HY</v>
          </cell>
          <cell r="D5085">
            <v>4.2</v>
          </cell>
          <cell r="H5085" t="str">
            <v>hydro</v>
          </cell>
        </row>
        <row r="5086">
          <cell r="C5086" t="str">
            <v>HY</v>
          </cell>
          <cell r="D5086">
            <v>1.2</v>
          </cell>
          <cell r="H5086" t="str">
            <v>hydro</v>
          </cell>
        </row>
        <row r="5087">
          <cell r="C5087" t="str">
            <v>GT</v>
          </cell>
          <cell r="D5087">
            <v>14</v>
          </cell>
          <cell r="H5087" t="str">
            <v>natural gas peaker</v>
          </cell>
        </row>
        <row r="5088">
          <cell r="C5088" t="str">
            <v>GT</v>
          </cell>
          <cell r="D5088">
            <v>12</v>
          </cell>
          <cell r="H5088" t="str">
            <v>natural gas peaker</v>
          </cell>
        </row>
        <row r="5089">
          <cell r="C5089" t="str">
            <v>HY</v>
          </cell>
          <cell r="D5089">
            <v>1.3</v>
          </cell>
          <cell r="H5089" t="str">
            <v>hydro</v>
          </cell>
        </row>
        <row r="5090">
          <cell r="C5090" t="str">
            <v>HY</v>
          </cell>
          <cell r="D5090">
            <v>1.7</v>
          </cell>
          <cell r="H5090" t="str">
            <v>hydro</v>
          </cell>
        </row>
        <row r="5091">
          <cell r="C5091" t="str">
            <v>HY</v>
          </cell>
          <cell r="D5091">
            <v>1.3</v>
          </cell>
          <cell r="H5091" t="str">
            <v>hydro</v>
          </cell>
        </row>
        <row r="5092">
          <cell r="C5092" t="str">
            <v>HY</v>
          </cell>
          <cell r="D5092">
            <v>1.3</v>
          </cell>
          <cell r="H5092" t="str">
            <v>hydro</v>
          </cell>
        </row>
        <row r="5093">
          <cell r="C5093" t="str">
            <v>HY</v>
          </cell>
          <cell r="D5093">
            <v>1.7</v>
          </cell>
          <cell r="H5093" t="str">
            <v>hydro</v>
          </cell>
        </row>
        <row r="5094">
          <cell r="C5094" t="str">
            <v>HY</v>
          </cell>
          <cell r="D5094">
            <v>1.3</v>
          </cell>
          <cell r="H5094" t="str">
            <v>hydro</v>
          </cell>
        </row>
        <row r="5095">
          <cell r="C5095" t="str">
            <v>HY</v>
          </cell>
          <cell r="D5095">
            <v>1.3</v>
          </cell>
          <cell r="H5095" t="str">
            <v>hydro</v>
          </cell>
        </row>
        <row r="5096">
          <cell r="C5096" t="str">
            <v>GT</v>
          </cell>
          <cell r="D5096">
            <v>88</v>
          </cell>
          <cell r="H5096" t="str">
            <v>natural gas peaker</v>
          </cell>
        </row>
        <row r="5097">
          <cell r="C5097" t="str">
            <v>GT</v>
          </cell>
          <cell r="D5097">
            <v>18</v>
          </cell>
          <cell r="H5097" t="str">
            <v>natural gas peaker</v>
          </cell>
        </row>
        <row r="5098">
          <cell r="C5098" t="str">
            <v>GT</v>
          </cell>
          <cell r="D5098">
            <v>20</v>
          </cell>
          <cell r="H5098" t="str">
            <v>natural gas peaker</v>
          </cell>
        </row>
        <row r="5099">
          <cell r="C5099" t="str">
            <v>GT</v>
          </cell>
          <cell r="D5099">
            <v>9</v>
          </cell>
          <cell r="H5099" t="str">
            <v>petroleum</v>
          </cell>
        </row>
        <row r="5100">
          <cell r="C5100" t="str">
            <v>ST</v>
          </cell>
          <cell r="D5100">
            <v>125</v>
          </cell>
          <cell r="H5100" t="str">
            <v>natural gas peaker</v>
          </cell>
        </row>
        <row r="5101">
          <cell r="C5101" t="str">
            <v>ST</v>
          </cell>
          <cell r="D5101">
            <v>125</v>
          </cell>
          <cell r="H5101" t="str">
            <v>natural gas peaker</v>
          </cell>
        </row>
        <row r="5102">
          <cell r="C5102" t="str">
            <v>HY</v>
          </cell>
          <cell r="D5102">
            <v>1.1000000000000001</v>
          </cell>
          <cell r="H5102" t="str">
            <v>hydro</v>
          </cell>
        </row>
        <row r="5103">
          <cell r="C5103" t="str">
            <v>HY</v>
          </cell>
          <cell r="D5103">
            <v>1.1000000000000001</v>
          </cell>
          <cell r="H5103" t="str">
            <v>hydro</v>
          </cell>
        </row>
        <row r="5104">
          <cell r="C5104" t="str">
            <v>HY</v>
          </cell>
          <cell r="D5104">
            <v>1.1000000000000001</v>
          </cell>
          <cell r="H5104" t="str">
            <v>hydro</v>
          </cell>
        </row>
        <row r="5105">
          <cell r="C5105" t="str">
            <v>HY</v>
          </cell>
          <cell r="D5105">
            <v>1.1000000000000001</v>
          </cell>
          <cell r="H5105" t="str">
            <v>hydro</v>
          </cell>
        </row>
        <row r="5106">
          <cell r="C5106" t="str">
            <v>HY</v>
          </cell>
          <cell r="D5106">
            <v>2.5</v>
          </cell>
          <cell r="H5106" t="str">
            <v>hydro</v>
          </cell>
        </row>
        <row r="5107">
          <cell r="C5107" t="str">
            <v>HY</v>
          </cell>
          <cell r="D5107">
            <v>2.5</v>
          </cell>
          <cell r="H5107" t="str">
            <v>hydro</v>
          </cell>
        </row>
        <row r="5108">
          <cell r="C5108" t="str">
            <v>HY</v>
          </cell>
          <cell r="D5108">
            <v>2.5</v>
          </cell>
          <cell r="H5108" t="str">
            <v>hydro</v>
          </cell>
        </row>
        <row r="5109">
          <cell r="C5109" t="str">
            <v>HY</v>
          </cell>
          <cell r="D5109">
            <v>2.5</v>
          </cell>
          <cell r="H5109" t="str">
            <v>hydro</v>
          </cell>
        </row>
        <row r="5110">
          <cell r="C5110" t="str">
            <v>HY</v>
          </cell>
          <cell r="D5110">
            <v>2.5</v>
          </cell>
          <cell r="H5110" t="str">
            <v>hydro</v>
          </cell>
        </row>
        <row r="5111">
          <cell r="C5111" t="str">
            <v>HY</v>
          </cell>
          <cell r="D5111">
            <v>2.5</v>
          </cell>
          <cell r="H5111" t="str">
            <v>hydro</v>
          </cell>
        </row>
        <row r="5112">
          <cell r="C5112" t="str">
            <v>GT</v>
          </cell>
          <cell r="D5112">
            <v>13.5</v>
          </cell>
          <cell r="H5112" t="str">
            <v>natural gas peaker</v>
          </cell>
        </row>
        <row r="5113">
          <cell r="C5113" t="str">
            <v>GT</v>
          </cell>
          <cell r="D5113">
            <v>13.5</v>
          </cell>
          <cell r="H5113" t="str">
            <v>natural gas peaker</v>
          </cell>
        </row>
        <row r="5114">
          <cell r="C5114" t="str">
            <v>GT</v>
          </cell>
          <cell r="D5114">
            <v>16.5</v>
          </cell>
          <cell r="H5114" t="str">
            <v>natural gas peaker</v>
          </cell>
        </row>
        <row r="5115">
          <cell r="C5115" t="str">
            <v>GT</v>
          </cell>
          <cell r="D5115">
            <v>16.5</v>
          </cell>
          <cell r="H5115" t="str">
            <v>natural gas peaker</v>
          </cell>
        </row>
        <row r="5116">
          <cell r="C5116" t="str">
            <v>HY</v>
          </cell>
          <cell r="D5116">
            <v>32.5</v>
          </cell>
          <cell r="H5116" t="str">
            <v>hydro</v>
          </cell>
        </row>
        <row r="5117">
          <cell r="C5117" t="str">
            <v>HY</v>
          </cell>
          <cell r="D5117">
            <v>32.5</v>
          </cell>
          <cell r="H5117" t="str">
            <v>hydro</v>
          </cell>
        </row>
        <row r="5118">
          <cell r="C5118" t="str">
            <v>HY</v>
          </cell>
          <cell r="D5118">
            <v>35</v>
          </cell>
          <cell r="H5118" t="str">
            <v>hydro</v>
          </cell>
        </row>
        <row r="5119">
          <cell r="C5119" t="str">
            <v>HY</v>
          </cell>
          <cell r="D5119">
            <v>32.5</v>
          </cell>
          <cell r="H5119" t="str">
            <v>hydro</v>
          </cell>
        </row>
        <row r="5120">
          <cell r="C5120" t="str">
            <v>HY</v>
          </cell>
          <cell r="D5120">
            <v>66</v>
          </cell>
          <cell r="H5120" t="str">
            <v>hydro</v>
          </cell>
        </row>
        <row r="5121">
          <cell r="C5121" t="str">
            <v>CA</v>
          </cell>
          <cell r="D5121">
            <v>64</v>
          </cell>
          <cell r="H5121" t="str">
            <v>natural gas nonpeaker</v>
          </cell>
        </row>
        <row r="5122">
          <cell r="C5122" t="str">
            <v>CA</v>
          </cell>
          <cell r="D5122">
            <v>64</v>
          </cell>
          <cell r="H5122" t="str">
            <v>natural gas nonpeaker</v>
          </cell>
        </row>
        <row r="5123">
          <cell r="C5123" t="str">
            <v>ST</v>
          </cell>
          <cell r="D5123">
            <v>95</v>
          </cell>
          <cell r="H5123" t="str">
            <v>natural gas peaker</v>
          </cell>
        </row>
        <row r="5124">
          <cell r="C5124" t="str">
            <v>CT</v>
          </cell>
          <cell r="D5124">
            <v>162</v>
          </cell>
          <cell r="H5124" t="str">
            <v>natural gas nonpeaker</v>
          </cell>
        </row>
        <row r="5125">
          <cell r="C5125" t="str">
            <v>CT</v>
          </cell>
          <cell r="D5125">
            <v>168</v>
          </cell>
          <cell r="H5125" t="str">
            <v>natural gas nonpeaker</v>
          </cell>
        </row>
        <row r="5126">
          <cell r="C5126" t="str">
            <v>GT</v>
          </cell>
          <cell r="D5126">
            <v>13</v>
          </cell>
          <cell r="H5126" t="str">
            <v>natural gas peaker</v>
          </cell>
        </row>
        <row r="5127">
          <cell r="C5127" t="str">
            <v>GT</v>
          </cell>
          <cell r="D5127">
            <v>14</v>
          </cell>
          <cell r="H5127" t="str">
            <v>natural gas peaker</v>
          </cell>
        </row>
        <row r="5128">
          <cell r="C5128" t="str">
            <v>GT</v>
          </cell>
          <cell r="D5128">
            <v>12</v>
          </cell>
          <cell r="H5128" t="str">
            <v>natural gas peaker</v>
          </cell>
        </row>
        <row r="5129">
          <cell r="C5129" t="str">
            <v>GT</v>
          </cell>
          <cell r="D5129">
            <v>48</v>
          </cell>
          <cell r="H5129" t="str">
            <v>natural gas peaker</v>
          </cell>
        </row>
        <row r="5130">
          <cell r="C5130" t="str">
            <v>ST</v>
          </cell>
          <cell r="D5130">
            <v>342</v>
          </cell>
          <cell r="H5130" t="str">
            <v>hard coal</v>
          </cell>
        </row>
        <row r="5131">
          <cell r="C5131" t="str">
            <v>ST</v>
          </cell>
          <cell r="D5131">
            <v>342</v>
          </cell>
          <cell r="H5131" t="str">
            <v>hard coal</v>
          </cell>
        </row>
        <row r="5132">
          <cell r="C5132" t="str">
            <v>GT</v>
          </cell>
          <cell r="D5132">
            <v>20</v>
          </cell>
          <cell r="H5132" t="str">
            <v>natural gas peaker</v>
          </cell>
        </row>
        <row r="5133">
          <cell r="C5133" t="str">
            <v>GT</v>
          </cell>
          <cell r="D5133">
            <v>20</v>
          </cell>
          <cell r="H5133" t="str">
            <v>natural gas peaker</v>
          </cell>
        </row>
        <row r="5134">
          <cell r="C5134" t="str">
            <v>ST</v>
          </cell>
          <cell r="D5134">
            <v>605</v>
          </cell>
          <cell r="H5134" t="str">
            <v>hard coal</v>
          </cell>
        </row>
        <row r="5135">
          <cell r="C5135" t="str">
            <v>HY</v>
          </cell>
          <cell r="D5135">
            <v>1.8</v>
          </cell>
          <cell r="H5135" t="str">
            <v>hydro</v>
          </cell>
        </row>
        <row r="5136">
          <cell r="C5136" t="str">
            <v>HY</v>
          </cell>
          <cell r="D5136">
            <v>0.8</v>
          </cell>
          <cell r="H5136" t="str">
            <v>hydro</v>
          </cell>
        </row>
        <row r="5137">
          <cell r="C5137" t="str">
            <v>IC</v>
          </cell>
          <cell r="D5137">
            <v>1</v>
          </cell>
          <cell r="H5137" t="str">
            <v>petroleum</v>
          </cell>
        </row>
        <row r="5138">
          <cell r="C5138" t="str">
            <v>GT</v>
          </cell>
          <cell r="D5138">
            <v>19</v>
          </cell>
          <cell r="H5138" t="str">
            <v>petroleum</v>
          </cell>
        </row>
        <row r="5139">
          <cell r="C5139" t="str">
            <v>GT</v>
          </cell>
          <cell r="D5139">
            <v>19</v>
          </cell>
          <cell r="H5139" t="str">
            <v>petroleum</v>
          </cell>
        </row>
        <row r="5140">
          <cell r="C5140" t="str">
            <v>GT</v>
          </cell>
          <cell r="D5140">
            <v>52</v>
          </cell>
          <cell r="H5140" t="str">
            <v>petroleum</v>
          </cell>
        </row>
        <row r="5141">
          <cell r="C5141" t="str">
            <v>HY</v>
          </cell>
          <cell r="D5141">
            <v>29</v>
          </cell>
          <cell r="H5141" t="str">
            <v>hydro</v>
          </cell>
        </row>
        <row r="5142">
          <cell r="C5142" t="str">
            <v>HY</v>
          </cell>
          <cell r="D5142">
            <v>36</v>
          </cell>
          <cell r="H5142" t="str">
            <v>hydro</v>
          </cell>
        </row>
        <row r="5143">
          <cell r="C5143" t="str">
            <v>HY</v>
          </cell>
          <cell r="D5143">
            <v>29</v>
          </cell>
          <cell r="H5143" t="str">
            <v>hydro</v>
          </cell>
        </row>
        <row r="5144">
          <cell r="C5144" t="str">
            <v>HY</v>
          </cell>
          <cell r="D5144">
            <v>36</v>
          </cell>
          <cell r="H5144" t="str">
            <v>hydro</v>
          </cell>
        </row>
        <row r="5145">
          <cell r="C5145" t="str">
            <v>HY</v>
          </cell>
          <cell r="D5145">
            <v>11</v>
          </cell>
          <cell r="H5145" t="str">
            <v>hydro</v>
          </cell>
        </row>
        <row r="5146">
          <cell r="C5146" t="str">
            <v>GT</v>
          </cell>
          <cell r="D5146">
            <v>8</v>
          </cell>
          <cell r="H5146" t="str">
            <v>petroleum</v>
          </cell>
        </row>
        <row r="5147">
          <cell r="C5147" t="str">
            <v>GT</v>
          </cell>
          <cell r="D5147">
            <v>8</v>
          </cell>
          <cell r="H5147" t="str">
            <v>petroleum</v>
          </cell>
        </row>
        <row r="5148">
          <cell r="C5148" t="str">
            <v>GT</v>
          </cell>
          <cell r="D5148">
            <v>19</v>
          </cell>
          <cell r="H5148" t="str">
            <v>petroleum</v>
          </cell>
        </row>
        <row r="5149">
          <cell r="C5149" t="str">
            <v>GT</v>
          </cell>
          <cell r="D5149">
            <v>19</v>
          </cell>
          <cell r="H5149" t="str">
            <v>petroleum</v>
          </cell>
        </row>
        <row r="5150">
          <cell r="C5150" t="str">
            <v>GT</v>
          </cell>
          <cell r="D5150">
            <v>21</v>
          </cell>
          <cell r="H5150" t="str">
            <v>petroleum</v>
          </cell>
        </row>
        <row r="5151">
          <cell r="C5151" t="str">
            <v>HY</v>
          </cell>
          <cell r="D5151">
            <v>2</v>
          </cell>
          <cell r="H5151" t="str">
            <v>hydro</v>
          </cell>
        </row>
        <row r="5152">
          <cell r="C5152" t="str">
            <v>HY</v>
          </cell>
          <cell r="D5152">
            <v>48</v>
          </cell>
          <cell r="H5152" t="str">
            <v>hydro</v>
          </cell>
        </row>
        <row r="5153">
          <cell r="C5153" t="str">
            <v>HY</v>
          </cell>
          <cell r="D5153">
            <v>48</v>
          </cell>
          <cell r="H5153" t="str">
            <v>hydro</v>
          </cell>
        </row>
        <row r="5154">
          <cell r="C5154" t="str">
            <v>HY</v>
          </cell>
          <cell r="D5154">
            <v>48</v>
          </cell>
          <cell r="H5154" t="str">
            <v>hydro</v>
          </cell>
        </row>
        <row r="5155">
          <cell r="C5155" t="str">
            <v>HY</v>
          </cell>
          <cell r="D5155">
            <v>48</v>
          </cell>
          <cell r="H5155" t="str">
            <v>hydro</v>
          </cell>
        </row>
        <row r="5156">
          <cell r="C5156" t="str">
            <v>HY</v>
          </cell>
          <cell r="D5156">
            <v>48</v>
          </cell>
          <cell r="H5156" t="str">
            <v>hydro</v>
          </cell>
        </row>
        <row r="5157">
          <cell r="C5157" t="str">
            <v>HY</v>
          </cell>
          <cell r="D5157">
            <v>48</v>
          </cell>
          <cell r="H5157" t="str">
            <v>hydro</v>
          </cell>
        </row>
        <row r="5158">
          <cell r="C5158" t="str">
            <v>HY</v>
          </cell>
          <cell r="D5158">
            <v>48</v>
          </cell>
          <cell r="H5158" t="str">
            <v>hydro</v>
          </cell>
        </row>
        <row r="5159">
          <cell r="C5159" t="str">
            <v>IC</v>
          </cell>
          <cell r="D5159">
            <v>2</v>
          </cell>
          <cell r="H5159" t="str">
            <v>petroleum</v>
          </cell>
        </row>
        <row r="5160">
          <cell r="C5160" t="str">
            <v>IC</v>
          </cell>
          <cell r="D5160">
            <v>2</v>
          </cell>
          <cell r="H5160" t="str">
            <v>petroleum</v>
          </cell>
        </row>
        <row r="5161">
          <cell r="C5161" t="str">
            <v>IC</v>
          </cell>
          <cell r="D5161">
            <v>2</v>
          </cell>
          <cell r="H5161" t="str">
            <v>petroleum</v>
          </cell>
        </row>
        <row r="5162">
          <cell r="C5162" t="str">
            <v>IC</v>
          </cell>
          <cell r="D5162">
            <v>2</v>
          </cell>
          <cell r="H5162" t="str">
            <v>petroleum</v>
          </cell>
        </row>
        <row r="5163">
          <cell r="C5163" t="str">
            <v>IC</v>
          </cell>
          <cell r="D5163">
            <v>2</v>
          </cell>
          <cell r="H5163" t="str">
            <v>petroleum</v>
          </cell>
        </row>
        <row r="5164">
          <cell r="C5164" t="str">
            <v>GT</v>
          </cell>
          <cell r="D5164">
            <v>17</v>
          </cell>
          <cell r="H5164" t="str">
            <v>natural gas peaker</v>
          </cell>
        </row>
        <row r="5165">
          <cell r="C5165" t="str">
            <v>GT</v>
          </cell>
          <cell r="D5165">
            <v>17</v>
          </cell>
          <cell r="H5165" t="str">
            <v>natural gas peaker</v>
          </cell>
        </row>
        <row r="5166">
          <cell r="C5166" t="str">
            <v>GT</v>
          </cell>
          <cell r="D5166">
            <v>17</v>
          </cell>
          <cell r="H5166" t="str">
            <v>natural gas peaker</v>
          </cell>
        </row>
        <row r="5167">
          <cell r="C5167" t="str">
            <v>GT</v>
          </cell>
          <cell r="D5167">
            <v>17</v>
          </cell>
          <cell r="H5167" t="str">
            <v>natural gas peaker</v>
          </cell>
        </row>
        <row r="5168">
          <cell r="C5168" t="str">
            <v>GT</v>
          </cell>
          <cell r="D5168">
            <v>52</v>
          </cell>
          <cell r="H5168" t="str">
            <v>natural gas peaker</v>
          </cell>
        </row>
        <row r="5169">
          <cell r="C5169" t="str">
            <v>GT</v>
          </cell>
          <cell r="D5169">
            <v>20.5</v>
          </cell>
          <cell r="H5169" t="str">
            <v>petroleum</v>
          </cell>
        </row>
        <row r="5170">
          <cell r="C5170" t="str">
            <v>IC</v>
          </cell>
          <cell r="D5170">
            <v>2.6</v>
          </cell>
          <cell r="H5170" t="str">
            <v>petroleum</v>
          </cell>
        </row>
        <row r="5171">
          <cell r="C5171" t="str">
            <v>IC</v>
          </cell>
          <cell r="D5171">
            <v>2.5</v>
          </cell>
          <cell r="H5171" t="str">
            <v>petroleum</v>
          </cell>
        </row>
        <row r="5172">
          <cell r="C5172" t="str">
            <v>GT</v>
          </cell>
          <cell r="D5172">
            <v>11</v>
          </cell>
          <cell r="H5172" t="str">
            <v>natural gas peaker</v>
          </cell>
        </row>
        <row r="5173">
          <cell r="C5173" t="str">
            <v>GT</v>
          </cell>
          <cell r="D5173">
            <v>43.7</v>
          </cell>
          <cell r="H5173" t="str">
            <v>natural gas peaker</v>
          </cell>
        </row>
        <row r="5174">
          <cell r="C5174" t="str">
            <v>GT</v>
          </cell>
          <cell r="D5174">
            <v>19.899999999999999</v>
          </cell>
          <cell r="H5174" t="str">
            <v>petroleum</v>
          </cell>
        </row>
        <row r="5175">
          <cell r="C5175" t="str">
            <v>HY</v>
          </cell>
          <cell r="D5175">
            <v>102</v>
          </cell>
          <cell r="H5175" t="str">
            <v>hydro</v>
          </cell>
        </row>
        <row r="5176">
          <cell r="C5176" t="str">
            <v>HY</v>
          </cell>
          <cell r="D5176">
            <v>102</v>
          </cell>
          <cell r="H5176" t="str">
            <v>hydro</v>
          </cell>
        </row>
        <row r="5177">
          <cell r="C5177" t="str">
            <v>HY</v>
          </cell>
          <cell r="D5177">
            <v>102</v>
          </cell>
          <cell r="H5177" t="str">
            <v>hydro</v>
          </cell>
        </row>
        <row r="5178">
          <cell r="C5178" t="str">
            <v>HY</v>
          </cell>
          <cell r="D5178">
            <v>102</v>
          </cell>
          <cell r="H5178" t="str">
            <v>hydro</v>
          </cell>
        </row>
        <row r="5179">
          <cell r="C5179" t="str">
            <v>HY</v>
          </cell>
          <cell r="D5179">
            <v>102</v>
          </cell>
          <cell r="H5179" t="str">
            <v>hydro</v>
          </cell>
        </row>
        <row r="5180">
          <cell r="C5180" t="str">
            <v>HY</v>
          </cell>
          <cell r="D5180">
            <v>102</v>
          </cell>
          <cell r="H5180" t="str">
            <v>hydro</v>
          </cell>
        </row>
        <row r="5181">
          <cell r="C5181" t="str">
            <v>HY</v>
          </cell>
          <cell r="D5181">
            <v>102</v>
          </cell>
          <cell r="H5181" t="str">
            <v>hydro</v>
          </cell>
        </row>
        <row r="5182">
          <cell r="C5182" t="str">
            <v>HY</v>
          </cell>
          <cell r="D5182">
            <v>45</v>
          </cell>
          <cell r="H5182" t="str">
            <v>hydro</v>
          </cell>
        </row>
        <row r="5183">
          <cell r="C5183" t="str">
            <v>HY</v>
          </cell>
          <cell r="D5183">
            <v>45</v>
          </cell>
          <cell r="H5183" t="str">
            <v>hydro</v>
          </cell>
        </row>
        <row r="5184">
          <cell r="C5184" t="str">
            <v>HY</v>
          </cell>
          <cell r="D5184">
            <v>45</v>
          </cell>
          <cell r="H5184" t="str">
            <v>hydro</v>
          </cell>
        </row>
        <row r="5185">
          <cell r="C5185" t="str">
            <v>HY</v>
          </cell>
          <cell r="D5185">
            <v>45</v>
          </cell>
          <cell r="H5185" t="str">
            <v>hydro</v>
          </cell>
        </row>
        <row r="5186">
          <cell r="C5186" t="str">
            <v>HY</v>
          </cell>
          <cell r="D5186">
            <v>45</v>
          </cell>
          <cell r="H5186" t="str">
            <v>hydro</v>
          </cell>
        </row>
        <row r="5187">
          <cell r="C5187" t="str">
            <v>HY</v>
          </cell>
          <cell r="D5187">
            <v>45</v>
          </cell>
          <cell r="H5187" t="str">
            <v>hydro</v>
          </cell>
        </row>
        <row r="5188">
          <cell r="C5188" t="str">
            <v>HY</v>
          </cell>
          <cell r="D5188">
            <v>45</v>
          </cell>
          <cell r="H5188" t="str">
            <v>hydro</v>
          </cell>
        </row>
        <row r="5189">
          <cell r="C5189" t="str">
            <v>HY</v>
          </cell>
          <cell r="D5189">
            <v>45</v>
          </cell>
          <cell r="H5189" t="str">
            <v>hydro</v>
          </cell>
        </row>
        <row r="5190">
          <cell r="C5190" t="str">
            <v>HY</v>
          </cell>
          <cell r="D5190">
            <v>65</v>
          </cell>
          <cell r="H5190" t="str">
            <v>hydro</v>
          </cell>
        </row>
        <row r="5191">
          <cell r="C5191" t="str">
            <v>HY</v>
          </cell>
          <cell r="D5191">
            <v>65</v>
          </cell>
          <cell r="H5191" t="str">
            <v>hydro</v>
          </cell>
        </row>
        <row r="5192">
          <cell r="C5192" t="str">
            <v>HY</v>
          </cell>
          <cell r="D5192">
            <v>65</v>
          </cell>
          <cell r="H5192" t="str">
            <v>hydro</v>
          </cell>
        </row>
        <row r="5193">
          <cell r="C5193" t="str">
            <v>HY</v>
          </cell>
          <cell r="D5193">
            <v>65</v>
          </cell>
          <cell r="H5193" t="str">
            <v>hydro</v>
          </cell>
        </row>
        <row r="5194">
          <cell r="C5194" t="str">
            <v>HY</v>
          </cell>
          <cell r="D5194">
            <v>65</v>
          </cell>
          <cell r="H5194" t="str">
            <v>hydro</v>
          </cell>
        </row>
        <row r="5195">
          <cell r="C5195" t="str">
            <v>HY</v>
          </cell>
          <cell r="D5195">
            <v>65</v>
          </cell>
          <cell r="H5195" t="str">
            <v>hydro</v>
          </cell>
        </row>
        <row r="5196">
          <cell r="C5196" t="str">
            <v>HY</v>
          </cell>
          <cell r="D5196">
            <v>65</v>
          </cell>
          <cell r="H5196" t="str">
            <v>hydro</v>
          </cell>
        </row>
        <row r="5197">
          <cell r="C5197" t="str">
            <v>HY</v>
          </cell>
          <cell r="D5197">
            <v>65</v>
          </cell>
          <cell r="H5197" t="str">
            <v>hydro</v>
          </cell>
        </row>
        <row r="5198">
          <cell r="C5198" t="str">
            <v>CT</v>
          </cell>
          <cell r="D5198">
            <v>311.89999999999998</v>
          </cell>
          <cell r="H5198" t="str">
            <v>natural gas nonpeaker</v>
          </cell>
        </row>
        <row r="5199">
          <cell r="C5199" t="str">
            <v>CT</v>
          </cell>
          <cell r="D5199">
            <v>311.89999999999998</v>
          </cell>
          <cell r="H5199" t="str">
            <v>natural gas nonpeaker</v>
          </cell>
        </row>
        <row r="5200">
          <cell r="C5200" t="str">
            <v>GT</v>
          </cell>
          <cell r="D5200">
            <v>15.1</v>
          </cell>
          <cell r="H5200" t="str">
            <v>natural gas peaker</v>
          </cell>
        </row>
        <row r="5201">
          <cell r="C5201" t="str">
            <v>GT</v>
          </cell>
          <cell r="D5201">
            <v>15.1</v>
          </cell>
          <cell r="H5201" t="str">
            <v>natural gas peaker</v>
          </cell>
        </row>
        <row r="5202">
          <cell r="C5202" t="str">
            <v>GT</v>
          </cell>
          <cell r="D5202">
            <v>15.1</v>
          </cell>
          <cell r="H5202" t="str">
            <v>natural gas peaker</v>
          </cell>
        </row>
        <row r="5203">
          <cell r="C5203" t="str">
            <v>GT</v>
          </cell>
          <cell r="D5203">
            <v>15.1</v>
          </cell>
          <cell r="H5203" t="str">
            <v>natural gas peaker</v>
          </cell>
        </row>
        <row r="5204">
          <cell r="C5204" t="str">
            <v>GT</v>
          </cell>
          <cell r="D5204">
            <v>15.1</v>
          </cell>
          <cell r="H5204" t="str">
            <v>natural gas peaker</v>
          </cell>
        </row>
        <row r="5205">
          <cell r="C5205" t="str">
            <v>GT</v>
          </cell>
          <cell r="D5205">
            <v>15.1</v>
          </cell>
          <cell r="H5205" t="str">
            <v>natural gas peaker</v>
          </cell>
        </row>
        <row r="5206">
          <cell r="C5206" t="str">
            <v>GT</v>
          </cell>
          <cell r="D5206">
            <v>15.1</v>
          </cell>
          <cell r="H5206" t="str">
            <v>natural gas peaker</v>
          </cell>
        </row>
        <row r="5207">
          <cell r="C5207" t="str">
            <v>GT</v>
          </cell>
          <cell r="D5207">
            <v>46.4</v>
          </cell>
          <cell r="H5207" t="str">
            <v>natural gas peaker</v>
          </cell>
        </row>
        <row r="5208">
          <cell r="C5208" t="str">
            <v>GT</v>
          </cell>
          <cell r="D5208">
            <v>46.4</v>
          </cell>
          <cell r="H5208" t="str">
            <v>natural gas peaker</v>
          </cell>
        </row>
        <row r="5209">
          <cell r="C5209" t="str">
            <v>GT</v>
          </cell>
          <cell r="D5209">
            <v>46.4</v>
          </cell>
          <cell r="H5209" t="str">
            <v>natural gas peaker</v>
          </cell>
        </row>
        <row r="5210">
          <cell r="C5210" t="str">
            <v>GT</v>
          </cell>
          <cell r="D5210">
            <v>46.4</v>
          </cell>
          <cell r="H5210" t="str">
            <v>natural gas peaker</v>
          </cell>
        </row>
        <row r="5211">
          <cell r="C5211" t="str">
            <v>GT</v>
          </cell>
          <cell r="D5211">
            <v>15.1</v>
          </cell>
          <cell r="H5211" t="str">
            <v>natural gas peaker</v>
          </cell>
        </row>
        <row r="5212">
          <cell r="C5212" t="str">
            <v>GT</v>
          </cell>
          <cell r="D5212">
            <v>15.1</v>
          </cell>
          <cell r="H5212" t="str">
            <v>natural gas peaker</v>
          </cell>
        </row>
        <row r="5213">
          <cell r="C5213" t="str">
            <v>GT</v>
          </cell>
          <cell r="D5213">
            <v>15.1</v>
          </cell>
          <cell r="H5213" t="str">
            <v>natural gas peaker</v>
          </cell>
        </row>
        <row r="5214">
          <cell r="C5214" t="str">
            <v>GT</v>
          </cell>
          <cell r="D5214">
            <v>15.1</v>
          </cell>
          <cell r="H5214" t="str">
            <v>natural gas peaker</v>
          </cell>
        </row>
        <row r="5215">
          <cell r="C5215" t="str">
            <v>GT</v>
          </cell>
          <cell r="D5215">
            <v>15.1</v>
          </cell>
          <cell r="H5215" t="str">
            <v>natural gas peaker</v>
          </cell>
        </row>
        <row r="5216">
          <cell r="C5216" t="str">
            <v>GT</v>
          </cell>
          <cell r="D5216">
            <v>15.1</v>
          </cell>
          <cell r="H5216" t="str">
            <v>natural gas peaker</v>
          </cell>
        </row>
        <row r="5217">
          <cell r="C5217" t="str">
            <v>GT</v>
          </cell>
          <cell r="D5217">
            <v>15.1</v>
          </cell>
          <cell r="H5217" t="str">
            <v>natural gas peaker</v>
          </cell>
        </row>
        <row r="5218">
          <cell r="C5218" t="str">
            <v>GT</v>
          </cell>
          <cell r="D5218">
            <v>15.1</v>
          </cell>
          <cell r="H5218" t="str">
            <v>natural gas peaker</v>
          </cell>
        </row>
        <row r="5219">
          <cell r="C5219" t="str">
            <v>GT</v>
          </cell>
          <cell r="D5219">
            <v>15.1</v>
          </cell>
          <cell r="H5219" t="str">
            <v>natural gas peaker</v>
          </cell>
        </row>
        <row r="5220">
          <cell r="C5220" t="str">
            <v>CA</v>
          </cell>
          <cell r="D5220">
            <v>428.3</v>
          </cell>
          <cell r="H5220" t="str">
            <v>natural gas nonpeaker</v>
          </cell>
        </row>
        <row r="5221">
          <cell r="C5221" t="str">
            <v>HY</v>
          </cell>
          <cell r="D5221">
            <v>41.2</v>
          </cell>
          <cell r="H5221" t="str">
            <v>hydro</v>
          </cell>
        </row>
        <row r="5222">
          <cell r="C5222" t="str">
            <v>HY</v>
          </cell>
          <cell r="D5222">
            <v>41.2</v>
          </cell>
          <cell r="H5222" t="str">
            <v>hydro</v>
          </cell>
        </row>
        <row r="5223">
          <cell r="C5223" t="str">
            <v>HY</v>
          </cell>
          <cell r="D5223">
            <v>37.799999999999997</v>
          </cell>
          <cell r="H5223" t="str">
            <v>hydro</v>
          </cell>
        </row>
        <row r="5224">
          <cell r="C5224" t="str">
            <v>HY</v>
          </cell>
          <cell r="D5224">
            <v>37.799999999999997</v>
          </cell>
          <cell r="H5224" t="str">
            <v>hydro</v>
          </cell>
        </row>
        <row r="5225">
          <cell r="C5225" t="str">
            <v>HY</v>
          </cell>
          <cell r="D5225">
            <v>37.799999999999997</v>
          </cell>
          <cell r="H5225" t="str">
            <v>hydro</v>
          </cell>
        </row>
        <row r="5226">
          <cell r="C5226" t="str">
            <v>ST</v>
          </cell>
          <cell r="D5226">
            <v>870</v>
          </cell>
          <cell r="H5226" t="str">
            <v>hard coal</v>
          </cell>
        </row>
        <row r="5227">
          <cell r="C5227" t="str">
            <v>HY</v>
          </cell>
          <cell r="D5227">
            <v>37</v>
          </cell>
          <cell r="H5227" t="str">
            <v>hydro</v>
          </cell>
        </row>
        <row r="5228">
          <cell r="C5228" t="str">
            <v>HY</v>
          </cell>
          <cell r="D5228">
            <v>39.799999999999997</v>
          </cell>
          <cell r="H5228" t="str">
            <v>hydro</v>
          </cell>
        </row>
        <row r="5229">
          <cell r="C5229" t="str">
            <v>HY</v>
          </cell>
          <cell r="D5229">
            <v>39.799999999999997</v>
          </cell>
          <cell r="H5229" t="str">
            <v>hydro</v>
          </cell>
        </row>
        <row r="5230">
          <cell r="C5230" t="str">
            <v>HY</v>
          </cell>
          <cell r="D5230">
            <v>25</v>
          </cell>
          <cell r="H5230" t="str">
            <v>hydro</v>
          </cell>
        </row>
        <row r="5231">
          <cell r="C5231" t="str">
            <v>HY</v>
          </cell>
          <cell r="D5231">
            <v>35.4</v>
          </cell>
          <cell r="H5231" t="str">
            <v>hydro</v>
          </cell>
        </row>
        <row r="5232">
          <cell r="C5232" t="str">
            <v>HY</v>
          </cell>
          <cell r="D5232">
            <v>35.4</v>
          </cell>
          <cell r="H5232" t="str">
            <v>hydro</v>
          </cell>
        </row>
        <row r="5233">
          <cell r="C5233" t="str">
            <v>HY</v>
          </cell>
          <cell r="D5233">
            <v>35.4</v>
          </cell>
          <cell r="H5233" t="str">
            <v>hydro</v>
          </cell>
        </row>
        <row r="5234">
          <cell r="C5234" t="str">
            <v>HY</v>
          </cell>
          <cell r="D5234">
            <v>35.4</v>
          </cell>
          <cell r="H5234" t="str">
            <v>hydro</v>
          </cell>
        </row>
        <row r="5235">
          <cell r="C5235" t="str">
            <v>ST</v>
          </cell>
          <cell r="D5235">
            <v>1239</v>
          </cell>
          <cell r="H5235" t="str">
            <v>hard coal</v>
          </cell>
        </row>
        <row r="5236">
          <cell r="C5236" t="str">
            <v>ST</v>
          </cell>
          <cell r="D5236">
            <v>1231</v>
          </cell>
          <cell r="H5236" t="str">
            <v>hard coal</v>
          </cell>
        </row>
        <row r="5237">
          <cell r="C5237" t="str">
            <v>HY</v>
          </cell>
          <cell r="D5237">
            <v>44.2</v>
          </cell>
          <cell r="H5237" t="str">
            <v>hydro</v>
          </cell>
        </row>
        <row r="5238">
          <cell r="C5238" t="str">
            <v>HY</v>
          </cell>
          <cell r="D5238">
            <v>44.7</v>
          </cell>
          <cell r="H5238" t="str">
            <v>hydro</v>
          </cell>
        </row>
        <row r="5239">
          <cell r="C5239" t="str">
            <v>HY</v>
          </cell>
          <cell r="D5239">
            <v>44.5</v>
          </cell>
          <cell r="H5239" t="str">
            <v>hydro</v>
          </cell>
        </row>
        <row r="5240">
          <cell r="C5240" t="str">
            <v>HY</v>
          </cell>
          <cell r="D5240">
            <v>44.5</v>
          </cell>
          <cell r="H5240" t="str">
            <v>hydro</v>
          </cell>
        </row>
        <row r="5241">
          <cell r="C5241" t="str">
            <v>HY</v>
          </cell>
          <cell r="D5241">
            <v>20.399999999999999</v>
          </cell>
          <cell r="H5241" t="str">
            <v>hydro</v>
          </cell>
        </row>
        <row r="5242">
          <cell r="C5242" t="str">
            <v>HY</v>
          </cell>
          <cell r="D5242">
            <v>20.3</v>
          </cell>
          <cell r="H5242" t="str">
            <v>hydro</v>
          </cell>
        </row>
        <row r="5243">
          <cell r="C5243" t="str">
            <v>HY</v>
          </cell>
          <cell r="D5243">
            <v>39.9</v>
          </cell>
          <cell r="H5243" t="str">
            <v>hydro</v>
          </cell>
        </row>
        <row r="5244">
          <cell r="C5244" t="str">
            <v>HY</v>
          </cell>
          <cell r="D5244">
            <v>37.700000000000003</v>
          </cell>
          <cell r="H5244" t="str">
            <v>hydro</v>
          </cell>
        </row>
        <row r="5245">
          <cell r="C5245" t="str">
            <v>HY</v>
          </cell>
          <cell r="D5245">
            <v>45.3</v>
          </cell>
          <cell r="H5245" t="str">
            <v>hydro</v>
          </cell>
        </row>
        <row r="5246">
          <cell r="C5246" t="str">
            <v>HY</v>
          </cell>
          <cell r="D5246">
            <v>45.3</v>
          </cell>
          <cell r="H5246" t="str">
            <v>hydro</v>
          </cell>
        </row>
        <row r="5247">
          <cell r="C5247" t="str">
            <v>ST</v>
          </cell>
          <cell r="D5247">
            <v>225</v>
          </cell>
          <cell r="H5247" t="str">
            <v>hard coal</v>
          </cell>
        </row>
        <row r="5248">
          <cell r="C5248" t="str">
            <v>ST</v>
          </cell>
          <cell r="D5248">
            <v>225</v>
          </cell>
          <cell r="H5248" t="str">
            <v>hard coal</v>
          </cell>
        </row>
        <row r="5249">
          <cell r="C5249" t="str">
            <v>ST</v>
          </cell>
          <cell r="D5249">
            <v>263</v>
          </cell>
          <cell r="H5249" t="str">
            <v>hard coal</v>
          </cell>
        </row>
        <row r="5250">
          <cell r="C5250" t="str">
            <v>ST</v>
          </cell>
          <cell r="D5250">
            <v>263</v>
          </cell>
          <cell r="H5250" t="str">
            <v>hard coal</v>
          </cell>
        </row>
        <row r="5251">
          <cell r="C5251" t="str">
            <v>GT</v>
          </cell>
          <cell r="D5251">
            <v>71.5</v>
          </cell>
          <cell r="H5251" t="str">
            <v>natural gas peaker</v>
          </cell>
        </row>
        <row r="5252">
          <cell r="C5252" t="str">
            <v>GT</v>
          </cell>
          <cell r="D5252">
            <v>71.5</v>
          </cell>
          <cell r="H5252" t="str">
            <v>natural gas peaker</v>
          </cell>
        </row>
        <row r="5253">
          <cell r="C5253" t="str">
            <v>GT</v>
          </cell>
          <cell r="D5253">
            <v>71.5</v>
          </cell>
          <cell r="H5253" t="str">
            <v>natural gas peaker</v>
          </cell>
        </row>
        <row r="5254">
          <cell r="C5254" t="str">
            <v>GT</v>
          </cell>
          <cell r="D5254">
            <v>71.5</v>
          </cell>
          <cell r="H5254" t="str">
            <v>natural gas peaker</v>
          </cell>
        </row>
        <row r="5255">
          <cell r="C5255" t="str">
            <v>GT</v>
          </cell>
          <cell r="D5255">
            <v>73.400000000000006</v>
          </cell>
          <cell r="H5255" t="str">
            <v>natural gas peaker</v>
          </cell>
        </row>
        <row r="5256">
          <cell r="C5256" t="str">
            <v>GT</v>
          </cell>
          <cell r="D5256">
            <v>73.400000000000006</v>
          </cell>
          <cell r="H5256" t="str">
            <v>natural gas peaker</v>
          </cell>
        </row>
        <row r="5257">
          <cell r="C5257" t="str">
            <v>GT</v>
          </cell>
          <cell r="D5257">
            <v>73.400000000000006</v>
          </cell>
          <cell r="H5257" t="str">
            <v>natural gas peaker</v>
          </cell>
        </row>
        <row r="5258">
          <cell r="C5258" t="str">
            <v>GT</v>
          </cell>
          <cell r="D5258">
            <v>73.400000000000006</v>
          </cell>
          <cell r="H5258" t="str">
            <v>natural gas peaker</v>
          </cell>
        </row>
        <row r="5259">
          <cell r="C5259" t="str">
            <v>HY</v>
          </cell>
          <cell r="D5259">
            <v>15.9</v>
          </cell>
          <cell r="H5259" t="str">
            <v>hydro</v>
          </cell>
        </row>
        <row r="5260">
          <cell r="C5260" t="str">
            <v>HY</v>
          </cell>
          <cell r="D5260">
            <v>19.5</v>
          </cell>
          <cell r="H5260" t="str">
            <v>hydro</v>
          </cell>
        </row>
        <row r="5261">
          <cell r="C5261" t="str">
            <v>CT</v>
          </cell>
          <cell r="D5261">
            <v>165</v>
          </cell>
          <cell r="H5261" t="str">
            <v>natural gas nonpeaker</v>
          </cell>
        </row>
        <row r="5262">
          <cell r="C5262" t="str">
            <v>CT</v>
          </cell>
          <cell r="D5262">
            <v>165</v>
          </cell>
          <cell r="H5262" t="str">
            <v>natural gas nonpeaker</v>
          </cell>
        </row>
        <row r="5263">
          <cell r="C5263" t="str">
            <v>CT</v>
          </cell>
          <cell r="D5263">
            <v>165</v>
          </cell>
          <cell r="H5263" t="str">
            <v>natural gas nonpeaker</v>
          </cell>
        </row>
        <row r="5264">
          <cell r="C5264" t="str">
            <v>CA</v>
          </cell>
          <cell r="D5264">
            <v>383</v>
          </cell>
          <cell r="H5264" t="str">
            <v>natural gas nonpeaker</v>
          </cell>
        </row>
        <row r="5265">
          <cell r="C5265" t="str">
            <v>GT</v>
          </cell>
          <cell r="D5265">
            <v>47.1</v>
          </cell>
          <cell r="H5265" t="str">
            <v>natural gas peaker</v>
          </cell>
        </row>
        <row r="5266">
          <cell r="C5266" t="str">
            <v>GT</v>
          </cell>
          <cell r="D5266">
            <v>47.1</v>
          </cell>
          <cell r="H5266" t="str">
            <v>natural gas peaker</v>
          </cell>
        </row>
        <row r="5267">
          <cell r="C5267" t="str">
            <v>GT</v>
          </cell>
          <cell r="D5267">
            <v>47.1</v>
          </cell>
          <cell r="H5267" t="str">
            <v>natural gas peaker</v>
          </cell>
        </row>
        <row r="5268">
          <cell r="C5268" t="str">
            <v>GT</v>
          </cell>
          <cell r="D5268">
            <v>47.1</v>
          </cell>
          <cell r="H5268" t="str">
            <v>natural gas peaker</v>
          </cell>
        </row>
        <row r="5269">
          <cell r="C5269" t="str">
            <v>GT</v>
          </cell>
          <cell r="D5269">
            <v>47.1</v>
          </cell>
          <cell r="H5269" t="str">
            <v>natural gas peaker</v>
          </cell>
        </row>
        <row r="5270">
          <cell r="C5270" t="str">
            <v>GT</v>
          </cell>
          <cell r="D5270">
            <v>47.1</v>
          </cell>
          <cell r="H5270" t="str">
            <v>natural gas peaker</v>
          </cell>
        </row>
        <row r="5271">
          <cell r="C5271" t="str">
            <v>GT</v>
          </cell>
          <cell r="D5271">
            <v>47.1</v>
          </cell>
          <cell r="H5271" t="str">
            <v>natural gas peaker</v>
          </cell>
        </row>
        <row r="5272">
          <cell r="C5272" t="str">
            <v>GT</v>
          </cell>
          <cell r="D5272">
            <v>72.8</v>
          </cell>
          <cell r="H5272" t="str">
            <v>natural gas peaker</v>
          </cell>
        </row>
        <row r="5273">
          <cell r="C5273" t="str">
            <v>GT</v>
          </cell>
          <cell r="D5273">
            <v>72.8</v>
          </cell>
          <cell r="H5273" t="str">
            <v>natural gas peaker</v>
          </cell>
        </row>
        <row r="5274">
          <cell r="C5274" t="str">
            <v>GT</v>
          </cell>
          <cell r="D5274">
            <v>72.8</v>
          </cell>
          <cell r="H5274" t="str">
            <v>natural gas peaker</v>
          </cell>
        </row>
        <row r="5275">
          <cell r="C5275" t="str">
            <v>GT</v>
          </cell>
          <cell r="D5275">
            <v>72.8</v>
          </cell>
          <cell r="H5275" t="str">
            <v>natural gas peaker</v>
          </cell>
        </row>
        <row r="5276">
          <cell r="C5276" t="str">
            <v>GT</v>
          </cell>
          <cell r="D5276">
            <v>47.1</v>
          </cell>
          <cell r="H5276" t="str">
            <v>natural gas peaker</v>
          </cell>
        </row>
        <row r="5277">
          <cell r="C5277" t="str">
            <v>GT</v>
          </cell>
          <cell r="D5277">
            <v>47.1</v>
          </cell>
          <cell r="H5277" t="str">
            <v>natural gas peaker</v>
          </cell>
        </row>
        <row r="5278">
          <cell r="C5278" t="str">
            <v>GT</v>
          </cell>
          <cell r="D5278">
            <v>47.1</v>
          </cell>
          <cell r="H5278" t="str">
            <v>natural gas peaker</v>
          </cell>
        </row>
        <row r="5279">
          <cell r="C5279" t="str">
            <v>GT</v>
          </cell>
          <cell r="D5279">
            <v>47.1</v>
          </cell>
          <cell r="H5279" t="str">
            <v>natural gas peaker</v>
          </cell>
        </row>
        <row r="5280">
          <cell r="C5280" t="str">
            <v>GT</v>
          </cell>
          <cell r="D5280">
            <v>47.1</v>
          </cell>
          <cell r="H5280" t="str">
            <v>natural gas peaker</v>
          </cell>
        </row>
        <row r="5281">
          <cell r="C5281" t="str">
            <v>GT</v>
          </cell>
          <cell r="D5281">
            <v>47.1</v>
          </cell>
          <cell r="H5281" t="str">
            <v>natural gas peaker</v>
          </cell>
        </row>
        <row r="5282">
          <cell r="C5282" t="str">
            <v>GT</v>
          </cell>
          <cell r="D5282">
            <v>47.1</v>
          </cell>
          <cell r="H5282" t="str">
            <v>natural gas peaker</v>
          </cell>
        </row>
        <row r="5283">
          <cell r="C5283" t="str">
            <v>GT</v>
          </cell>
          <cell r="D5283">
            <v>47.1</v>
          </cell>
          <cell r="H5283" t="str">
            <v>natural gas peaker</v>
          </cell>
        </row>
        <row r="5284">
          <cell r="C5284" t="str">
            <v>GT</v>
          </cell>
          <cell r="D5284">
            <v>47.1</v>
          </cell>
          <cell r="H5284" t="str">
            <v>natural gas peaker</v>
          </cell>
        </row>
        <row r="5285">
          <cell r="C5285" t="str">
            <v>ST</v>
          </cell>
          <cell r="D5285">
            <v>132</v>
          </cell>
          <cell r="H5285" t="str">
            <v>hard coal</v>
          </cell>
        </row>
        <row r="5286">
          <cell r="C5286" t="str">
            <v>ST</v>
          </cell>
          <cell r="D5286">
            <v>132</v>
          </cell>
          <cell r="H5286" t="str">
            <v>hard coal</v>
          </cell>
        </row>
        <row r="5287">
          <cell r="C5287" t="str">
            <v>ST</v>
          </cell>
          <cell r="D5287">
            <v>132</v>
          </cell>
          <cell r="H5287" t="str">
            <v>hard coal</v>
          </cell>
        </row>
        <row r="5288">
          <cell r="C5288" t="str">
            <v>ST</v>
          </cell>
          <cell r="D5288">
            <v>132</v>
          </cell>
          <cell r="H5288" t="str">
            <v>hard coal</v>
          </cell>
        </row>
        <row r="5289">
          <cell r="C5289" t="str">
            <v>ST</v>
          </cell>
          <cell r="D5289">
            <v>174</v>
          </cell>
          <cell r="H5289" t="str">
            <v>hard coal</v>
          </cell>
        </row>
        <row r="5290">
          <cell r="C5290" t="str">
            <v>ST</v>
          </cell>
          <cell r="D5290">
            <v>174</v>
          </cell>
          <cell r="H5290" t="str">
            <v>hard coal</v>
          </cell>
        </row>
        <row r="5291">
          <cell r="C5291" t="str">
            <v>ST</v>
          </cell>
          <cell r="D5291">
            <v>174</v>
          </cell>
          <cell r="H5291" t="str">
            <v>hard coal</v>
          </cell>
        </row>
        <row r="5292">
          <cell r="C5292" t="str">
            <v>ST</v>
          </cell>
          <cell r="D5292">
            <v>174</v>
          </cell>
          <cell r="H5292" t="str">
            <v>hard coal</v>
          </cell>
        </row>
        <row r="5293">
          <cell r="C5293" t="str">
            <v>ST</v>
          </cell>
          <cell r="D5293">
            <v>174</v>
          </cell>
          <cell r="H5293" t="str">
            <v>hard coal</v>
          </cell>
        </row>
        <row r="5294">
          <cell r="C5294" t="str">
            <v>HY</v>
          </cell>
          <cell r="D5294">
            <v>39.5</v>
          </cell>
          <cell r="H5294" t="str">
            <v>hydro</v>
          </cell>
        </row>
        <row r="5295">
          <cell r="C5295" t="str">
            <v>HY</v>
          </cell>
          <cell r="D5295">
            <v>39.700000000000003</v>
          </cell>
          <cell r="H5295" t="str">
            <v>hydro</v>
          </cell>
        </row>
        <row r="5296">
          <cell r="C5296" t="str">
            <v>HY</v>
          </cell>
          <cell r="D5296">
            <v>28.3</v>
          </cell>
          <cell r="H5296" t="str">
            <v>hydro</v>
          </cell>
        </row>
        <row r="5297">
          <cell r="C5297" t="str">
            <v>HY</v>
          </cell>
          <cell r="D5297">
            <v>27.3</v>
          </cell>
          <cell r="H5297" t="str">
            <v>hydro</v>
          </cell>
        </row>
        <row r="5298">
          <cell r="C5298" t="str">
            <v>HY</v>
          </cell>
          <cell r="D5298">
            <v>25</v>
          </cell>
          <cell r="H5298" t="str">
            <v>hydro</v>
          </cell>
        </row>
        <row r="5299">
          <cell r="C5299" t="str">
            <v>HY</v>
          </cell>
          <cell r="D5299">
            <v>25</v>
          </cell>
          <cell r="H5299" t="str">
            <v>hydro</v>
          </cell>
        </row>
        <row r="5300">
          <cell r="C5300" t="str">
            <v>HY</v>
          </cell>
          <cell r="D5300">
            <v>63.5</v>
          </cell>
          <cell r="H5300" t="str">
            <v>hydro</v>
          </cell>
        </row>
        <row r="5301">
          <cell r="C5301" t="str">
            <v>HY</v>
          </cell>
          <cell r="D5301">
            <v>63.5</v>
          </cell>
          <cell r="H5301" t="str">
            <v>hydro</v>
          </cell>
        </row>
        <row r="5302">
          <cell r="C5302" t="str">
            <v>HY</v>
          </cell>
          <cell r="D5302">
            <v>4.8</v>
          </cell>
          <cell r="H5302" t="str">
            <v>hydro</v>
          </cell>
        </row>
        <row r="5303">
          <cell r="C5303" t="str">
            <v>HY</v>
          </cell>
          <cell r="D5303">
            <v>4.8</v>
          </cell>
          <cell r="H5303" t="str">
            <v>hydro</v>
          </cell>
        </row>
        <row r="5304">
          <cell r="C5304" t="str">
            <v>HY</v>
          </cell>
          <cell r="D5304">
            <v>4.8</v>
          </cell>
          <cell r="H5304" t="str">
            <v>hydro</v>
          </cell>
        </row>
        <row r="5305">
          <cell r="C5305" t="str">
            <v>HY</v>
          </cell>
          <cell r="D5305">
            <v>4.8</v>
          </cell>
          <cell r="H5305" t="str">
            <v>hydro</v>
          </cell>
        </row>
        <row r="5306">
          <cell r="C5306" t="str">
            <v>HY</v>
          </cell>
          <cell r="D5306">
            <v>4.8</v>
          </cell>
          <cell r="H5306" t="str">
            <v>hydro</v>
          </cell>
        </row>
        <row r="5307">
          <cell r="C5307" t="str">
            <v>HY</v>
          </cell>
          <cell r="D5307">
            <v>10.8</v>
          </cell>
          <cell r="H5307" t="str">
            <v>hydro</v>
          </cell>
        </row>
        <row r="5308">
          <cell r="C5308" t="str">
            <v>HY</v>
          </cell>
          <cell r="D5308">
            <v>12.6</v>
          </cell>
          <cell r="H5308" t="str">
            <v>hydro</v>
          </cell>
        </row>
        <row r="5309">
          <cell r="C5309" t="str">
            <v>HY</v>
          </cell>
          <cell r="D5309">
            <v>28.6</v>
          </cell>
          <cell r="H5309" t="str">
            <v>hydro</v>
          </cell>
        </row>
        <row r="5310">
          <cell r="C5310" t="str">
            <v>HY</v>
          </cell>
          <cell r="D5310">
            <v>37.700000000000003</v>
          </cell>
          <cell r="H5310" t="str">
            <v>hydro</v>
          </cell>
        </row>
        <row r="5311">
          <cell r="C5311" t="str">
            <v>HY</v>
          </cell>
          <cell r="D5311">
            <v>37.6</v>
          </cell>
          <cell r="H5311" t="str">
            <v>hydro</v>
          </cell>
        </row>
        <row r="5312">
          <cell r="C5312" t="str">
            <v>HY</v>
          </cell>
          <cell r="D5312">
            <v>38.5</v>
          </cell>
          <cell r="H5312" t="str">
            <v>hydro</v>
          </cell>
        </row>
        <row r="5313">
          <cell r="C5313" t="str">
            <v>HY</v>
          </cell>
          <cell r="D5313">
            <v>43.6</v>
          </cell>
          <cell r="H5313" t="str">
            <v>hydro</v>
          </cell>
        </row>
        <row r="5314">
          <cell r="C5314" t="str">
            <v>HY</v>
          </cell>
          <cell r="D5314">
            <v>43.7</v>
          </cell>
          <cell r="H5314" t="str">
            <v>hydro</v>
          </cell>
        </row>
        <row r="5315">
          <cell r="C5315" t="str">
            <v>HY</v>
          </cell>
          <cell r="D5315">
            <v>43.2</v>
          </cell>
          <cell r="H5315" t="str">
            <v>hydro</v>
          </cell>
        </row>
        <row r="5316">
          <cell r="C5316" t="str">
            <v>HY</v>
          </cell>
          <cell r="D5316">
            <v>44.4</v>
          </cell>
          <cell r="H5316" t="str">
            <v>hydro</v>
          </cell>
        </row>
        <row r="5317">
          <cell r="C5317" t="str">
            <v>HY</v>
          </cell>
          <cell r="D5317">
            <v>39.700000000000003</v>
          </cell>
          <cell r="H5317" t="str">
            <v>hydro</v>
          </cell>
        </row>
        <row r="5318">
          <cell r="C5318" t="str">
            <v>HY</v>
          </cell>
          <cell r="D5318">
            <v>0.5</v>
          </cell>
          <cell r="H5318" t="str">
            <v>hydro</v>
          </cell>
        </row>
        <row r="5319">
          <cell r="C5319" t="str">
            <v>HY</v>
          </cell>
          <cell r="D5319">
            <v>37.9</v>
          </cell>
          <cell r="H5319" t="str">
            <v>hydro</v>
          </cell>
        </row>
        <row r="5320">
          <cell r="C5320" t="str">
            <v>HY</v>
          </cell>
          <cell r="D5320">
            <v>29.1</v>
          </cell>
          <cell r="H5320" t="str">
            <v>hydro</v>
          </cell>
        </row>
        <row r="5321">
          <cell r="C5321" t="str">
            <v>HY</v>
          </cell>
          <cell r="D5321">
            <v>39.299999999999997</v>
          </cell>
          <cell r="H5321" t="str">
            <v>hydro</v>
          </cell>
        </row>
        <row r="5322">
          <cell r="C5322" t="str">
            <v>HY</v>
          </cell>
          <cell r="D5322">
            <v>39.299999999999997</v>
          </cell>
          <cell r="H5322" t="str">
            <v>hydro</v>
          </cell>
        </row>
        <row r="5323">
          <cell r="C5323" t="str">
            <v>HY</v>
          </cell>
          <cell r="D5323">
            <v>39.299999999999997</v>
          </cell>
          <cell r="H5323" t="str">
            <v>hydro</v>
          </cell>
        </row>
        <row r="5324">
          <cell r="C5324" t="str">
            <v>HY</v>
          </cell>
          <cell r="D5324">
            <v>39.200000000000003</v>
          </cell>
          <cell r="H5324" t="str">
            <v>hydro</v>
          </cell>
        </row>
        <row r="5325">
          <cell r="C5325" t="str">
            <v>HY</v>
          </cell>
          <cell r="D5325">
            <v>39.299999999999997</v>
          </cell>
          <cell r="H5325" t="str">
            <v>hydro</v>
          </cell>
        </row>
        <row r="5326">
          <cell r="C5326" t="str">
            <v>HY</v>
          </cell>
          <cell r="D5326">
            <v>1.4</v>
          </cell>
          <cell r="H5326" t="str">
            <v>hydro</v>
          </cell>
        </row>
        <row r="5327">
          <cell r="C5327" t="str">
            <v>HY</v>
          </cell>
          <cell r="D5327">
            <v>1.4</v>
          </cell>
          <cell r="H5327" t="str">
            <v>hydro</v>
          </cell>
        </row>
        <row r="5328">
          <cell r="C5328" t="str">
            <v>HY</v>
          </cell>
          <cell r="D5328">
            <v>1.3</v>
          </cell>
          <cell r="H5328" t="str">
            <v>hydro</v>
          </cell>
        </row>
        <row r="5329">
          <cell r="C5329" t="str">
            <v>HY</v>
          </cell>
          <cell r="D5329">
            <v>7</v>
          </cell>
          <cell r="H5329" t="str">
            <v>hydro</v>
          </cell>
        </row>
        <row r="5330">
          <cell r="C5330" t="str">
            <v>HY</v>
          </cell>
          <cell r="D5330">
            <v>38</v>
          </cell>
          <cell r="H5330" t="str">
            <v>hydro</v>
          </cell>
        </row>
        <row r="5331">
          <cell r="C5331" t="str">
            <v>HY</v>
          </cell>
          <cell r="D5331">
            <v>38</v>
          </cell>
          <cell r="H5331" t="str">
            <v>hydro</v>
          </cell>
        </row>
        <row r="5332">
          <cell r="C5332" t="str">
            <v>HY</v>
          </cell>
          <cell r="D5332">
            <v>38</v>
          </cell>
          <cell r="H5332" t="str">
            <v>hydro</v>
          </cell>
        </row>
        <row r="5333">
          <cell r="C5333" t="str">
            <v>HY</v>
          </cell>
          <cell r="D5333">
            <v>20.7</v>
          </cell>
          <cell r="H5333" t="str">
            <v>hydro</v>
          </cell>
        </row>
        <row r="5334">
          <cell r="C5334" t="str">
            <v>HY</v>
          </cell>
          <cell r="D5334">
            <v>20.7</v>
          </cell>
          <cell r="H5334" t="str">
            <v>hydro</v>
          </cell>
        </row>
        <row r="5335">
          <cell r="C5335" t="str">
            <v>HY</v>
          </cell>
          <cell r="D5335">
            <v>20.7</v>
          </cell>
          <cell r="H5335" t="str">
            <v>hydro</v>
          </cell>
        </row>
        <row r="5336">
          <cell r="C5336" t="str">
            <v>HY</v>
          </cell>
          <cell r="D5336">
            <v>28.7</v>
          </cell>
          <cell r="H5336" t="str">
            <v>hydro</v>
          </cell>
        </row>
        <row r="5337">
          <cell r="C5337" t="str">
            <v>HY</v>
          </cell>
          <cell r="D5337">
            <v>29</v>
          </cell>
          <cell r="H5337" t="str">
            <v>hydro</v>
          </cell>
        </row>
        <row r="5338">
          <cell r="C5338" t="str">
            <v>HY</v>
          </cell>
          <cell r="D5338">
            <v>29</v>
          </cell>
          <cell r="H5338" t="str">
            <v>hydro</v>
          </cell>
        </row>
        <row r="5339">
          <cell r="C5339" t="str">
            <v>HY</v>
          </cell>
          <cell r="D5339">
            <v>29</v>
          </cell>
          <cell r="H5339" t="str">
            <v>hydro</v>
          </cell>
        </row>
        <row r="5340">
          <cell r="C5340" t="str">
            <v>HY</v>
          </cell>
          <cell r="D5340">
            <v>30</v>
          </cell>
          <cell r="H5340" t="str">
            <v>hydro</v>
          </cell>
        </row>
        <row r="5341">
          <cell r="C5341" t="str">
            <v>HY</v>
          </cell>
          <cell r="D5341">
            <v>2</v>
          </cell>
          <cell r="H5341" t="str">
            <v>hydro</v>
          </cell>
        </row>
        <row r="5342">
          <cell r="C5342" t="str">
            <v>HY</v>
          </cell>
          <cell r="D5342">
            <v>2</v>
          </cell>
          <cell r="H5342" t="str">
            <v>hydro</v>
          </cell>
        </row>
        <row r="5343">
          <cell r="C5343" t="str">
            <v>HY</v>
          </cell>
          <cell r="D5343">
            <v>2</v>
          </cell>
          <cell r="H5343" t="str">
            <v>hydro</v>
          </cell>
        </row>
        <row r="5344">
          <cell r="C5344" t="str">
            <v>GT</v>
          </cell>
          <cell r="D5344">
            <v>90.1</v>
          </cell>
          <cell r="H5344" t="str">
            <v>natural gas peaker</v>
          </cell>
        </row>
        <row r="5345">
          <cell r="C5345" t="str">
            <v>GT</v>
          </cell>
          <cell r="D5345">
            <v>87.3</v>
          </cell>
          <cell r="H5345" t="str">
            <v>natural gas peaker</v>
          </cell>
        </row>
        <row r="5346">
          <cell r="C5346" t="str">
            <v>CA</v>
          </cell>
          <cell r="D5346">
            <v>319</v>
          </cell>
          <cell r="H5346" t="str">
            <v>natural gas nonpeaker</v>
          </cell>
        </row>
        <row r="5347">
          <cell r="C5347" t="str">
            <v>CT</v>
          </cell>
          <cell r="D5347">
            <v>157</v>
          </cell>
          <cell r="H5347" t="str">
            <v>natural gas nonpeaker</v>
          </cell>
        </row>
        <row r="5348">
          <cell r="C5348" t="str">
            <v>CT</v>
          </cell>
          <cell r="D5348">
            <v>157</v>
          </cell>
          <cell r="H5348" t="str">
            <v>natural gas nonpeaker</v>
          </cell>
        </row>
        <row r="5349">
          <cell r="C5349" t="str">
            <v>CA</v>
          </cell>
          <cell r="D5349">
            <v>125</v>
          </cell>
          <cell r="H5349" t="str">
            <v>natural gas nonpeaker</v>
          </cell>
        </row>
        <row r="5350">
          <cell r="C5350" t="str">
            <v>CT</v>
          </cell>
          <cell r="D5350">
            <v>175</v>
          </cell>
          <cell r="H5350" t="str">
            <v>natural gas nonpeaker</v>
          </cell>
        </row>
        <row r="5351">
          <cell r="C5351" t="str">
            <v>ST</v>
          </cell>
          <cell r="D5351">
            <v>392</v>
          </cell>
          <cell r="H5351" t="str">
            <v>natural gas peaker</v>
          </cell>
        </row>
        <row r="5352">
          <cell r="C5352" t="str">
            <v>ST</v>
          </cell>
          <cell r="D5352">
            <v>523</v>
          </cell>
          <cell r="H5352" t="str">
            <v>natural gas peaker</v>
          </cell>
        </row>
        <row r="5353">
          <cell r="C5353" t="str">
            <v>ST</v>
          </cell>
          <cell r="D5353">
            <v>122</v>
          </cell>
          <cell r="H5353" t="str">
            <v>natural gas peaker</v>
          </cell>
        </row>
        <row r="5354">
          <cell r="C5354" t="str">
            <v>ST</v>
          </cell>
          <cell r="D5354">
            <v>118</v>
          </cell>
          <cell r="H5354" t="str">
            <v>natural gas peaker</v>
          </cell>
        </row>
        <row r="5355">
          <cell r="C5355" t="str">
            <v>ST</v>
          </cell>
          <cell r="D5355">
            <v>568</v>
          </cell>
          <cell r="H5355" t="str">
            <v>natural gas peaker</v>
          </cell>
        </row>
        <row r="5356">
          <cell r="C5356" t="str">
            <v>ST</v>
          </cell>
          <cell r="D5356">
            <v>76</v>
          </cell>
          <cell r="H5356" t="str">
            <v>natural gas peaker</v>
          </cell>
        </row>
        <row r="5357">
          <cell r="C5357" t="str">
            <v>ST</v>
          </cell>
          <cell r="D5357">
            <v>76</v>
          </cell>
          <cell r="H5357" t="str">
            <v>natural gas peaker</v>
          </cell>
        </row>
        <row r="5358">
          <cell r="C5358" t="str">
            <v>ST</v>
          </cell>
          <cell r="D5358">
            <v>95</v>
          </cell>
          <cell r="H5358" t="str">
            <v>natural gas peaker</v>
          </cell>
        </row>
        <row r="5359">
          <cell r="C5359" t="str">
            <v>CA</v>
          </cell>
          <cell r="D5359">
            <v>89</v>
          </cell>
          <cell r="H5359" t="str">
            <v>natural gas nonpeaker</v>
          </cell>
        </row>
        <row r="5360">
          <cell r="C5360" t="str">
            <v>CA</v>
          </cell>
          <cell r="D5360">
            <v>128</v>
          </cell>
          <cell r="H5360" t="str">
            <v>natural gas nonpeaker</v>
          </cell>
        </row>
        <row r="5361">
          <cell r="C5361" t="str">
            <v>CT</v>
          </cell>
          <cell r="D5361">
            <v>67</v>
          </cell>
          <cell r="H5361" t="str">
            <v>natural gas nonpeaker</v>
          </cell>
        </row>
        <row r="5362">
          <cell r="C5362" t="str">
            <v>CT</v>
          </cell>
          <cell r="D5362">
            <v>67</v>
          </cell>
          <cell r="H5362" t="str">
            <v>natural gas nonpeaker</v>
          </cell>
        </row>
        <row r="5363">
          <cell r="C5363" t="str">
            <v>CT</v>
          </cell>
          <cell r="D5363">
            <v>69</v>
          </cell>
          <cell r="H5363" t="str">
            <v>natural gas nonpeaker</v>
          </cell>
        </row>
        <row r="5364">
          <cell r="C5364" t="str">
            <v>CT</v>
          </cell>
          <cell r="D5364">
            <v>69</v>
          </cell>
          <cell r="H5364" t="str">
            <v>natural gas nonpeaker</v>
          </cell>
        </row>
        <row r="5365">
          <cell r="C5365" t="str">
            <v>ST</v>
          </cell>
          <cell r="D5365">
            <v>249</v>
          </cell>
          <cell r="H5365" t="str">
            <v>natural gas peaker</v>
          </cell>
        </row>
        <row r="5366">
          <cell r="C5366" t="str">
            <v>ST</v>
          </cell>
          <cell r="D5366">
            <v>254</v>
          </cell>
          <cell r="H5366" t="str">
            <v>natural gas peaker</v>
          </cell>
        </row>
        <row r="5367">
          <cell r="C5367" t="str">
            <v>ST</v>
          </cell>
          <cell r="D5367">
            <v>211.6</v>
          </cell>
          <cell r="H5367" t="str">
            <v>natural gas peaker</v>
          </cell>
        </row>
        <row r="5368">
          <cell r="C5368" t="str">
            <v>ST</v>
          </cell>
          <cell r="D5368">
            <v>359</v>
          </cell>
          <cell r="H5368" t="str">
            <v>natural gas peaker</v>
          </cell>
        </row>
        <row r="5369">
          <cell r="C5369" t="str">
            <v>ST</v>
          </cell>
          <cell r="D5369">
            <v>512.5</v>
          </cell>
          <cell r="H5369" t="str">
            <v>natural gas peaker</v>
          </cell>
        </row>
        <row r="5370">
          <cell r="C5370" t="str">
            <v>ST</v>
          </cell>
          <cell r="D5370">
            <v>447.4</v>
          </cell>
          <cell r="H5370" t="str">
            <v>natural gas peaker</v>
          </cell>
        </row>
        <row r="5371">
          <cell r="C5371" t="str">
            <v>ST</v>
          </cell>
          <cell r="D5371">
            <v>746</v>
          </cell>
          <cell r="H5371" t="str">
            <v>natural gas peaker</v>
          </cell>
        </row>
        <row r="5372">
          <cell r="C5372" t="str">
            <v>ST</v>
          </cell>
          <cell r="D5372">
            <v>749</v>
          </cell>
          <cell r="H5372" t="str">
            <v>natural gas peaker</v>
          </cell>
        </row>
        <row r="5373">
          <cell r="C5373" t="str">
            <v>GT</v>
          </cell>
          <cell r="D5373">
            <v>54</v>
          </cell>
          <cell r="H5373" t="str">
            <v>natural gas peaker</v>
          </cell>
        </row>
        <row r="5374">
          <cell r="C5374" t="str">
            <v>GT</v>
          </cell>
          <cell r="D5374">
            <v>54</v>
          </cell>
          <cell r="H5374" t="str">
            <v>natural gas peaker</v>
          </cell>
        </row>
        <row r="5375">
          <cell r="C5375" t="str">
            <v>GT</v>
          </cell>
          <cell r="D5375">
            <v>54</v>
          </cell>
          <cell r="H5375" t="str">
            <v>natural gas peaker</v>
          </cell>
        </row>
        <row r="5376">
          <cell r="C5376" t="str">
            <v>GT</v>
          </cell>
          <cell r="D5376">
            <v>50</v>
          </cell>
          <cell r="H5376" t="str">
            <v>natural gas peaker</v>
          </cell>
        </row>
        <row r="5377">
          <cell r="C5377" t="str">
            <v>GT</v>
          </cell>
          <cell r="D5377">
            <v>64</v>
          </cell>
          <cell r="H5377" t="str">
            <v>natural gas peaker</v>
          </cell>
        </row>
        <row r="5378">
          <cell r="C5378" t="str">
            <v>GT</v>
          </cell>
          <cell r="D5378">
            <v>54</v>
          </cell>
          <cell r="H5378" t="str">
            <v>natural gas peaker</v>
          </cell>
        </row>
        <row r="5379">
          <cell r="C5379" t="str">
            <v>CA</v>
          </cell>
          <cell r="D5379">
            <v>104</v>
          </cell>
          <cell r="H5379" t="str">
            <v>natural gas nonpeaker</v>
          </cell>
        </row>
        <row r="5380">
          <cell r="C5380" t="str">
            <v>CT</v>
          </cell>
          <cell r="D5380">
            <v>57</v>
          </cell>
          <cell r="H5380" t="str">
            <v>natural gas nonpeaker</v>
          </cell>
        </row>
        <row r="5381">
          <cell r="C5381" t="str">
            <v>CT</v>
          </cell>
          <cell r="D5381">
            <v>57</v>
          </cell>
          <cell r="H5381" t="str">
            <v>natural gas nonpeaker</v>
          </cell>
        </row>
        <row r="5382">
          <cell r="C5382" t="str">
            <v>CT</v>
          </cell>
          <cell r="D5382">
            <v>57</v>
          </cell>
          <cell r="H5382" t="str">
            <v>natural gas nonpeaker</v>
          </cell>
        </row>
        <row r="5383">
          <cell r="C5383" t="str">
            <v>CT</v>
          </cell>
          <cell r="D5383">
            <v>57</v>
          </cell>
          <cell r="H5383" t="str">
            <v>natural gas nonpeaker</v>
          </cell>
        </row>
        <row r="5384">
          <cell r="C5384" t="str">
            <v>CA</v>
          </cell>
          <cell r="D5384">
            <v>104</v>
          </cell>
          <cell r="H5384" t="str">
            <v>natural gas nonpeaker</v>
          </cell>
        </row>
        <row r="5385">
          <cell r="C5385" t="str">
            <v>CT</v>
          </cell>
          <cell r="D5385">
            <v>57</v>
          </cell>
          <cell r="H5385" t="str">
            <v>natural gas nonpeaker</v>
          </cell>
        </row>
        <row r="5386">
          <cell r="C5386" t="str">
            <v>CT</v>
          </cell>
          <cell r="D5386">
            <v>57</v>
          </cell>
          <cell r="H5386" t="str">
            <v>natural gas nonpeaker</v>
          </cell>
        </row>
        <row r="5387">
          <cell r="C5387" t="str">
            <v>CT</v>
          </cell>
          <cell r="D5387">
            <v>57</v>
          </cell>
          <cell r="H5387" t="str">
            <v>natural gas nonpeaker</v>
          </cell>
        </row>
        <row r="5388">
          <cell r="C5388" t="str">
            <v>CT</v>
          </cell>
          <cell r="D5388">
            <v>57</v>
          </cell>
          <cell r="H5388" t="str">
            <v>natural gas nonpeaker</v>
          </cell>
        </row>
        <row r="5389">
          <cell r="C5389" t="str">
            <v>GT</v>
          </cell>
          <cell r="D5389">
            <v>58</v>
          </cell>
          <cell r="H5389" t="str">
            <v>natural gas peaker</v>
          </cell>
        </row>
        <row r="5390">
          <cell r="C5390" t="str">
            <v>GT</v>
          </cell>
          <cell r="D5390">
            <v>58</v>
          </cell>
          <cell r="H5390" t="str">
            <v>natural gas peaker</v>
          </cell>
        </row>
        <row r="5391">
          <cell r="C5391" t="str">
            <v>GT</v>
          </cell>
          <cell r="D5391">
            <v>58</v>
          </cell>
          <cell r="H5391" t="str">
            <v>natural gas peaker</v>
          </cell>
        </row>
        <row r="5392">
          <cell r="C5392" t="str">
            <v>GT</v>
          </cell>
          <cell r="D5392">
            <v>58</v>
          </cell>
          <cell r="H5392" t="str">
            <v>natural gas peaker</v>
          </cell>
        </row>
        <row r="5393">
          <cell r="C5393" t="str">
            <v>GT</v>
          </cell>
          <cell r="D5393">
            <v>58</v>
          </cell>
          <cell r="H5393" t="str">
            <v>natural gas peaker</v>
          </cell>
        </row>
        <row r="5394">
          <cell r="C5394" t="str">
            <v>GT</v>
          </cell>
          <cell r="D5394">
            <v>58</v>
          </cell>
          <cell r="H5394" t="str">
            <v>natural gas peaker</v>
          </cell>
        </row>
        <row r="5395">
          <cell r="C5395" t="str">
            <v>GT</v>
          </cell>
          <cell r="D5395">
            <v>13</v>
          </cell>
          <cell r="H5395" t="str">
            <v>natural gas peaker</v>
          </cell>
        </row>
        <row r="5396">
          <cell r="C5396" t="str">
            <v>ST</v>
          </cell>
          <cell r="D5396">
            <v>169</v>
          </cell>
          <cell r="H5396" t="str">
            <v>natural gas peaker</v>
          </cell>
        </row>
        <row r="5397">
          <cell r="C5397" t="str">
            <v>ST</v>
          </cell>
          <cell r="D5397">
            <v>169</v>
          </cell>
          <cell r="H5397" t="str">
            <v>natural gas peaker</v>
          </cell>
        </row>
        <row r="5398">
          <cell r="C5398" t="str">
            <v>ST</v>
          </cell>
          <cell r="D5398">
            <v>273</v>
          </cell>
          <cell r="H5398" t="str">
            <v>natural gas peaker</v>
          </cell>
        </row>
        <row r="5399">
          <cell r="C5399" t="str">
            <v>ST</v>
          </cell>
          <cell r="D5399">
            <v>552</v>
          </cell>
          <cell r="H5399" t="str">
            <v>natural gas peaker</v>
          </cell>
        </row>
        <row r="5400">
          <cell r="C5400" t="str">
            <v>ST</v>
          </cell>
          <cell r="D5400">
            <v>664</v>
          </cell>
          <cell r="H5400" t="str">
            <v>hard coal</v>
          </cell>
        </row>
        <row r="5401">
          <cell r="C5401" t="str">
            <v>ST</v>
          </cell>
          <cell r="D5401">
            <v>663</v>
          </cell>
          <cell r="H5401" t="str">
            <v>hard coal</v>
          </cell>
        </row>
        <row r="5402">
          <cell r="C5402" t="str">
            <v>ST</v>
          </cell>
          <cell r="D5402">
            <v>577</v>
          </cell>
          <cell r="H5402" t="str">
            <v>hard coal</v>
          </cell>
        </row>
        <row r="5403">
          <cell r="C5403" t="str">
            <v>ST</v>
          </cell>
          <cell r="D5403">
            <v>610</v>
          </cell>
          <cell r="H5403" t="str">
            <v>hard coal</v>
          </cell>
        </row>
        <row r="5404">
          <cell r="C5404" t="str">
            <v>GT</v>
          </cell>
          <cell r="D5404">
            <v>13</v>
          </cell>
          <cell r="H5404" t="str">
            <v>natural gas peaker</v>
          </cell>
        </row>
        <row r="5405">
          <cell r="C5405" t="str">
            <v>ST</v>
          </cell>
          <cell r="D5405">
            <v>31</v>
          </cell>
          <cell r="H5405" t="str">
            <v>natural gas peaker</v>
          </cell>
        </row>
        <row r="5406">
          <cell r="C5406" t="str">
            <v>ST</v>
          </cell>
          <cell r="D5406">
            <v>25</v>
          </cell>
          <cell r="H5406" t="str">
            <v>natural gas peaker</v>
          </cell>
        </row>
        <row r="5407">
          <cell r="C5407" t="str">
            <v>ST</v>
          </cell>
          <cell r="D5407">
            <v>342</v>
          </cell>
          <cell r="H5407" t="str">
            <v>natural gas peaker</v>
          </cell>
        </row>
        <row r="5408">
          <cell r="C5408" t="str">
            <v>ST</v>
          </cell>
          <cell r="D5408">
            <v>50</v>
          </cell>
          <cell r="H5408" t="str">
            <v>natural gas peaker</v>
          </cell>
        </row>
        <row r="5409">
          <cell r="C5409" t="str">
            <v>ST</v>
          </cell>
          <cell r="D5409">
            <v>174</v>
          </cell>
          <cell r="H5409" t="str">
            <v>natural gas peaker</v>
          </cell>
        </row>
        <row r="5410">
          <cell r="C5410" t="str">
            <v>ST</v>
          </cell>
          <cell r="D5410">
            <v>355</v>
          </cell>
          <cell r="H5410" t="str">
            <v>natural gas peaker</v>
          </cell>
        </row>
        <row r="5411">
          <cell r="C5411" t="str">
            <v>ST</v>
          </cell>
          <cell r="D5411">
            <v>354</v>
          </cell>
          <cell r="H5411" t="str">
            <v>natural gas peaker</v>
          </cell>
        </row>
        <row r="5412">
          <cell r="C5412" t="str">
            <v>ST</v>
          </cell>
          <cell r="D5412">
            <v>243</v>
          </cell>
          <cell r="H5412" t="str">
            <v>natural gas peaker</v>
          </cell>
        </row>
        <row r="5413">
          <cell r="C5413" t="str">
            <v>ST</v>
          </cell>
          <cell r="D5413">
            <v>243</v>
          </cell>
          <cell r="H5413" t="str">
            <v>natural gas peaker</v>
          </cell>
        </row>
        <row r="5414">
          <cell r="C5414" t="str">
            <v>GT</v>
          </cell>
          <cell r="D5414">
            <v>166</v>
          </cell>
          <cell r="H5414" t="str">
            <v>natural gas peaker</v>
          </cell>
        </row>
        <row r="5415">
          <cell r="C5415" t="str">
            <v>GT</v>
          </cell>
          <cell r="D5415">
            <v>168</v>
          </cell>
          <cell r="H5415" t="str">
            <v>natural gas peaker</v>
          </cell>
        </row>
        <row r="5416">
          <cell r="C5416" t="str">
            <v>ST</v>
          </cell>
          <cell r="D5416">
            <v>107</v>
          </cell>
          <cell r="H5416" t="str">
            <v>natural gas peaker</v>
          </cell>
        </row>
        <row r="5417">
          <cell r="C5417" t="str">
            <v>ST</v>
          </cell>
          <cell r="D5417">
            <v>106</v>
          </cell>
          <cell r="H5417" t="str">
            <v>natural gas peaker</v>
          </cell>
        </row>
        <row r="5418">
          <cell r="C5418" t="str">
            <v>ST</v>
          </cell>
          <cell r="D5418">
            <v>244</v>
          </cell>
          <cell r="H5418" t="str">
            <v>natural gas peaker</v>
          </cell>
        </row>
        <row r="5419">
          <cell r="C5419" t="str">
            <v>ST</v>
          </cell>
          <cell r="D5419">
            <v>38</v>
          </cell>
          <cell r="H5419" t="str">
            <v>natural gas peaker</v>
          </cell>
        </row>
        <row r="5420">
          <cell r="C5420" t="str">
            <v>ST</v>
          </cell>
          <cell r="D5420">
            <v>90</v>
          </cell>
          <cell r="H5420" t="str">
            <v>natural gas peaker</v>
          </cell>
        </row>
        <row r="5421">
          <cell r="C5421" t="str">
            <v>ST</v>
          </cell>
          <cell r="D5421">
            <v>93</v>
          </cell>
          <cell r="H5421" t="str">
            <v>natural gas peaker</v>
          </cell>
        </row>
        <row r="5422">
          <cell r="C5422" t="str">
            <v>ST</v>
          </cell>
          <cell r="D5422">
            <v>190</v>
          </cell>
          <cell r="H5422" t="str">
            <v>natural gas peaker</v>
          </cell>
        </row>
        <row r="5423">
          <cell r="C5423" t="str">
            <v>ST</v>
          </cell>
          <cell r="D5423">
            <v>234</v>
          </cell>
          <cell r="H5423" t="str">
            <v>natural gas peaker</v>
          </cell>
        </row>
        <row r="5424">
          <cell r="C5424" t="str">
            <v>ST</v>
          </cell>
          <cell r="D5424">
            <v>390</v>
          </cell>
          <cell r="H5424" t="str">
            <v>natural gas peaker</v>
          </cell>
        </row>
        <row r="5425">
          <cell r="C5425" t="str">
            <v>ST</v>
          </cell>
          <cell r="D5425">
            <v>395</v>
          </cell>
          <cell r="H5425" t="str">
            <v>natural gas peaker</v>
          </cell>
        </row>
        <row r="5426">
          <cell r="C5426" t="str">
            <v>ST</v>
          </cell>
          <cell r="D5426">
            <v>435</v>
          </cell>
          <cell r="H5426" t="str">
            <v>natural gas peaker</v>
          </cell>
        </row>
        <row r="5427">
          <cell r="C5427" t="str">
            <v>ST</v>
          </cell>
          <cell r="D5427">
            <v>435</v>
          </cell>
          <cell r="H5427" t="str">
            <v>natural gas peaker</v>
          </cell>
        </row>
        <row r="5428">
          <cell r="C5428" t="str">
            <v>GT</v>
          </cell>
          <cell r="D5428">
            <v>67</v>
          </cell>
          <cell r="H5428" t="str">
            <v>natural gas peaker</v>
          </cell>
        </row>
        <row r="5429">
          <cell r="C5429" t="str">
            <v>GT</v>
          </cell>
          <cell r="D5429">
            <v>66</v>
          </cell>
          <cell r="H5429" t="str">
            <v>natural gas peaker</v>
          </cell>
        </row>
        <row r="5430">
          <cell r="C5430" t="str">
            <v>GT</v>
          </cell>
          <cell r="D5430">
            <v>66</v>
          </cell>
          <cell r="H5430" t="str">
            <v>natural gas peaker</v>
          </cell>
        </row>
        <row r="5431">
          <cell r="C5431" t="str">
            <v>GT</v>
          </cell>
          <cell r="D5431">
            <v>67</v>
          </cell>
          <cell r="H5431" t="str">
            <v>natural gas peaker</v>
          </cell>
        </row>
        <row r="5432">
          <cell r="C5432" t="str">
            <v>GT</v>
          </cell>
          <cell r="D5432">
            <v>68</v>
          </cell>
          <cell r="H5432" t="str">
            <v>natural gas peaker</v>
          </cell>
        </row>
        <row r="5433">
          <cell r="C5433" t="str">
            <v>GT</v>
          </cell>
          <cell r="D5433">
            <v>68</v>
          </cell>
          <cell r="H5433" t="str">
            <v>natural gas peaker</v>
          </cell>
        </row>
        <row r="5434">
          <cell r="C5434" t="str">
            <v>GT</v>
          </cell>
          <cell r="D5434">
            <v>64</v>
          </cell>
          <cell r="H5434" t="str">
            <v>natural gas peaker</v>
          </cell>
        </row>
        <row r="5435">
          <cell r="C5435" t="str">
            <v>GT</v>
          </cell>
          <cell r="D5435">
            <v>64</v>
          </cell>
          <cell r="H5435" t="str">
            <v>natural gas peaker</v>
          </cell>
        </row>
        <row r="5436">
          <cell r="C5436" t="str">
            <v>GT</v>
          </cell>
          <cell r="D5436">
            <v>64</v>
          </cell>
          <cell r="H5436" t="str">
            <v>natural gas peaker</v>
          </cell>
        </row>
        <row r="5437">
          <cell r="C5437" t="str">
            <v>GT</v>
          </cell>
          <cell r="D5437">
            <v>64</v>
          </cell>
          <cell r="H5437" t="str">
            <v>natural gas peaker</v>
          </cell>
        </row>
        <row r="5438">
          <cell r="C5438" t="str">
            <v>GT</v>
          </cell>
          <cell r="D5438">
            <v>65</v>
          </cell>
          <cell r="H5438" t="str">
            <v>natural gas peaker</v>
          </cell>
        </row>
        <row r="5439">
          <cell r="C5439" t="str">
            <v>IC</v>
          </cell>
          <cell r="D5439">
            <v>2</v>
          </cell>
          <cell r="H5439" t="str">
            <v>petroleum</v>
          </cell>
        </row>
        <row r="5440">
          <cell r="C5440" t="str">
            <v>IC</v>
          </cell>
          <cell r="D5440">
            <v>2</v>
          </cell>
          <cell r="H5440" t="str">
            <v>petroleum</v>
          </cell>
        </row>
        <row r="5441">
          <cell r="C5441" t="str">
            <v>IC</v>
          </cell>
          <cell r="D5441">
            <v>2</v>
          </cell>
          <cell r="H5441" t="str">
            <v>petroleum</v>
          </cell>
        </row>
        <row r="5442">
          <cell r="C5442" t="str">
            <v>IC</v>
          </cell>
          <cell r="D5442">
            <v>2</v>
          </cell>
          <cell r="H5442" t="str">
            <v>petroleum</v>
          </cell>
        </row>
        <row r="5443">
          <cell r="C5443" t="str">
            <v>IC</v>
          </cell>
          <cell r="D5443">
            <v>2</v>
          </cell>
          <cell r="H5443" t="str">
            <v>petroleum</v>
          </cell>
        </row>
        <row r="5444">
          <cell r="C5444" t="str">
            <v>ST</v>
          </cell>
          <cell r="D5444">
            <v>167</v>
          </cell>
          <cell r="H5444" t="str">
            <v>natural gas peaker</v>
          </cell>
        </row>
        <row r="5445">
          <cell r="C5445" t="str">
            <v>ST</v>
          </cell>
          <cell r="D5445">
            <v>502</v>
          </cell>
          <cell r="H5445" t="str">
            <v>natural gas peaker</v>
          </cell>
        </row>
        <row r="5446">
          <cell r="C5446" t="str">
            <v>ST</v>
          </cell>
          <cell r="D5446">
            <v>235</v>
          </cell>
          <cell r="H5446" t="str">
            <v>natural gas peaker</v>
          </cell>
        </row>
        <row r="5447">
          <cell r="C5447" t="str">
            <v>IC</v>
          </cell>
          <cell r="D5447">
            <v>2</v>
          </cell>
          <cell r="H5447" t="str">
            <v>petroleum</v>
          </cell>
        </row>
        <row r="5448">
          <cell r="C5448" t="str">
            <v>IC</v>
          </cell>
          <cell r="D5448">
            <v>2</v>
          </cell>
          <cell r="H5448" t="str">
            <v>petroleum</v>
          </cell>
        </row>
        <row r="5449">
          <cell r="C5449" t="str">
            <v>ST</v>
          </cell>
          <cell r="D5449">
            <v>320</v>
          </cell>
          <cell r="H5449" t="str">
            <v>natural gas peaker</v>
          </cell>
        </row>
        <row r="5450">
          <cell r="C5450" t="str">
            <v>ST</v>
          </cell>
          <cell r="D5450">
            <v>404</v>
          </cell>
          <cell r="H5450" t="str">
            <v>natural gas peaker</v>
          </cell>
        </row>
        <row r="5451">
          <cell r="C5451" t="str">
            <v>GT</v>
          </cell>
          <cell r="D5451">
            <v>52</v>
          </cell>
          <cell r="H5451" t="str">
            <v>natural gas peaker</v>
          </cell>
        </row>
        <row r="5452">
          <cell r="C5452" t="str">
            <v>GT</v>
          </cell>
          <cell r="D5452">
            <v>52</v>
          </cell>
          <cell r="H5452" t="str">
            <v>natural gas peaker</v>
          </cell>
        </row>
        <row r="5453">
          <cell r="C5453" t="str">
            <v>GT</v>
          </cell>
          <cell r="D5453">
            <v>52</v>
          </cell>
          <cell r="H5453" t="str">
            <v>natural gas peaker</v>
          </cell>
        </row>
        <row r="5454">
          <cell r="C5454" t="str">
            <v>GT</v>
          </cell>
          <cell r="D5454">
            <v>52</v>
          </cell>
          <cell r="H5454" t="str">
            <v>natural gas peaker</v>
          </cell>
        </row>
        <row r="5455">
          <cell r="C5455" t="str">
            <v>GT</v>
          </cell>
          <cell r="D5455">
            <v>45</v>
          </cell>
          <cell r="H5455" t="str">
            <v>natural gas peaker</v>
          </cell>
        </row>
        <row r="5456">
          <cell r="C5456" t="str">
            <v>CA</v>
          </cell>
          <cell r="D5456">
            <v>20</v>
          </cell>
          <cell r="H5456" t="str">
            <v>natural gas nonpeaker</v>
          </cell>
        </row>
        <row r="5457">
          <cell r="C5457" t="str">
            <v>CT</v>
          </cell>
          <cell r="D5457">
            <v>42</v>
          </cell>
          <cell r="H5457" t="str">
            <v>natural gas nonpeaker</v>
          </cell>
        </row>
        <row r="5458">
          <cell r="C5458" t="str">
            <v>IC</v>
          </cell>
          <cell r="D5458">
            <v>1</v>
          </cell>
          <cell r="H5458" t="str">
            <v>petroleum</v>
          </cell>
        </row>
        <row r="5459">
          <cell r="C5459" t="str">
            <v>IC</v>
          </cell>
          <cell r="D5459">
            <v>1</v>
          </cell>
          <cell r="H5459" t="str">
            <v>petroleum</v>
          </cell>
        </row>
        <row r="5460">
          <cell r="C5460" t="str">
            <v>IC</v>
          </cell>
          <cell r="D5460">
            <v>1</v>
          </cell>
          <cell r="H5460" t="str">
            <v>petroleum</v>
          </cell>
        </row>
        <row r="5461">
          <cell r="C5461" t="str">
            <v>IC</v>
          </cell>
          <cell r="D5461">
            <v>1</v>
          </cell>
          <cell r="H5461" t="str">
            <v>petroleum</v>
          </cell>
        </row>
        <row r="5462">
          <cell r="C5462" t="str">
            <v>IC</v>
          </cell>
          <cell r="D5462">
            <v>1</v>
          </cell>
          <cell r="H5462" t="str">
            <v>petroleum</v>
          </cell>
        </row>
        <row r="5463">
          <cell r="C5463" t="str">
            <v>IC</v>
          </cell>
          <cell r="D5463">
            <v>1</v>
          </cell>
          <cell r="H5463" t="str">
            <v>petroleum</v>
          </cell>
        </row>
        <row r="5464">
          <cell r="C5464" t="str">
            <v>GT</v>
          </cell>
          <cell r="D5464">
            <v>21</v>
          </cell>
          <cell r="H5464" t="str">
            <v>natural gas peaker</v>
          </cell>
        </row>
        <row r="5465">
          <cell r="C5465" t="str">
            <v>ST</v>
          </cell>
          <cell r="D5465">
            <v>75</v>
          </cell>
          <cell r="H5465" t="str">
            <v>natural gas peaker</v>
          </cell>
        </row>
        <row r="5466">
          <cell r="C5466" t="str">
            <v>ST</v>
          </cell>
          <cell r="D5466">
            <v>107</v>
          </cell>
          <cell r="H5466" t="str">
            <v>natural gas peaker</v>
          </cell>
        </row>
        <row r="5467">
          <cell r="C5467" t="str">
            <v>ST</v>
          </cell>
          <cell r="D5467">
            <v>138</v>
          </cell>
          <cell r="H5467" t="str">
            <v>natural gas peaker</v>
          </cell>
        </row>
        <row r="5468">
          <cell r="C5468" t="str">
            <v>GT</v>
          </cell>
          <cell r="D5468">
            <v>75</v>
          </cell>
          <cell r="H5468" t="str">
            <v>natural gas peaker</v>
          </cell>
        </row>
        <row r="5469">
          <cell r="C5469" t="str">
            <v>HY</v>
          </cell>
          <cell r="D5469">
            <v>1.4</v>
          </cell>
          <cell r="H5469" t="str">
            <v>hydro</v>
          </cell>
        </row>
        <row r="5470">
          <cell r="C5470" t="str">
            <v>HY</v>
          </cell>
          <cell r="D5470">
            <v>1.4</v>
          </cell>
          <cell r="H5470" t="str">
            <v>hydro</v>
          </cell>
        </row>
        <row r="5471">
          <cell r="C5471" t="str">
            <v>HY</v>
          </cell>
          <cell r="D5471">
            <v>1.8</v>
          </cell>
          <cell r="H5471" t="str">
            <v>hydro</v>
          </cell>
        </row>
        <row r="5472">
          <cell r="C5472" t="str">
            <v>HY</v>
          </cell>
          <cell r="D5472">
            <v>1.8</v>
          </cell>
          <cell r="H5472" t="str">
            <v>hydro</v>
          </cell>
        </row>
        <row r="5473">
          <cell r="C5473" t="str">
            <v>HY</v>
          </cell>
          <cell r="D5473">
            <v>2.4</v>
          </cell>
          <cell r="H5473" t="str">
            <v>hydro</v>
          </cell>
        </row>
        <row r="5474">
          <cell r="C5474" t="str">
            <v>HY</v>
          </cell>
          <cell r="D5474">
            <v>2.4</v>
          </cell>
          <cell r="H5474" t="str">
            <v>hydro</v>
          </cell>
        </row>
        <row r="5475">
          <cell r="C5475" t="str">
            <v>HY</v>
          </cell>
          <cell r="D5475">
            <v>1.2</v>
          </cell>
          <cell r="H5475" t="str">
            <v>hydro</v>
          </cell>
        </row>
        <row r="5476">
          <cell r="C5476" t="str">
            <v>HY</v>
          </cell>
          <cell r="D5476">
            <v>1.2</v>
          </cell>
          <cell r="H5476" t="str">
            <v>hydro</v>
          </cell>
        </row>
        <row r="5477">
          <cell r="C5477" t="str">
            <v>HY</v>
          </cell>
          <cell r="D5477">
            <v>2.4</v>
          </cell>
          <cell r="H5477" t="str">
            <v>hydro</v>
          </cell>
        </row>
        <row r="5478">
          <cell r="C5478" t="str">
            <v>HY</v>
          </cell>
          <cell r="D5478">
            <v>8.1999999999999993</v>
          </cell>
          <cell r="H5478" t="str">
            <v>hydro</v>
          </cell>
        </row>
        <row r="5479">
          <cell r="C5479" t="str">
            <v>HY</v>
          </cell>
          <cell r="D5479">
            <v>8.8000000000000007</v>
          </cell>
          <cell r="H5479" t="str">
            <v>hydro</v>
          </cell>
        </row>
        <row r="5480">
          <cell r="C5480" t="str">
            <v>HY</v>
          </cell>
          <cell r="D5480">
            <v>18.3</v>
          </cell>
          <cell r="H5480" t="str">
            <v>hydro</v>
          </cell>
        </row>
        <row r="5481">
          <cell r="C5481" t="str">
            <v>HY</v>
          </cell>
          <cell r="D5481">
            <v>18.3</v>
          </cell>
          <cell r="H5481" t="str">
            <v>hydro</v>
          </cell>
        </row>
        <row r="5482">
          <cell r="C5482" t="str">
            <v>HY</v>
          </cell>
          <cell r="D5482">
            <v>18.3</v>
          </cell>
          <cell r="H5482" t="str">
            <v>hydro</v>
          </cell>
        </row>
        <row r="5483">
          <cell r="C5483" t="str">
            <v>HY</v>
          </cell>
          <cell r="D5483">
            <v>27</v>
          </cell>
          <cell r="H5483" t="str">
            <v>hydro</v>
          </cell>
        </row>
        <row r="5484">
          <cell r="C5484" t="str">
            <v>HY</v>
          </cell>
          <cell r="D5484">
            <v>27</v>
          </cell>
          <cell r="H5484" t="str">
            <v>hydro</v>
          </cell>
        </row>
        <row r="5485">
          <cell r="C5485" t="str">
            <v>HY</v>
          </cell>
          <cell r="D5485">
            <v>13.8</v>
          </cell>
          <cell r="H5485" t="str">
            <v>hydro</v>
          </cell>
        </row>
        <row r="5486">
          <cell r="C5486" t="str">
            <v>HY</v>
          </cell>
          <cell r="D5486">
            <v>19.8</v>
          </cell>
          <cell r="H5486" t="str">
            <v>hydro</v>
          </cell>
        </row>
        <row r="5487">
          <cell r="C5487" t="str">
            <v>HY</v>
          </cell>
          <cell r="D5487">
            <v>19.8</v>
          </cell>
          <cell r="H5487" t="str">
            <v>hydro</v>
          </cell>
        </row>
        <row r="5488">
          <cell r="C5488" t="str">
            <v>HY</v>
          </cell>
          <cell r="D5488">
            <v>36</v>
          </cell>
          <cell r="H5488" t="str">
            <v>hydro</v>
          </cell>
        </row>
        <row r="5489">
          <cell r="C5489" t="str">
            <v>HY</v>
          </cell>
          <cell r="D5489">
            <v>36</v>
          </cell>
          <cell r="H5489" t="str">
            <v>hydro</v>
          </cell>
        </row>
        <row r="5490">
          <cell r="C5490" t="str">
            <v>HY</v>
          </cell>
          <cell r="D5490">
            <v>36</v>
          </cell>
          <cell r="H5490" t="str">
            <v>hydro</v>
          </cell>
        </row>
        <row r="5491">
          <cell r="C5491" t="str">
            <v>ST</v>
          </cell>
          <cell r="D5491">
            <v>136</v>
          </cell>
          <cell r="H5491" t="str">
            <v>natural gas peaker</v>
          </cell>
        </row>
        <row r="5492">
          <cell r="C5492" t="str">
            <v>ST</v>
          </cell>
          <cell r="D5492">
            <v>136</v>
          </cell>
          <cell r="H5492" t="str">
            <v>natural gas peaker</v>
          </cell>
        </row>
        <row r="5493">
          <cell r="C5493" t="str">
            <v>ST</v>
          </cell>
          <cell r="D5493">
            <v>335</v>
          </cell>
          <cell r="H5493" t="str">
            <v>natural gas peaker</v>
          </cell>
        </row>
        <row r="5494">
          <cell r="C5494" t="str">
            <v>ST</v>
          </cell>
          <cell r="D5494">
            <v>42</v>
          </cell>
          <cell r="H5494" t="str">
            <v>natural gas peaker</v>
          </cell>
        </row>
        <row r="5495">
          <cell r="C5495" t="str">
            <v>ST</v>
          </cell>
          <cell r="D5495">
            <v>46</v>
          </cell>
          <cell r="H5495" t="str">
            <v>natural gas peaker</v>
          </cell>
        </row>
        <row r="5496">
          <cell r="C5496" t="str">
            <v>GT</v>
          </cell>
          <cell r="D5496">
            <v>16</v>
          </cell>
          <cell r="H5496" t="str">
            <v>natural gas peaker</v>
          </cell>
        </row>
        <row r="5497">
          <cell r="C5497" t="str">
            <v>GT</v>
          </cell>
          <cell r="D5497">
            <v>16</v>
          </cell>
          <cell r="H5497" t="str">
            <v>natural gas peaker</v>
          </cell>
        </row>
        <row r="5498">
          <cell r="C5498" t="str">
            <v>CA</v>
          </cell>
          <cell r="D5498">
            <v>18</v>
          </cell>
          <cell r="H5498" t="str">
            <v>natural gas nonpeaker</v>
          </cell>
        </row>
        <row r="5499">
          <cell r="C5499" t="str">
            <v>CA</v>
          </cell>
          <cell r="D5499">
            <v>18</v>
          </cell>
          <cell r="H5499" t="str">
            <v>natural gas nonpeaker</v>
          </cell>
        </row>
        <row r="5500">
          <cell r="C5500" t="str">
            <v>CT</v>
          </cell>
          <cell r="D5500">
            <v>38</v>
          </cell>
          <cell r="H5500" t="str">
            <v>natural gas nonpeaker</v>
          </cell>
        </row>
        <row r="5501">
          <cell r="C5501" t="str">
            <v>GT</v>
          </cell>
          <cell r="D5501">
            <v>46</v>
          </cell>
          <cell r="H5501" t="str">
            <v>natural gas peaker</v>
          </cell>
        </row>
        <row r="5502">
          <cell r="C5502" t="str">
            <v>GT</v>
          </cell>
          <cell r="D5502">
            <v>46</v>
          </cell>
          <cell r="H5502" t="str">
            <v>natural gas peaker</v>
          </cell>
        </row>
        <row r="5503">
          <cell r="C5503" t="str">
            <v>GT</v>
          </cell>
          <cell r="D5503">
            <v>46</v>
          </cell>
          <cell r="H5503" t="str">
            <v>natural gas peaker</v>
          </cell>
        </row>
        <row r="5504">
          <cell r="C5504" t="str">
            <v>GT</v>
          </cell>
          <cell r="D5504">
            <v>46</v>
          </cell>
          <cell r="H5504" t="str">
            <v>natural gas peaker</v>
          </cell>
        </row>
        <row r="5505">
          <cell r="C5505" t="str">
            <v>ST</v>
          </cell>
          <cell r="D5505">
            <v>420</v>
          </cell>
          <cell r="H5505" t="str">
            <v>natural gas peaker</v>
          </cell>
        </row>
        <row r="5506">
          <cell r="C5506" t="str">
            <v>ST</v>
          </cell>
          <cell r="D5506">
            <v>410</v>
          </cell>
          <cell r="H5506" t="str">
            <v>natural gas peaker</v>
          </cell>
        </row>
        <row r="5507">
          <cell r="C5507" t="str">
            <v>ST</v>
          </cell>
          <cell r="D5507">
            <v>217</v>
          </cell>
          <cell r="H5507" t="str">
            <v>natural gas peaker</v>
          </cell>
        </row>
        <row r="5508">
          <cell r="C5508" t="str">
            <v>ST</v>
          </cell>
          <cell r="D5508">
            <v>230</v>
          </cell>
          <cell r="H5508" t="str">
            <v>natural gas peaker</v>
          </cell>
        </row>
        <row r="5509">
          <cell r="C5509" t="str">
            <v>ST</v>
          </cell>
          <cell r="D5509">
            <v>412</v>
          </cell>
          <cell r="H5509" t="str">
            <v>natural gas peaker</v>
          </cell>
        </row>
        <row r="5510">
          <cell r="C5510" t="str">
            <v>GT</v>
          </cell>
          <cell r="D5510">
            <v>48</v>
          </cell>
          <cell r="H5510" t="str">
            <v>natural gas peaker</v>
          </cell>
        </row>
        <row r="5511">
          <cell r="C5511" t="str">
            <v>GT</v>
          </cell>
          <cell r="D5511">
            <v>48</v>
          </cell>
          <cell r="H5511" t="str">
            <v>natural gas peaker</v>
          </cell>
        </row>
        <row r="5512">
          <cell r="C5512" t="str">
            <v>GT</v>
          </cell>
          <cell r="D5512">
            <v>48</v>
          </cell>
          <cell r="H5512" t="str">
            <v>natural gas peaker</v>
          </cell>
        </row>
        <row r="5513">
          <cell r="C5513" t="str">
            <v>GT</v>
          </cell>
          <cell r="D5513">
            <v>47</v>
          </cell>
          <cell r="H5513" t="str">
            <v>natural gas peaker</v>
          </cell>
        </row>
        <row r="5514">
          <cell r="C5514" t="str">
            <v>ST</v>
          </cell>
          <cell r="D5514">
            <v>66</v>
          </cell>
          <cell r="H5514" t="str">
            <v>natural gas peaker</v>
          </cell>
        </row>
        <row r="5515">
          <cell r="C5515" t="str">
            <v>ST</v>
          </cell>
          <cell r="D5515">
            <v>100</v>
          </cell>
          <cell r="H5515" t="str">
            <v>natural gas peaker</v>
          </cell>
        </row>
        <row r="5516">
          <cell r="C5516" t="str">
            <v>ST</v>
          </cell>
          <cell r="D5516">
            <v>200</v>
          </cell>
          <cell r="H5516" t="str">
            <v>natural gas peaker</v>
          </cell>
        </row>
        <row r="5517">
          <cell r="C5517" t="str">
            <v>GT</v>
          </cell>
          <cell r="D5517">
            <v>104</v>
          </cell>
          <cell r="H5517" t="str">
            <v>natural gas peaker</v>
          </cell>
        </row>
        <row r="5518">
          <cell r="C5518" t="str">
            <v>GT</v>
          </cell>
          <cell r="D5518">
            <v>104</v>
          </cell>
          <cell r="H5518" t="str">
            <v>natural gas peaker</v>
          </cell>
        </row>
        <row r="5519">
          <cell r="C5519" t="str">
            <v>IC</v>
          </cell>
          <cell r="D5519">
            <v>8.4</v>
          </cell>
          <cell r="H5519" t="str">
            <v>natural gas peaker</v>
          </cell>
        </row>
        <row r="5520">
          <cell r="C5520" t="str">
            <v>IC</v>
          </cell>
          <cell r="D5520">
            <v>8.4</v>
          </cell>
          <cell r="H5520" t="str">
            <v>natural gas peaker</v>
          </cell>
        </row>
        <row r="5521">
          <cell r="C5521" t="str">
            <v>IC</v>
          </cell>
          <cell r="D5521">
            <v>8.4</v>
          </cell>
          <cell r="H5521" t="str">
            <v>natural gas peaker</v>
          </cell>
        </row>
        <row r="5522">
          <cell r="C5522" t="str">
            <v>IC</v>
          </cell>
          <cell r="D5522">
            <v>8.4</v>
          </cell>
          <cell r="H5522" t="str">
            <v>natural gas peaker</v>
          </cell>
        </row>
        <row r="5523">
          <cell r="C5523" t="str">
            <v>IC</v>
          </cell>
          <cell r="D5523">
            <v>8.4</v>
          </cell>
          <cell r="H5523" t="str">
            <v>natural gas peaker</v>
          </cell>
        </row>
        <row r="5524">
          <cell r="C5524" t="str">
            <v>IC</v>
          </cell>
          <cell r="D5524">
            <v>8.4</v>
          </cell>
          <cell r="H5524" t="str">
            <v>natural gas peaker</v>
          </cell>
        </row>
        <row r="5525">
          <cell r="C5525" t="str">
            <v>IC</v>
          </cell>
          <cell r="D5525">
            <v>8.4</v>
          </cell>
          <cell r="H5525" t="str">
            <v>natural gas peaker</v>
          </cell>
        </row>
        <row r="5526">
          <cell r="C5526" t="str">
            <v>IC</v>
          </cell>
          <cell r="D5526">
            <v>8.4</v>
          </cell>
          <cell r="H5526" t="str">
            <v>natural gas peaker</v>
          </cell>
        </row>
        <row r="5527">
          <cell r="C5527" t="str">
            <v>IC</v>
          </cell>
          <cell r="D5527">
            <v>8.4</v>
          </cell>
          <cell r="H5527" t="str">
            <v>natural gas peaker</v>
          </cell>
        </row>
        <row r="5528">
          <cell r="C5528" t="str">
            <v>IC</v>
          </cell>
          <cell r="D5528">
            <v>8.4</v>
          </cell>
          <cell r="H5528" t="str">
            <v>natural gas peaker</v>
          </cell>
        </row>
        <row r="5529">
          <cell r="C5529" t="str">
            <v>IC</v>
          </cell>
          <cell r="D5529">
            <v>8.4</v>
          </cell>
          <cell r="H5529" t="str">
            <v>natural gas peaker</v>
          </cell>
        </row>
        <row r="5530">
          <cell r="C5530" t="str">
            <v>IC</v>
          </cell>
          <cell r="D5530">
            <v>8.4</v>
          </cell>
          <cell r="H5530" t="str">
            <v>natural gas peaker</v>
          </cell>
        </row>
        <row r="5531">
          <cell r="C5531" t="str">
            <v>IC</v>
          </cell>
          <cell r="D5531">
            <v>8.4</v>
          </cell>
          <cell r="H5531" t="str">
            <v>natural gas peaker</v>
          </cell>
        </row>
        <row r="5532">
          <cell r="C5532" t="str">
            <v>IC</v>
          </cell>
          <cell r="D5532">
            <v>8.4</v>
          </cell>
          <cell r="H5532" t="str">
            <v>natural gas peaker</v>
          </cell>
        </row>
        <row r="5533">
          <cell r="C5533" t="str">
            <v>IC</v>
          </cell>
          <cell r="D5533">
            <v>8.4</v>
          </cell>
          <cell r="H5533" t="str">
            <v>natural gas peaker</v>
          </cell>
        </row>
        <row r="5534">
          <cell r="C5534" t="str">
            <v>IC</v>
          </cell>
          <cell r="D5534">
            <v>8.4</v>
          </cell>
          <cell r="H5534" t="str">
            <v>natural gas peaker</v>
          </cell>
        </row>
        <row r="5535">
          <cell r="C5535" t="str">
            <v>IC</v>
          </cell>
          <cell r="D5535">
            <v>8.4</v>
          </cell>
          <cell r="H5535" t="str">
            <v>natural gas peaker</v>
          </cell>
        </row>
        <row r="5536">
          <cell r="C5536" t="str">
            <v>IC</v>
          </cell>
          <cell r="D5536">
            <v>8.4</v>
          </cell>
          <cell r="H5536" t="str">
            <v>natural gas peaker</v>
          </cell>
        </row>
        <row r="5537">
          <cell r="C5537" t="str">
            <v>IC</v>
          </cell>
          <cell r="D5537">
            <v>8.4</v>
          </cell>
          <cell r="H5537" t="str">
            <v>natural gas peaker</v>
          </cell>
        </row>
        <row r="5538">
          <cell r="C5538" t="str">
            <v>IC</v>
          </cell>
          <cell r="D5538">
            <v>8.4</v>
          </cell>
          <cell r="H5538" t="str">
            <v>natural gas peaker</v>
          </cell>
        </row>
        <row r="5539">
          <cell r="C5539" t="str">
            <v>IC</v>
          </cell>
          <cell r="D5539">
            <v>8.4</v>
          </cell>
          <cell r="H5539" t="str">
            <v>natural gas peaker</v>
          </cell>
        </row>
        <row r="5540">
          <cell r="C5540" t="str">
            <v>IC</v>
          </cell>
          <cell r="D5540">
            <v>8.4</v>
          </cell>
          <cell r="H5540" t="str">
            <v>natural gas peaker</v>
          </cell>
        </row>
        <row r="5541">
          <cell r="C5541" t="str">
            <v>IC</v>
          </cell>
          <cell r="D5541">
            <v>8.4</v>
          </cell>
          <cell r="H5541" t="str">
            <v>natural gas peaker</v>
          </cell>
        </row>
        <row r="5542">
          <cell r="C5542" t="str">
            <v>IC</v>
          </cell>
          <cell r="D5542">
            <v>8.4</v>
          </cell>
          <cell r="H5542" t="str">
            <v>natural gas peaker</v>
          </cell>
        </row>
        <row r="5543">
          <cell r="C5543" t="str">
            <v>GT</v>
          </cell>
          <cell r="D5543">
            <v>10.5</v>
          </cell>
          <cell r="H5543" t="str">
            <v>natural gas peaker</v>
          </cell>
        </row>
        <row r="5544">
          <cell r="C5544" t="str">
            <v>CA</v>
          </cell>
          <cell r="D5544">
            <v>37</v>
          </cell>
          <cell r="H5544" t="str">
            <v>natural gas nonpeaker</v>
          </cell>
        </row>
        <row r="5545">
          <cell r="C5545" t="str">
            <v>GT</v>
          </cell>
          <cell r="D5545">
            <v>10.5</v>
          </cell>
          <cell r="H5545" t="str">
            <v>natural gas peaker</v>
          </cell>
        </row>
        <row r="5546">
          <cell r="C5546" t="str">
            <v>IC</v>
          </cell>
          <cell r="D5546">
            <v>0.9</v>
          </cell>
          <cell r="H5546" t="str">
            <v>petroleum</v>
          </cell>
        </row>
        <row r="5547">
          <cell r="C5547" t="str">
            <v>IC</v>
          </cell>
          <cell r="D5547">
            <v>0.9</v>
          </cell>
          <cell r="H5547" t="str">
            <v>petroleum</v>
          </cell>
        </row>
        <row r="5548">
          <cell r="C5548" t="str">
            <v>CT</v>
          </cell>
          <cell r="D5548">
            <v>49</v>
          </cell>
          <cell r="H5548" t="str">
            <v>natural gas nonpeaker</v>
          </cell>
        </row>
        <row r="5549">
          <cell r="C5549" t="str">
            <v>CT</v>
          </cell>
          <cell r="D5549">
            <v>49</v>
          </cell>
          <cell r="H5549" t="str">
            <v>natural gas nonpeaker</v>
          </cell>
        </row>
        <row r="5550">
          <cell r="C5550" t="str">
            <v>CT</v>
          </cell>
          <cell r="D5550">
            <v>48</v>
          </cell>
          <cell r="H5550" t="str">
            <v>natural gas nonpeaker</v>
          </cell>
        </row>
        <row r="5551">
          <cell r="C5551" t="str">
            <v>HY</v>
          </cell>
          <cell r="D5551">
            <v>1.3</v>
          </cell>
          <cell r="H5551" t="str">
            <v>hydro</v>
          </cell>
        </row>
        <row r="5552">
          <cell r="C5552" t="str">
            <v>HY</v>
          </cell>
          <cell r="D5552">
            <v>1.2</v>
          </cell>
          <cell r="H5552" t="str">
            <v>hydro</v>
          </cell>
        </row>
        <row r="5553">
          <cell r="C5553" t="str">
            <v>HY</v>
          </cell>
          <cell r="D5553">
            <v>15</v>
          </cell>
          <cell r="H5553" t="str">
            <v>hydro</v>
          </cell>
        </row>
        <row r="5554">
          <cell r="C5554" t="str">
            <v>HY</v>
          </cell>
          <cell r="D5554">
            <v>15</v>
          </cell>
          <cell r="H5554" t="str">
            <v>hydro</v>
          </cell>
        </row>
        <row r="5555">
          <cell r="C5555" t="str">
            <v>ST</v>
          </cell>
          <cell r="D5555">
            <v>64</v>
          </cell>
          <cell r="H5555" t="str">
            <v>natural gas peaker</v>
          </cell>
        </row>
        <row r="5556">
          <cell r="C5556" t="str">
            <v>ST</v>
          </cell>
          <cell r="D5556">
            <v>69</v>
          </cell>
          <cell r="H5556" t="str">
            <v>natural gas peaker</v>
          </cell>
        </row>
        <row r="5557">
          <cell r="C5557" t="str">
            <v>ST</v>
          </cell>
          <cell r="D5557">
            <v>104.5</v>
          </cell>
          <cell r="H5557" t="str">
            <v>natural gas peaker</v>
          </cell>
        </row>
        <row r="5558">
          <cell r="C5558" t="str">
            <v>GT</v>
          </cell>
          <cell r="D5558">
            <v>39.6</v>
          </cell>
          <cell r="H5558" t="str">
            <v>natural gas peaker</v>
          </cell>
        </row>
        <row r="5559">
          <cell r="C5559" t="str">
            <v>GT</v>
          </cell>
          <cell r="D5559">
            <v>39.6</v>
          </cell>
          <cell r="H5559" t="str">
            <v>natural gas peaker</v>
          </cell>
        </row>
        <row r="5560">
          <cell r="C5560" t="str">
            <v>GT</v>
          </cell>
          <cell r="D5560">
            <v>36.9</v>
          </cell>
          <cell r="H5560" t="str">
            <v>natural gas peaker</v>
          </cell>
        </row>
        <row r="5561">
          <cell r="C5561" t="str">
            <v>HY</v>
          </cell>
          <cell r="D5561">
            <v>1.2</v>
          </cell>
          <cell r="H5561" t="str">
            <v>hydro</v>
          </cell>
        </row>
        <row r="5562">
          <cell r="C5562" t="str">
            <v>HY</v>
          </cell>
          <cell r="D5562">
            <v>2</v>
          </cell>
          <cell r="H5562" t="str">
            <v>hydro</v>
          </cell>
        </row>
        <row r="5563">
          <cell r="C5563" t="str">
            <v>HY</v>
          </cell>
          <cell r="D5563">
            <v>2</v>
          </cell>
          <cell r="H5563" t="str">
            <v>hydro</v>
          </cell>
        </row>
        <row r="5564">
          <cell r="C5564" t="str">
            <v>HY</v>
          </cell>
          <cell r="D5564">
            <v>0.5</v>
          </cell>
          <cell r="H5564" t="str">
            <v>hydro</v>
          </cell>
        </row>
        <row r="5565">
          <cell r="C5565" t="str">
            <v>HY</v>
          </cell>
          <cell r="D5565">
            <v>0.5</v>
          </cell>
          <cell r="H5565" t="str">
            <v>hydro</v>
          </cell>
        </row>
        <row r="5566">
          <cell r="C5566" t="str">
            <v>HY</v>
          </cell>
          <cell r="D5566">
            <v>1.2</v>
          </cell>
          <cell r="H5566" t="str">
            <v>hydro</v>
          </cell>
        </row>
        <row r="5567">
          <cell r="C5567" t="str">
            <v>HY</v>
          </cell>
          <cell r="D5567">
            <v>2</v>
          </cell>
          <cell r="H5567" t="str">
            <v>hydro</v>
          </cell>
        </row>
        <row r="5568">
          <cell r="C5568" t="str">
            <v>GT</v>
          </cell>
          <cell r="D5568">
            <v>4.2</v>
          </cell>
          <cell r="H5568" t="str">
            <v>natural gas peaker</v>
          </cell>
        </row>
        <row r="5569">
          <cell r="C5569" t="str">
            <v>GT</v>
          </cell>
          <cell r="D5569">
            <v>11.5</v>
          </cell>
          <cell r="H5569" t="str">
            <v>natural gas peaker</v>
          </cell>
        </row>
        <row r="5570">
          <cell r="C5570" t="str">
            <v>GT</v>
          </cell>
          <cell r="D5570">
            <v>11.5</v>
          </cell>
          <cell r="H5570" t="str">
            <v>natural gas peaker</v>
          </cell>
        </row>
        <row r="5571">
          <cell r="C5571" t="str">
            <v>HY</v>
          </cell>
          <cell r="D5571">
            <v>0.5</v>
          </cell>
          <cell r="H5571" t="str">
            <v>hydro</v>
          </cell>
        </row>
        <row r="5572">
          <cell r="C5572" t="str">
            <v>HY</v>
          </cell>
          <cell r="D5572">
            <v>0.5</v>
          </cell>
          <cell r="H5572" t="str">
            <v>hydro</v>
          </cell>
        </row>
        <row r="5573">
          <cell r="C5573" t="str">
            <v>HY</v>
          </cell>
          <cell r="D5573">
            <v>0.5</v>
          </cell>
          <cell r="H5573" t="str">
            <v>hydro</v>
          </cell>
        </row>
        <row r="5574">
          <cell r="C5574" t="str">
            <v>HY</v>
          </cell>
          <cell r="D5574">
            <v>0.7</v>
          </cell>
          <cell r="H5574" t="str">
            <v>hydro</v>
          </cell>
        </row>
        <row r="5575">
          <cell r="C5575" t="str">
            <v>HY</v>
          </cell>
          <cell r="D5575">
            <v>0.7</v>
          </cell>
          <cell r="H5575" t="str">
            <v>hydro</v>
          </cell>
        </row>
        <row r="5576">
          <cell r="C5576" t="str">
            <v>HY</v>
          </cell>
          <cell r="D5576">
            <v>0.4</v>
          </cell>
          <cell r="H5576" t="str">
            <v>hydro</v>
          </cell>
        </row>
        <row r="5577">
          <cell r="C5577" t="str">
            <v>HY</v>
          </cell>
          <cell r="D5577">
            <v>0.8</v>
          </cell>
          <cell r="H5577" t="str">
            <v>hydro</v>
          </cell>
        </row>
        <row r="5578">
          <cell r="C5578" t="str">
            <v>HY</v>
          </cell>
          <cell r="D5578">
            <v>1</v>
          </cell>
          <cell r="H5578" t="str">
            <v>hydro</v>
          </cell>
        </row>
        <row r="5579">
          <cell r="C5579" t="str">
            <v>HY</v>
          </cell>
          <cell r="D5579">
            <v>1.7</v>
          </cell>
          <cell r="H5579" t="str">
            <v>hydro</v>
          </cell>
        </row>
        <row r="5580">
          <cell r="C5580" t="str">
            <v>HY</v>
          </cell>
          <cell r="D5580">
            <v>1.7</v>
          </cell>
          <cell r="H5580" t="str">
            <v>hydro</v>
          </cell>
        </row>
        <row r="5581">
          <cell r="C5581" t="str">
            <v>HY</v>
          </cell>
          <cell r="D5581">
            <v>0.2</v>
          </cell>
          <cell r="H5581" t="str">
            <v>hydro</v>
          </cell>
        </row>
        <row r="5582">
          <cell r="C5582" t="str">
            <v>HY</v>
          </cell>
          <cell r="D5582">
            <v>2</v>
          </cell>
          <cell r="H5582" t="str">
            <v>hydro</v>
          </cell>
        </row>
        <row r="5583">
          <cell r="C5583" t="str">
            <v>HY</v>
          </cell>
          <cell r="D5583">
            <v>2</v>
          </cell>
          <cell r="H5583" t="str">
            <v>hydro</v>
          </cell>
        </row>
        <row r="5584">
          <cell r="C5584" t="str">
            <v>HY</v>
          </cell>
          <cell r="D5584">
            <v>1.9</v>
          </cell>
          <cell r="H5584" t="str">
            <v>hydro</v>
          </cell>
        </row>
        <row r="5585">
          <cell r="C5585" t="str">
            <v>HY</v>
          </cell>
          <cell r="D5585">
            <v>1.4</v>
          </cell>
          <cell r="H5585" t="str">
            <v>hydro</v>
          </cell>
        </row>
        <row r="5586">
          <cell r="C5586" t="str">
            <v>HY</v>
          </cell>
          <cell r="D5586">
            <v>1.4</v>
          </cell>
          <cell r="H5586" t="str">
            <v>hydro</v>
          </cell>
        </row>
        <row r="5587">
          <cell r="C5587" t="str">
            <v>HY</v>
          </cell>
          <cell r="D5587">
            <v>1.4</v>
          </cell>
          <cell r="H5587" t="str">
            <v>hydro</v>
          </cell>
        </row>
        <row r="5588">
          <cell r="C5588" t="str">
            <v>HY</v>
          </cell>
          <cell r="D5588">
            <v>0.6</v>
          </cell>
          <cell r="H5588" t="str">
            <v>hydro</v>
          </cell>
        </row>
        <row r="5589">
          <cell r="C5589" t="str">
            <v>HY</v>
          </cell>
          <cell r="D5589">
            <v>0.6</v>
          </cell>
          <cell r="H5589" t="str">
            <v>hydro</v>
          </cell>
        </row>
        <row r="5590">
          <cell r="C5590" t="str">
            <v>GT</v>
          </cell>
          <cell r="D5590">
            <v>9</v>
          </cell>
          <cell r="H5590" t="str">
            <v>petroleum</v>
          </cell>
        </row>
        <row r="5591">
          <cell r="C5591" t="str">
            <v>HY</v>
          </cell>
          <cell r="D5591">
            <v>0.7</v>
          </cell>
          <cell r="H5591" t="str">
            <v>hydro</v>
          </cell>
        </row>
        <row r="5592">
          <cell r="C5592" t="str">
            <v>HY</v>
          </cell>
          <cell r="D5592">
            <v>0.2</v>
          </cell>
          <cell r="H5592" t="str">
            <v>hydro</v>
          </cell>
        </row>
        <row r="5593">
          <cell r="C5593" t="str">
            <v>HY</v>
          </cell>
          <cell r="D5593">
            <v>0.4</v>
          </cell>
          <cell r="H5593" t="str">
            <v>hydro</v>
          </cell>
        </row>
        <row r="5594">
          <cell r="C5594" t="str">
            <v>HY</v>
          </cell>
          <cell r="D5594">
            <v>0.4</v>
          </cell>
          <cell r="H5594" t="str">
            <v>hydro</v>
          </cell>
        </row>
        <row r="5595">
          <cell r="C5595" t="str">
            <v>HY</v>
          </cell>
          <cell r="D5595">
            <v>0.3</v>
          </cell>
          <cell r="H5595" t="str">
            <v>hydro</v>
          </cell>
        </row>
        <row r="5596">
          <cell r="C5596" t="str">
            <v>HY</v>
          </cell>
          <cell r="D5596">
            <v>3</v>
          </cell>
          <cell r="H5596" t="str">
            <v>hydro</v>
          </cell>
        </row>
        <row r="5597">
          <cell r="C5597" t="str">
            <v>HY</v>
          </cell>
          <cell r="D5597">
            <v>1.4</v>
          </cell>
          <cell r="H5597" t="str">
            <v>hydro</v>
          </cell>
        </row>
        <row r="5598">
          <cell r="C5598" t="str">
            <v>HY</v>
          </cell>
          <cell r="D5598">
            <v>2</v>
          </cell>
          <cell r="H5598" t="str">
            <v>hydro</v>
          </cell>
        </row>
        <row r="5599">
          <cell r="C5599" t="str">
            <v>HY</v>
          </cell>
          <cell r="D5599">
            <v>1</v>
          </cell>
          <cell r="H5599" t="str">
            <v>hydro</v>
          </cell>
        </row>
        <row r="5600">
          <cell r="C5600" t="str">
            <v>HY</v>
          </cell>
          <cell r="D5600">
            <v>1</v>
          </cell>
          <cell r="H5600" t="str">
            <v>hydro</v>
          </cell>
        </row>
        <row r="5601">
          <cell r="C5601" t="str">
            <v>HY</v>
          </cell>
          <cell r="D5601">
            <v>0.6</v>
          </cell>
          <cell r="H5601" t="str">
            <v>hydro</v>
          </cell>
        </row>
        <row r="5602">
          <cell r="C5602" t="str">
            <v>HY</v>
          </cell>
          <cell r="D5602">
            <v>0.6</v>
          </cell>
          <cell r="H5602" t="str">
            <v>hydro</v>
          </cell>
        </row>
        <row r="5603">
          <cell r="C5603" t="str">
            <v>HY</v>
          </cell>
          <cell r="D5603">
            <v>0.8</v>
          </cell>
          <cell r="H5603" t="str">
            <v>hydro</v>
          </cell>
        </row>
        <row r="5604">
          <cell r="C5604" t="str">
            <v>HY</v>
          </cell>
          <cell r="D5604">
            <v>3.5</v>
          </cell>
          <cell r="H5604" t="str">
            <v>hydro</v>
          </cell>
        </row>
        <row r="5605">
          <cell r="C5605" t="str">
            <v>HY</v>
          </cell>
          <cell r="D5605">
            <v>3.5</v>
          </cell>
          <cell r="H5605" t="str">
            <v>hydro</v>
          </cell>
        </row>
        <row r="5606">
          <cell r="C5606" t="str">
            <v>HY</v>
          </cell>
          <cell r="D5606">
            <v>5.8</v>
          </cell>
          <cell r="H5606" t="str">
            <v>hydro</v>
          </cell>
        </row>
        <row r="5607">
          <cell r="C5607" t="str">
            <v>HY</v>
          </cell>
          <cell r="D5607">
            <v>1.3</v>
          </cell>
          <cell r="H5607" t="str">
            <v>hydro</v>
          </cell>
        </row>
        <row r="5608">
          <cell r="C5608" t="str">
            <v>HY</v>
          </cell>
          <cell r="D5608">
            <v>1.3</v>
          </cell>
          <cell r="H5608" t="str">
            <v>hydro</v>
          </cell>
        </row>
        <row r="5609">
          <cell r="C5609" t="str">
            <v>HY</v>
          </cell>
          <cell r="D5609">
            <v>0.6</v>
          </cell>
          <cell r="H5609" t="str">
            <v>hydro</v>
          </cell>
        </row>
        <row r="5610">
          <cell r="C5610" t="str">
            <v>GT</v>
          </cell>
          <cell r="D5610">
            <v>8.4</v>
          </cell>
          <cell r="H5610" t="str">
            <v>petroleum</v>
          </cell>
        </row>
        <row r="5611">
          <cell r="C5611" t="str">
            <v>HY</v>
          </cell>
          <cell r="D5611">
            <v>1.2</v>
          </cell>
          <cell r="H5611" t="str">
            <v>hydro</v>
          </cell>
        </row>
        <row r="5612">
          <cell r="C5612" t="str">
            <v>HY</v>
          </cell>
          <cell r="D5612">
            <v>2.2000000000000002</v>
          </cell>
          <cell r="H5612" t="str">
            <v>hydro</v>
          </cell>
        </row>
        <row r="5613">
          <cell r="C5613" t="str">
            <v>HY</v>
          </cell>
          <cell r="D5613">
            <v>3.4</v>
          </cell>
          <cell r="H5613" t="str">
            <v>hydro</v>
          </cell>
        </row>
        <row r="5614">
          <cell r="C5614" t="str">
            <v>HY</v>
          </cell>
          <cell r="D5614">
            <v>1.7</v>
          </cell>
          <cell r="H5614" t="str">
            <v>hydro</v>
          </cell>
        </row>
        <row r="5615">
          <cell r="C5615" t="str">
            <v>HY</v>
          </cell>
          <cell r="D5615">
            <v>1.7</v>
          </cell>
          <cell r="H5615" t="str">
            <v>hydro</v>
          </cell>
        </row>
        <row r="5616">
          <cell r="C5616" t="str">
            <v>HY</v>
          </cell>
          <cell r="D5616">
            <v>0.6</v>
          </cell>
          <cell r="H5616" t="str">
            <v>hydro</v>
          </cell>
        </row>
        <row r="5617">
          <cell r="C5617" t="str">
            <v>GT</v>
          </cell>
          <cell r="D5617">
            <v>35</v>
          </cell>
          <cell r="H5617" t="str">
            <v>other</v>
          </cell>
        </row>
        <row r="5618">
          <cell r="C5618" t="str">
            <v>GT</v>
          </cell>
          <cell r="D5618">
            <v>8.6999999999999993</v>
          </cell>
          <cell r="H5618" t="str">
            <v>petroleum</v>
          </cell>
        </row>
        <row r="5619">
          <cell r="C5619" t="str">
            <v>HY</v>
          </cell>
          <cell r="D5619">
            <v>1.8</v>
          </cell>
          <cell r="H5619" t="str">
            <v>hydro</v>
          </cell>
        </row>
        <row r="5620">
          <cell r="C5620" t="str">
            <v>HY</v>
          </cell>
          <cell r="D5620">
            <v>1.8</v>
          </cell>
          <cell r="H5620" t="str">
            <v>hydro</v>
          </cell>
        </row>
        <row r="5621">
          <cell r="C5621" t="str">
            <v>HY</v>
          </cell>
          <cell r="D5621">
            <v>1.8</v>
          </cell>
          <cell r="H5621" t="str">
            <v>hydro</v>
          </cell>
        </row>
        <row r="5622">
          <cell r="C5622" t="str">
            <v>HY</v>
          </cell>
          <cell r="D5622">
            <v>1.8</v>
          </cell>
          <cell r="H5622" t="str">
            <v>hydro</v>
          </cell>
        </row>
        <row r="5623">
          <cell r="C5623" t="str">
            <v>HY</v>
          </cell>
          <cell r="D5623">
            <v>0.8</v>
          </cell>
          <cell r="H5623" t="str">
            <v>hydro</v>
          </cell>
        </row>
        <row r="5624">
          <cell r="C5624" t="str">
            <v>IC</v>
          </cell>
          <cell r="D5624">
            <v>1.8</v>
          </cell>
          <cell r="H5624" t="str">
            <v>petroleum</v>
          </cell>
        </row>
        <row r="5625">
          <cell r="C5625" t="str">
            <v>IC</v>
          </cell>
          <cell r="D5625">
            <v>1.8</v>
          </cell>
          <cell r="H5625" t="str">
            <v>petroleum</v>
          </cell>
        </row>
        <row r="5626">
          <cell r="C5626" t="str">
            <v>IC</v>
          </cell>
          <cell r="D5626">
            <v>1.8</v>
          </cell>
          <cell r="H5626" t="str">
            <v>petroleum</v>
          </cell>
        </row>
        <row r="5627">
          <cell r="C5627" t="str">
            <v>IC</v>
          </cell>
          <cell r="D5627">
            <v>1.8</v>
          </cell>
          <cell r="H5627" t="str">
            <v>petroleum</v>
          </cell>
        </row>
        <row r="5628">
          <cell r="C5628" t="str">
            <v>HY</v>
          </cell>
          <cell r="D5628">
            <v>5</v>
          </cell>
          <cell r="H5628" t="str">
            <v>hydro</v>
          </cell>
        </row>
        <row r="5629">
          <cell r="C5629" t="str">
            <v>HY</v>
          </cell>
          <cell r="D5629">
            <v>1.6</v>
          </cell>
          <cell r="H5629" t="str">
            <v>hydro</v>
          </cell>
        </row>
        <row r="5630">
          <cell r="C5630" t="str">
            <v>HY</v>
          </cell>
          <cell r="D5630">
            <v>1.6</v>
          </cell>
          <cell r="H5630" t="str">
            <v>hydro</v>
          </cell>
        </row>
        <row r="5631">
          <cell r="C5631" t="str">
            <v>HY</v>
          </cell>
          <cell r="D5631">
            <v>1</v>
          </cell>
          <cell r="H5631" t="str">
            <v>hydro</v>
          </cell>
        </row>
        <row r="5632">
          <cell r="C5632" t="str">
            <v>HY</v>
          </cell>
          <cell r="D5632">
            <v>15.7</v>
          </cell>
          <cell r="H5632" t="str">
            <v>hydro</v>
          </cell>
        </row>
        <row r="5633">
          <cell r="C5633" t="str">
            <v>HY</v>
          </cell>
          <cell r="D5633">
            <v>15.7</v>
          </cell>
          <cell r="H5633" t="str">
            <v>hydro</v>
          </cell>
        </row>
        <row r="5634">
          <cell r="C5634" t="str">
            <v>HY</v>
          </cell>
          <cell r="D5634">
            <v>15.7</v>
          </cell>
          <cell r="H5634" t="str">
            <v>hydro</v>
          </cell>
        </row>
        <row r="5635">
          <cell r="C5635" t="str">
            <v>HY</v>
          </cell>
          <cell r="D5635">
            <v>13.6</v>
          </cell>
          <cell r="H5635" t="str">
            <v>hydro</v>
          </cell>
        </row>
        <row r="5636">
          <cell r="C5636" t="str">
            <v>HY</v>
          </cell>
          <cell r="D5636">
            <v>13.6</v>
          </cell>
          <cell r="H5636" t="str">
            <v>hydro</v>
          </cell>
        </row>
        <row r="5637">
          <cell r="C5637" t="str">
            <v>HY</v>
          </cell>
          <cell r="D5637">
            <v>13.6</v>
          </cell>
          <cell r="H5637" t="str">
            <v>hydro</v>
          </cell>
        </row>
        <row r="5638">
          <cell r="C5638" t="str">
            <v>HY</v>
          </cell>
          <cell r="D5638">
            <v>1.1000000000000001</v>
          </cell>
          <cell r="H5638" t="str">
            <v>hydro</v>
          </cell>
        </row>
        <row r="5639">
          <cell r="C5639" t="str">
            <v>HY</v>
          </cell>
          <cell r="D5639">
            <v>0.7</v>
          </cell>
          <cell r="H5639" t="str">
            <v>hydro</v>
          </cell>
        </row>
        <row r="5640">
          <cell r="C5640" t="str">
            <v>HY</v>
          </cell>
          <cell r="D5640">
            <v>0.6</v>
          </cell>
          <cell r="H5640" t="str">
            <v>hydro</v>
          </cell>
        </row>
        <row r="5641">
          <cell r="C5641" t="str">
            <v>GT</v>
          </cell>
          <cell r="D5641">
            <v>19.7</v>
          </cell>
          <cell r="H5641" t="str">
            <v>petroleum</v>
          </cell>
        </row>
        <row r="5642">
          <cell r="C5642" t="str">
            <v>HY</v>
          </cell>
          <cell r="D5642">
            <v>0.3</v>
          </cell>
          <cell r="H5642" t="str">
            <v>hydro</v>
          </cell>
        </row>
        <row r="5643">
          <cell r="C5643" t="str">
            <v>HY</v>
          </cell>
          <cell r="D5643">
            <v>0.3</v>
          </cell>
          <cell r="H5643" t="str">
            <v>hydro</v>
          </cell>
        </row>
        <row r="5644">
          <cell r="C5644" t="str">
            <v>HY</v>
          </cell>
          <cell r="D5644">
            <v>1.3</v>
          </cell>
          <cell r="H5644" t="str">
            <v>hydro</v>
          </cell>
        </row>
        <row r="5645">
          <cell r="C5645" t="str">
            <v>HY</v>
          </cell>
          <cell r="D5645">
            <v>0.5</v>
          </cell>
          <cell r="H5645" t="str">
            <v>hydro</v>
          </cell>
        </row>
        <row r="5646">
          <cell r="C5646" t="str">
            <v>HY</v>
          </cell>
          <cell r="D5646">
            <v>1</v>
          </cell>
          <cell r="H5646" t="str">
            <v>hydro</v>
          </cell>
        </row>
        <row r="5647">
          <cell r="C5647" t="str">
            <v>HY</v>
          </cell>
          <cell r="D5647">
            <v>0.5</v>
          </cell>
          <cell r="H5647" t="str">
            <v>hydro</v>
          </cell>
        </row>
        <row r="5648">
          <cell r="C5648" t="str">
            <v>HY</v>
          </cell>
          <cell r="D5648">
            <v>0.6</v>
          </cell>
          <cell r="H5648" t="str">
            <v>hydro</v>
          </cell>
        </row>
        <row r="5649">
          <cell r="C5649" t="str">
            <v>HY</v>
          </cell>
          <cell r="D5649">
            <v>3</v>
          </cell>
          <cell r="H5649" t="str">
            <v>hydro</v>
          </cell>
        </row>
        <row r="5650">
          <cell r="C5650" t="str">
            <v>HY</v>
          </cell>
          <cell r="D5650">
            <v>3</v>
          </cell>
          <cell r="H5650" t="str">
            <v>hydro</v>
          </cell>
        </row>
        <row r="5651">
          <cell r="C5651" t="str">
            <v>HY</v>
          </cell>
          <cell r="D5651">
            <v>3</v>
          </cell>
          <cell r="H5651" t="str">
            <v>hydro</v>
          </cell>
        </row>
        <row r="5652">
          <cell r="C5652" t="str">
            <v>HY</v>
          </cell>
          <cell r="D5652">
            <v>7.9</v>
          </cell>
          <cell r="H5652" t="str">
            <v>hydro</v>
          </cell>
        </row>
        <row r="5653">
          <cell r="C5653" t="str">
            <v>HY</v>
          </cell>
          <cell r="D5653">
            <v>7.9</v>
          </cell>
          <cell r="H5653" t="str">
            <v>hydro</v>
          </cell>
        </row>
        <row r="5654">
          <cell r="C5654" t="str">
            <v>HY</v>
          </cell>
          <cell r="D5654">
            <v>7.9</v>
          </cell>
          <cell r="H5654" t="str">
            <v>hydro</v>
          </cell>
        </row>
        <row r="5655">
          <cell r="C5655" t="str">
            <v>HY</v>
          </cell>
          <cell r="D5655">
            <v>7.9</v>
          </cell>
          <cell r="H5655" t="str">
            <v>hydro</v>
          </cell>
        </row>
        <row r="5656">
          <cell r="C5656" t="str">
            <v>HY</v>
          </cell>
          <cell r="D5656">
            <v>14.7</v>
          </cell>
          <cell r="H5656" t="str">
            <v>hydro</v>
          </cell>
        </row>
        <row r="5657">
          <cell r="C5657" t="str">
            <v>HY</v>
          </cell>
          <cell r="D5657">
            <v>14.7</v>
          </cell>
          <cell r="H5657" t="str">
            <v>hydro</v>
          </cell>
        </row>
        <row r="5658">
          <cell r="C5658" t="str">
            <v>HY</v>
          </cell>
          <cell r="D5658">
            <v>14.7</v>
          </cell>
          <cell r="H5658" t="str">
            <v>hydro</v>
          </cell>
        </row>
        <row r="5659">
          <cell r="C5659" t="str">
            <v>HY</v>
          </cell>
          <cell r="D5659">
            <v>14.7</v>
          </cell>
          <cell r="H5659" t="str">
            <v>hydro</v>
          </cell>
        </row>
        <row r="5660">
          <cell r="C5660" t="str">
            <v>ST</v>
          </cell>
          <cell r="D5660">
            <v>230</v>
          </cell>
          <cell r="H5660" t="str">
            <v>natural gas peaker</v>
          </cell>
        </row>
        <row r="5661">
          <cell r="C5661" t="str">
            <v>ST</v>
          </cell>
          <cell r="D5661">
            <v>230</v>
          </cell>
          <cell r="H5661" t="str">
            <v>natural gas peaker</v>
          </cell>
        </row>
        <row r="5662">
          <cell r="C5662" t="str">
            <v>HY</v>
          </cell>
          <cell r="D5662">
            <v>25</v>
          </cell>
          <cell r="H5662" t="str">
            <v>hydro</v>
          </cell>
        </row>
        <row r="5663">
          <cell r="C5663" t="str">
            <v>HY</v>
          </cell>
          <cell r="D5663">
            <v>25</v>
          </cell>
          <cell r="H5663" t="str">
            <v>hydro</v>
          </cell>
        </row>
        <row r="5664">
          <cell r="C5664" t="str">
            <v>HY</v>
          </cell>
          <cell r="D5664">
            <v>0.6</v>
          </cell>
          <cell r="H5664" t="str">
            <v>hydro</v>
          </cell>
        </row>
        <row r="5665">
          <cell r="C5665" t="str">
            <v>HY</v>
          </cell>
          <cell r="D5665">
            <v>1.2</v>
          </cell>
          <cell r="H5665" t="str">
            <v>hydro</v>
          </cell>
        </row>
        <row r="5666">
          <cell r="C5666" t="str">
            <v>HY</v>
          </cell>
          <cell r="D5666">
            <v>2.5</v>
          </cell>
          <cell r="H5666" t="str">
            <v>hydro</v>
          </cell>
        </row>
        <row r="5667">
          <cell r="C5667" t="str">
            <v>HY</v>
          </cell>
          <cell r="D5667">
            <v>2.5</v>
          </cell>
          <cell r="H5667" t="str">
            <v>hydro</v>
          </cell>
        </row>
        <row r="5668">
          <cell r="C5668" t="str">
            <v>HY</v>
          </cell>
          <cell r="D5668">
            <v>2.5</v>
          </cell>
          <cell r="H5668" t="str">
            <v>hydro</v>
          </cell>
        </row>
        <row r="5669">
          <cell r="C5669" t="str">
            <v>HY</v>
          </cell>
          <cell r="D5669">
            <v>2.5</v>
          </cell>
          <cell r="H5669" t="str">
            <v>hydro</v>
          </cell>
        </row>
        <row r="5670">
          <cell r="C5670" t="str">
            <v>HY</v>
          </cell>
          <cell r="D5670">
            <v>2.5</v>
          </cell>
          <cell r="H5670" t="str">
            <v>hydro</v>
          </cell>
        </row>
        <row r="5671">
          <cell r="C5671" t="str">
            <v>PS</v>
          </cell>
          <cell r="D5671">
            <v>66</v>
          </cell>
          <cell r="H5671" t="str">
            <v>other</v>
          </cell>
        </row>
        <row r="5672">
          <cell r="C5672" t="str">
            <v>HY</v>
          </cell>
          <cell r="D5672">
            <v>174</v>
          </cell>
          <cell r="H5672" t="str">
            <v>hydro</v>
          </cell>
        </row>
        <row r="5673">
          <cell r="C5673" t="str">
            <v>PS</v>
          </cell>
          <cell r="D5673">
            <v>106</v>
          </cell>
          <cell r="H5673" t="str">
            <v>other</v>
          </cell>
        </row>
        <row r="5674">
          <cell r="C5674" t="str">
            <v>HY</v>
          </cell>
          <cell r="D5674">
            <v>174</v>
          </cell>
          <cell r="H5674" t="str">
            <v>hydro</v>
          </cell>
        </row>
        <row r="5675">
          <cell r="C5675" t="str">
            <v>PS</v>
          </cell>
          <cell r="D5675">
            <v>66</v>
          </cell>
          <cell r="H5675" t="str">
            <v>other</v>
          </cell>
        </row>
        <row r="5676">
          <cell r="C5676" t="str">
            <v>IC</v>
          </cell>
          <cell r="D5676">
            <v>2.1</v>
          </cell>
          <cell r="H5676" t="str">
            <v>petroleum</v>
          </cell>
        </row>
        <row r="5677">
          <cell r="C5677" t="str">
            <v>IC</v>
          </cell>
          <cell r="D5677">
            <v>2.1</v>
          </cell>
          <cell r="H5677" t="str">
            <v>petroleum</v>
          </cell>
        </row>
        <row r="5678">
          <cell r="C5678" t="str">
            <v>IC</v>
          </cell>
          <cell r="D5678">
            <v>2.1</v>
          </cell>
          <cell r="H5678" t="str">
            <v>petroleum</v>
          </cell>
        </row>
        <row r="5679">
          <cell r="C5679" t="str">
            <v>IC</v>
          </cell>
          <cell r="D5679">
            <v>2.1</v>
          </cell>
          <cell r="H5679" t="str">
            <v>petroleum</v>
          </cell>
        </row>
        <row r="5680">
          <cell r="C5680" t="str">
            <v>IC</v>
          </cell>
          <cell r="D5680">
            <v>2.1</v>
          </cell>
          <cell r="H5680" t="str">
            <v>petroleum</v>
          </cell>
        </row>
        <row r="5681">
          <cell r="C5681" t="str">
            <v>IC</v>
          </cell>
          <cell r="D5681">
            <v>2.1</v>
          </cell>
          <cell r="H5681" t="str">
            <v>petroleum</v>
          </cell>
        </row>
        <row r="5682">
          <cell r="C5682" t="str">
            <v>GT</v>
          </cell>
          <cell r="D5682">
            <v>29.9</v>
          </cell>
          <cell r="H5682" t="str">
            <v>petroleum</v>
          </cell>
        </row>
        <row r="5683">
          <cell r="C5683" t="str">
            <v>HY</v>
          </cell>
          <cell r="D5683">
            <v>0.4</v>
          </cell>
          <cell r="H5683" t="str">
            <v>hydro</v>
          </cell>
        </row>
        <row r="5684">
          <cell r="C5684" t="str">
            <v>HY</v>
          </cell>
          <cell r="D5684">
            <v>0.3</v>
          </cell>
          <cell r="H5684" t="str">
            <v>hydro</v>
          </cell>
        </row>
        <row r="5685">
          <cell r="C5685" t="str">
            <v>HY</v>
          </cell>
          <cell r="D5685">
            <v>0.4</v>
          </cell>
          <cell r="H5685" t="str">
            <v>hydro</v>
          </cell>
        </row>
        <row r="5686">
          <cell r="C5686" t="str">
            <v>HY</v>
          </cell>
          <cell r="D5686">
            <v>0.3</v>
          </cell>
          <cell r="H5686" t="str">
            <v>hydro</v>
          </cell>
        </row>
        <row r="5687">
          <cell r="C5687" t="str">
            <v>HY</v>
          </cell>
          <cell r="D5687">
            <v>0.5</v>
          </cell>
          <cell r="H5687" t="str">
            <v>hydro</v>
          </cell>
        </row>
        <row r="5688">
          <cell r="C5688" t="str">
            <v>HY</v>
          </cell>
          <cell r="D5688">
            <v>0.5</v>
          </cell>
          <cell r="H5688" t="str">
            <v>hydro</v>
          </cell>
        </row>
        <row r="5689">
          <cell r="C5689" t="str">
            <v>ST</v>
          </cell>
          <cell r="D5689">
            <v>336</v>
          </cell>
          <cell r="H5689" t="str">
            <v>hard coal</v>
          </cell>
        </row>
        <row r="5690">
          <cell r="C5690" t="str">
            <v>ST</v>
          </cell>
          <cell r="D5690">
            <v>670</v>
          </cell>
          <cell r="H5690" t="str">
            <v>hard coal</v>
          </cell>
        </row>
        <row r="5691">
          <cell r="C5691" t="str">
            <v>CT</v>
          </cell>
          <cell r="D5691">
            <v>142</v>
          </cell>
          <cell r="H5691" t="str">
            <v>natural gas nonpeaker</v>
          </cell>
        </row>
        <row r="5692">
          <cell r="C5692" t="str">
            <v>CT</v>
          </cell>
          <cell r="D5692">
            <v>140</v>
          </cell>
          <cell r="H5692" t="str">
            <v>natural gas nonpeaker</v>
          </cell>
        </row>
        <row r="5693">
          <cell r="C5693" t="str">
            <v>CA</v>
          </cell>
          <cell r="D5693">
            <v>55</v>
          </cell>
          <cell r="H5693" t="str">
            <v>natural gas nonpeaker</v>
          </cell>
        </row>
        <row r="5694">
          <cell r="C5694" t="str">
            <v>CA</v>
          </cell>
          <cell r="D5694">
            <v>55</v>
          </cell>
          <cell r="H5694" t="str">
            <v>natural gas nonpeaker</v>
          </cell>
        </row>
        <row r="5695">
          <cell r="C5695" t="str">
            <v>HY</v>
          </cell>
          <cell r="D5695">
            <v>0.4</v>
          </cell>
          <cell r="H5695" t="str">
            <v>hydro</v>
          </cell>
        </row>
        <row r="5696">
          <cell r="C5696" t="str">
            <v>HY</v>
          </cell>
          <cell r="D5696">
            <v>0.4</v>
          </cell>
          <cell r="H5696" t="str">
            <v>hydro</v>
          </cell>
        </row>
        <row r="5697">
          <cell r="C5697" t="str">
            <v>HY</v>
          </cell>
          <cell r="D5697">
            <v>0.4</v>
          </cell>
          <cell r="H5697" t="str">
            <v>hydro</v>
          </cell>
        </row>
        <row r="5698">
          <cell r="C5698" t="str">
            <v>HY</v>
          </cell>
          <cell r="D5698">
            <v>0.4</v>
          </cell>
          <cell r="H5698" t="str">
            <v>hydro</v>
          </cell>
        </row>
        <row r="5699">
          <cell r="C5699" t="str">
            <v>HY</v>
          </cell>
          <cell r="D5699">
            <v>0.4</v>
          </cell>
          <cell r="H5699" t="str">
            <v>hydro</v>
          </cell>
        </row>
        <row r="5700">
          <cell r="C5700" t="str">
            <v>GT</v>
          </cell>
          <cell r="D5700">
            <v>12</v>
          </cell>
          <cell r="H5700" t="str">
            <v>petroleum</v>
          </cell>
        </row>
        <row r="5701">
          <cell r="C5701" t="str">
            <v>GT</v>
          </cell>
          <cell r="D5701">
            <v>12</v>
          </cell>
          <cell r="H5701" t="str">
            <v>petroleum</v>
          </cell>
        </row>
        <row r="5702">
          <cell r="C5702" t="str">
            <v>GT</v>
          </cell>
          <cell r="D5702">
            <v>12</v>
          </cell>
          <cell r="H5702" t="str">
            <v>petroleum</v>
          </cell>
        </row>
        <row r="5703">
          <cell r="C5703" t="str">
            <v>GT</v>
          </cell>
          <cell r="D5703">
            <v>12</v>
          </cell>
          <cell r="H5703" t="str">
            <v>petroleum</v>
          </cell>
        </row>
        <row r="5704">
          <cell r="C5704" t="str">
            <v>GT</v>
          </cell>
          <cell r="D5704">
            <v>12</v>
          </cell>
          <cell r="H5704" t="str">
            <v>petroleum</v>
          </cell>
        </row>
        <row r="5705">
          <cell r="C5705" t="str">
            <v>GT</v>
          </cell>
          <cell r="D5705">
            <v>11</v>
          </cell>
          <cell r="H5705" t="str">
            <v>petroleum</v>
          </cell>
        </row>
        <row r="5706">
          <cell r="C5706" t="str">
            <v>GT</v>
          </cell>
          <cell r="D5706">
            <v>12</v>
          </cell>
          <cell r="H5706" t="str">
            <v>petroleum</v>
          </cell>
        </row>
        <row r="5707">
          <cell r="C5707" t="str">
            <v>GT</v>
          </cell>
          <cell r="D5707">
            <v>12</v>
          </cell>
          <cell r="H5707" t="str">
            <v>petroleum</v>
          </cell>
        </row>
        <row r="5708">
          <cell r="C5708" t="str">
            <v>GT</v>
          </cell>
          <cell r="D5708">
            <v>12</v>
          </cell>
          <cell r="H5708" t="str">
            <v>petroleum</v>
          </cell>
        </row>
        <row r="5709">
          <cell r="C5709" t="str">
            <v>GT</v>
          </cell>
          <cell r="D5709">
            <v>15</v>
          </cell>
          <cell r="H5709" t="str">
            <v>petroleum</v>
          </cell>
        </row>
        <row r="5710">
          <cell r="C5710" t="str">
            <v>GT</v>
          </cell>
          <cell r="D5710">
            <v>12</v>
          </cell>
          <cell r="H5710" t="str">
            <v>petroleum</v>
          </cell>
        </row>
        <row r="5711">
          <cell r="C5711" t="str">
            <v>GT</v>
          </cell>
          <cell r="D5711">
            <v>12</v>
          </cell>
          <cell r="H5711" t="str">
            <v>petroleum</v>
          </cell>
        </row>
        <row r="5712">
          <cell r="C5712" t="str">
            <v>ST</v>
          </cell>
          <cell r="D5712">
            <v>786</v>
          </cell>
          <cell r="H5712" t="str">
            <v>petroleum</v>
          </cell>
        </row>
        <row r="5713">
          <cell r="C5713" t="str">
            <v>CT</v>
          </cell>
          <cell r="D5713">
            <v>148.5</v>
          </cell>
          <cell r="H5713" t="str">
            <v>natural gas nonpeaker</v>
          </cell>
        </row>
        <row r="5714">
          <cell r="C5714" t="str">
            <v>CT</v>
          </cell>
          <cell r="D5714">
            <v>148.5</v>
          </cell>
          <cell r="H5714" t="str">
            <v>natural gas nonpeaker</v>
          </cell>
        </row>
        <row r="5715">
          <cell r="C5715" t="str">
            <v>CA</v>
          </cell>
          <cell r="D5715">
            <v>262</v>
          </cell>
          <cell r="H5715" t="str">
            <v>natural gas nonpeaker</v>
          </cell>
        </row>
        <row r="5716">
          <cell r="C5716" t="str">
            <v>GT</v>
          </cell>
          <cell r="D5716">
            <v>12</v>
          </cell>
          <cell r="H5716" t="str">
            <v>petroleum</v>
          </cell>
        </row>
        <row r="5717">
          <cell r="C5717" t="str">
            <v>GT</v>
          </cell>
          <cell r="D5717">
            <v>12</v>
          </cell>
          <cell r="H5717" t="str">
            <v>petroleum</v>
          </cell>
        </row>
        <row r="5718">
          <cell r="C5718" t="str">
            <v>GT</v>
          </cell>
          <cell r="D5718">
            <v>12</v>
          </cell>
          <cell r="H5718" t="str">
            <v>petroleum</v>
          </cell>
        </row>
        <row r="5719">
          <cell r="C5719" t="str">
            <v>GT</v>
          </cell>
          <cell r="D5719">
            <v>12</v>
          </cell>
          <cell r="H5719" t="str">
            <v>petroleum</v>
          </cell>
        </row>
        <row r="5720">
          <cell r="C5720" t="str">
            <v>GT</v>
          </cell>
          <cell r="D5720">
            <v>12</v>
          </cell>
          <cell r="H5720" t="str">
            <v>petroleum</v>
          </cell>
        </row>
        <row r="5721">
          <cell r="C5721" t="str">
            <v>GT</v>
          </cell>
          <cell r="D5721">
            <v>12</v>
          </cell>
          <cell r="H5721" t="str">
            <v>petroleum</v>
          </cell>
        </row>
        <row r="5722">
          <cell r="C5722" t="str">
            <v>ST</v>
          </cell>
          <cell r="D5722">
            <v>838</v>
          </cell>
          <cell r="H5722" t="str">
            <v>nuclear</v>
          </cell>
        </row>
        <row r="5723">
          <cell r="C5723" t="str">
            <v>ST</v>
          </cell>
          <cell r="D5723">
            <v>838</v>
          </cell>
          <cell r="H5723" t="str">
            <v>nuclear</v>
          </cell>
        </row>
        <row r="5724">
          <cell r="C5724" t="str">
            <v>ST</v>
          </cell>
          <cell r="D5724">
            <v>790</v>
          </cell>
          <cell r="H5724" t="str">
            <v>petroleum</v>
          </cell>
        </row>
        <row r="5725">
          <cell r="C5725" t="str">
            <v>HY</v>
          </cell>
          <cell r="D5725">
            <v>2.5</v>
          </cell>
          <cell r="H5725" t="str">
            <v>hydro</v>
          </cell>
        </row>
        <row r="5726">
          <cell r="C5726" t="str">
            <v>HY</v>
          </cell>
          <cell r="D5726">
            <v>2.5</v>
          </cell>
          <cell r="H5726" t="str">
            <v>hydro</v>
          </cell>
        </row>
        <row r="5727">
          <cell r="C5727" t="str">
            <v>HY</v>
          </cell>
          <cell r="D5727">
            <v>3.5</v>
          </cell>
          <cell r="H5727" t="str">
            <v>hydro</v>
          </cell>
        </row>
        <row r="5728">
          <cell r="C5728" t="str">
            <v>HY</v>
          </cell>
          <cell r="D5728">
            <v>3.5</v>
          </cell>
          <cell r="H5728" t="str">
            <v>hydro</v>
          </cell>
        </row>
        <row r="5729">
          <cell r="C5729" t="str">
            <v>HY</v>
          </cell>
          <cell r="D5729">
            <v>3.5</v>
          </cell>
          <cell r="H5729" t="str">
            <v>hydro</v>
          </cell>
        </row>
        <row r="5730">
          <cell r="C5730" t="str">
            <v>HY</v>
          </cell>
          <cell r="D5730">
            <v>0.3</v>
          </cell>
          <cell r="H5730" t="str">
            <v>hydro</v>
          </cell>
        </row>
        <row r="5731">
          <cell r="C5731" t="str">
            <v>HY</v>
          </cell>
          <cell r="D5731">
            <v>0.9</v>
          </cell>
          <cell r="H5731" t="str">
            <v>hydro</v>
          </cell>
        </row>
        <row r="5732">
          <cell r="C5732" t="str">
            <v>HY</v>
          </cell>
          <cell r="D5732">
            <v>1</v>
          </cell>
          <cell r="H5732" t="str">
            <v>hydro</v>
          </cell>
        </row>
        <row r="5733">
          <cell r="C5733" t="str">
            <v>HY</v>
          </cell>
          <cell r="D5733">
            <v>13.8</v>
          </cell>
          <cell r="H5733" t="str">
            <v>hydro</v>
          </cell>
        </row>
        <row r="5734">
          <cell r="C5734" t="str">
            <v>HY</v>
          </cell>
          <cell r="D5734">
            <v>46.8</v>
          </cell>
          <cell r="H5734" t="str">
            <v>hydro</v>
          </cell>
        </row>
        <row r="5735">
          <cell r="C5735" t="str">
            <v>HY</v>
          </cell>
          <cell r="D5735">
            <v>46.8</v>
          </cell>
          <cell r="H5735" t="str">
            <v>hydro</v>
          </cell>
        </row>
        <row r="5736">
          <cell r="C5736" t="str">
            <v>HY</v>
          </cell>
          <cell r="D5736">
            <v>46.8</v>
          </cell>
          <cell r="H5736" t="str">
            <v>hydro</v>
          </cell>
        </row>
        <row r="5737">
          <cell r="C5737" t="str">
            <v>HY</v>
          </cell>
          <cell r="D5737">
            <v>46.8</v>
          </cell>
          <cell r="H5737" t="str">
            <v>hydro</v>
          </cell>
        </row>
        <row r="5738">
          <cell r="C5738" t="str">
            <v>HY</v>
          </cell>
          <cell r="D5738">
            <v>46.8</v>
          </cell>
          <cell r="H5738" t="str">
            <v>hydro</v>
          </cell>
        </row>
        <row r="5739">
          <cell r="C5739" t="str">
            <v>HY</v>
          </cell>
          <cell r="D5739">
            <v>46.8</v>
          </cell>
          <cell r="H5739" t="str">
            <v>hydro</v>
          </cell>
        </row>
        <row r="5740">
          <cell r="C5740" t="str">
            <v>HY</v>
          </cell>
          <cell r="D5740">
            <v>1</v>
          </cell>
          <cell r="H5740" t="str">
            <v>hydro</v>
          </cell>
        </row>
        <row r="5741">
          <cell r="C5741" t="str">
            <v>HY</v>
          </cell>
          <cell r="D5741">
            <v>1</v>
          </cell>
          <cell r="H5741" t="str">
            <v>hydro</v>
          </cell>
        </row>
        <row r="5742">
          <cell r="C5742" t="str">
            <v>HY</v>
          </cell>
          <cell r="D5742">
            <v>7.5</v>
          </cell>
          <cell r="H5742" t="str">
            <v>hydro</v>
          </cell>
        </row>
        <row r="5743">
          <cell r="C5743" t="str">
            <v>HY</v>
          </cell>
          <cell r="D5743">
            <v>7.5</v>
          </cell>
          <cell r="H5743" t="str">
            <v>hydro</v>
          </cell>
        </row>
        <row r="5744">
          <cell r="C5744" t="str">
            <v>HY</v>
          </cell>
          <cell r="D5744">
            <v>0.6</v>
          </cell>
          <cell r="H5744" t="str">
            <v>hydro</v>
          </cell>
        </row>
        <row r="5745">
          <cell r="C5745" t="str">
            <v>ST</v>
          </cell>
          <cell r="D5745">
            <v>670</v>
          </cell>
          <cell r="H5745" t="str">
            <v>hard coal</v>
          </cell>
        </row>
        <row r="5746">
          <cell r="C5746" t="str">
            <v>ST</v>
          </cell>
          <cell r="D5746">
            <v>670</v>
          </cell>
          <cell r="H5746" t="str">
            <v>hard coal</v>
          </cell>
        </row>
        <row r="5747">
          <cell r="C5747" t="str">
            <v>HY</v>
          </cell>
          <cell r="D5747">
            <v>50</v>
          </cell>
          <cell r="H5747" t="str">
            <v>hydro</v>
          </cell>
        </row>
        <row r="5748">
          <cell r="C5748" t="str">
            <v>HY</v>
          </cell>
          <cell r="D5748">
            <v>50</v>
          </cell>
          <cell r="H5748" t="str">
            <v>hydro</v>
          </cell>
        </row>
        <row r="5749">
          <cell r="C5749" t="str">
            <v>HY</v>
          </cell>
          <cell r="D5749">
            <v>50</v>
          </cell>
          <cell r="H5749" t="str">
            <v>hydro</v>
          </cell>
        </row>
        <row r="5750">
          <cell r="C5750" t="str">
            <v>HY</v>
          </cell>
          <cell r="D5750">
            <v>1</v>
          </cell>
          <cell r="H5750" t="str">
            <v>hydro</v>
          </cell>
        </row>
        <row r="5751">
          <cell r="C5751" t="str">
            <v>HY</v>
          </cell>
          <cell r="D5751">
            <v>87.9</v>
          </cell>
          <cell r="H5751" t="str">
            <v>hydro</v>
          </cell>
        </row>
        <row r="5752">
          <cell r="C5752" t="str">
            <v>HY</v>
          </cell>
          <cell r="D5752">
            <v>87.9</v>
          </cell>
          <cell r="H5752" t="str">
            <v>hydro</v>
          </cell>
        </row>
        <row r="5753">
          <cell r="C5753" t="str">
            <v>HY</v>
          </cell>
          <cell r="D5753">
            <v>87.9</v>
          </cell>
          <cell r="H5753" t="str">
            <v>hydro</v>
          </cell>
        </row>
        <row r="5754">
          <cell r="C5754" t="str">
            <v>HY</v>
          </cell>
          <cell r="D5754">
            <v>81.8</v>
          </cell>
          <cell r="H5754" t="str">
            <v>hydro</v>
          </cell>
        </row>
        <row r="5755">
          <cell r="C5755" t="str">
            <v>HY</v>
          </cell>
          <cell r="D5755">
            <v>81.8</v>
          </cell>
          <cell r="H5755" t="str">
            <v>hydro</v>
          </cell>
        </row>
        <row r="5756">
          <cell r="C5756" t="str">
            <v>IC</v>
          </cell>
          <cell r="D5756">
            <v>2.5</v>
          </cell>
          <cell r="H5756" t="str">
            <v>petroleum</v>
          </cell>
        </row>
        <row r="5757">
          <cell r="C5757" t="str">
            <v>HY</v>
          </cell>
          <cell r="D5757">
            <v>5.7</v>
          </cell>
          <cell r="H5757" t="str">
            <v>hydro</v>
          </cell>
        </row>
        <row r="5758">
          <cell r="C5758" t="str">
            <v>HY</v>
          </cell>
          <cell r="D5758">
            <v>5.9</v>
          </cell>
          <cell r="H5758" t="str">
            <v>hydro</v>
          </cell>
        </row>
        <row r="5759">
          <cell r="C5759" t="str">
            <v>HY</v>
          </cell>
          <cell r="D5759">
            <v>6.3</v>
          </cell>
          <cell r="H5759" t="str">
            <v>hydro</v>
          </cell>
        </row>
        <row r="5760">
          <cell r="C5760" t="str">
            <v>HY</v>
          </cell>
          <cell r="D5760">
            <v>7.9</v>
          </cell>
          <cell r="H5760" t="str">
            <v>hydro</v>
          </cell>
        </row>
        <row r="5761">
          <cell r="C5761" t="str">
            <v>HY</v>
          </cell>
          <cell r="D5761">
            <v>74.8</v>
          </cell>
          <cell r="H5761" t="str">
            <v>hydro</v>
          </cell>
        </row>
        <row r="5762">
          <cell r="C5762" t="str">
            <v>HY</v>
          </cell>
          <cell r="D5762">
            <v>30.4</v>
          </cell>
          <cell r="H5762" t="str">
            <v>hydro</v>
          </cell>
        </row>
        <row r="5763">
          <cell r="C5763" t="str">
            <v>HY</v>
          </cell>
          <cell r="D5763">
            <v>1.5</v>
          </cell>
          <cell r="H5763" t="str">
            <v>hydro</v>
          </cell>
        </row>
        <row r="5764">
          <cell r="C5764" t="str">
            <v>HY</v>
          </cell>
          <cell r="D5764">
            <v>1.5</v>
          </cell>
          <cell r="H5764" t="str">
            <v>hydro</v>
          </cell>
        </row>
        <row r="5765">
          <cell r="C5765" t="str">
            <v>HY</v>
          </cell>
          <cell r="D5765">
            <v>1.5</v>
          </cell>
          <cell r="H5765" t="str">
            <v>hydro</v>
          </cell>
        </row>
        <row r="5766">
          <cell r="C5766" t="str">
            <v>HY</v>
          </cell>
          <cell r="D5766">
            <v>1.5</v>
          </cell>
          <cell r="H5766" t="str">
            <v>hydro</v>
          </cell>
        </row>
        <row r="5767">
          <cell r="C5767" t="str">
            <v>HY</v>
          </cell>
          <cell r="D5767">
            <v>6.1</v>
          </cell>
          <cell r="H5767" t="str">
            <v>hydro</v>
          </cell>
        </row>
        <row r="5768">
          <cell r="C5768" t="str">
            <v>HY</v>
          </cell>
          <cell r="D5768">
            <v>52.5</v>
          </cell>
          <cell r="H5768" t="str">
            <v>hydro</v>
          </cell>
        </row>
        <row r="5769">
          <cell r="C5769" t="str">
            <v>HY</v>
          </cell>
          <cell r="D5769">
            <v>52.5</v>
          </cell>
          <cell r="H5769" t="str">
            <v>hydro</v>
          </cell>
        </row>
        <row r="5770">
          <cell r="C5770" t="str">
            <v>HY</v>
          </cell>
          <cell r="D5770">
            <v>10.8</v>
          </cell>
          <cell r="H5770" t="str">
            <v>hydro</v>
          </cell>
        </row>
        <row r="5771">
          <cell r="C5771" t="str">
            <v>HY</v>
          </cell>
          <cell r="D5771">
            <v>10.8</v>
          </cell>
          <cell r="H5771" t="str">
            <v>hydro</v>
          </cell>
        </row>
        <row r="5772">
          <cell r="C5772" t="str">
            <v>HY</v>
          </cell>
          <cell r="D5772">
            <v>10.8</v>
          </cell>
          <cell r="H5772" t="str">
            <v>hydro</v>
          </cell>
        </row>
        <row r="5773">
          <cell r="C5773" t="str">
            <v>HY</v>
          </cell>
          <cell r="D5773">
            <v>10.8</v>
          </cell>
          <cell r="H5773" t="str">
            <v>hydro</v>
          </cell>
        </row>
        <row r="5774">
          <cell r="C5774" t="str">
            <v>HY</v>
          </cell>
          <cell r="D5774">
            <v>22.4</v>
          </cell>
          <cell r="H5774" t="str">
            <v>hydro</v>
          </cell>
        </row>
        <row r="5775">
          <cell r="C5775" t="str">
            <v>HY</v>
          </cell>
          <cell r="D5775">
            <v>22.5</v>
          </cell>
          <cell r="H5775" t="str">
            <v>hydro</v>
          </cell>
        </row>
        <row r="5776">
          <cell r="C5776" t="str">
            <v>HY</v>
          </cell>
          <cell r="D5776">
            <v>22.5</v>
          </cell>
          <cell r="H5776" t="str">
            <v>hydro</v>
          </cell>
        </row>
        <row r="5777">
          <cell r="C5777" t="str">
            <v>HY</v>
          </cell>
          <cell r="D5777">
            <v>22.1</v>
          </cell>
          <cell r="H5777" t="str">
            <v>hydro</v>
          </cell>
        </row>
        <row r="5778">
          <cell r="C5778" t="str">
            <v>HY</v>
          </cell>
          <cell r="D5778">
            <v>0.9</v>
          </cell>
          <cell r="H5778" t="str">
            <v>hydro</v>
          </cell>
        </row>
        <row r="5779">
          <cell r="C5779" t="str">
            <v>HY</v>
          </cell>
          <cell r="D5779">
            <v>0.3</v>
          </cell>
          <cell r="H5779" t="str">
            <v>hydro</v>
          </cell>
        </row>
        <row r="5780">
          <cell r="C5780" t="str">
            <v>HY</v>
          </cell>
          <cell r="D5780">
            <v>0.2</v>
          </cell>
          <cell r="H5780" t="str">
            <v>hydro</v>
          </cell>
        </row>
        <row r="5781">
          <cell r="C5781" t="str">
            <v>HY</v>
          </cell>
          <cell r="D5781">
            <v>0.2</v>
          </cell>
          <cell r="H5781" t="str">
            <v>hydro</v>
          </cell>
        </row>
        <row r="5782">
          <cell r="C5782" t="str">
            <v>HY</v>
          </cell>
          <cell r="D5782">
            <v>8.8000000000000007</v>
          </cell>
          <cell r="H5782" t="str">
            <v>hydro</v>
          </cell>
        </row>
        <row r="5783">
          <cell r="C5783" t="str">
            <v>HY</v>
          </cell>
          <cell r="D5783">
            <v>8.8000000000000007</v>
          </cell>
          <cell r="H5783" t="str">
            <v>hydro</v>
          </cell>
        </row>
        <row r="5784">
          <cell r="C5784" t="str">
            <v>HY</v>
          </cell>
          <cell r="D5784">
            <v>10</v>
          </cell>
          <cell r="H5784" t="str">
            <v>hydro</v>
          </cell>
        </row>
        <row r="5785">
          <cell r="C5785" t="str">
            <v>HY</v>
          </cell>
          <cell r="D5785">
            <v>10</v>
          </cell>
          <cell r="H5785" t="str">
            <v>hydro</v>
          </cell>
        </row>
        <row r="5786">
          <cell r="C5786" t="str">
            <v>HY</v>
          </cell>
          <cell r="D5786">
            <v>2.7</v>
          </cell>
          <cell r="H5786" t="str">
            <v>hydro</v>
          </cell>
        </row>
        <row r="5787">
          <cell r="C5787" t="str">
            <v>HY</v>
          </cell>
          <cell r="D5787">
            <v>2.7</v>
          </cell>
          <cell r="H5787" t="str">
            <v>hydro</v>
          </cell>
        </row>
        <row r="5788">
          <cell r="C5788" t="str">
            <v>HY</v>
          </cell>
          <cell r="D5788">
            <v>6</v>
          </cell>
          <cell r="H5788" t="str">
            <v>hydro</v>
          </cell>
        </row>
        <row r="5789">
          <cell r="C5789" t="str">
            <v>HY</v>
          </cell>
          <cell r="D5789">
            <v>104.9</v>
          </cell>
          <cell r="H5789" t="str">
            <v>hydro</v>
          </cell>
        </row>
        <row r="5790">
          <cell r="C5790" t="str">
            <v>HY</v>
          </cell>
          <cell r="D5790">
            <v>129.9</v>
          </cell>
          <cell r="H5790" t="str">
            <v>hydro</v>
          </cell>
        </row>
        <row r="5791">
          <cell r="C5791" t="str">
            <v>HY</v>
          </cell>
          <cell r="D5791">
            <v>129.9</v>
          </cell>
          <cell r="H5791" t="str">
            <v>hydro</v>
          </cell>
        </row>
        <row r="5792">
          <cell r="C5792" t="str">
            <v>HY</v>
          </cell>
          <cell r="D5792">
            <v>104.9</v>
          </cell>
          <cell r="H5792" t="str">
            <v>hydro</v>
          </cell>
        </row>
        <row r="5793">
          <cell r="C5793" t="str">
            <v>HY</v>
          </cell>
          <cell r="D5793">
            <v>104.9</v>
          </cell>
          <cell r="H5793" t="str">
            <v>hydro</v>
          </cell>
        </row>
        <row r="5794">
          <cell r="C5794" t="str">
            <v>HY</v>
          </cell>
          <cell r="D5794">
            <v>104.9</v>
          </cell>
          <cell r="H5794" t="str">
            <v>hydro</v>
          </cell>
        </row>
        <row r="5795">
          <cell r="C5795" t="str">
            <v>HY</v>
          </cell>
          <cell r="D5795">
            <v>104.9</v>
          </cell>
          <cell r="H5795" t="str">
            <v>hydro</v>
          </cell>
        </row>
        <row r="5796">
          <cell r="C5796" t="str">
            <v>HY</v>
          </cell>
          <cell r="D5796">
            <v>104.9</v>
          </cell>
          <cell r="H5796" t="str">
            <v>hydro</v>
          </cell>
        </row>
        <row r="5797">
          <cell r="C5797" t="str">
            <v>HY</v>
          </cell>
          <cell r="D5797">
            <v>104.9</v>
          </cell>
          <cell r="H5797" t="str">
            <v>hydro</v>
          </cell>
        </row>
        <row r="5798">
          <cell r="C5798" t="str">
            <v>HY</v>
          </cell>
          <cell r="D5798">
            <v>129.9</v>
          </cell>
          <cell r="H5798" t="str">
            <v>hydro</v>
          </cell>
        </row>
        <row r="5799">
          <cell r="C5799" t="str">
            <v>HY</v>
          </cell>
          <cell r="D5799">
            <v>129.9</v>
          </cell>
          <cell r="H5799" t="str">
            <v>hydro</v>
          </cell>
        </row>
        <row r="5800">
          <cell r="C5800" t="str">
            <v>HY</v>
          </cell>
          <cell r="D5800">
            <v>84</v>
          </cell>
          <cell r="H5800" t="str">
            <v>hydro</v>
          </cell>
        </row>
        <row r="5801">
          <cell r="C5801" t="str">
            <v>HY</v>
          </cell>
          <cell r="D5801">
            <v>84</v>
          </cell>
          <cell r="H5801" t="str">
            <v>hydro</v>
          </cell>
        </row>
        <row r="5802">
          <cell r="C5802" t="str">
            <v>HY</v>
          </cell>
          <cell r="D5802">
            <v>84</v>
          </cell>
          <cell r="H5802" t="str">
            <v>hydro</v>
          </cell>
        </row>
        <row r="5803">
          <cell r="C5803" t="str">
            <v>HY</v>
          </cell>
          <cell r="D5803">
            <v>84</v>
          </cell>
          <cell r="H5803" t="str">
            <v>hydro</v>
          </cell>
        </row>
        <row r="5804">
          <cell r="C5804" t="str">
            <v>HY</v>
          </cell>
          <cell r="D5804">
            <v>84</v>
          </cell>
          <cell r="H5804" t="str">
            <v>hydro</v>
          </cell>
        </row>
        <row r="5805">
          <cell r="C5805" t="str">
            <v>HY</v>
          </cell>
          <cell r="D5805">
            <v>84</v>
          </cell>
          <cell r="H5805" t="str">
            <v>hydro</v>
          </cell>
        </row>
        <row r="5806">
          <cell r="C5806" t="str">
            <v>HY</v>
          </cell>
          <cell r="D5806">
            <v>84</v>
          </cell>
          <cell r="H5806" t="str">
            <v>hydro</v>
          </cell>
        </row>
        <row r="5807">
          <cell r="C5807" t="str">
            <v>HY</v>
          </cell>
          <cell r="D5807">
            <v>84</v>
          </cell>
          <cell r="H5807" t="str">
            <v>hydro</v>
          </cell>
        </row>
        <row r="5808">
          <cell r="C5808" t="str">
            <v>HY</v>
          </cell>
          <cell r="D5808">
            <v>84</v>
          </cell>
          <cell r="H5808" t="str">
            <v>hydro</v>
          </cell>
        </row>
        <row r="5809">
          <cell r="C5809" t="str">
            <v>HY</v>
          </cell>
          <cell r="D5809">
            <v>84</v>
          </cell>
          <cell r="H5809" t="str">
            <v>hydro</v>
          </cell>
        </row>
        <row r="5810">
          <cell r="C5810" t="str">
            <v>HY</v>
          </cell>
          <cell r="D5810">
            <v>95</v>
          </cell>
          <cell r="H5810" t="str">
            <v>hydro</v>
          </cell>
        </row>
        <row r="5811">
          <cell r="C5811" t="str">
            <v>HY</v>
          </cell>
          <cell r="D5811">
            <v>95</v>
          </cell>
          <cell r="H5811" t="str">
            <v>hydro</v>
          </cell>
        </row>
        <row r="5812">
          <cell r="C5812" t="str">
            <v>HY</v>
          </cell>
          <cell r="D5812">
            <v>97.8</v>
          </cell>
          <cell r="H5812" t="str">
            <v>hydro</v>
          </cell>
        </row>
        <row r="5813">
          <cell r="C5813" t="str">
            <v>HY</v>
          </cell>
          <cell r="D5813">
            <v>95</v>
          </cell>
          <cell r="H5813" t="str">
            <v>hydro</v>
          </cell>
        </row>
        <row r="5814">
          <cell r="C5814" t="str">
            <v>HY</v>
          </cell>
          <cell r="D5814">
            <v>95</v>
          </cell>
          <cell r="H5814" t="str">
            <v>hydro</v>
          </cell>
        </row>
        <row r="5815">
          <cell r="C5815" t="str">
            <v>HY</v>
          </cell>
          <cell r="D5815">
            <v>95</v>
          </cell>
          <cell r="H5815" t="str">
            <v>hydro</v>
          </cell>
        </row>
        <row r="5816">
          <cell r="C5816" t="str">
            <v>HY</v>
          </cell>
          <cell r="D5816">
            <v>95</v>
          </cell>
          <cell r="H5816" t="str">
            <v>hydro</v>
          </cell>
        </row>
        <row r="5817">
          <cell r="C5817" t="str">
            <v>HY</v>
          </cell>
          <cell r="D5817">
            <v>95</v>
          </cell>
          <cell r="H5817" t="str">
            <v>hydro</v>
          </cell>
        </row>
        <row r="5818">
          <cell r="C5818" t="str">
            <v>HY</v>
          </cell>
          <cell r="D5818">
            <v>95</v>
          </cell>
          <cell r="H5818" t="str">
            <v>hydro</v>
          </cell>
        </row>
        <row r="5819">
          <cell r="C5819" t="str">
            <v>HY</v>
          </cell>
          <cell r="D5819">
            <v>95</v>
          </cell>
          <cell r="H5819" t="str">
            <v>hydro</v>
          </cell>
        </row>
        <row r="5820">
          <cell r="C5820" t="str">
            <v>HY</v>
          </cell>
          <cell r="D5820">
            <v>122</v>
          </cell>
          <cell r="H5820" t="str">
            <v>hydro</v>
          </cell>
        </row>
        <row r="5821">
          <cell r="C5821" t="str">
            <v>HY</v>
          </cell>
          <cell r="D5821">
            <v>122</v>
          </cell>
          <cell r="H5821" t="str">
            <v>hydro</v>
          </cell>
        </row>
        <row r="5822">
          <cell r="C5822" t="str">
            <v>HY</v>
          </cell>
          <cell r="D5822">
            <v>122</v>
          </cell>
          <cell r="H5822" t="str">
            <v>hydro</v>
          </cell>
        </row>
        <row r="5823">
          <cell r="C5823" t="str">
            <v>HY</v>
          </cell>
          <cell r="D5823">
            <v>122</v>
          </cell>
          <cell r="H5823" t="str">
            <v>hydro</v>
          </cell>
        </row>
        <row r="5824">
          <cell r="C5824" t="str">
            <v>HY</v>
          </cell>
          <cell r="D5824">
            <v>122</v>
          </cell>
          <cell r="H5824" t="str">
            <v>hydro</v>
          </cell>
        </row>
        <row r="5825">
          <cell r="C5825" t="str">
            <v>HY</v>
          </cell>
          <cell r="D5825">
            <v>122</v>
          </cell>
          <cell r="H5825" t="str">
            <v>hydro</v>
          </cell>
        </row>
        <row r="5826">
          <cell r="C5826" t="str">
            <v>HY</v>
          </cell>
          <cell r="D5826">
            <v>122</v>
          </cell>
          <cell r="H5826" t="str">
            <v>hydro</v>
          </cell>
        </row>
        <row r="5827">
          <cell r="C5827" t="str">
            <v>HY</v>
          </cell>
          <cell r="D5827">
            <v>122</v>
          </cell>
          <cell r="H5827" t="str">
            <v>hydro</v>
          </cell>
        </row>
        <row r="5828">
          <cell r="C5828" t="str">
            <v>HY</v>
          </cell>
          <cell r="D5828">
            <v>122</v>
          </cell>
          <cell r="H5828" t="str">
            <v>hydro</v>
          </cell>
        </row>
        <row r="5829">
          <cell r="C5829" t="str">
            <v>HY</v>
          </cell>
          <cell r="D5829">
            <v>22.5</v>
          </cell>
          <cell r="H5829" t="str">
            <v>hydro</v>
          </cell>
        </row>
        <row r="5830">
          <cell r="C5830" t="str">
            <v>HY</v>
          </cell>
          <cell r="D5830">
            <v>22.5</v>
          </cell>
          <cell r="H5830" t="str">
            <v>hydro</v>
          </cell>
        </row>
        <row r="5831">
          <cell r="C5831" t="str">
            <v>HY</v>
          </cell>
          <cell r="D5831">
            <v>22.5</v>
          </cell>
          <cell r="H5831" t="str">
            <v>hydro</v>
          </cell>
        </row>
        <row r="5832">
          <cell r="C5832" t="str">
            <v>HY</v>
          </cell>
          <cell r="D5832">
            <v>22.5</v>
          </cell>
          <cell r="H5832" t="str">
            <v>hydro</v>
          </cell>
        </row>
        <row r="5833">
          <cell r="C5833" t="str">
            <v>HY</v>
          </cell>
          <cell r="D5833">
            <v>50</v>
          </cell>
          <cell r="H5833" t="str">
            <v>hydro</v>
          </cell>
        </row>
        <row r="5834">
          <cell r="C5834" t="str">
            <v>HY</v>
          </cell>
          <cell r="D5834">
            <v>78</v>
          </cell>
          <cell r="H5834" t="str">
            <v>hydro</v>
          </cell>
        </row>
        <row r="5835">
          <cell r="C5835" t="str">
            <v>HY</v>
          </cell>
          <cell r="D5835">
            <v>78</v>
          </cell>
          <cell r="H5835" t="str">
            <v>hydro</v>
          </cell>
        </row>
        <row r="5836">
          <cell r="C5836" t="str">
            <v>HY</v>
          </cell>
          <cell r="D5836">
            <v>78</v>
          </cell>
          <cell r="H5836" t="str">
            <v>hydro</v>
          </cell>
        </row>
        <row r="5837">
          <cell r="C5837" t="str">
            <v>HY</v>
          </cell>
          <cell r="D5837">
            <v>78</v>
          </cell>
          <cell r="H5837" t="str">
            <v>hydro</v>
          </cell>
        </row>
        <row r="5838">
          <cell r="C5838" t="str">
            <v>HY</v>
          </cell>
          <cell r="D5838">
            <v>78</v>
          </cell>
          <cell r="H5838" t="str">
            <v>hydro</v>
          </cell>
        </row>
        <row r="5839">
          <cell r="C5839" t="str">
            <v>HY</v>
          </cell>
          <cell r="D5839">
            <v>86</v>
          </cell>
          <cell r="H5839" t="str">
            <v>hydro</v>
          </cell>
        </row>
        <row r="5840">
          <cell r="C5840" t="str">
            <v>HY</v>
          </cell>
          <cell r="D5840">
            <v>86</v>
          </cell>
          <cell r="H5840" t="str">
            <v>hydro</v>
          </cell>
        </row>
        <row r="5841">
          <cell r="C5841" t="str">
            <v>HY</v>
          </cell>
          <cell r="D5841">
            <v>86</v>
          </cell>
          <cell r="H5841" t="str">
            <v>hydro</v>
          </cell>
        </row>
        <row r="5842">
          <cell r="C5842" t="str">
            <v>HY</v>
          </cell>
          <cell r="D5842">
            <v>86</v>
          </cell>
          <cell r="H5842" t="str">
            <v>hydro</v>
          </cell>
        </row>
        <row r="5843">
          <cell r="C5843" t="str">
            <v>HY</v>
          </cell>
          <cell r="D5843">
            <v>86</v>
          </cell>
          <cell r="H5843" t="str">
            <v>hydro</v>
          </cell>
        </row>
        <row r="5844">
          <cell r="C5844" t="str">
            <v>HY</v>
          </cell>
          <cell r="D5844">
            <v>50</v>
          </cell>
          <cell r="H5844" t="str">
            <v>hydro</v>
          </cell>
        </row>
        <row r="5845">
          <cell r="C5845" t="str">
            <v>HY</v>
          </cell>
          <cell r="D5845">
            <v>86</v>
          </cell>
          <cell r="H5845" t="str">
            <v>hydro</v>
          </cell>
        </row>
        <row r="5846">
          <cell r="C5846" t="str">
            <v>HY</v>
          </cell>
          <cell r="D5846">
            <v>86</v>
          </cell>
          <cell r="H5846" t="str">
            <v>hydro</v>
          </cell>
        </row>
        <row r="5847">
          <cell r="C5847" t="str">
            <v>HY</v>
          </cell>
          <cell r="D5847">
            <v>86</v>
          </cell>
          <cell r="H5847" t="str">
            <v>hydro</v>
          </cell>
        </row>
        <row r="5848">
          <cell r="C5848" t="str">
            <v>HY</v>
          </cell>
          <cell r="D5848">
            <v>78</v>
          </cell>
          <cell r="H5848" t="str">
            <v>hydro</v>
          </cell>
        </row>
        <row r="5849">
          <cell r="C5849" t="str">
            <v>HY</v>
          </cell>
          <cell r="D5849">
            <v>78</v>
          </cell>
          <cell r="H5849" t="str">
            <v>hydro</v>
          </cell>
        </row>
        <row r="5850">
          <cell r="C5850" t="str">
            <v>HY</v>
          </cell>
          <cell r="D5850">
            <v>92.7</v>
          </cell>
          <cell r="H5850" t="str">
            <v>hydro</v>
          </cell>
        </row>
        <row r="5851">
          <cell r="C5851" t="str">
            <v>HY</v>
          </cell>
          <cell r="D5851">
            <v>78</v>
          </cell>
          <cell r="H5851" t="str">
            <v>hydro</v>
          </cell>
        </row>
        <row r="5852">
          <cell r="C5852" t="str">
            <v>HY</v>
          </cell>
          <cell r="D5852">
            <v>78</v>
          </cell>
          <cell r="H5852" t="str">
            <v>hydro</v>
          </cell>
        </row>
        <row r="5853">
          <cell r="C5853" t="str">
            <v>HY</v>
          </cell>
          <cell r="D5853">
            <v>78</v>
          </cell>
          <cell r="H5853" t="str">
            <v>hydro</v>
          </cell>
        </row>
        <row r="5854">
          <cell r="C5854" t="str">
            <v>HY</v>
          </cell>
          <cell r="D5854">
            <v>78</v>
          </cell>
          <cell r="H5854" t="str">
            <v>hydro</v>
          </cell>
        </row>
        <row r="5855">
          <cell r="C5855" t="str">
            <v>HY</v>
          </cell>
          <cell r="D5855">
            <v>14</v>
          </cell>
          <cell r="H5855" t="str">
            <v>hydro</v>
          </cell>
        </row>
        <row r="5856">
          <cell r="C5856" t="str">
            <v>HY</v>
          </cell>
          <cell r="D5856">
            <v>14</v>
          </cell>
          <cell r="H5856" t="str">
            <v>hydro</v>
          </cell>
        </row>
        <row r="5857">
          <cell r="C5857" t="str">
            <v>HY</v>
          </cell>
          <cell r="D5857">
            <v>25.2</v>
          </cell>
          <cell r="H5857" t="str">
            <v>hydro</v>
          </cell>
        </row>
        <row r="5858">
          <cell r="C5858" t="str">
            <v>HY</v>
          </cell>
          <cell r="D5858">
            <v>25.2</v>
          </cell>
          <cell r="H5858" t="str">
            <v>hydro</v>
          </cell>
        </row>
        <row r="5859">
          <cell r="C5859" t="str">
            <v>HY</v>
          </cell>
          <cell r="D5859">
            <v>26.7</v>
          </cell>
          <cell r="H5859" t="str">
            <v>hydro</v>
          </cell>
        </row>
        <row r="5860">
          <cell r="C5860" t="str">
            <v>HY</v>
          </cell>
          <cell r="D5860">
            <v>26.7</v>
          </cell>
          <cell r="H5860" t="str">
            <v>hydro</v>
          </cell>
        </row>
        <row r="5861">
          <cell r="C5861" t="str">
            <v>HY</v>
          </cell>
          <cell r="D5861">
            <v>30</v>
          </cell>
          <cell r="H5861" t="str">
            <v>hydro</v>
          </cell>
        </row>
        <row r="5862">
          <cell r="C5862" t="str">
            <v>HY</v>
          </cell>
          <cell r="D5862">
            <v>30</v>
          </cell>
          <cell r="H5862" t="str">
            <v>hydro</v>
          </cell>
        </row>
        <row r="5863">
          <cell r="C5863" t="str">
            <v>HY</v>
          </cell>
          <cell r="D5863">
            <v>30</v>
          </cell>
          <cell r="H5863" t="str">
            <v>hydro</v>
          </cell>
        </row>
        <row r="5864">
          <cell r="C5864" t="str">
            <v>HY</v>
          </cell>
          <cell r="D5864">
            <v>1.8</v>
          </cell>
          <cell r="H5864" t="str">
            <v>hydro</v>
          </cell>
        </row>
        <row r="5865">
          <cell r="C5865" t="str">
            <v>HY</v>
          </cell>
          <cell r="D5865">
            <v>1.8</v>
          </cell>
          <cell r="H5865" t="str">
            <v>hydro</v>
          </cell>
        </row>
        <row r="5866">
          <cell r="C5866" t="str">
            <v>HY</v>
          </cell>
          <cell r="D5866">
            <v>6</v>
          </cell>
          <cell r="H5866" t="str">
            <v>hydro</v>
          </cell>
        </row>
        <row r="5867">
          <cell r="C5867" t="str">
            <v>HY</v>
          </cell>
          <cell r="D5867">
            <v>6</v>
          </cell>
          <cell r="H5867" t="str">
            <v>hydro</v>
          </cell>
        </row>
        <row r="5868">
          <cell r="C5868" t="str">
            <v>HY</v>
          </cell>
          <cell r="D5868">
            <v>6</v>
          </cell>
          <cell r="H5868" t="str">
            <v>hydro</v>
          </cell>
        </row>
        <row r="5869">
          <cell r="C5869" t="str">
            <v>HY</v>
          </cell>
          <cell r="D5869">
            <v>6</v>
          </cell>
          <cell r="H5869" t="str">
            <v>hydro</v>
          </cell>
        </row>
        <row r="5870">
          <cell r="C5870" t="str">
            <v>HY</v>
          </cell>
          <cell r="D5870">
            <v>40</v>
          </cell>
          <cell r="H5870" t="str">
            <v>hydro</v>
          </cell>
        </row>
        <row r="5871">
          <cell r="C5871" t="str">
            <v>HY</v>
          </cell>
          <cell r="D5871">
            <v>41</v>
          </cell>
          <cell r="H5871" t="str">
            <v>hydro</v>
          </cell>
        </row>
        <row r="5872">
          <cell r="C5872" t="str">
            <v>HY</v>
          </cell>
          <cell r="D5872">
            <v>41</v>
          </cell>
          <cell r="H5872" t="str">
            <v>hydro</v>
          </cell>
        </row>
        <row r="5873">
          <cell r="C5873" t="str">
            <v>HY</v>
          </cell>
          <cell r="D5873">
            <v>41</v>
          </cell>
          <cell r="H5873" t="str">
            <v>hydro</v>
          </cell>
        </row>
        <row r="5874">
          <cell r="C5874" t="str">
            <v>HY</v>
          </cell>
          <cell r="D5874">
            <v>41</v>
          </cell>
          <cell r="H5874" t="str">
            <v>hydro</v>
          </cell>
        </row>
        <row r="5875">
          <cell r="C5875" t="str">
            <v>HY</v>
          </cell>
          <cell r="D5875">
            <v>186</v>
          </cell>
          <cell r="H5875" t="str">
            <v>hydro</v>
          </cell>
        </row>
        <row r="5876">
          <cell r="C5876" t="str">
            <v>HY</v>
          </cell>
          <cell r="D5876">
            <v>157</v>
          </cell>
          <cell r="H5876" t="str">
            <v>hydro</v>
          </cell>
        </row>
        <row r="5877">
          <cell r="C5877" t="str">
            <v>HY</v>
          </cell>
          <cell r="D5877">
            <v>88.2</v>
          </cell>
          <cell r="H5877" t="str">
            <v>hydro</v>
          </cell>
        </row>
        <row r="5878">
          <cell r="C5878" t="str">
            <v>HY</v>
          </cell>
          <cell r="D5878">
            <v>88.2</v>
          </cell>
          <cell r="H5878" t="str">
            <v>hydro</v>
          </cell>
        </row>
        <row r="5879">
          <cell r="C5879" t="str">
            <v>HY</v>
          </cell>
          <cell r="D5879">
            <v>88.2</v>
          </cell>
          <cell r="H5879" t="str">
            <v>hydro</v>
          </cell>
        </row>
        <row r="5880">
          <cell r="C5880" t="str">
            <v>HY</v>
          </cell>
          <cell r="D5880">
            <v>88.2</v>
          </cell>
          <cell r="H5880" t="str">
            <v>hydro</v>
          </cell>
        </row>
        <row r="5881">
          <cell r="C5881" t="str">
            <v>HY</v>
          </cell>
          <cell r="D5881">
            <v>65</v>
          </cell>
          <cell r="H5881" t="str">
            <v>hydro</v>
          </cell>
        </row>
        <row r="5882">
          <cell r="C5882" t="str">
            <v>HY</v>
          </cell>
          <cell r="D5882">
            <v>88.2</v>
          </cell>
          <cell r="H5882" t="str">
            <v>hydro</v>
          </cell>
        </row>
        <row r="5883">
          <cell r="C5883" t="str">
            <v>HY</v>
          </cell>
          <cell r="D5883">
            <v>88.2</v>
          </cell>
          <cell r="H5883" t="str">
            <v>hydro</v>
          </cell>
        </row>
        <row r="5884">
          <cell r="C5884" t="str">
            <v>HY</v>
          </cell>
          <cell r="D5884">
            <v>65</v>
          </cell>
          <cell r="H5884" t="str">
            <v>hydro</v>
          </cell>
        </row>
        <row r="5885">
          <cell r="C5885" t="str">
            <v>HY</v>
          </cell>
          <cell r="D5885">
            <v>95</v>
          </cell>
          <cell r="H5885" t="str">
            <v>hydro</v>
          </cell>
        </row>
        <row r="5886">
          <cell r="C5886" t="str">
            <v>HY</v>
          </cell>
          <cell r="D5886">
            <v>95</v>
          </cell>
          <cell r="H5886" t="str">
            <v>hydro</v>
          </cell>
        </row>
        <row r="5887">
          <cell r="C5887" t="str">
            <v>HY</v>
          </cell>
          <cell r="D5887">
            <v>95</v>
          </cell>
          <cell r="H5887" t="str">
            <v>hydro</v>
          </cell>
        </row>
        <row r="5888">
          <cell r="C5888" t="str">
            <v>HY</v>
          </cell>
          <cell r="D5888">
            <v>88.2</v>
          </cell>
          <cell r="H5888" t="str">
            <v>hydro</v>
          </cell>
        </row>
        <row r="5889">
          <cell r="C5889" t="str">
            <v>HY</v>
          </cell>
          <cell r="D5889">
            <v>95</v>
          </cell>
          <cell r="H5889" t="str">
            <v>hydro</v>
          </cell>
        </row>
        <row r="5890">
          <cell r="C5890" t="str">
            <v>HY</v>
          </cell>
          <cell r="D5890">
            <v>95</v>
          </cell>
          <cell r="H5890" t="str">
            <v>hydro</v>
          </cell>
        </row>
        <row r="5891">
          <cell r="C5891" t="str">
            <v>HY</v>
          </cell>
          <cell r="D5891">
            <v>95</v>
          </cell>
          <cell r="H5891" t="str">
            <v>hydro</v>
          </cell>
        </row>
        <row r="5892">
          <cell r="C5892" t="str">
            <v>HY</v>
          </cell>
          <cell r="D5892">
            <v>95</v>
          </cell>
          <cell r="H5892" t="str">
            <v>hydro</v>
          </cell>
        </row>
        <row r="5893">
          <cell r="C5893" t="str">
            <v>HY</v>
          </cell>
          <cell r="D5893">
            <v>95</v>
          </cell>
          <cell r="H5893" t="str">
            <v>hydro</v>
          </cell>
        </row>
        <row r="5894">
          <cell r="C5894" t="str">
            <v>HY</v>
          </cell>
          <cell r="D5894">
            <v>95</v>
          </cell>
          <cell r="H5894" t="str">
            <v>hydro</v>
          </cell>
        </row>
        <row r="5895">
          <cell r="C5895" t="str">
            <v>HY</v>
          </cell>
          <cell r="D5895">
            <v>95</v>
          </cell>
          <cell r="H5895" t="str">
            <v>hydro</v>
          </cell>
        </row>
        <row r="5896">
          <cell r="C5896" t="str">
            <v>HY</v>
          </cell>
          <cell r="D5896">
            <v>95</v>
          </cell>
          <cell r="H5896" t="str">
            <v>hydro</v>
          </cell>
        </row>
        <row r="5897">
          <cell r="C5897" t="str">
            <v>HY</v>
          </cell>
          <cell r="D5897">
            <v>88.2</v>
          </cell>
          <cell r="H5897" t="str">
            <v>hydro</v>
          </cell>
        </row>
        <row r="5898">
          <cell r="C5898" t="str">
            <v>HY</v>
          </cell>
          <cell r="D5898">
            <v>88.2</v>
          </cell>
          <cell r="H5898" t="str">
            <v>hydro</v>
          </cell>
        </row>
        <row r="5899">
          <cell r="C5899" t="str">
            <v>HY</v>
          </cell>
          <cell r="D5899">
            <v>88.2</v>
          </cell>
          <cell r="H5899" t="str">
            <v>hydro</v>
          </cell>
        </row>
        <row r="5900">
          <cell r="C5900" t="str">
            <v>HY</v>
          </cell>
          <cell r="D5900">
            <v>88.2</v>
          </cell>
          <cell r="H5900" t="str">
            <v>hydro</v>
          </cell>
        </row>
        <row r="5901">
          <cell r="C5901" t="str">
            <v>HY</v>
          </cell>
          <cell r="D5901">
            <v>88.2</v>
          </cell>
          <cell r="H5901" t="str">
            <v>hydro</v>
          </cell>
        </row>
        <row r="5902">
          <cell r="C5902" t="str">
            <v>HY</v>
          </cell>
          <cell r="D5902">
            <v>88.2</v>
          </cell>
          <cell r="H5902" t="str">
            <v>hydro</v>
          </cell>
        </row>
        <row r="5903">
          <cell r="C5903" t="str">
            <v>HY</v>
          </cell>
          <cell r="D5903">
            <v>88.2</v>
          </cell>
          <cell r="H5903" t="str">
            <v>hydro</v>
          </cell>
        </row>
        <row r="5904">
          <cell r="C5904" t="str">
            <v>HY</v>
          </cell>
          <cell r="D5904">
            <v>72</v>
          </cell>
          <cell r="H5904" t="str">
            <v>hydro</v>
          </cell>
        </row>
        <row r="5905">
          <cell r="C5905" t="str">
            <v>HY</v>
          </cell>
          <cell r="D5905">
            <v>90</v>
          </cell>
          <cell r="H5905" t="str">
            <v>hydro</v>
          </cell>
        </row>
        <row r="5906">
          <cell r="C5906" t="str">
            <v>HY</v>
          </cell>
          <cell r="D5906">
            <v>76</v>
          </cell>
          <cell r="H5906" t="str">
            <v>hydro</v>
          </cell>
        </row>
        <row r="5907">
          <cell r="C5907" t="str">
            <v>HY</v>
          </cell>
          <cell r="D5907">
            <v>111</v>
          </cell>
          <cell r="H5907" t="str">
            <v>hydro</v>
          </cell>
        </row>
        <row r="5908">
          <cell r="C5908" t="str">
            <v>HY</v>
          </cell>
          <cell r="D5908">
            <v>87</v>
          </cell>
          <cell r="H5908" t="str">
            <v>hydro</v>
          </cell>
        </row>
        <row r="5909">
          <cell r="C5909" t="str">
            <v>HY</v>
          </cell>
          <cell r="D5909">
            <v>87</v>
          </cell>
          <cell r="H5909" t="str">
            <v>hydro</v>
          </cell>
        </row>
        <row r="5910">
          <cell r="C5910" t="str">
            <v>HY</v>
          </cell>
          <cell r="D5910">
            <v>135</v>
          </cell>
          <cell r="H5910" t="str">
            <v>hydro</v>
          </cell>
        </row>
        <row r="5911">
          <cell r="C5911" t="str">
            <v>HY</v>
          </cell>
          <cell r="D5911">
            <v>135</v>
          </cell>
          <cell r="H5911" t="str">
            <v>hydro</v>
          </cell>
        </row>
        <row r="5912">
          <cell r="C5912" t="str">
            <v>HY</v>
          </cell>
          <cell r="D5912">
            <v>135</v>
          </cell>
          <cell r="H5912" t="str">
            <v>hydro</v>
          </cell>
        </row>
        <row r="5913">
          <cell r="C5913" t="str">
            <v>HY</v>
          </cell>
          <cell r="D5913">
            <v>135</v>
          </cell>
          <cell r="H5913" t="str">
            <v>hydro</v>
          </cell>
        </row>
        <row r="5914">
          <cell r="C5914" t="str">
            <v>HY</v>
          </cell>
          <cell r="D5914">
            <v>135</v>
          </cell>
          <cell r="H5914" t="str">
            <v>hydro</v>
          </cell>
        </row>
        <row r="5915">
          <cell r="C5915" t="str">
            <v>HY</v>
          </cell>
          <cell r="D5915">
            <v>135</v>
          </cell>
          <cell r="H5915" t="str">
            <v>hydro</v>
          </cell>
        </row>
        <row r="5916">
          <cell r="C5916" t="str">
            <v>HY</v>
          </cell>
          <cell r="D5916">
            <v>135</v>
          </cell>
          <cell r="H5916" t="str">
            <v>hydro</v>
          </cell>
        </row>
        <row r="5917">
          <cell r="C5917" t="str">
            <v>HY</v>
          </cell>
          <cell r="D5917">
            <v>95</v>
          </cell>
          <cell r="H5917" t="str">
            <v>hydro</v>
          </cell>
        </row>
        <row r="5918">
          <cell r="C5918" t="str">
            <v>HY</v>
          </cell>
          <cell r="D5918">
            <v>117</v>
          </cell>
          <cell r="H5918" t="str">
            <v>hydro</v>
          </cell>
        </row>
        <row r="5919">
          <cell r="C5919" t="str">
            <v>HY</v>
          </cell>
          <cell r="D5919">
            <v>135</v>
          </cell>
          <cell r="H5919" t="str">
            <v>hydro</v>
          </cell>
        </row>
        <row r="5920">
          <cell r="C5920" t="str">
            <v>HY</v>
          </cell>
          <cell r="D5920">
            <v>135</v>
          </cell>
          <cell r="H5920" t="str">
            <v>hydro</v>
          </cell>
        </row>
        <row r="5921">
          <cell r="C5921" t="str">
            <v>HY</v>
          </cell>
          <cell r="D5921">
            <v>135</v>
          </cell>
          <cell r="H5921" t="str">
            <v>hydro</v>
          </cell>
        </row>
        <row r="5922">
          <cell r="C5922" t="str">
            <v>HY</v>
          </cell>
          <cell r="D5922">
            <v>26</v>
          </cell>
          <cell r="H5922" t="str">
            <v>hydro</v>
          </cell>
        </row>
        <row r="5923">
          <cell r="C5923" t="str">
            <v>ST</v>
          </cell>
          <cell r="D5923">
            <v>800</v>
          </cell>
          <cell r="H5923" t="str">
            <v>hard coal</v>
          </cell>
        </row>
        <row r="5924">
          <cell r="C5924" t="str">
            <v>ST</v>
          </cell>
          <cell r="D5924">
            <v>800</v>
          </cell>
          <cell r="H5924" t="str">
            <v>hard coal</v>
          </cell>
        </row>
        <row r="5925">
          <cell r="C5925" t="str">
            <v>ST</v>
          </cell>
          <cell r="D5925">
            <v>1300</v>
          </cell>
          <cell r="H5925" t="str">
            <v>hard coal</v>
          </cell>
        </row>
        <row r="5926">
          <cell r="C5926" t="str">
            <v>ST</v>
          </cell>
          <cell r="D5926">
            <v>552</v>
          </cell>
          <cell r="H5926" t="str">
            <v>hard coal</v>
          </cell>
        </row>
        <row r="5927">
          <cell r="C5927" t="str">
            <v>ST</v>
          </cell>
          <cell r="D5927">
            <v>546</v>
          </cell>
          <cell r="H5927" t="str">
            <v>hard coal</v>
          </cell>
        </row>
        <row r="5928">
          <cell r="C5928" t="str">
            <v>ST</v>
          </cell>
          <cell r="D5928">
            <v>652</v>
          </cell>
          <cell r="H5928" t="str">
            <v>hard coal</v>
          </cell>
        </row>
        <row r="5929">
          <cell r="C5929" t="str">
            <v>ST</v>
          </cell>
          <cell r="D5929">
            <v>651</v>
          </cell>
          <cell r="H5929" t="str">
            <v>hard coal</v>
          </cell>
        </row>
        <row r="5930">
          <cell r="C5930" t="str">
            <v>ST</v>
          </cell>
          <cell r="D5930">
            <v>651</v>
          </cell>
          <cell r="H5930" t="str">
            <v>hard coal</v>
          </cell>
        </row>
        <row r="5931">
          <cell r="C5931" t="str">
            <v>ST</v>
          </cell>
          <cell r="D5931">
            <v>770</v>
          </cell>
          <cell r="H5931" t="str">
            <v>hard coal</v>
          </cell>
        </row>
        <row r="5932">
          <cell r="C5932" t="str">
            <v>ST</v>
          </cell>
          <cell r="D5932">
            <v>790</v>
          </cell>
          <cell r="H5932" t="str">
            <v>hard coal</v>
          </cell>
        </row>
        <row r="5933">
          <cell r="C5933" t="str">
            <v>ST</v>
          </cell>
          <cell r="D5933">
            <v>554</v>
          </cell>
          <cell r="H5933" t="str">
            <v>hard coal</v>
          </cell>
        </row>
        <row r="5934">
          <cell r="C5934" t="str">
            <v>ST</v>
          </cell>
          <cell r="D5934">
            <v>555</v>
          </cell>
          <cell r="H5934" t="str">
            <v>hard coal</v>
          </cell>
        </row>
        <row r="5935">
          <cell r="C5935" t="str">
            <v>ST</v>
          </cell>
          <cell r="D5935">
            <v>520</v>
          </cell>
          <cell r="H5935" t="str">
            <v>hard coal</v>
          </cell>
        </row>
        <row r="5936">
          <cell r="C5936" t="str">
            <v>GT</v>
          </cell>
          <cell r="D5936">
            <v>11</v>
          </cell>
          <cell r="H5936" t="str">
            <v>petroleum</v>
          </cell>
        </row>
        <row r="5937">
          <cell r="C5937" t="str">
            <v>HY</v>
          </cell>
          <cell r="D5937">
            <v>1.3</v>
          </cell>
          <cell r="H5937" t="str">
            <v>hydro</v>
          </cell>
        </row>
        <row r="5938">
          <cell r="C5938" t="str">
            <v>HY</v>
          </cell>
          <cell r="D5938">
            <v>1.3</v>
          </cell>
          <cell r="H5938" t="str">
            <v>hydro</v>
          </cell>
        </row>
        <row r="5939">
          <cell r="C5939" t="str">
            <v>HY</v>
          </cell>
          <cell r="D5939">
            <v>0.4</v>
          </cell>
          <cell r="H5939" t="str">
            <v>hydro</v>
          </cell>
        </row>
        <row r="5940">
          <cell r="C5940" t="str">
            <v>HY</v>
          </cell>
          <cell r="D5940">
            <v>0.4</v>
          </cell>
          <cell r="H5940" t="str">
            <v>hydro</v>
          </cell>
        </row>
        <row r="5941">
          <cell r="C5941" t="str">
            <v>HY</v>
          </cell>
          <cell r="D5941">
            <v>0.4</v>
          </cell>
          <cell r="H5941" t="str">
            <v>hydro</v>
          </cell>
        </row>
        <row r="5942">
          <cell r="C5942" t="str">
            <v>HY</v>
          </cell>
          <cell r="D5942">
            <v>0.4</v>
          </cell>
          <cell r="H5942" t="str">
            <v>hydro</v>
          </cell>
        </row>
        <row r="5943">
          <cell r="C5943" t="str">
            <v>HY</v>
          </cell>
          <cell r="D5943">
            <v>0.4</v>
          </cell>
          <cell r="H5943" t="str">
            <v>hydro</v>
          </cell>
        </row>
        <row r="5944">
          <cell r="C5944" t="str">
            <v>HY</v>
          </cell>
          <cell r="D5944">
            <v>0.8</v>
          </cell>
          <cell r="H5944" t="str">
            <v>hydro</v>
          </cell>
        </row>
        <row r="5945">
          <cell r="C5945" t="str">
            <v>HY</v>
          </cell>
          <cell r="D5945">
            <v>1.2</v>
          </cell>
          <cell r="H5945" t="str">
            <v>hydro</v>
          </cell>
        </row>
        <row r="5946">
          <cell r="C5946" t="str">
            <v>HY</v>
          </cell>
          <cell r="D5946">
            <v>2</v>
          </cell>
          <cell r="H5946" t="str">
            <v>hydro</v>
          </cell>
        </row>
        <row r="5947">
          <cell r="C5947" t="str">
            <v>HY</v>
          </cell>
          <cell r="D5947">
            <v>2</v>
          </cell>
          <cell r="H5947" t="str">
            <v>hydro</v>
          </cell>
        </row>
        <row r="5948">
          <cell r="C5948" t="str">
            <v>HY</v>
          </cell>
          <cell r="D5948">
            <v>2</v>
          </cell>
          <cell r="H5948" t="str">
            <v>hydro</v>
          </cell>
        </row>
        <row r="5949">
          <cell r="C5949" t="str">
            <v>HY</v>
          </cell>
          <cell r="D5949">
            <v>0.8</v>
          </cell>
          <cell r="H5949" t="str">
            <v>hydro</v>
          </cell>
        </row>
        <row r="5950">
          <cell r="C5950" t="str">
            <v>HY</v>
          </cell>
          <cell r="D5950">
            <v>0.8</v>
          </cell>
          <cell r="H5950" t="str">
            <v>hydro</v>
          </cell>
        </row>
        <row r="5951">
          <cell r="C5951" t="str">
            <v>HY</v>
          </cell>
          <cell r="D5951">
            <v>0.8</v>
          </cell>
          <cell r="H5951" t="str">
            <v>hydro</v>
          </cell>
        </row>
        <row r="5952">
          <cell r="C5952" t="str">
            <v>HY</v>
          </cell>
          <cell r="D5952">
            <v>0.8</v>
          </cell>
          <cell r="H5952" t="str">
            <v>hydro</v>
          </cell>
        </row>
        <row r="5953">
          <cell r="C5953" t="str">
            <v>HY</v>
          </cell>
          <cell r="D5953">
            <v>0.8</v>
          </cell>
          <cell r="H5953" t="str">
            <v>hydro</v>
          </cell>
        </row>
        <row r="5954">
          <cell r="C5954" t="str">
            <v>HY</v>
          </cell>
          <cell r="D5954">
            <v>0.8</v>
          </cell>
          <cell r="H5954" t="str">
            <v>hydro</v>
          </cell>
        </row>
        <row r="5955">
          <cell r="C5955" t="str">
            <v>HY</v>
          </cell>
          <cell r="D5955">
            <v>2.2999999999999998</v>
          </cell>
          <cell r="H5955" t="str">
            <v>hydro</v>
          </cell>
        </row>
        <row r="5956">
          <cell r="C5956" t="str">
            <v>HY</v>
          </cell>
          <cell r="D5956">
            <v>0.6</v>
          </cell>
          <cell r="H5956" t="str">
            <v>hydro</v>
          </cell>
        </row>
        <row r="5957">
          <cell r="C5957" t="str">
            <v>HY</v>
          </cell>
          <cell r="D5957">
            <v>2.2999999999999998</v>
          </cell>
          <cell r="H5957" t="str">
            <v>hydro</v>
          </cell>
        </row>
        <row r="5958">
          <cell r="C5958" t="str">
            <v>HY</v>
          </cell>
          <cell r="D5958">
            <v>0.6</v>
          </cell>
          <cell r="H5958" t="str">
            <v>hydro</v>
          </cell>
        </row>
        <row r="5959">
          <cell r="C5959" t="str">
            <v>HY</v>
          </cell>
          <cell r="D5959">
            <v>0.6</v>
          </cell>
          <cell r="H5959" t="str">
            <v>hydro</v>
          </cell>
        </row>
        <row r="5960">
          <cell r="C5960" t="str">
            <v>HY</v>
          </cell>
          <cell r="D5960">
            <v>0.6</v>
          </cell>
          <cell r="H5960" t="str">
            <v>hydro</v>
          </cell>
        </row>
        <row r="5961">
          <cell r="C5961" t="str">
            <v>HY</v>
          </cell>
          <cell r="D5961">
            <v>0.3</v>
          </cell>
          <cell r="H5961" t="str">
            <v>hydro</v>
          </cell>
        </row>
        <row r="5962">
          <cell r="C5962" t="str">
            <v>HY</v>
          </cell>
          <cell r="D5962">
            <v>0.6</v>
          </cell>
          <cell r="H5962" t="str">
            <v>hydro</v>
          </cell>
        </row>
        <row r="5963">
          <cell r="C5963" t="str">
            <v>HY</v>
          </cell>
          <cell r="D5963">
            <v>0.3</v>
          </cell>
          <cell r="H5963" t="str">
            <v>hydro</v>
          </cell>
        </row>
        <row r="5964">
          <cell r="C5964" t="str">
            <v>HY</v>
          </cell>
          <cell r="D5964">
            <v>0.6</v>
          </cell>
          <cell r="H5964" t="str">
            <v>hydro</v>
          </cell>
        </row>
        <row r="5965">
          <cell r="C5965" t="str">
            <v>HY</v>
          </cell>
          <cell r="D5965">
            <v>1.2</v>
          </cell>
          <cell r="H5965" t="str">
            <v>hydro</v>
          </cell>
        </row>
        <row r="5966">
          <cell r="C5966" t="str">
            <v>HY</v>
          </cell>
          <cell r="D5966">
            <v>0.3</v>
          </cell>
          <cell r="H5966" t="str">
            <v>hydro</v>
          </cell>
        </row>
        <row r="5967">
          <cell r="C5967" t="str">
            <v>HY</v>
          </cell>
          <cell r="D5967">
            <v>0.5</v>
          </cell>
          <cell r="H5967" t="str">
            <v>hydro</v>
          </cell>
        </row>
        <row r="5968">
          <cell r="C5968" t="str">
            <v>HY</v>
          </cell>
          <cell r="D5968">
            <v>0.5</v>
          </cell>
          <cell r="H5968" t="str">
            <v>hydro</v>
          </cell>
        </row>
        <row r="5969">
          <cell r="C5969" t="str">
            <v>HY</v>
          </cell>
          <cell r="D5969">
            <v>0.5</v>
          </cell>
          <cell r="H5969" t="str">
            <v>hydro</v>
          </cell>
        </row>
        <row r="5970">
          <cell r="C5970" t="str">
            <v>HY</v>
          </cell>
          <cell r="D5970">
            <v>0.5</v>
          </cell>
          <cell r="H5970" t="str">
            <v>hydro</v>
          </cell>
        </row>
        <row r="5971">
          <cell r="C5971" t="str">
            <v>HY</v>
          </cell>
          <cell r="D5971">
            <v>0.5</v>
          </cell>
          <cell r="H5971" t="str">
            <v>hydro</v>
          </cell>
        </row>
        <row r="5972">
          <cell r="C5972" t="str">
            <v>HY</v>
          </cell>
          <cell r="D5972">
            <v>0.5</v>
          </cell>
          <cell r="H5972" t="str">
            <v>hydro</v>
          </cell>
        </row>
        <row r="5973">
          <cell r="C5973" t="str">
            <v>HY</v>
          </cell>
          <cell r="D5973">
            <v>0.3</v>
          </cell>
          <cell r="H5973" t="str">
            <v>hydro</v>
          </cell>
        </row>
        <row r="5974">
          <cell r="C5974" t="str">
            <v>HY</v>
          </cell>
          <cell r="D5974">
            <v>0.3</v>
          </cell>
          <cell r="H5974" t="str">
            <v>hydro</v>
          </cell>
        </row>
        <row r="5975">
          <cell r="C5975" t="str">
            <v>IC</v>
          </cell>
          <cell r="D5975">
            <v>0.7</v>
          </cell>
          <cell r="H5975" t="str">
            <v>petroleum</v>
          </cell>
        </row>
        <row r="5976">
          <cell r="C5976" t="str">
            <v>IC</v>
          </cell>
          <cell r="D5976">
            <v>0.7</v>
          </cell>
          <cell r="H5976" t="str">
            <v>petroleum</v>
          </cell>
        </row>
        <row r="5977">
          <cell r="C5977" t="str">
            <v>IC</v>
          </cell>
          <cell r="D5977">
            <v>0.7</v>
          </cell>
          <cell r="H5977" t="str">
            <v>petroleum</v>
          </cell>
        </row>
        <row r="5978">
          <cell r="C5978" t="str">
            <v>IC</v>
          </cell>
          <cell r="D5978">
            <v>0.7</v>
          </cell>
          <cell r="H5978" t="str">
            <v>petroleum</v>
          </cell>
        </row>
        <row r="5979">
          <cell r="C5979" t="str">
            <v>ST</v>
          </cell>
          <cell r="D5979">
            <v>18</v>
          </cell>
          <cell r="H5979" t="str">
            <v>biomass</v>
          </cell>
        </row>
        <row r="5980">
          <cell r="C5980" t="str">
            <v>ST</v>
          </cell>
          <cell r="D5980">
            <v>23</v>
          </cell>
          <cell r="H5980" t="str">
            <v>natural gas peaker</v>
          </cell>
        </row>
        <row r="5981">
          <cell r="C5981" t="str">
            <v>HY</v>
          </cell>
          <cell r="D5981">
            <v>1.1000000000000001</v>
          </cell>
          <cell r="H5981" t="str">
            <v>hydro</v>
          </cell>
        </row>
        <row r="5982">
          <cell r="C5982" t="str">
            <v>HY</v>
          </cell>
          <cell r="D5982">
            <v>1.1000000000000001</v>
          </cell>
          <cell r="H5982" t="str">
            <v>hydro</v>
          </cell>
        </row>
        <row r="5983">
          <cell r="C5983" t="str">
            <v>HY</v>
          </cell>
          <cell r="D5983">
            <v>1.1000000000000001</v>
          </cell>
          <cell r="H5983" t="str">
            <v>hydro</v>
          </cell>
        </row>
        <row r="5984">
          <cell r="C5984" t="str">
            <v>HY</v>
          </cell>
          <cell r="D5984">
            <v>0.3</v>
          </cell>
          <cell r="H5984" t="str">
            <v>hydro</v>
          </cell>
        </row>
        <row r="5985">
          <cell r="C5985" t="str">
            <v>HY</v>
          </cell>
          <cell r="D5985">
            <v>0.3</v>
          </cell>
          <cell r="H5985" t="str">
            <v>hydro</v>
          </cell>
        </row>
        <row r="5986">
          <cell r="C5986" t="str">
            <v>HY</v>
          </cell>
          <cell r="D5986">
            <v>0.4</v>
          </cell>
          <cell r="H5986" t="str">
            <v>hydro</v>
          </cell>
        </row>
        <row r="5987">
          <cell r="C5987" t="str">
            <v>HY</v>
          </cell>
          <cell r="D5987">
            <v>0.4</v>
          </cell>
          <cell r="H5987" t="str">
            <v>hydro</v>
          </cell>
        </row>
        <row r="5988">
          <cell r="C5988" t="str">
            <v>HY</v>
          </cell>
          <cell r="D5988">
            <v>0.4</v>
          </cell>
          <cell r="H5988" t="str">
            <v>hydro</v>
          </cell>
        </row>
        <row r="5989">
          <cell r="C5989" t="str">
            <v>HY</v>
          </cell>
          <cell r="D5989">
            <v>0.2</v>
          </cell>
          <cell r="H5989" t="str">
            <v>hydro</v>
          </cell>
        </row>
        <row r="5990">
          <cell r="C5990" t="str">
            <v>HY</v>
          </cell>
          <cell r="D5990">
            <v>0.2</v>
          </cell>
          <cell r="H5990" t="str">
            <v>hydro</v>
          </cell>
        </row>
        <row r="5991">
          <cell r="C5991" t="str">
            <v>GT</v>
          </cell>
          <cell r="D5991">
            <v>16.3</v>
          </cell>
          <cell r="H5991" t="str">
            <v>natural gas peaker</v>
          </cell>
        </row>
        <row r="5992">
          <cell r="C5992" t="str">
            <v>GT</v>
          </cell>
          <cell r="D5992">
            <v>16.100000000000001</v>
          </cell>
          <cell r="H5992" t="str">
            <v>natural gas peaker</v>
          </cell>
        </row>
        <row r="5993">
          <cell r="C5993" t="str">
            <v>ST</v>
          </cell>
          <cell r="D5993">
            <v>47.5</v>
          </cell>
          <cell r="H5993" t="str">
            <v>natural gas peaker</v>
          </cell>
        </row>
        <row r="5994">
          <cell r="C5994" t="str">
            <v>ST</v>
          </cell>
          <cell r="D5994">
            <v>47.3</v>
          </cell>
          <cell r="H5994" t="str">
            <v>natural gas peaker</v>
          </cell>
        </row>
        <row r="5995">
          <cell r="C5995" t="str">
            <v>GT</v>
          </cell>
          <cell r="D5995">
            <v>11.6</v>
          </cell>
          <cell r="H5995" t="str">
            <v>natural gas peaker</v>
          </cell>
        </row>
        <row r="5996">
          <cell r="C5996" t="str">
            <v>GT</v>
          </cell>
          <cell r="D5996">
            <v>17.5</v>
          </cell>
          <cell r="H5996" t="str">
            <v>natural gas peaker</v>
          </cell>
        </row>
        <row r="5997">
          <cell r="C5997" t="str">
            <v>HY</v>
          </cell>
          <cell r="D5997">
            <v>0.6</v>
          </cell>
          <cell r="H5997" t="str">
            <v>hydro</v>
          </cell>
        </row>
        <row r="5998">
          <cell r="C5998" t="str">
            <v>HY</v>
          </cell>
          <cell r="D5998">
            <v>0.6</v>
          </cell>
          <cell r="H5998" t="str">
            <v>hydro</v>
          </cell>
        </row>
        <row r="5999">
          <cell r="C5999" t="str">
            <v>HY</v>
          </cell>
          <cell r="D5999">
            <v>0.2</v>
          </cell>
          <cell r="H5999" t="str">
            <v>hydro</v>
          </cell>
        </row>
        <row r="6000">
          <cell r="C6000" t="str">
            <v>HY</v>
          </cell>
          <cell r="D6000">
            <v>1.3</v>
          </cell>
          <cell r="H6000" t="str">
            <v>hydro</v>
          </cell>
        </row>
        <row r="6001">
          <cell r="C6001" t="str">
            <v>HY</v>
          </cell>
          <cell r="D6001">
            <v>1.1000000000000001</v>
          </cell>
          <cell r="H6001" t="str">
            <v>hydro</v>
          </cell>
        </row>
        <row r="6002">
          <cell r="C6002" t="str">
            <v>HY</v>
          </cell>
          <cell r="D6002">
            <v>1.2</v>
          </cell>
          <cell r="H6002" t="str">
            <v>hydro</v>
          </cell>
        </row>
        <row r="6003">
          <cell r="C6003" t="str">
            <v>HY</v>
          </cell>
          <cell r="D6003">
            <v>1.9</v>
          </cell>
          <cell r="H6003" t="str">
            <v>hydro</v>
          </cell>
        </row>
        <row r="6004">
          <cell r="C6004" t="str">
            <v>HY</v>
          </cell>
          <cell r="D6004">
            <v>2.1</v>
          </cell>
          <cell r="H6004" t="str">
            <v>hydro</v>
          </cell>
        </row>
        <row r="6005">
          <cell r="C6005" t="str">
            <v>HY</v>
          </cell>
          <cell r="D6005">
            <v>2</v>
          </cell>
          <cell r="H6005" t="str">
            <v>hydro</v>
          </cell>
        </row>
        <row r="6006">
          <cell r="C6006" t="str">
            <v>HY</v>
          </cell>
          <cell r="D6006">
            <v>2</v>
          </cell>
          <cell r="H6006" t="str">
            <v>hydro</v>
          </cell>
        </row>
        <row r="6007">
          <cell r="C6007" t="str">
            <v>HY</v>
          </cell>
          <cell r="D6007">
            <v>2</v>
          </cell>
          <cell r="H6007" t="str">
            <v>hydro</v>
          </cell>
        </row>
        <row r="6008">
          <cell r="C6008" t="str">
            <v>HY</v>
          </cell>
          <cell r="D6008">
            <v>2.1</v>
          </cell>
          <cell r="H6008" t="str">
            <v>hydro</v>
          </cell>
        </row>
        <row r="6009">
          <cell r="C6009" t="str">
            <v>HY</v>
          </cell>
          <cell r="D6009">
            <v>1.9</v>
          </cell>
          <cell r="H6009" t="str">
            <v>hydro</v>
          </cell>
        </row>
        <row r="6010">
          <cell r="C6010" t="str">
            <v>HY</v>
          </cell>
          <cell r="D6010">
            <v>1.5</v>
          </cell>
          <cell r="H6010" t="str">
            <v>hydro</v>
          </cell>
        </row>
        <row r="6011">
          <cell r="C6011" t="str">
            <v>HY</v>
          </cell>
          <cell r="D6011">
            <v>1.5</v>
          </cell>
          <cell r="H6011" t="str">
            <v>hydro</v>
          </cell>
        </row>
        <row r="6012">
          <cell r="C6012" t="str">
            <v>HY</v>
          </cell>
          <cell r="D6012">
            <v>1.5</v>
          </cell>
          <cell r="H6012" t="str">
            <v>hydro</v>
          </cell>
        </row>
        <row r="6013">
          <cell r="C6013" t="str">
            <v>HY</v>
          </cell>
          <cell r="D6013">
            <v>0.9</v>
          </cell>
          <cell r="H6013" t="str">
            <v>hydro</v>
          </cell>
        </row>
        <row r="6014">
          <cell r="C6014" t="str">
            <v>ST</v>
          </cell>
          <cell r="D6014">
            <v>9</v>
          </cell>
          <cell r="H6014" t="str">
            <v>biomass</v>
          </cell>
        </row>
        <row r="6015">
          <cell r="C6015" t="str">
            <v>ST</v>
          </cell>
          <cell r="D6015">
            <v>7</v>
          </cell>
          <cell r="H6015" t="str">
            <v>biomass</v>
          </cell>
        </row>
        <row r="6016">
          <cell r="C6016" t="str">
            <v>GT</v>
          </cell>
          <cell r="D6016">
            <v>61</v>
          </cell>
          <cell r="H6016" t="str">
            <v>petroleum</v>
          </cell>
        </row>
        <row r="6017">
          <cell r="C6017" t="str">
            <v>GT</v>
          </cell>
          <cell r="D6017">
            <v>61</v>
          </cell>
          <cell r="H6017" t="str">
            <v>petroleum</v>
          </cell>
        </row>
        <row r="6018">
          <cell r="C6018" t="str">
            <v>HY</v>
          </cell>
          <cell r="D6018">
            <v>7.3</v>
          </cell>
          <cell r="H6018" t="str">
            <v>hydro</v>
          </cell>
        </row>
        <row r="6019">
          <cell r="C6019" t="str">
            <v>HY</v>
          </cell>
          <cell r="D6019">
            <v>7.3</v>
          </cell>
          <cell r="H6019" t="str">
            <v>hydro</v>
          </cell>
        </row>
        <row r="6020">
          <cell r="C6020" t="str">
            <v>HY</v>
          </cell>
          <cell r="D6020">
            <v>7.3</v>
          </cell>
          <cell r="H6020" t="str">
            <v>hydro</v>
          </cell>
        </row>
        <row r="6021">
          <cell r="C6021" t="str">
            <v>HY</v>
          </cell>
          <cell r="D6021">
            <v>12.3</v>
          </cell>
          <cell r="H6021" t="str">
            <v>hydro</v>
          </cell>
        </row>
        <row r="6022">
          <cell r="C6022" t="str">
            <v>HY</v>
          </cell>
          <cell r="D6022">
            <v>12.5</v>
          </cell>
          <cell r="H6022" t="str">
            <v>hydro</v>
          </cell>
        </row>
        <row r="6023">
          <cell r="C6023" t="str">
            <v>HY</v>
          </cell>
          <cell r="D6023">
            <v>0.2</v>
          </cell>
          <cell r="H6023" t="str">
            <v>hydro</v>
          </cell>
        </row>
        <row r="6024">
          <cell r="C6024" t="str">
            <v>HY</v>
          </cell>
          <cell r="D6024">
            <v>1.1000000000000001</v>
          </cell>
          <cell r="H6024" t="str">
            <v>hydro</v>
          </cell>
        </row>
        <row r="6025">
          <cell r="C6025" t="str">
            <v>HY</v>
          </cell>
          <cell r="D6025">
            <v>1.1000000000000001</v>
          </cell>
          <cell r="H6025" t="str">
            <v>hydro</v>
          </cell>
        </row>
        <row r="6026">
          <cell r="C6026" t="str">
            <v>HY</v>
          </cell>
          <cell r="D6026">
            <v>1.8</v>
          </cell>
          <cell r="H6026" t="str">
            <v>hydro</v>
          </cell>
        </row>
        <row r="6027">
          <cell r="C6027" t="str">
            <v>HY</v>
          </cell>
          <cell r="D6027">
            <v>1.8</v>
          </cell>
          <cell r="H6027" t="str">
            <v>hydro</v>
          </cell>
        </row>
        <row r="6028">
          <cell r="C6028" t="str">
            <v>HY</v>
          </cell>
          <cell r="D6028">
            <v>1.9</v>
          </cell>
          <cell r="H6028" t="str">
            <v>hydro</v>
          </cell>
        </row>
        <row r="6029">
          <cell r="C6029" t="str">
            <v>HY</v>
          </cell>
          <cell r="D6029">
            <v>1.9</v>
          </cell>
          <cell r="H6029" t="str">
            <v>hydro</v>
          </cell>
        </row>
        <row r="6030">
          <cell r="C6030" t="str">
            <v>HY</v>
          </cell>
          <cell r="D6030">
            <v>2</v>
          </cell>
          <cell r="H6030" t="str">
            <v>hydro</v>
          </cell>
        </row>
        <row r="6031">
          <cell r="C6031" t="str">
            <v>HY</v>
          </cell>
          <cell r="D6031">
            <v>1.9</v>
          </cell>
          <cell r="H6031" t="str">
            <v>hydro</v>
          </cell>
        </row>
        <row r="6032">
          <cell r="C6032" t="str">
            <v>HY</v>
          </cell>
          <cell r="D6032">
            <v>2</v>
          </cell>
          <cell r="H6032" t="str">
            <v>hydro</v>
          </cell>
        </row>
        <row r="6033">
          <cell r="C6033" t="str">
            <v>HY</v>
          </cell>
          <cell r="D6033">
            <v>1.9</v>
          </cell>
          <cell r="H6033" t="str">
            <v>hydro</v>
          </cell>
        </row>
        <row r="6034">
          <cell r="C6034" t="str">
            <v>HY</v>
          </cell>
          <cell r="D6034">
            <v>0.4</v>
          </cell>
          <cell r="H6034" t="str">
            <v>hydro</v>
          </cell>
        </row>
        <row r="6035">
          <cell r="C6035" t="str">
            <v>HY</v>
          </cell>
          <cell r="D6035">
            <v>0.3</v>
          </cell>
          <cell r="H6035" t="str">
            <v>hydro</v>
          </cell>
        </row>
        <row r="6036">
          <cell r="C6036" t="str">
            <v>GT</v>
          </cell>
          <cell r="D6036">
            <v>44</v>
          </cell>
          <cell r="H6036" t="str">
            <v>natural gas peaker</v>
          </cell>
        </row>
        <row r="6037">
          <cell r="C6037" t="str">
            <v>GT</v>
          </cell>
          <cell r="D6037">
            <v>51</v>
          </cell>
          <cell r="H6037" t="str">
            <v>natural gas peaker</v>
          </cell>
        </row>
        <row r="6038">
          <cell r="C6038" t="str">
            <v>GT</v>
          </cell>
          <cell r="D6038">
            <v>44</v>
          </cell>
          <cell r="H6038" t="str">
            <v>natural gas peaker</v>
          </cell>
        </row>
        <row r="6039">
          <cell r="C6039" t="str">
            <v>GT</v>
          </cell>
          <cell r="D6039">
            <v>47</v>
          </cell>
          <cell r="H6039" t="str">
            <v>natural gas peaker</v>
          </cell>
        </row>
        <row r="6040">
          <cell r="C6040" t="str">
            <v>GT</v>
          </cell>
          <cell r="D6040">
            <v>48</v>
          </cell>
          <cell r="H6040" t="str">
            <v>petroleum</v>
          </cell>
        </row>
        <row r="6041">
          <cell r="C6041" t="str">
            <v>HY</v>
          </cell>
          <cell r="D6041">
            <v>3</v>
          </cell>
          <cell r="H6041" t="str">
            <v>hydro</v>
          </cell>
        </row>
        <row r="6042">
          <cell r="C6042" t="str">
            <v>HY</v>
          </cell>
          <cell r="D6042">
            <v>3.1</v>
          </cell>
          <cell r="H6042" t="str">
            <v>hydro</v>
          </cell>
        </row>
        <row r="6043">
          <cell r="C6043" t="str">
            <v>HY</v>
          </cell>
          <cell r="D6043">
            <v>3</v>
          </cell>
          <cell r="H6043" t="str">
            <v>hydro</v>
          </cell>
        </row>
        <row r="6044">
          <cell r="C6044" t="str">
            <v>HY</v>
          </cell>
          <cell r="D6044">
            <v>3</v>
          </cell>
          <cell r="H6044" t="str">
            <v>hydro</v>
          </cell>
        </row>
        <row r="6045">
          <cell r="C6045" t="str">
            <v>HY</v>
          </cell>
          <cell r="D6045">
            <v>2.9</v>
          </cell>
          <cell r="H6045" t="str">
            <v>hydro</v>
          </cell>
        </row>
        <row r="6046">
          <cell r="C6046" t="str">
            <v>HY</v>
          </cell>
          <cell r="D6046">
            <v>3</v>
          </cell>
          <cell r="H6046" t="str">
            <v>hydro</v>
          </cell>
        </row>
        <row r="6047">
          <cell r="C6047" t="str">
            <v>HY</v>
          </cell>
          <cell r="D6047">
            <v>0.4</v>
          </cell>
          <cell r="H6047" t="str">
            <v>hydro</v>
          </cell>
        </row>
        <row r="6048">
          <cell r="C6048" t="str">
            <v>HY</v>
          </cell>
          <cell r="D6048">
            <v>0.4</v>
          </cell>
          <cell r="H6048" t="str">
            <v>hydro</v>
          </cell>
        </row>
        <row r="6049">
          <cell r="C6049" t="str">
            <v>HY</v>
          </cell>
          <cell r="D6049">
            <v>0.4</v>
          </cell>
          <cell r="H6049" t="str">
            <v>hydro</v>
          </cell>
        </row>
        <row r="6050">
          <cell r="C6050" t="str">
            <v>HY</v>
          </cell>
          <cell r="D6050">
            <v>0.1</v>
          </cell>
          <cell r="H6050" t="str">
            <v>hydro</v>
          </cell>
        </row>
        <row r="6051">
          <cell r="C6051" t="str">
            <v>HY</v>
          </cell>
          <cell r="D6051">
            <v>0.3</v>
          </cell>
          <cell r="H6051" t="str">
            <v>hydro</v>
          </cell>
        </row>
        <row r="6052">
          <cell r="C6052" t="str">
            <v>HY</v>
          </cell>
          <cell r="D6052">
            <v>0.6</v>
          </cell>
          <cell r="H6052" t="str">
            <v>hydro</v>
          </cell>
        </row>
        <row r="6053">
          <cell r="C6053" t="str">
            <v>IC</v>
          </cell>
          <cell r="D6053">
            <v>2.5</v>
          </cell>
          <cell r="H6053" t="str">
            <v>petroleum</v>
          </cell>
        </row>
        <row r="6054">
          <cell r="C6054" t="str">
            <v>IC</v>
          </cell>
          <cell r="D6054">
            <v>0.7</v>
          </cell>
          <cell r="H6054" t="str">
            <v>petroleum</v>
          </cell>
        </row>
        <row r="6055">
          <cell r="C6055" t="str">
            <v>IC</v>
          </cell>
          <cell r="D6055">
            <v>0.7</v>
          </cell>
          <cell r="H6055" t="str">
            <v>petroleum</v>
          </cell>
        </row>
        <row r="6056">
          <cell r="C6056" t="str">
            <v>IC</v>
          </cell>
          <cell r="D6056">
            <v>0.6</v>
          </cell>
          <cell r="H6056" t="str">
            <v>petroleum</v>
          </cell>
        </row>
        <row r="6057">
          <cell r="C6057" t="str">
            <v>IC</v>
          </cell>
          <cell r="D6057">
            <v>0.5</v>
          </cell>
          <cell r="H6057" t="str">
            <v>petroleum</v>
          </cell>
        </row>
        <row r="6058">
          <cell r="C6058" t="str">
            <v>IC</v>
          </cell>
          <cell r="D6058">
            <v>1.7</v>
          </cell>
          <cell r="H6058" t="str">
            <v>petroleum</v>
          </cell>
        </row>
        <row r="6059">
          <cell r="C6059" t="str">
            <v>IC</v>
          </cell>
          <cell r="D6059">
            <v>1.8</v>
          </cell>
          <cell r="H6059" t="str">
            <v>petroleum</v>
          </cell>
        </row>
        <row r="6060">
          <cell r="C6060" t="str">
            <v>IC</v>
          </cell>
          <cell r="D6060">
            <v>2.5</v>
          </cell>
          <cell r="H6060" t="str">
            <v>petroleum</v>
          </cell>
        </row>
        <row r="6061">
          <cell r="C6061" t="str">
            <v>IC</v>
          </cell>
          <cell r="D6061">
            <v>2.5</v>
          </cell>
          <cell r="H6061" t="str">
            <v>petroleum</v>
          </cell>
        </row>
        <row r="6062">
          <cell r="C6062" t="str">
            <v>IC</v>
          </cell>
          <cell r="D6062">
            <v>0.8</v>
          </cell>
          <cell r="H6062" t="str">
            <v>petroleum</v>
          </cell>
        </row>
        <row r="6063">
          <cell r="C6063" t="str">
            <v>IC</v>
          </cell>
          <cell r="D6063">
            <v>0.8</v>
          </cell>
          <cell r="H6063" t="str">
            <v>petroleum</v>
          </cell>
        </row>
        <row r="6064">
          <cell r="C6064" t="str">
            <v>IC</v>
          </cell>
          <cell r="D6064">
            <v>0.9</v>
          </cell>
          <cell r="H6064" t="str">
            <v>petroleum</v>
          </cell>
        </row>
        <row r="6065">
          <cell r="C6065" t="str">
            <v>IC</v>
          </cell>
          <cell r="D6065">
            <v>2</v>
          </cell>
          <cell r="H6065" t="str">
            <v>petroleum</v>
          </cell>
        </row>
        <row r="6066">
          <cell r="C6066" t="str">
            <v>IC</v>
          </cell>
          <cell r="D6066">
            <v>1.8</v>
          </cell>
          <cell r="H6066" t="str">
            <v>petroleum</v>
          </cell>
        </row>
        <row r="6067">
          <cell r="C6067" t="str">
            <v>CT</v>
          </cell>
          <cell r="D6067">
            <v>172.2</v>
          </cell>
          <cell r="H6067" t="str">
            <v>natural gas nonpeaker</v>
          </cell>
        </row>
        <row r="6068">
          <cell r="C6068" t="str">
            <v>CT</v>
          </cell>
          <cell r="D6068">
            <v>173</v>
          </cell>
          <cell r="H6068" t="str">
            <v>natural gas nonpeaker</v>
          </cell>
        </row>
        <row r="6069">
          <cell r="C6069" t="str">
            <v>CT</v>
          </cell>
          <cell r="D6069">
            <v>172.6</v>
          </cell>
          <cell r="H6069" t="str">
            <v>natural gas nonpeaker</v>
          </cell>
        </row>
        <row r="6070">
          <cell r="C6070" t="str">
            <v>CT</v>
          </cell>
          <cell r="D6070">
            <v>174.6</v>
          </cell>
          <cell r="H6070" t="str">
            <v>natural gas nonpeaker</v>
          </cell>
        </row>
        <row r="6071">
          <cell r="C6071" t="str">
            <v>CA</v>
          </cell>
          <cell r="D6071">
            <v>255.9</v>
          </cell>
          <cell r="H6071" t="str">
            <v>natural gas nonpeaker</v>
          </cell>
        </row>
        <row r="6072">
          <cell r="C6072" t="str">
            <v>CA</v>
          </cell>
          <cell r="D6072">
            <v>256</v>
          </cell>
          <cell r="H6072" t="str">
            <v>natural gas nonpeaker</v>
          </cell>
        </row>
        <row r="6073">
          <cell r="C6073" t="str">
            <v>ST</v>
          </cell>
          <cell r="D6073">
            <v>237</v>
          </cell>
          <cell r="H6073" t="str">
            <v>hard coal</v>
          </cell>
        </row>
        <row r="6074">
          <cell r="C6074" t="str">
            <v>ST</v>
          </cell>
          <cell r="D6074">
            <v>248.9</v>
          </cell>
          <cell r="H6074" t="str">
            <v>hard coal</v>
          </cell>
        </row>
        <row r="6075">
          <cell r="C6075" t="str">
            <v>ST</v>
          </cell>
          <cell r="D6075">
            <v>303.10000000000002</v>
          </cell>
          <cell r="H6075" t="str">
            <v>hard coal</v>
          </cell>
        </row>
        <row r="6076">
          <cell r="C6076" t="str">
            <v>ST</v>
          </cell>
          <cell r="D6076">
            <v>307.7</v>
          </cell>
          <cell r="H6076" t="str">
            <v>hard coal</v>
          </cell>
        </row>
        <row r="6077">
          <cell r="C6077" t="str">
            <v>ST</v>
          </cell>
          <cell r="D6077">
            <v>123.6</v>
          </cell>
          <cell r="H6077" t="str">
            <v>natural gas peaker</v>
          </cell>
        </row>
        <row r="6078">
          <cell r="C6078" t="str">
            <v>ST</v>
          </cell>
          <cell r="D6078">
            <v>139</v>
          </cell>
          <cell r="H6078" t="str">
            <v>natural gas peaker</v>
          </cell>
        </row>
        <row r="6079">
          <cell r="C6079" t="str">
            <v>IC</v>
          </cell>
          <cell r="D6079">
            <v>2.7</v>
          </cell>
          <cell r="H6079" t="str">
            <v>petroleum</v>
          </cell>
        </row>
        <row r="6080">
          <cell r="C6080" t="str">
            <v>HY</v>
          </cell>
          <cell r="D6080">
            <v>1.2</v>
          </cell>
          <cell r="H6080" t="str">
            <v>hydro</v>
          </cell>
        </row>
        <row r="6081">
          <cell r="C6081" t="str">
            <v>HY</v>
          </cell>
          <cell r="D6081">
            <v>0.5</v>
          </cell>
          <cell r="H6081" t="str">
            <v>hydro</v>
          </cell>
        </row>
        <row r="6082">
          <cell r="C6082" t="str">
            <v>HY</v>
          </cell>
          <cell r="D6082">
            <v>0.5</v>
          </cell>
          <cell r="H6082" t="str">
            <v>hydro</v>
          </cell>
        </row>
        <row r="6083">
          <cell r="C6083" t="str">
            <v>HY</v>
          </cell>
          <cell r="D6083">
            <v>0.4</v>
          </cell>
          <cell r="H6083" t="str">
            <v>hydro</v>
          </cell>
        </row>
        <row r="6084">
          <cell r="C6084" t="str">
            <v>HY</v>
          </cell>
          <cell r="D6084">
            <v>0.4</v>
          </cell>
          <cell r="H6084" t="str">
            <v>hydro</v>
          </cell>
        </row>
        <row r="6085">
          <cell r="C6085" t="str">
            <v>HY</v>
          </cell>
          <cell r="D6085">
            <v>0.3</v>
          </cell>
          <cell r="H6085" t="str">
            <v>hydro</v>
          </cell>
        </row>
        <row r="6086">
          <cell r="C6086" t="str">
            <v>HY</v>
          </cell>
          <cell r="D6086">
            <v>1.8</v>
          </cell>
          <cell r="H6086" t="str">
            <v>hydro</v>
          </cell>
        </row>
        <row r="6087">
          <cell r="C6087" t="str">
            <v>HY</v>
          </cell>
          <cell r="D6087">
            <v>1.8</v>
          </cell>
          <cell r="H6087" t="str">
            <v>hydro</v>
          </cell>
        </row>
        <row r="6088">
          <cell r="C6088" t="str">
            <v>ST</v>
          </cell>
          <cell r="D6088">
            <v>598.1</v>
          </cell>
          <cell r="H6088" t="str">
            <v>nuclear</v>
          </cell>
        </row>
        <row r="6089">
          <cell r="C6089" t="str">
            <v>ST</v>
          </cell>
          <cell r="D6089">
            <v>603</v>
          </cell>
          <cell r="H6089" t="str">
            <v>nuclear</v>
          </cell>
        </row>
        <row r="6090">
          <cell r="C6090" t="str">
            <v>GT</v>
          </cell>
          <cell r="D6090">
            <v>15</v>
          </cell>
          <cell r="H6090" t="str">
            <v>petroleum</v>
          </cell>
        </row>
        <row r="6091">
          <cell r="C6091" t="str">
            <v>ST</v>
          </cell>
          <cell r="D6091">
            <v>413.6</v>
          </cell>
          <cell r="H6091" t="str">
            <v>hard coal</v>
          </cell>
        </row>
        <row r="6092">
          <cell r="C6092" t="str">
            <v>HY</v>
          </cell>
          <cell r="D6092">
            <v>9.5</v>
          </cell>
          <cell r="H6092" t="str">
            <v>hydro</v>
          </cell>
        </row>
        <row r="6093">
          <cell r="C6093" t="str">
            <v>HY</v>
          </cell>
          <cell r="D6093" t="str">
            <v xml:space="preserve"> </v>
          </cell>
          <cell r="H6093" t="str">
            <v>hydro</v>
          </cell>
        </row>
        <row r="6094">
          <cell r="C6094" t="str">
            <v>HY</v>
          </cell>
          <cell r="D6094" t="str">
            <v xml:space="preserve"> </v>
          </cell>
          <cell r="H6094" t="str">
            <v>hydro</v>
          </cell>
        </row>
        <row r="6095">
          <cell r="C6095" t="str">
            <v>HY</v>
          </cell>
          <cell r="D6095" t="str">
            <v xml:space="preserve"> </v>
          </cell>
          <cell r="H6095" t="str">
            <v>hydro</v>
          </cell>
        </row>
        <row r="6096">
          <cell r="C6096" t="str">
            <v>HY</v>
          </cell>
          <cell r="D6096">
            <v>29</v>
          </cell>
          <cell r="H6096" t="str">
            <v>hydro</v>
          </cell>
        </row>
        <row r="6097">
          <cell r="C6097" t="str">
            <v>HY</v>
          </cell>
          <cell r="D6097" t="str">
            <v xml:space="preserve"> </v>
          </cell>
          <cell r="H6097" t="str">
            <v>hydro</v>
          </cell>
        </row>
        <row r="6098">
          <cell r="C6098" t="str">
            <v>HY</v>
          </cell>
          <cell r="D6098" t="str">
            <v xml:space="preserve"> </v>
          </cell>
          <cell r="H6098" t="str">
            <v>hydro</v>
          </cell>
        </row>
        <row r="6099">
          <cell r="C6099" t="str">
            <v>HY</v>
          </cell>
          <cell r="D6099" t="str">
            <v xml:space="preserve"> </v>
          </cell>
          <cell r="H6099" t="str">
            <v>hydro</v>
          </cell>
        </row>
        <row r="6100">
          <cell r="C6100" t="str">
            <v>HY</v>
          </cell>
          <cell r="D6100" t="str">
            <v xml:space="preserve"> </v>
          </cell>
          <cell r="H6100" t="str">
            <v>hydro</v>
          </cell>
        </row>
        <row r="6101">
          <cell r="C6101" t="str">
            <v>HY</v>
          </cell>
          <cell r="D6101" t="str">
            <v xml:space="preserve"> </v>
          </cell>
          <cell r="H6101" t="str">
            <v>hydro</v>
          </cell>
        </row>
        <row r="6102">
          <cell r="C6102" t="str">
            <v>HY</v>
          </cell>
          <cell r="D6102" t="str">
            <v xml:space="preserve"> </v>
          </cell>
          <cell r="H6102" t="str">
            <v>hydro</v>
          </cell>
        </row>
        <row r="6103">
          <cell r="C6103" t="str">
            <v>HY</v>
          </cell>
          <cell r="D6103" t="str">
            <v xml:space="preserve"> </v>
          </cell>
          <cell r="H6103" t="str">
            <v>hydro</v>
          </cell>
        </row>
        <row r="6104">
          <cell r="C6104" t="str">
            <v>GT</v>
          </cell>
          <cell r="D6104">
            <v>21.2</v>
          </cell>
          <cell r="H6104" t="str">
            <v>natural gas peaker</v>
          </cell>
        </row>
        <row r="6105">
          <cell r="C6105" t="str">
            <v>GT</v>
          </cell>
          <cell r="D6105">
            <v>15.8</v>
          </cell>
          <cell r="H6105" t="str">
            <v>natural gas peaker</v>
          </cell>
        </row>
        <row r="6106">
          <cell r="C6106" t="str">
            <v>GT</v>
          </cell>
          <cell r="D6106">
            <v>48.7</v>
          </cell>
          <cell r="H6106" t="str">
            <v>natural gas peaker</v>
          </cell>
        </row>
        <row r="6107">
          <cell r="C6107" t="str">
            <v>GT</v>
          </cell>
          <cell r="D6107">
            <v>33.700000000000003</v>
          </cell>
          <cell r="H6107" t="str">
            <v>natural gas peaker</v>
          </cell>
        </row>
        <row r="6108">
          <cell r="C6108" t="str">
            <v>GT</v>
          </cell>
          <cell r="D6108">
            <v>36.4</v>
          </cell>
          <cell r="H6108" t="str">
            <v>natural gas peaker</v>
          </cell>
        </row>
        <row r="6109">
          <cell r="C6109" t="str">
            <v>HY</v>
          </cell>
          <cell r="D6109">
            <v>1.4</v>
          </cell>
          <cell r="H6109" t="str">
            <v>hydro</v>
          </cell>
        </row>
        <row r="6110">
          <cell r="C6110" t="str">
            <v>HY</v>
          </cell>
          <cell r="D6110">
            <v>1.4</v>
          </cell>
          <cell r="H6110" t="str">
            <v>hydro</v>
          </cell>
        </row>
        <row r="6111">
          <cell r="C6111" t="str">
            <v>HY</v>
          </cell>
          <cell r="D6111">
            <v>1.4</v>
          </cell>
          <cell r="H6111" t="str">
            <v>hydro</v>
          </cell>
        </row>
        <row r="6112">
          <cell r="C6112" t="str">
            <v>HY</v>
          </cell>
          <cell r="D6112">
            <v>3.4</v>
          </cell>
          <cell r="H6112" t="str">
            <v>hydro</v>
          </cell>
        </row>
        <row r="6113">
          <cell r="C6113" t="str">
            <v>HY</v>
          </cell>
          <cell r="D6113">
            <v>3.4</v>
          </cell>
          <cell r="H6113" t="str">
            <v>hydro</v>
          </cell>
        </row>
        <row r="6114">
          <cell r="C6114" t="str">
            <v>HY</v>
          </cell>
          <cell r="D6114">
            <v>11</v>
          </cell>
          <cell r="H6114" t="str">
            <v>hydro</v>
          </cell>
        </row>
        <row r="6115">
          <cell r="C6115" t="str">
            <v>HY</v>
          </cell>
          <cell r="D6115">
            <v>6.2</v>
          </cell>
          <cell r="H6115" t="str">
            <v>hydro</v>
          </cell>
        </row>
        <row r="6116">
          <cell r="C6116" t="str">
            <v>HY</v>
          </cell>
          <cell r="D6116">
            <v>0.8</v>
          </cell>
          <cell r="H6116" t="str">
            <v>hydro</v>
          </cell>
        </row>
        <row r="6117">
          <cell r="C6117" t="str">
            <v>HY</v>
          </cell>
          <cell r="D6117">
            <v>0.5</v>
          </cell>
          <cell r="H6117" t="str">
            <v>hydro</v>
          </cell>
        </row>
        <row r="6118">
          <cell r="C6118" t="str">
            <v>HY</v>
          </cell>
          <cell r="D6118">
            <v>0.4</v>
          </cell>
          <cell r="H6118" t="str">
            <v>hydro</v>
          </cell>
        </row>
        <row r="6119">
          <cell r="C6119" t="str">
            <v>HY</v>
          </cell>
          <cell r="D6119">
            <v>1.4</v>
          </cell>
          <cell r="H6119" t="str">
            <v>hydro</v>
          </cell>
        </row>
        <row r="6120">
          <cell r="C6120" t="str">
            <v>HY</v>
          </cell>
          <cell r="D6120">
            <v>1.4</v>
          </cell>
          <cell r="H6120" t="str">
            <v>hydro</v>
          </cell>
        </row>
        <row r="6121">
          <cell r="C6121" t="str">
            <v>HY</v>
          </cell>
          <cell r="D6121">
            <v>1.4</v>
          </cell>
          <cell r="H6121" t="str">
            <v>hydro</v>
          </cell>
        </row>
        <row r="6122">
          <cell r="C6122" t="str">
            <v>HY</v>
          </cell>
          <cell r="D6122">
            <v>1.4</v>
          </cell>
          <cell r="H6122" t="str">
            <v>hydro</v>
          </cell>
        </row>
        <row r="6123">
          <cell r="C6123" t="str">
            <v>HY</v>
          </cell>
          <cell r="D6123">
            <v>1.4</v>
          </cell>
          <cell r="H6123" t="str">
            <v>hydro</v>
          </cell>
        </row>
        <row r="6124">
          <cell r="C6124" t="str">
            <v>HY</v>
          </cell>
          <cell r="D6124">
            <v>1.7</v>
          </cell>
          <cell r="H6124" t="str">
            <v>hydro</v>
          </cell>
        </row>
        <row r="6125">
          <cell r="C6125" t="str">
            <v>HY</v>
          </cell>
          <cell r="D6125">
            <v>1.7</v>
          </cell>
          <cell r="H6125" t="str">
            <v>hydro</v>
          </cell>
        </row>
        <row r="6126">
          <cell r="C6126" t="str">
            <v>HY</v>
          </cell>
          <cell r="D6126">
            <v>0.4</v>
          </cell>
          <cell r="H6126" t="str">
            <v>hydro</v>
          </cell>
        </row>
        <row r="6127">
          <cell r="C6127" t="str">
            <v>HY</v>
          </cell>
          <cell r="D6127">
            <v>0.4</v>
          </cell>
          <cell r="H6127" t="str">
            <v>hydro</v>
          </cell>
        </row>
        <row r="6128">
          <cell r="C6128" t="str">
            <v>HY</v>
          </cell>
          <cell r="D6128">
            <v>1.5</v>
          </cell>
          <cell r="H6128" t="str">
            <v>hydro</v>
          </cell>
        </row>
        <row r="6129">
          <cell r="C6129" t="str">
            <v>HY</v>
          </cell>
          <cell r="D6129">
            <v>0.5</v>
          </cell>
          <cell r="H6129" t="str">
            <v>hydro</v>
          </cell>
        </row>
        <row r="6130">
          <cell r="C6130" t="str">
            <v>HY</v>
          </cell>
          <cell r="D6130">
            <v>0.4</v>
          </cell>
          <cell r="H6130" t="str">
            <v>hydro</v>
          </cell>
        </row>
        <row r="6131">
          <cell r="C6131" t="str">
            <v>HY</v>
          </cell>
          <cell r="D6131">
            <v>0.4</v>
          </cell>
          <cell r="H6131" t="str">
            <v>hydro</v>
          </cell>
        </row>
        <row r="6132">
          <cell r="C6132" t="str">
            <v>GT</v>
          </cell>
          <cell r="D6132">
            <v>80.099999999999994</v>
          </cell>
          <cell r="H6132" t="str">
            <v>natural gas peaker</v>
          </cell>
        </row>
        <row r="6133">
          <cell r="C6133" t="str">
            <v>HY</v>
          </cell>
          <cell r="D6133">
            <v>1.9</v>
          </cell>
          <cell r="H6133" t="str">
            <v>hydro</v>
          </cell>
        </row>
        <row r="6134">
          <cell r="C6134" t="str">
            <v>HY</v>
          </cell>
          <cell r="D6134">
            <v>1.9</v>
          </cell>
          <cell r="H6134" t="str">
            <v>hydro</v>
          </cell>
        </row>
        <row r="6135">
          <cell r="C6135" t="str">
            <v>HY</v>
          </cell>
          <cell r="D6135">
            <v>1.3</v>
          </cell>
          <cell r="H6135" t="str">
            <v>hydro</v>
          </cell>
        </row>
        <row r="6136">
          <cell r="C6136" t="str">
            <v>HY</v>
          </cell>
          <cell r="D6136">
            <v>1.3</v>
          </cell>
          <cell r="H6136" t="str">
            <v>hydro</v>
          </cell>
        </row>
        <row r="6137">
          <cell r="C6137" t="str">
            <v>GT</v>
          </cell>
          <cell r="D6137">
            <v>37.700000000000003</v>
          </cell>
          <cell r="H6137" t="str">
            <v>natural gas peaker</v>
          </cell>
        </row>
        <row r="6138">
          <cell r="C6138" t="str">
            <v>GT</v>
          </cell>
          <cell r="D6138">
            <v>36.299999999999997</v>
          </cell>
          <cell r="H6138" t="str">
            <v>natural gas peaker</v>
          </cell>
        </row>
        <row r="6139">
          <cell r="C6139" t="str">
            <v>GT</v>
          </cell>
          <cell r="D6139">
            <v>80</v>
          </cell>
          <cell r="H6139" t="str">
            <v>natural gas peaker</v>
          </cell>
        </row>
        <row r="6140">
          <cell r="C6140" t="str">
            <v>HY</v>
          </cell>
          <cell r="D6140">
            <v>1.8</v>
          </cell>
          <cell r="H6140" t="str">
            <v>hydro</v>
          </cell>
        </row>
        <row r="6141">
          <cell r="C6141" t="str">
            <v>HY</v>
          </cell>
          <cell r="D6141">
            <v>1.8</v>
          </cell>
          <cell r="H6141" t="str">
            <v>hydro</v>
          </cell>
        </row>
        <row r="6142">
          <cell r="C6142" t="str">
            <v>HY</v>
          </cell>
          <cell r="D6142">
            <v>1.8</v>
          </cell>
          <cell r="H6142" t="str">
            <v>hydro</v>
          </cell>
        </row>
        <row r="6143">
          <cell r="C6143" t="str">
            <v>ST</v>
          </cell>
          <cell r="D6143">
            <v>73.8</v>
          </cell>
          <cell r="H6143" t="str">
            <v>natural gas peaker</v>
          </cell>
        </row>
        <row r="6144">
          <cell r="C6144" t="str">
            <v>ST</v>
          </cell>
          <cell r="D6144">
            <v>332</v>
          </cell>
          <cell r="H6144" t="str">
            <v>hard coal</v>
          </cell>
        </row>
        <row r="6145">
          <cell r="C6145" t="str">
            <v>GT</v>
          </cell>
          <cell r="D6145">
            <v>16.2</v>
          </cell>
          <cell r="H6145" t="str">
            <v>natural gas peaker</v>
          </cell>
        </row>
        <row r="6146">
          <cell r="C6146" t="str">
            <v>GT</v>
          </cell>
          <cell r="D6146">
            <v>20.5</v>
          </cell>
          <cell r="H6146" t="str">
            <v>natural gas peaker</v>
          </cell>
        </row>
        <row r="6147">
          <cell r="C6147" t="str">
            <v>ST</v>
          </cell>
          <cell r="D6147">
            <v>546.9</v>
          </cell>
          <cell r="H6147" t="str">
            <v>hard coal</v>
          </cell>
        </row>
        <row r="6148">
          <cell r="C6148" t="str">
            <v>HY</v>
          </cell>
          <cell r="D6148">
            <v>2.7</v>
          </cell>
          <cell r="H6148" t="str">
            <v>hydro</v>
          </cell>
        </row>
        <row r="6149">
          <cell r="C6149" t="str">
            <v>HY</v>
          </cell>
          <cell r="D6149">
            <v>2.7</v>
          </cell>
          <cell r="H6149" t="str">
            <v>hydro</v>
          </cell>
        </row>
        <row r="6150">
          <cell r="C6150" t="str">
            <v>HY</v>
          </cell>
          <cell r="D6150">
            <v>2.7</v>
          </cell>
          <cell r="H6150" t="str">
            <v>hydro</v>
          </cell>
        </row>
        <row r="6151">
          <cell r="C6151" t="str">
            <v>HY</v>
          </cell>
          <cell r="D6151">
            <v>2.7</v>
          </cell>
          <cell r="H6151" t="str">
            <v>hydro</v>
          </cell>
        </row>
        <row r="6152">
          <cell r="C6152" t="str">
            <v>HY</v>
          </cell>
          <cell r="D6152">
            <v>2.8</v>
          </cell>
          <cell r="H6152" t="str">
            <v>hydro</v>
          </cell>
        </row>
        <row r="6153">
          <cell r="C6153" t="str">
            <v>HY</v>
          </cell>
          <cell r="D6153">
            <v>5.0999999999999996</v>
          </cell>
          <cell r="H6153" t="str">
            <v>hydro</v>
          </cell>
        </row>
        <row r="6154">
          <cell r="C6154" t="str">
            <v>HY</v>
          </cell>
          <cell r="D6154">
            <v>5.0999999999999996</v>
          </cell>
          <cell r="H6154" t="str">
            <v>hydro</v>
          </cell>
        </row>
        <row r="6155">
          <cell r="C6155" t="str">
            <v>HY</v>
          </cell>
          <cell r="D6155">
            <v>5.0999999999999996</v>
          </cell>
          <cell r="H6155" t="str">
            <v>hydro</v>
          </cell>
        </row>
        <row r="6156">
          <cell r="C6156" t="str">
            <v>HY</v>
          </cell>
          <cell r="D6156">
            <v>5.2</v>
          </cell>
          <cell r="H6156" t="str">
            <v>hydro</v>
          </cell>
        </row>
        <row r="6157">
          <cell r="C6157" t="str">
            <v>IC</v>
          </cell>
          <cell r="D6157">
            <v>1.3</v>
          </cell>
          <cell r="H6157" t="str">
            <v>petroleum</v>
          </cell>
        </row>
        <row r="6158">
          <cell r="C6158" t="str">
            <v>IC</v>
          </cell>
          <cell r="D6158">
            <v>2</v>
          </cell>
          <cell r="H6158" t="str">
            <v>petroleum</v>
          </cell>
        </row>
        <row r="6159">
          <cell r="C6159" t="str">
            <v>IC</v>
          </cell>
          <cell r="D6159">
            <v>1</v>
          </cell>
          <cell r="H6159" t="str">
            <v>petroleum</v>
          </cell>
        </row>
        <row r="6160">
          <cell r="C6160" t="str">
            <v>IC</v>
          </cell>
          <cell r="D6160">
            <v>0.4</v>
          </cell>
          <cell r="H6160" t="str">
            <v>petroleum</v>
          </cell>
        </row>
        <row r="6161">
          <cell r="C6161" t="str">
            <v>IC</v>
          </cell>
          <cell r="D6161">
            <v>0.2</v>
          </cell>
          <cell r="H6161" t="str">
            <v>petroleum</v>
          </cell>
        </row>
        <row r="6162">
          <cell r="C6162" t="str">
            <v>IC</v>
          </cell>
          <cell r="D6162">
            <v>3</v>
          </cell>
          <cell r="H6162" t="str">
            <v>natural gas peaker</v>
          </cell>
        </row>
        <row r="6163">
          <cell r="C6163" t="str">
            <v>IC</v>
          </cell>
          <cell r="D6163">
            <v>3</v>
          </cell>
          <cell r="H6163" t="str">
            <v>natural gas peaker</v>
          </cell>
        </row>
        <row r="6164">
          <cell r="C6164" t="str">
            <v>IC</v>
          </cell>
          <cell r="D6164">
            <v>2</v>
          </cell>
          <cell r="H6164" t="str">
            <v>petroleum</v>
          </cell>
        </row>
        <row r="6165">
          <cell r="C6165" t="str">
            <v>IC</v>
          </cell>
          <cell r="D6165">
            <v>2</v>
          </cell>
          <cell r="H6165" t="str">
            <v>petroleum</v>
          </cell>
        </row>
        <row r="6166">
          <cell r="C6166" t="str">
            <v>IC</v>
          </cell>
          <cell r="D6166">
            <v>2</v>
          </cell>
          <cell r="H6166" t="str">
            <v>petroleum</v>
          </cell>
        </row>
        <row r="6167">
          <cell r="C6167" t="str">
            <v>IC</v>
          </cell>
          <cell r="D6167">
            <v>1.1000000000000001</v>
          </cell>
          <cell r="H6167" t="str">
            <v>petroleum</v>
          </cell>
        </row>
        <row r="6168">
          <cell r="C6168" t="str">
            <v>IC</v>
          </cell>
          <cell r="D6168">
            <v>1.1000000000000001</v>
          </cell>
          <cell r="H6168" t="str">
            <v>petroleum</v>
          </cell>
        </row>
        <row r="6169">
          <cell r="C6169" t="str">
            <v>IC</v>
          </cell>
          <cell r="D6169">
            <v>1.1000000000000001</v>
          </cell>
          <cell r="H6169" t="str">
            <v>petroleum</v>
          </cell>
        </row>
        <row r="6170">
          <cell r="C6170" t="str">
            <v>IC</v>
          </cell>
          <cell r="D6170">
            <v>1.1000000000000001</v>
          </cell>
          <cell r="H6170" t="str">
            <v>petroleum</v>
          </cell>
        </row>
        <row r="6171">
          <cell r="C6171" t="str">
            <v>IC</v>
          </cell>
          <cell r="D6171">
            <v>0.6</v>
          </cell>
          <cell r="H6171" t="str">
            <v>petroleum</v>
          </cell>
        </row>
        <row r="6172">
          <cell r="C6172" t="str">
            <v>IC</v>
          </cell>
          <cell r="D6172">
            <v>1.3</v>
          </cell>
          <cell r="H6172" t="str">
            <v>petroleum</v>
          </cell>
        </row>
        <row r="6173">
          <cell r="C6173" t="str">
            <v>IC</v>
          </cell>
          <cell r="D6173">
            <v>2</v>
          </cell>
          <cell r="H6173" t="str">
            <v>petroleum</v>
          </cell>
        </row>
        <row r="6174">
          <cell r="C6174" t="str">
            <v>HY</v>
          </cell>
          <cell r="D6174">
            <v>0.1</v>
          </cell>
          <cell r="H6174" t="str">
            <v>hydro</v>
          </cell>
        </row>
        <row r="6175">
          <cell r="C6175" t="str">
            <v>IC</v>
          </cell>
          <cell r="D6175">
            <v>0.4</v>
          </cell>
          <cell r="H6175" t="str">
            <v>petroleum</v>
          </cell>
        </row>
        <row r="6176">
          <cell r="C6176" t="str">
            <v>IC</v>
          </cell>
          <cell r="D6176">
            <v>1.1000000000000001</v>
          </cell>
          <cell r="H6176" t="str">
            <v>natural gas peaker</v>
          </cell>
        </row>
        <row r="6177">
          <cell r="C6177" t="str">
            <v>IC</v>
          </cell>
          <cell r="D6177">
            <v>2</v>
          </cell>
          <cell r="H6177" t="str">
            <v>petroleum</v>
          </cell>
        </row>
        <row r="6178">
          <cell r="C6178" t="str">
            <v>IC</v>
          </cell>
          <cell r="D6178">
            <v>0.7</v>
          </cell>
          <cell r="H6178" t="str">
            <v>petroleum</v>
          </cell>
        </row>
        <row r="6179">
          <cell r="C6179" t="str">
            <v>IC</v>
          </cell>
          <cell r="D6179">
            <v>0.3</v>
          </cell>
          <cell r="H6179" t="str">
            <v>petroleum</v>
          </cell>
        </row>
        <row r="6180">
          <cell r="C6180" t="str">
            <v>IC</v>
          </cell>
          <cell r="D6180">
            <v>0.3</v>
          </cell>
          <cell r="H6180" t="str">
            <v>petroleum</v>
          </cell>
        </row>
        <row r="6181">
          <cell r="C6181" t="str">
            <v>IC</v>
          </cell>
          <cell r="D6181">
            <v>1.2</v>
          </cell>
          <cell r="H6181" t="str">
            <v>petroleum</v>
          </cell>
        </row>
        <row r="6182">
          <cell r="C6182" t="str">
            <v>IC</v>
          </cell>
          <cell r="D6182">
            <v>2.1</v>
          </cell>
          <cell r="H6182" t="str">
            <v>natural gas peaker</v>
          </cell>
        </row>
        <row r="6183">
          <cell r="C6183" t="str">
            <v>IC</v>
          </cell>
          <cell r="D6183">
            <v>6.7</v>
          </cell>
          <cell r="H6183" t="str">
            <v>petroleum</v>
          </cell>
        </row>
        <row r="6184">
          <cell r="C6184" t="str">
            <v>IC</v>
          </cell>
          <cell r="D6184">
            <v>6.2</v>
          </cell>
          <cell r="H6184" t="str">
            <v>natural gas peaker</v>
          </cell>
        </row>
        <row r="6185">
          <cell r="C6185" t="str">
            <v>IC</v>
          </cell>
          <cell r="D6185">
            <v>3.5</v>
          </cell>
          <cell r="H6185" t="str">
            <v>natural gas peaker</v>
          </cell>
        </row>
        <row r="6186">
          <cell r="C6186" t="str">
            <v>IC</v>
          </cell>
          <cell r="D6186">
            <v>2.2000000000000002</v>
          </cell>
          <cell r="H6186" t="str">
            <v>petroleum</v>
          </cell>
        </row>
        <row r="6187">
          <cell r="C6187" t="str">
            <v>IC</v>
          </cell>
          <cell r="D6187">
            <v>2.2000000000000002</v>
          </cell>
          <cell r="H6187" t="str">
            <v>petroleum</v>
          </cell>
        </row>
        <row r="6188">
          <cell r="C6188" t="str">
            <v>IC</v>
          </cell>
          <cell r="D6188">
            <v>2.2000000000000002</v>
          </cell>
          <cell r="H6188" t="str">
            <v>petroleum</v>
          </cell>
        </row>
        <row r="6189">
          <cell r="C6189" t="str">
            <v>IC</v>
          </cell>
          <cell r="D6189">
            <v>1.1000000000000001</v>
          </cell>
          <cell r="H6189" t="str">
            <v>petroleum</v>
          </cell>
        </row>
        <row r="6190">
          <cell r="C6190" t="str">
            <v>IC</v>
          </cell>
          <cell r="D6190">
            <v>0.9</v>
          </cell>
          <cell r="H6190" t="str">
            <v>petroleum</v>
          </cell>
        </row>
        <row r="6191">
          <cell r="C6191" t="str">
            <v>IC</v>
          </cell>
          <cell r="D6191">
            <v>2</v>
          </cell>
          <cell r="H6191" t="str">
            <v>petroleum</v>
          </cell>
        </row>
        <row r="6192">
          <cell r="C6192" t="str">
            <v>IC</v>
          </cell>
          <cell r="D6192">
            <v>2</v>
          </cell>
          <cell r="H6192" t="str">
            <v>petroleum</v>
          </cell>
        </row>
        <row r="6193">
          <cell r="C6193" t="str">
            <v>IC</v>
          </cell>
          <cell r="D6193">
            <v>2</v>
          </cell>
          <cell r="H6193" t="str">
            <v>petroleum</v>
          </cell>
        </row>
        <row r="6194">
          <cell r="C6194" t="str">
            <v>GT</v>
          </cell>
          <cell r="D6194">
            <v>15.8</v>
          </cell>
          <cell r="H6194" t="str">
            <v>natural gas peaker</v>
          </cell>
        </row>
        <row r="6195">
          <cell r="C6195" t="str">
            <v>HY</v>
          </cell>
          <cell r="D6195">
            <v>1.1000000000000001</v>
          </cell>
          <cell r="H6195" t="str">
            <v>hydro</v>
          </cell>
        </row>
        <row r="6196">
          <cell r="C6196" t="str">
            <v>HY</v>
          </cell>
          <cell r="D6196">
            <v>1.1000000000000001</v>
          </cell>
          <cell r="H6196" t="str">
            <v>hydro</v>
          </cell>
        </row>
        <row r="6197">
          <cell r="C6197" t="str">
            <v>HY</v>
          </cell>
          <cell r="D6197">
            <v>1.1000000000000001</v>
          </cell>
          <cell r="H6197" t="str">
            <v>hydro</v>
          </cell>
        </row>
        <row r="6198">
          <cell r="C6198" t="str">
            <v>HY</v>
          </cell>
          <cell r="D6198">
            <v>4</v>
          </cell>
          <cell r="H6198" t="str">
            <v>hydro</v>
          </cell>
        </row>
        <row r="6199">
          <cell r="C6199" t="str">
            <v>HY</v>
          </cell>
          <cell r="D6199">
            <v>4</v>
          </cell>
          <cell r="H6199" t="str">
            <v>hydro</v>
          </cell>
        </row>
        <row r="6200">
          <cell r="C6200" t="str">
            <v>HY</v>
          </cell>
          <cell r="D6200">
            <v>0.6</v>
          </cell>
          <cell r="H6200" t="str">
            <v>hydro</v>
          </cell>
        </row>
        <row r="6201">
          <cell r="C6201" t="str">
            <v>HY</v>
          </cell>
          <cell r="D6201">
            <v>0.6</v>
          </cell>
          <cell r="H6201" t="str">
            <v>hydro</v>
          </cell>
        </row>
        <row r="6202">
          <cell r="C6202" t="str">
            <v>HY</v>
          </cell>
          <cell r="D6202">
            <v>0.6</v>
          </cell>
          <cell r="H6202" t="str">
            <v>hydro</v>
          </cell>
        </row>
        <row r="6203">
          <cell r="C6203" t="str">
            <v>HY</v>
          </cell>
          <cell r="D6203">
            <v>0.6</v>
          </cell>
          <cell r="H6203" t="str">
            <v>hydro</v>
          </cell>
        </row>
        <row r="6204">
          <cell r="C6204" t="str">
            <v>IC</v>
          </cell>
          <cell r="D6204">
            <v>1.5</v>
          </cell>
          <cell r="H6204" t="str">
            <v>petroleum</v>
          </cell>
        </row>
        <row r="6205">
          <cell r="C6205" t="str">
            <v>ST</v>
          </cell>
          <cell r="D6205">
            <v>22</v>
          </cell>
          <cell r="H6205" t="str">
            <v>biomass</v>
          </cell>
        </row>
        <row r="6206">
          <cell r="C6206" t="str">
            <v>ST</v>
          </cell>
          <cell r="D6206">
            <v>22</v>
          </cell>
          <cell r="H6206" t="str">
            <v>biomass</v>
          </cell>
        </row>
        <row r="6207">
          <cell r="C6207" t="str">
            <v>ST</v>
          </cell>
          <cell r="D6207">
            <v>58.4</v>
          </cell>
          <cell r="H6207" t="str">
            <v>petroleum</v>
          </cell>
        </row>
        <row r="6208">
          <cell r="C6208" t="str">
            <v>IC</v>
          </cell>
          <cell r="D6208">
            <v>1.2</v>
          </cell>
          <cell r="H6208" t="str">
            <v>petroleum</v>
          </cell>
        </row>
        <row r="6209">
          <cell r="C6209" t="str">
            <v>IC</v>
          </cell>
          <cell r="D6209">
            <v>2.4</v>
          </cell>
          <cell r="H6209" t="str">
            <v>petroleum</v>
          </cell>
        </row>
        <row r="6210">
          <cell r="C6210" t="str">
            <v>IC</v>
          </cell>
          <cell r="D6210">
            <v>2</v>
          </cell>
          <cell r="H6210" t="str">
            <v>petroleum</v>
          </cell>
        </row>
        <row r="6211">
          <cell r="C6211" t="str">
            <v>IC</v>
          </cell>
          <cell r="D6211">
            <v>2</v>
          </cell>
          <cell r="H6211" t="str">
            <v>petroleum</v>
          </cell>
        </row>
        <row r="6212">
          <cell r="C6212" t="str">
            <v>IC</v>
          </cell>
          <cell r="D6212">
            <v>1.8</v>
          </cell>
          <cell r="H6212" t="str">
            <v>petroleum</v>
          </cell>
        </row>
        <row r="6213">
          <cell r="C6213" t="str">
            <v>HY</v>
          </cell>
          <cell r="D6213">
            <v>8.1</v>
          </cell>
          <cell r="H6213" t="str">
            <v>hydro</v>
          </cell>
        </row>
        <row r="6214">
          <cell r="C6214" t="str">
            <v>HY</v>
          </cell>
          <cell r="D6214">
            <v>6.5</v>
          </cell>
          <cell r="H6214" t="str">
            <v>hydro</v>
          </cell>
        </row>
        <row r="6215">
          <cell r="C6215" t="str">
            <v>HY</v>
          </cell>
          <cell r="D6215">
            <v>8</v>
          </cell>
          <cell r="H6215" t="str">
            <v>hydro</v>
          </cell>
        </row>
        <row r="6216">
          <cell r="C6216" t="str">
            <v>ST</v>
          </cell>
          <cell r="D6216">
            <v>307.5</v>
          </cell>
          <cell r="H6216" t="str">
            <v>hard coal</v>
          </cell>
        </row>
        <row r="6217">
          <cell r="C6217" t="str">
            <v>HY</v>
          </cell>
          <cell r="D6217">
            <v>0.3</v>
          </cell>
          <cell r="H6217" t="str">
            <v>hydro</v>
          </cell>
        </row>
        <row r="6218">
          <cell r="C6218" t="str">
            <v>HY</v>
          </cell>
          <cell r="D6218">
            <v>0.3</v>
          </cell>
          <cell r="H6218" t="str">
            <v>hydro</v>
          </cell>
        </row>
        <row r="6219">
          <cell r="C6219" t="str">
            <v>IC</v>
          </cell>
          <cell r="D6219">
            <v>0.1</v>
          </cell>
          <cell r="H6219" t="str">
            <v>petroleum</v>
          </cell>
        </row>
        <row r="6220">
          <cell r="C6220" t="str">
            <v>IC</v>
          </cell>
          <cell r="D6220">
            <v>0.1</v>
          </cell>
          <cell r="H6220" t="str">
            <v>petroleum</v>
          </cell>
        </row>
        <row r="6221">
          <cell r="C6221" t="str">
            <v>IC</v>
          </cell>
          <cell r="D6221">
            <v>0.2</v>
          </cell>
          <cell r="H6221" t="str">
            <v>petroleum</v>
          </cell>
        </row>
        <row r="6222">
          <cell r="C6222" t="str">
            <v>IC</v>
          </cell>
          <cell r="D6222">
            <v>0.5</v>
          </cell>
          <cell r="H6222" t="str">
            <v>petroleum</v>
          </cell>
        </row>
        <row r="6223">
          <cell r="C6223" t="str">
            <v>IC</v>
          </cell>
          <cell r="D6223">
            <v>0.9</v>
          </cell>
          <cell r="H6223" t="str">
            <v>petroleum</v>
          </cell>
        </row>
        <row r="6224">
          <cell r="C6224" t="str">
            <v>IC</v>
          </cell>
          <cell r="D6224">
            <v>1.6</v>
          </cell>
          <cell r="H6224" t="str">
            <v>petroleum</v>
          </cell>
        </row>
        <row r="6225">
          <cell r="C6225" t="str">
            <v>IC</v>
          </cell>
          <cell r="D6225">
            <v>1.6</v>
          </cell>
          <cell r="H6225" t="str">
            <v>petroleum</v>
          </cell>
        </row>
        <row r="6226">
          <cell r="C6226" t="str">
            <v>ST</v>
          </cell>
          <cell r="D6226">
            <v>93</v>
          </cell>
          <cell r="H6226" t="str">
            <v>hard coal</v>
          </cell>
        </row>
        <row r="6227">
          <cell r="C6227" t="str">
            <v>ST</v>
          </cell>
          <cell r="D6227">
            <v>102</v>
          </cell>
          <cell r="H6227" t="str">
            <v>hard coal</v>
          </cell>
        </row>
        <row r="6228">
          <cell r="C6228" t="str">
            <v>ST</v>
          </cell>
          <cell r="D6228">
            <v>220</v>
          </cell>
          <cell r="H6228" t="str">
            <v>hard coal</v>
          </cell>
        </row>
        <row r="6229">
          <cell r="C6229" t="str">
            <v>ST</v>
          </cell>
          <cell r="D6229">
            <v>330</v>
          </cell>
          <cell r="H6229" t="str">
            <v>hard coal</v>
          </cell>
        </row>
        <row r="6230">
          <cell r="C6230" t="str">
            <v>ST</v>
          </cell>
          <cell r="D6230">
            <v>156</v>
          </cell>
          <cell r="H6230" t="str">
            <v>hard coal</v>
          </cell>
        </row>
        <row r="6231">
          <cell r="C6231" t="str">
            <v>ST</v>
          </cell>
          <cell r="D6231">
            <v>201</v>
          </cell>
          <cell r="H6231" t="str">
            <v>hard coal</v>
          </cell>
        </row>
        <row r="6232">
          <cell r="C6232" t="str">
            <v>ST</v>
          </cell>
          <cell r="D6232">
            <v>330</v>
          </cell>
          <cell r="H6232" t="str">
            <v>hard coal</v>
          </cell>
        </row>
        <row r="6233">
          <cell r="C6233" t="str">
            <v>HY</v>
          </cell>
          <cell r="D6233">
            <v>33.4</v>
          </cell>
          <cell r="H6233" t="str">
            <v>hydro</v>
          </cell>
        </row>
        <row r="6234">
          <cell r="C6234" t="str">
            <v>HY</v>
          </cell>
          <cell r="D6234">
            <v>33.4</v>
          </cell>
          <cell r="H6234" t="str">
            <v>hydro</v>
          </cell>
        </row>
        <row r="6235">
          <cell r="C6235" t="str">
            <v>HY</v>
          </cell>
          <cell r="D6235">
            <v>19</v>
          </cell>
          <cell r="H6235" t="str">
            <v>hydro</v>
          </cell>
        </row>
        <row r="6236">
          <cell r="C6236" t="str">
            <v>HY</v>
          </cell>
          <cell r="D6236">
            <v>19</v>
          </cell>
          <cell r="H6236" t="str">
            <v>hydro</v>
          </cell>
        </row>
        <row r="6237">
          <cell r="C6237" t="str">
            <v>HY</v>
          </cell>
          <cell r="D6237">
            <v>3.2</v>
          </cell>
          <cell r="H6237" t="str">
            <v>hydro</v>
          </cell>
        </row>
        <row r="6238">
          <cell r="C6238" t="str">
            <v>HY</v>
          </cell>
          <cell r="D6238">
            <v>3.2</v>
          </cell>
          <cell r="H6238" t="str">
            <v>hydro</v>
          </cell>
        </row>
        <row r="6239">
          <cell r="C6239" t="str">
            <v>HY</v>
          </cell>
          <cell r="D6239">
            <v>12.2</v>
          </cell>
          <cell r="H6239" t="str">
            <v>hydro</v>
          </cell>
        </row>
        <row r="6240">
          <cell r="C6240" t="str">
            <v>HY</v>
          </cell>
          <cell r="D6240">
            <v>12.2</v>
          </cell>
          <cell r="H6240" t="str">
            <v>hydro</v>
          </cell>
        </row>
        <row r="6241">
          <cell r="C6241" t="str">
            <v>HY</v>
          </cell>
          <cell r="D6241">
            <v>12.2</v>
          </cell>
          <cell r="H6241" t="str">
            <v>hydro</v>
          </cell>
        </row>
        <row r="6242">
          <cell r="C6242" t="str">
            <v>HY</v>
          </cell>
          <cell r="D6242">
            <v>17.2</v>
          </cell>
          <cell r="H6242" t="str">
            <v>hydro</v>
          </cell>
        </row>
        <row r="6243">
          <cell r="C6243" t="str">
            <v>HY</v>
          </cell>
          <cell r="D6243">
            <v>17.2</v>
          </cell>
          <cell r="H6243" t="str">
            <v>hydro</v>
          </cell>
        </row>
        <row r="6244">
          <cell r="C6244" t="str">
            <v>HY</v>
          </cell>
          <cell r="D6244">
            <v>17.2</v>
          </cell>
          <cell r="H6244" t="str">
            <v>hydro</v>
          </cell>
        </row>
        <row r="6245">
          <cell r="C6245" t="str">
            <v>HY</v>
          </cell>
          <cell r="D6245">
            <v>3</v>
          </cell>
          <cell r="H6245" t="str">
            <v>hydro</v>
          </cell>
        </row>
        <row r="6246">
          <cell r="C6246" t="str">
            <v>HY</v>
          </cell>
          <cell r="D6246">
            <v>11.2</v>
          </cell>
          <cell r="H6246" t="str">
            <v>hydro</v>
          </cell>
        </row>
        <row r="6247">
          <cell r="C6247" t="str">
            <v>IC</v>
          </cell>
          <cell r="D6247">
            <v>8.1999999999999993</v>
          </cell>
          <cell r="H6247" t="str">
            <v>natural gas peaker</v>
          </cell>
        </row>
        <row r="6248">
          <cell r="C6248" t="str">
            <v>IC</v>
          </cell>
          <cell r="D6248">
            <v>8.1999999999999993</v>
          </cell>
          <cell r="H6248" t="str">
            <v>natural gas peaker</v>
          </cell>
        </row>
        <row r="6249">
          <cell r="C6249" t="str">
            <v>IC</v>
          </cell>
          <cell r="D6249">
            <v>8.1999999999999993</v>
          </cell>
          <cell r="H6249" t="str">
            <v>natural gas peaker</v>
          </cell>
        </row>
        <row r="6250">
          <cell r="C6250" t="str">
            <v>ST</v>
          </cell>
          <cell r="D6250">
            <v>18</v>
          </cell>
          <cell r="H6250" t="str">
            <v>natural gas peaker</v>
          </cell>
        </row>
        <row r="6251">
          <cell r="C6251" t="str">
            <v>ST</v>
          </cell>
          <cell r="D6251">
            <v>23</v>
          </cell>
          <cell r="H6251" t="str">
            <v>natural gas peaker</v>
          </cell>
        </row>
        <row r="6252">
          <cell r="C6252" t="str">
            <v>ST</v>
          </cell>
          <cell r="D6252">
            <v>41</v>
          </cell>
          <cell r="H6252" t="str">
            <v>natural gas peaker</v>
          </cell>
        </row>
        <row r="6253">
          <cell r="C6253" t="str">
            <v>HY</v>
          </cell>
          <cell r="D6253">
            <v>3.1</v>
          </cell>
          <cell r="H6253" t="str">
            <v>hydro</v>
          </cell>
        </row>
        <row r="6254">
          <cell r="C6254" t="str">
            <v>HY</v>
          </cell>
          <cell r="D6254">
            <v>3.1</v>
          </cell>
          <cell r="H6254" t="str">
            <v>hydro</v>
          </cell>
        </row>
        <row r="6255">
          <cell r="C6255" t="str">
            <v>HY</v>
          </cell>
          <cell r="D6255">
            <v>2.4</v>
          </cell>
          <cell r="H6255" t="str">
            <v>hydro</v>
          </cell>
        </row>
        <row r="6256">
          <cell r="C6256" t="str">
            <v>HY</v>
          </cell>
          <cell r="D6256">
            <v>2.4</v>
          </cell>
          <cell r="H6256" t="str">
            <v>hydro</v>
          </cell>
        </row>
        <row r="6257">
          <cell r="C6257" t="str">
            <v>HY</v>
          </cell>
          <cell r="D6257">
            <v>24</v>
          </cell>
          <cell r="H6257" t="str">
            <v>hydro</v>
          </cell>
        </row>
        <row r="6258">
          <cell r="C6258" t="str">
            <v>HY</v>
          </cell>
          <cell r="D6258">
            <v>13.5</v>
          </cell>
          <cell r="H6258" t="str">
            <v>hydro</v>
          </cell>
        </row>
        <row r="6259">
          <cell r="C6259" t="str">
            <v>GT</v>
          </cell>
          <cell r="D6259">
            <v>4.5</v>
          </cell>
          <cell r="H6259" t="str">
            <v>natural gas peaker</v>
          </cell>
        </row>
        <row r="6260">
          <cell r="C6260" t="str">
            <v>GT</v>
          </cell>
          <cell r="D6260">
            <v>4.5</v>
          </cell>
          <cell r="H6260" t="str">
            <v>natural gas peaker</v>
          </cell>
        </row>
        <row r="6261">
          <cell r="C6261" t="str">
            <v>GT</v>
          </cell>
          <cell r="D6261">
            <v>4.5</v>
          </cell>
          <cell r="H6261" t="str">
            <v>natural gas peaker</v>
          </cell>
        </row>
        <row r="6262">
          <cell r="C6262" t="str">
            <v>GT</v>
          </cell>
          <cell r="D6262">
            <v>23.5</v>
          </cell>
          <cell r="H6262" t="str">
            <v>natural gas peaker</v>
          </cell>
        </row>
        <row r="6263">
          <cell r="C6263" t="str">
            <v>GT</v>
          </cell>
          <cell r="D6263">
            <v>23.5</v>
          </cell>
          <cell r="H6263" t="str">
            <v>natural gas peaker</v>
          </cell>
        </row>
        <row r="6264">
          <cell r="C6264" t="str">
            <v>IC</v>
          </cell>
          <cell r="D6264">
            <v>1.5</v>
          </cell>
          <cell r="H6264" t="str">
            <v>petroleum</v>
          </cell>
        </row>
        <row r="6265">
          <cell r="C6265" t="str">
            <v>IC</v>
          </cell>
          <cell r="D6265">
            <v>1.5</v>
          </cell>
          <cell r="H6265" t="str">
            <v>petroleum</v>
          </cell>
        </row>
        <row r="6266">
          <cell r="C6266" t="str">
            <v>GT</v>
          </cell>
          <cell r="D6266">
            <v>4.5</v>
          </cell>
          <cell r="H6266" t="str">
            <v>petroleum</v>
          </cell>
        </row>
        <row r="6267">
          <cell r="C6267" t="str">
            <v>GT</v>
          </cell>
          <cell r="D6267">
            <v>4.5</v>
          </cell>
          <cell r="H6267" t="str">
            <v>petroleum</v>
          </cell>
        </row>
        <row r="6268">
          <cell r="C6268" t="str">
            <v>IC</v>
          </cell>
          <cell r="D6268">
            <v>6.2</v>
          </cell>
          <cell r="H6268" t="str">
            <v>petroleum</v>
          </cell>
        </row>
        <row r="6269">
          <cell r="C6269" t="str">
            <v>IC</v>
          </cell>
          <cell r="D6269">
            <v>6.2</v>
          </cell>
          <cell r="H6269" t="str">
            <v>petroleum</v>
          </cell>
        </row>
        <row r="6270">
          <cell r="C6270" t="str">
            <v>IC</v>
          </cell>
          <cell r="D6270">
            <v>6.3</v>
          </cell>
          <cell r="H6270" t="str">
            <v>petroleum</v>
          </cell>
        </row>
        <row r="6271">
          <cell r="C6271" t="str">
            <v>IC</v>
          </cell>
          <cell r="D6271">
            <v>6.3</v>
          </cell>
          <cell r="H6271" t="str">
            <v>petroleum</v>
          </cell>
        </row>
        <row r="6272">
          <cell r="C6272" t="str">
            <v>HY</v>
          </cell>
          <cell r="D6272">
            <v>23.4</v>
          </cell>
          <cell r="H6272" t="str">
            <v>hydro</v>
          </cell>
        </row>
        <row r="6273">
          <cell r="C6273" t="str">
            <v>HY</v>
          </cell>
          <cell r="D6273">
            <v>23.4</v>
          </cell>
          <cell r="H6273" t="str">
            <v>hydro</v>
          </cell>
        </row>
        <row r="6274">
          <cell r="C6274" t="str">
            <v>HY</v>
          </cell>
          <cell r="D6274">
            <v>23.4</v>
          </cell>
          <cell r="H6274" t="str">
            <v>hydro</v>
          </cell>
        </row>
        <row r="6275">
          <cell r="C6275" t="str">
            <v>HY</v>
          </cell>
          <cell r="D6275">
            <v>1</v>
          </cell>
          <cell r="H6275" t="str">
            <v>hydro</v>
          </cell>
        </row>
        <row r="6276">
          <cell r="C6276" t="str">
            <v>HY</v>
          </cell>
          <cell r="D6276">
            <v>1.7</v>
          </cell>
          <cell r="H6276" t="str">
            <v>hydro</v>
          </cell>
        </row>
        <row r="6277">
          <cell r="C6277" t="str">
            <v>HY</v>
          </cell>
          <cell r="D6277">
            <v>1.7</v>
          </cell>
          <cell r="H6277" t="str">
            <v>hydro</v>
          </cell>
        </row>
        <row r="6278">
          <cell r="C6278" t="str">
            <v>ST</v>
          </cell>
          <cell r="D6278">
            <v>61</v>
          </cell>
          <cell r="H6278" t="str">
            <v>natural gas peaker</v>
          </cell>
        </row>
        <row r="6279">
          <cell r="C6279" t="str">
            <v>ST</v>
          </cell>
          <cell r="D6279">
            <v>61</v>
          </cell>
          <cell r="H6279" t="str">
            <v>natural gas peaker</v>
          </cell>
        </row>
        <row r="6280">
          <cell r="C6280" t="str">
            <v>ST</v>
          </cell>
          <cell r="D6280">
            <v>1165.4000000000001</v>
          </cell>
          <cell r="H6280" t="str">
            <v>nuclear</v>
          </cell>
        </row>
        <row r="6281">
          <cell r="C6281" t="str">
            <v>ST</v>
          </cell>
          <cell r="D6281">
            <v>389.8</v>
          </cell>
          <cell r="H6281" t="str">
            <v>hard coal</v>
          </cell>
        </row>
        <row r="6282">
          <cell r="C6282" t="str">
            <v>CT</v>
          </cell>
          <cell r="D6282">
            <v>168</v>
          </cell>
          <cell r="H6282" t="str">
            <v>natural gas nonpeaker</v>
          </cell>
        </row>
        <row r="6283">
          <cell r="C6283" t="str">
            <v>CT</v>
          </cell>
          <cell r="D6283">
            <v>168</v>
          </cell>
          <cell r="H6283" t="str">
            <v>natural gas nonpeaker</v>
          </cell>
        </row>
        <row r="6284">
          <cell r="C6284" t="str">
            <v>CA</v>
          </cell>
          <cell r="D6284">
            <v>180</v>
          </cell>
          <cell r="H6284" t="str">
            <v>natural gas nonpeaker</v>
          </cell>
        </row>
        <row r="6285">
          <cell r="C6285" t="str">
            <v>ST</v>
          </cell>
          <cell r="D6285">
            <v>300</v>
          </cell>
          <cell r="H6285" t="str">
            <v>natural gas peaker</v>
          </cell>
        </row>
        <row r="6286">
          <cell r="C6286" t="str">
            <v>CA</v>
          </cell>
          <cell r="D6286">
            <v>319</v>
          </cell>
          <cell r="H6286" t="str">
            <v>natural gas nonpeaker</v>
          </cell>
        </row>
        <row r="6287">
          <cell r="C6287" t="str">
            <v>CT</v>
          </cell>
          <cell r="D6287">
            <v>157</v>
          </cell>
          <cell r="H6287" t="str">
            <v>natural gas nonpeaker</v>
          </cell>
        </row>
        <row r="6288">
          <cell r="C6288" t="str">
            <v>CT</v>
          </cell>
          <cell r="D6288">
            <v>157</v>
          </cell>
          <cell r="H6288" t="str">
            <v>natural gas nonpeaker</v>
          </cell>
        </row>
        <row r="6289">
          <cell r="C6289" t="str">
            <v>ST</v>
          </cell>
          <cell r="D6289">
            <v>454</v>
          </cell>
          <cell r="H6289" t="str">
            <v>natural gas peaker</v>
          </cell>
        </row>
        <row r="6290">
          <cell r="C6290" t="str">
            <v>ST</v>
          </cell>
          <cell r="D6290">
            <v>455</v>
          </cell>
          <cell r="H6290" t="str">
            <v>natural gas peaker</v>
          </cell>
        </row>
        <row r="6291">
          <cell r="C6291" t="str">
            <v>GT</v>
          </cell>
          <cell r="D6291">
            <v>79</v>
          </cell>
          <cell r="H6291" t="str">
            <v>natural gas peaker</v>
          </cell>
        </row>
        <row r="6292">
          <cell r="C6292" t="str">
            <v>GT</v>
          </cell>
          <cell r="D6292">
            <v>79</v>
          </cell>
          <cell r="H6292" t="str">
            <v>natural gas peaker</v>
          </cell>
        </row>
        <row r="6293">
          <cell r="C6293" t="str">
            <v>IC</v>
          </cell>
          <cell r="D6293">
            <v>2.8</v>
          </cell>
          <cell r="H6293" t="str">
            <v>petroleum</v>
          </cell>
        </row>
        <row r="6294">
          <cell r="C6294" t="str">
            <v>GT</v>
          </cell>
          <cell r="D6294">
            <v>86.9</v>
          </cell>
          <cell r="H6294" t="str">
            <v>natural gas peaker</v>
          </cell>
        </row>
        <row r="6295">
          <cell r="C6295" t="str">
            <v>GT</v>
          </cell>
          <cell r="D6295">
            <v>96.5</v>
          </cell>
          <cell r="H6295" t="str">
            <v>natural gas peaker</v>
          </cell>
        </row>
        <row r="6296">
          <cell r="C6296" t="str">
            <v>ST</v>
          </cell>
          <cell r="D6296">
            <v>1009</v>
          </cell>
          <cell r="H6296" t="str">
            <v>nuclear</v>
          </cell>
        </row>
        <row r="6297">
          <cell r="C6297" t="str">
            <v>ST</v>
          </cell>
          <cell r="D6297">
            <v>1168</v>
          </cell>
          <cell r="H6297" t="str">
            <v>nuclear</v>
          </cell>
        </row>
        <row r="6298">
          <cell r="C6298" t="str">
            <v>ST</v>
          </cell>
          <cell r="D6298">
            <v>874</v>
          </cell>
          <cell r="H6298" t="str">
            <v>nuclear</v>
          </cell>
        </row>
        <row r="6299">
          <cell r="C6299" t="str">
            <v>ST</v>
          </cell>
          <cell r="D6299">
            <v>877</v>
          </cell>
          <cell r="H6299" t="str">
            <v>nuclear</v>
          </cell>
        </row>
        <row r="6300">
          <cell r="C6300" t="str">
            <v>ST</v>
          </cell>
          <cell r="D6300">
            <v>689.1</v>
          </cell>
          <cell r="H6300" t="str">
            <v>hard coal</v>
          </cell>
        </row>
        <row r="6301">
          <cell r="C6301" t="str">
            <v>ST</v>
          </cell>
          <cell r="D6301">
            <v>693.7</v>
          </cell>
          <cell r="H6301" t="str">
            <v>hard coal</v>
          </cell>
        </row>
        <row r="6302">
          <cell r="C6302" t="str">
            <v>ST</v>
          </cell>
          <cell r="D6302">
            <v>693</v>
          </cell>
          <cell r="H6302" t="str">
            <v>hard coal</v>
          </cell>
        </row>
        <row r="6303">
          <cell r="C6303" t="str">
            <v>ST</v>
          </cell>
          <cell r="D6303">
            <v>704</v>
          </cell>
          <cell r="H6303" t="str">
            <v>hard coal</v>
          </cell>
        </row>
        <row r="6304">
          <cell r="C6304" t="str">
            <v>ST</v>
          </cell>
          <cell r="D6304">
            <v>644</v>
          </cell>
          <cell r="H6304" t="str">
            <v>hard coal</v>
          </cell>
        </row>
        <row r="6305">
          <cell r="C6305" t="str">
            <v>ST</v>
          </cell>
          <cell r="D6305">
            <v>644</v>
          </cell>
          <cell r="H6305" t="str">
            <v>hard coal</v>
          </cell>
        </row>
        <row r="6306">
          <cell r="C6306" t="str">
            <v>HY</v>
          </cell>
          <cell r="D6306">
            <v>10</v>
          </cell>
          <cell r="H6306" t="str">
            <v>hydro</v>
          </cell>
        </row>
        <row r="6307">
          <cell r="C6307" t="str">
            <v>HY</v>
          </cell>
          <cell r="D6307">
            <v>10</v>
          </cell>
          <cell r="H6307" t="str">
            <v>hydro</v>
          </cell>
        </row>
        <row r="6308">
          <cell r="C6308" t="str">
            <v>ST</v>
          </cell>
          <cell r="D6308">
            <v>1311</v>
          </cell>
          <cell r="H6308" t="str">
            <v>nuclear</v>
          </cell>
        </row>
        <row r="6309">
          <cell r="C6309" t="str">
            <v>ST</v>
          </cell>
          <cell r="D6309">
            <v>1314</v>
          </cell>
          <cell r="H6309" t="str">
            <v>nuclear</v>
          </cell>
        </row>
        <row r="6310">
          <cell r="C6310" t="str">
            <v>ST</v>
          </cell>
          <cell r="D6310">
            <v>1312</v>
          </cell>
          <cell r="H6310" t="str">
            <v>nuclear</v>
          </cell>
        </row>
        <row r="6311">
          <cell r="C6311" t="str">
            <v>ST</v>
          </cell>
          <cell r="D6311">
            <v>814.6</v>
          </cell>
          <cell r="H6311" t="str">
            <v>hard coal</v>
          </cell>
        </row>
        <row r="6312">
          <cell r="C6312" t="str">
            <v>ST</v>
          </cell>
          <cell r="D6312">
            <v>823</v>
          </cell>
          <cell r="H6312" t="str">
            <v>hard coal</v>
          </cell>
        </row>
        <row r="6313">
          <cell r="C6313" t="str">
            <v>ST</v>
          </cell>
          <cell r="D6313">
            <v>866</v>
          </cell>
          <cell r="H6313" t="str">
            <v>nuclear</v>
          </cell>
        </row>
        <row r="6314">
          <cell r="C6314" t="str">
            <v>ST</v>
          </cell>
          <cell r="D6314">
            <v>841.8</v>
          </cell>
          <cell r="H6314" t="str">
            <v>nuclear</v>
          </cell>
        </row>
        <row r="6315">
          <cell r="C6315" t="str">
            <v>HY</v>
          </cell>
          <cell r="D6315">
            <v>6.1</v>
          </cell>
          <cell r="H6315" t="str">
            <v>hydro</v>
          </cell>
        </row>
        <row r="6316">
          <cell r="C6316" t="str">
            <v>ST</v>
          </cell>
          <cell r="D6316">
            <v>44</v>
          </cell>
          <cell r="H6316" t="str">
            <v>natural gas peaker</v>
          </cell>
        </row>
        <row r="6317">
          <cell r="C6317" t="str">
            <v>ST</v>
          </cell>
          <cell r="D6317">
            <v>55</v>
          </cell>
          <cell r="H6317" t="str">
            <v>natural gas peaker</v>
          </cell>
        </row>
        <row r="6318">
          <cell r="C6318" t="str">
            <v>ST</v>
          </cell>
          <cell r="D6318">
            <v>938</v>
          </cell>
          <cell r="H6318" t="str">
            <v>nuclear</v>
          </cell>
        </row>
        <row r="6319">
          <cell r="C6319" t="str">
            <v>ST</v>
          </cell>
          <cell r="D6319">
            <v>932</v>
          </cell>
          <cell r="H6319" t="str">
            <v>nuclear</v>
          </cell>
        </row>
        <row r="6320">
          <cell r="C6320" t="str">
            <v>ST</v>
          </cell>
          <cell r="D6320">
            <v>964</v>
          </cell>
          <cell r="H6320" t="str">
            <v>nuclear</v>
          </cell>
        </row>
        <row r="6321">
          <cell r="C6321" t="str">
            <v>ST</v>
          </cell>
          <cell r="D6321">
            <v>595</v>
          </cell>
          <cell r="H6321" t="str">
            <v>hard coal</v>
          </cell>
        </row>
        <row r="6322">
          <cell r="C6322" t="str">
            <v>ST</v>
          </cell>
          <cell r="D6322">
            <v>600</v>
          </cell>
          <cell r="H6322" t="str">
            <v>hard coal</v>
          </cell>
        </row>
        <row r="6323">
          <cell r="C6323" t="str">
            <v>ST</v>
          </cell>
          <cell r="D6323">
            <v>1305</v>
          </cell>
          <cell r="H6323" t="str">
            <v>hard coal</v>
          </cell>
        </row>
        <row r="6324">
          <cell r="C6324" t="str">
            <v>ST</v>
          </cell>
          <cell r="D6324">
            <v>1240</v>
          </cell>
          <cell r="H6324" t="str">
            <v>nuclear</v>
          </cell>
        </row>
        <row r="6325">
          <cell r="C6325" t="str">
            <v>ST</v>
          </cell>
          <cell r="D6325">
            <v>427</v>
          </cell>
          <cell r="H6325" t="str">
            <v>hard coal</v>
          </cell>
        </row>
        <row r="6326">
          <cell r="C6326" t="str">
            <v>ST</v>
          </cell>
          <cell r="D6326">
            <v>410</v>
          </cell>
          <cell r="H6326" t="str">
            <v>hard coal</v>
          </cell>
        </row>
        <row r="6327">
          <cell r="C6327" t="str">
            <v>ST</v>
          </cell>
          <cell r="D6327">
            <v>448</v>
          </cell>
          <cell r="H6327" t="str">
            <v>hard coal</v>
          </cell>
        </row>
        <row r="6328">
          <cell r="C6328" t="str">
            <v>ST</v>
          </cell>
          <cell r="D6328">
            <v>1183</v>
          </cell>
          <cell r="H6328" t="str">
            <v>nuclear</v>
          </cell>
        </row>
        <row r="6329">
          <cell r="C6329" t="str">
            <v>ST</v>
          </cell>
          <cell r="D6329">
            <v>1154</v>
          </cell>
          <cell r="H6329" t="str">
            <v>nuclear</v>
          </cell>
        </row>
        <row r="6330">
          <cell r="C6330" t="str">
            <v>ST</v>
          </cell>
          <cell r="D6330">
            <v>1164</v>
          </cell>
          <cell r="H6330" t="str">
            <v>nuclear</v>
          </cell>
        </row>
        <row r="6331">
          <cell r="C6331" t="str">
            <v>ST</v>
          </cell>
          <cell r="D6331">
            <v>1136</v>
          </cell>
          <cell r="H6331" t="str">
            <v>nuclear</v>
          </cell>
        </row>
        <row r="6332">
          <cell r="C6332" t="str">
            <v>ST</v>
          </cell>
          <cell r="D6332">
            <v>1130.5</v>
          </cell>
          <cell r="H6332" t="str">
            <v>nuclear</v>
          </cell>
        </row>
        <row r="6333">
          <cell r="C6333" t="str">
            <v>ST</v>
          </cell>
          <cell r="D6333">
            <v>1133.9000000000001</v>
          </cell>
          <cell r="H6333" t="str">
            <v>nuclear</v>
          </cell>
        </row>
        <row r="6334">
          <cell r="C6334" t="str">
            <v>ST</v>
          </cell>
          <cell r="D6334">
            <v>565.70000000000005</v>
          </cell>
          <cell r="H6334" t="str">
            <v>hard coal</v>
          </cell>
        </row>
        <row r="6335">
          <cell r="C6335" t="str">
            <v>ST</v>
          </cell>
          <cell r="D6335">
            <v>580.5</v>
          </cell>
          <cell r="H6335" t="str">
            <v>hard coal</v>
          </cell>
        </row>
        <row r="6336">
          <cell r="C6336" t="str">
            <v>IC</v>
          </cell>
          <cell r="D6336">
            <v>3</v>
          </cell>
          <cell r="H6336" t="str">
            <v>petroleum</v>
          </cell>
        </row>
        <row r="6337">
          <cell r="C6337" t="str">
            <v>IC</v>
          </cell>
          <cell r="D6337">
            <v>3</v>
          </cell>
          <cell r="H6337" t="str">
            <v>petroleum</v>
          </cell>
        </row>
        <row r="6338">
          <cell r="C6338" t="str">
            <v>GT</v>
          </cell>
          <cell r="D6338">
            <v>75</v>
          </cell>
          <cell r="H6338" t="str">
            <v>natural gas peaker</v>
          </cell>
        </row>
        <row r="6339">
          <cell r="C6339" t="str">
            <v>GT</v>
          </cell>
          <cell r="D6339">
            <v>75</v>
          </cell>
          <cell r="H6339" t="str">
            <v>natural gas peaker</v>
          </cell>
        </row>
        <row r="6340">
          <cell r="C6340" t="str">
            <v>GT</v>
          </cell>
          <cell r="D6340">
            <v>74</v>
          </cell>
          <cell r="H6340" t="str">
            <v>natural gas peaker</v>
          </cell>
        </row>
        <row r="6341">
          <cell r="C6341" t="str">
            <v>IC</v>
          </cell>
          <cell r="D6341">
            <v>3</v>
          </cell>
          <cell r="H6341" t="str">
            <v>petroleum</v>
          </cell>
        </row>
        <row r="6342">
          <cell r="C6342" t="str">
            <v>IC</v>
          </cell>
          <cell r="D6342">
            <v>3</v>
          </cell>
          <cell r="H6342" t="str">
            <v>petroleum</v>
          </cell>
        </row>
        <row r="6343">
          <cell r="C6343" t="str">
            <v>IC</v>
          </cell>
          <cell r="D6343">
            <v>3</v>
          </cell>
          <cell r="H6343" t="str">
            <v>petroleum</v>
          </cell>
        </row>
        <row r="6344">
          <cell r="C6344" t="str">
            <v>IC</v>
          </cell>
          <cell r="D6344">
            <v>2</v>
          </cell>
          <cell r="H6344" t="str">
            <v>petroleum</v>
          </cell>
        </row>
        <row r="6345">
          <cell r="C6345" t="str">
            <v>IC</v>
          </cell>
          <cell r="D6345">
            <v>3</v>
          </cell>
          <cell r="H6345" t="str">
            <v>petroleum</v>
          </cell>
        </row>
        <row r="6346">
          <cell r="C6346" t="str">
            <v>ST</v>
          </cell>
          <cell r="D6346">
            <v>635</v>
          </cell>
          <cell r="H6346" t="str">
            <v>hard coal</v>
          </cell>
        </row>
        <row r="6347">
          <cell r="C6347" t="str">
            <v>ST</v>
          </cell>
          <cell r="D6347">
            <v>635</v>
          </cell>
          <cell r="H6347" t="str">
            <v>hard coal</v>
          </cell>
        </row>
        <row r="6348">
          <cell r="C6348" t="str">
            <v>ST</v>
          </cell>
          <cell r="D6348">
            <v>785</v>
          </cell>
          <cell r="H6348" t="str">
            <v>natural gas peaker</v>
          </cell>
        </row>
        <row r="6349">
          <cell r="C6349" t="str">
            <v>GT</v>
          </cell>
          <cell r="D6349">
            <v>75</v>
          </cell>
          <cell r="H6349" t="str">
            <v>natural gas peaker</v>
          </cell>
        </row>
        <row r="6350">
          <cell r="C6350" t="str">
            <v>GT</v>
          </cell>
          <cell r="D6350">
            <v>75</v>
          </cell>
          <cell r="H6350" t="str">
            <v>natural gas peaker</v>
          </cell>
        </row>
        <row r="6351">
          <cell r="C6351" t="str">
            <v>GT</v>
          </cell>
          <cell r="D6351">
            <v>74</v>
          </cell>
          <cell r="H6351" t="str">
            <v>natural gas peaker</v>
          </cell>
        </row>
        <row r="6352">
          <cell r="C6352" t="str">
            <v>ST</v>
          </cell>
          <cell r="D6352">
            <v>1160.0999999999999</v>
          </cell>
          <cell r="H6352" t="str">
            <v>nuclear</v>
          </cell>
        </row>
        <row r="6353">
          <cell r="C6353" t="str">
            <v>ST</v>
          </cell>
          <cell r="D6353">
            <v>1150.0999999999999</v>
          </cell>
          <cell r="H6353" t="str">
            <v>nuclear</v>
          </cell>
        </row>
        <row r="6354">
          <cell r="C6354" t="str">
            <v>ST</v>
          </cell>
          <cell r="D6354">
            <v>1158</v>
          </cell>
          <cell r="H6354" t="str">
            <v>nuclear</v>
          </cell>
        </row>
        <row r="6355">
          <cell r="C6355" t="str">
            <v>ST</v>
          </cell>
          <cell r="D6355">
            <v>1157.5999999999999</v>
          </cell>
          <cell r="H6355" t="str">
            <v>nuclear</v>
          </cell>
        </row>
        <row r="6356">
          <cell r="C6356" t="str">
            <v>ST</v>
          </cell>
          <cell r="D6356">
            <v>907</v>
          </cell>
          <cell r="H6356" t="str">
            <v>nuclear</v>
          </cell>
        </row>
        <row r="6357">
          <cell r="C6357" t="str">
            <v>ST</v>
          </cell>
          <cell r="D6357">
            <v>901</v>
          </cell>
          <cell r="H6357" t="str">
            <v>nuclear</v>
          </cell>
        </row>
        <row r="6358">
          <cell r="C6358" t="str">
            <v>ST</v>
          </cell>
          <cell r="D6358">
            <v>300</v>
          </cell>
          <cell r="H6358" t="str">
            <v>hard coal</v>
          </cell>
        </row>
        <row r="6359">
          <cell r="C6359" t="str">
            <v>ST</v>
          </cell>
          <cell r="D6359">
            <v>510</v>
          </cell>
          <cell r="H6359" t="str">
            <v>hard coal</v>
          </cell>
        </row>
        <row r="6360">
          <cell r="C6360" t="str">
            <v>ST</v>
          </cell>
          <cell r="D6360">
            <v>268</v>
          </cell>
          <cell r="H6360" t="str">
            <v>hard coal</v>
          </cell>
        </row>
        <row r="6361">
          <cell r="C6361" t="str">
            <v>ST</v>
          </cell>
          <cell r="D6361">
            <v>268</v>
          </cell>
          <cell r="H6361" t="str">
            <v>hard coal</v>
          </cell>
        </row>
        <row r="6362">
          <cell r="C6362" t="str">
            <v>ST</v>
          </cell>
          <cell r="D6362">
            <v>809</v>
          </cell>
          <cell r="H6362" t="str">
            <v>petroleum</v>
          </cell>
        </row>
        <row r="6363">
          <cell r="C6363" t="str">
            <v>ST</v>
          </cell>
          <cell r="D6363">
            <v>809</v>
          </cell>
          <cell r="H6363" t="str">
            <v>petroleum</v>
          </cell>
        </row>
        <row r="6364">
          <cell r="C6364" t="str">
            <v>CA</v>
          </cell>
          <cell r="D6364">
            <v>439</v>
          </cell>
          <cell r="H6364" t="str">
            <v>natural gas nonpeaker</v>
          </cell>
        </row>
        <row r="6365">
          <cell r="C6365" t="str">
            <v>CT</v>
          </cell>
          <cell r="D6365">
            <v>173.5</v>
          </cell>
          <cell r="H6365" t="str">
            <v>natural gas nonpeaker</v>
          </cell>
        </row>
        <row r="6366">
          <cell r="C6366" t="str">
            <v>CT</v>
          </cell>
          <cell r="D6366">
            <v>173.5</v>
          </cell>
          <cell r="H6366" t="str">
            <v>natural gas nonpeaker</v>
          </cell>
        </row>
        <row r="6367">
          <cell r="C6367" t="str">
            <v>CT</v>
          </cell>
          <cell r="D6367">
            <v>173.5</v>
          </cell>
          <cell r="H6367" t="str">
            <v>natural gas nonpeaker</v>
          </cell>
        </row>
        <row r="6368">
          <cell r="C6368" t="str">
            <v>CT</v>
          </cell>
          <cell r="D6368">
            <v>173.5</v>
          </cell>
          <cell r="H6368" t="str">
            <v>natural gas nonpeaker</v>
          </cell>
        </row>
        <row r="6369">
          <cell r="C6369" t="str">
            <v>CT</v>
          </cell>
          <cell r="D6369">
            <v>165</v>
          </cell>
          <cell r="H6369" t="str">
            <v>natural gas nonpeaker</v>
          </cell>
        </row>
        <row r="6370">
          <cell r="C6370" t="str">
            <v>CT</v>
          </cell>
          <cell r="D6370">
            <v>165</v>
          </cell>
          <cell r="H6370" t="str">
            <v>natural gas nonpeaker</v>
          </cell>
        </row>
        <row r="6371">
          <cell r="C6371" t="str">
            <v>CA</v>
          </cell>
          <cell r="D6371">
            <v>157</v>
          </cell>
          <cell r="H6371" t="str">
            <v>natural gas nonpeaker</v>
          </cell>
        </row>
        <row r="6372">
          <cell r="C6372" t="str">
            <v>CT</v>
          </cell>
          <cell r="D6372">
            <v>165</v>
          </cell>
          <cell r="H6372" t="str">
            <v>natural gas nonpeaker</v>
          </cell>
        </row>
        <row r="6373">
          <cell r="C6373" t="str">
            <v>CT</v>
          </cell>
          <cell r="D6373">
            <v>165</v>
          </cell>
          <cell r="H6373" t="str">
            <v>natural gas nonpeaker</v>
          </cell>
        </row>
        <row r="6374">
          <cell r="C6374" t="str">
            <v>CA</v>
          </cell>
          <cell r="D6374">
            <v>157</v>
          </cell>
          <cell r="H6374" t="str">
            <v>natural gas nonpeaker</v>
          </cell>
        </row>
        <row r="6375">
          <cell r="C6375" t="str">
            <v>CA</v>
          </cell>
          <cell r="D6375">
            <v>447.8</v>
          </cell>
          <cell r="H6375" t="str">
            <v>natural gas nonpeaker</v>
          </cell>
        </row>
        <row r="6376">
          <cell r="C6376" t="str">
            <v>CT</v>
          </cell>
          <cell r="D6376">
            <v>196.8</v>
          </cell>
          <cell r="H6376" t="str">
            <v>natural gas nonpeaker</v>
          </cell>
        </row>
        <row r="6377">
          <cell r="C6377" t="str">
            <v>CT</v>
          </cell>
          <cell r="D6377">
            <v>196.8</v>
          </cell>
          <cell r="H6377" t="str">
            <v>natural gas nonpeaker</v>
          </cell>
        </row>
        <row r="6378">
          <cell r="C6378" t="str">
            <v>CT</v>
          </cell>
          <cell r="D6378">
            <v>196.8</v>
          </cell>
          <cell r="H6378" t="str">
            <v>natural gas nonpeaker</v>
          </cell>
        </row>
        <row r="6379">
          <cell r="C6379" t="str">
            <v>CT</v>
          </cell>
          <cell r="D6379">
            <v>196.8</v>
          </cell>
          <cell r="H6379" t="str">
            <v>natural gas nonpeaker</v>
          </cell>
        </row>
        <row r="6380">
          <cell r="C6380" t="str">
            <v>ST</v>
          </cell>
          <cell r="D6380">
            <v>981</v>
          </cell>
          <cell r="H6380" t="str">
            <v>nuclear</v>
          </cell>
        </row>
        <row r="6381">
          <cell r="C6381" t="str">
            <v>ST</v>
          </cell>
          <cell r="D6381">
            <v>987</v>
          </cell>
          <cell r="H6381" t="str">
            <v>nuclear</v>
          </cell>
        </row>
        <row r="6382">
          <cell r="C6382" t="str">
            <v>GT</v>
          </cell>
          <cell r="D6382">
            <v>75</v>
          </cell>
          <cell r="H6382" t="str">
            <v>petroleum</v>
          </cell>
        </row>
        <row r="6383">
          <cell r="C6383" t="str">
            <v>GT</v>
          </cell>
          <cell r="D6383">
            <v>48</v>
          </cell>
          <cell r="H6383" t="str">
            <v>petroleum</v>
          </cell>
        </row>
        <row r="6384">
          <cell r="C6384" t="str">
            <v>GT</v>
          </cell>
          <cell r="D6384">
            <v>50</v>
          </cell>
          <cell r="H6384" t="str">
            <v>petroleum</v>
          </cell>
        </row>
        <row r="6385">
          <cell r="C6385" t="str">
            <v>GT</v>
          </cell>
          <cell r="D6385">
            <v>50</v>
          </cell>
          <cell r="H6385" t="str">
            <v>petroleum</v>
          </cell>
        </row>
        <row r="6386">
          <cell r="C6386" t="str">
            <v>GT</v>
          </cell>
          <cell r="D6386">
            <v>49</v>
          </cell>
          <cell r="H6386" t="str">
            <v>petroleum</v>
          </cell>
        </row>
        <row r="6387">
          <cell r="C6387" t="str">
            <v>GT</v>
          </cell>
          <cell r="D6387">
            <v>50</v>
          </cell>
          <cell r="H6387" t="str">
            <v>petroleum</v>
          </cell>
        </row>
        <row r="6388">
          <cell r="C6388" t="str">
            <v>GT</v>
          </cell>
          <cell r="D6388">
            <v>79</v>
          </cell>
          <cell r="H6388" t="str">
            <v>natural gas peaker</v>
          </cell>
        </row>
        <row r="6389">
          <cell r="C6389" t="str">
            <v>GT</v>
          </cell>
          <cell r="D6389">
            <v>78</v>
          </cell>
          <cell r="H6389" t="str">
            <v>natural gas peaker</v>
          </cell>
        </row>
        <row r="6390">
          <cell r="C6390" t="str">
            <v>GT</v>
          </cell>
          <cell r="D6390">
            <v>80</v>
          </cell>
          <cell r="H6390" t="str">
            <v>natural gas peaker</v>
          </cell>
        </row>
        <row r="6391">
          <cell r="C6391" t="str">
            <v>HY</v>
          </cell>
          <cell r="D6391">
            <v>2.2000000000000002</v>
          </cell>
          <cell r="H6391" t="str">
            <v>hydro</v>
          </cell>
        </row>
        <row r="6392">
          <cell r="C6392" t="str">
            <v>HY</v>
          </cell>
          <cell r="D6392">
            <v>2.2000000000000002</v>
          </cell>
          <cell r="H6392" t="str">
            <v>hydro</v>
          </cell>
        </row>
        <row r="6393">
          <cell r="C6393" t="str">
            <v>HY</v>
          </cell>
          <cell r="D6393">
            <v>2.2000000000000002</v>
          </cell>
          <cell r="H6393" t="str">
            <v>hydro</v>
          </cell>
        </row>
        <row r="6394">
          <cell r="C6394" t="str">
            <v>IC</v>
          </cell>
          <cell r="D6394">
            <v>2.8</v>
          </cell>
          <cell r="H6394" t="str">
            <v>petroleum</v>
          </cell>
        </row>
        <row r="6395">
          <cell r="C6395" t="str">
            <v>IC</v>
          </cell>
          <cell r="D6395">
            <v>2.8</v>
          </cell>
          <cell r="H6395" t="str">
            <v>petroleum</v>
          </cell>
        </row>
        <row r="6396">
          <cell r="C6396" t="str">
            <v>ST</v>
          </cell>
          <cell r="D6396">
            <v>876</v>
          </cell>
          <cell r="H6396" t="str">
            <v>nuclear</v>
          </cell>
        </row>
        <row r="6397">
          <cell r="C6397" t="str">
            <v>ST</v>
          </cell>
          <cell r="D6397">
            <v>883</v>
          </cell>
          <cell r="H6397" t="str">
            <v>nuclear</v>
          </cell>
        </row>
        <row r="6398">
          <cell r="C6398" t="str">
            <v>ST</v>
          </cell>
          <cell r="D6398">
            <v>872</v>
          </cell>
          <cell r="H6398" t="str">
            <v>hard coal</v>
          </cell>
        </row>
        <row r="6399">
          <cell r="C6399" t="str">
            <v>ST</v>
          </cell>
          <cell r="D6399">
            <v>872</v>
          </cell>
          <cell r="H6399" t="str">
            <v>hard coal</v>
          </cell>
        </row>
        <row r="6400">
          <cell r="C6400" t="str">
            <v>GT</v>
          </cell>
          <cell r="D6400">
            <v>49</v>
          </cell>
          <cell r="H6400" t="str">
            <v>petroleum</v>
          </cell>
        </row>
        <row r="6401">
          <cell r="C6401" t="str">
            <v>ST</v>
          </cell>
          <cell r="D6401">
            <v>568</v>
          </cell>
          <cell r="H6401" t="str">
            <v>hard coal</v>
          </cell>
        </row>
        <row r="6402">
          <cell r="C6402" t="str">
            <v>ST</v>
          </cell>
          <cell r="D6402">
            <v>575</v>
          </cell>
          <cell r="H6402" t="str">
            <v>natural gas peaker</v>
          </cell>
        </row>
        <row r="6403">
          <cell r="C6403" t="str">
            <v>ST</v>
          </cell>
          <cell r="D6403">
            <v>580</v>
          </cell>
          <cell r="H6403" t="str">
            <v>hard coal</v>
          </cell>
        </row>
        <row r="6404">
          <cell r="C6404" t="str">
            <v>ST</v>
          </cell>
          <cell r="D6404">
            <v>4.7</v>
          </cell>
          <cell r="H6404" t="str">
            <v>petroleum</v>
          </cell>
        </row>
        <row r="6405">
          <cell r="C6405" t="str">
            <v>ST</v>
          </cell>
          <cell r="D6405">
            <v>4.8</v>
          </cell>
          <cell r="H6405" t="str">
            <v>petroleum</v>
          </cell>
        </row>
        <row r="6406">
          <cell r="C6406" t="str">
            <v>ST</v>
          </cell>
          <cell r="D6406">
            <v>11</v>
          </cell>
          <cell r="H6406" t="str">
            <v>petroleum</v>
          </cell>
        </row>
        <row r="6407">
          <cell r="C6407" t="str">
            <v>ST</v>
          </cell>
          <cell r="D6407">
            <v>11.9</v>
          </cell>
          <cell r="H6407" t="str">
            <v>petroleum</v>
          </cell>
        </row>
        <row r="6408">
          <cell r="C6408" t="str">
            <v>GT</v>
          </cell>
          <cell r="D6408">
            <v>27.9</v>
          </cell>
          <cell r="H6408" t="str">
            <v>natural gas peaker</v>
          </cell>
        </row>
        <row r="6409">
          <cell r="C6409" t="str">
            <v>GT</v>
          </cell>
          <cell r="D6409">
            <v>49.5</v>
          </cell>
          <cell r="H6409" t="str">
            <v>natural gas peaker</v>
          </cell>
        </row>
        <row r="6410">
          <cell r="C6410" t="str">
            <v>GT</v>
          </cell>
          <cell r="D6410">
            <v>19.8</v>
          </cell>
          <cell r="H6410" t="str">
            <v>natural gas peaker</v>
          </cell>
        </row>
        <row r="6411">
          <cell r="C6411" t="str">
            <v>GT</v>
          </cell>
          <cell r="D6411">
            <v>19.5</v>
          </cell>
          <cell r="H6411" t="str">
            <v>natural gas peaker</v>
          </cell>
        </row>
        <row r="6412">
          <cell r="C6412" t="str">
            <v>GT</v>
          </cell>
          <cell r="D6412">
            <v>21.4</v>
          </cell>
          <cell r="H6412" t="str">
            <v>natural gas peaker</v>
          </cell>
        </row>
        <row r="6413">
          <cell r="C6413" t="str">
            <v>GT</v>
          </cell>
          <cell r="D6413">
            <v>19.2</v>
          </cell>
          <cell r="H6413" t="str">
            <v>natural gas peaker</v>
          </cell>
        </row>
        <row r="6414">
          <cell r="C6414" t="str">
            <v>GT</v>
          </cell>
          <cell r="D6414">
            <v>50.6</v>
          </cell>
          <cell r="H6414" t="str">
            <v>natural gas peaker</v>
          </cell>
        </row>
        <row r="6415">
          <cell r="C6415" t="str">
            <v>GT</v>
          </cell>
          <cell r="D6415">
            <v>64</v>
          </cell>
          <cell r="H6415" t="str">
            <v>natural gas peaker</v>
          </cell>
        </row>
        <row r="6416">
          <cell r="C6416" t="str">
            <v>GT</v>
          </cell>
          <cell r="D6416">
            <v>68.099999999999994</v>
          </cell>
          <cell r="H6416" t="str">
            <v>natural gas peaker</v>
          </cell>
        </row>
        <row r="6417">
          <cell r="C6417" t="str">
            <v>ST</v>
          </cell>
          <cell r="D6417">
            <v>240</v>
          </cell>
          <cell r="H6417" t="str">
            <v>hard coal</v>
          </cell>
        </row>
        <row r="6418">
          <cell r="C6418" t="str">
            <v>GT</v>
          </cell>
          <cell r="D6418">
            <v>76</v>
          </cell>
          <cell r="H6418" t="str">
            <v>natural gas peaker</v>
          </cell>
        </row>
        <row r="6419">
          <cell r="C6419" t="str">
            <v>ST</v>
          </cell>
          <cell r="D6419">
            <v>700.4</v>
          </cell>
          <cell r="H6419" t="str">
            <v>hard coal</v>
          </cell>
        </row>
        <row r="6420">
          <cell r="C6420" t="str">
            <v>ST</v>
          </cell>
          <cell r="D6420">
            <v>897.1</v>
          </cell>
          <cell r="H6420" t="str">
            <v>hard coal</v>
          </cell>
        </row>
        <row r="6421">
          <cell r="C6421" t="str">
            <v>ST</v>
          </cell>
          <cell r="D6421">
            <v>727.8</v>
          </cell>
          <cell r="H6421" t="str">
            <v>hard coal</v>
          </cell>
        </row>
        <row r="6422">
          <cell r="C6422" t="str">
            <v>ST</v>
          </cell>
          <cell r="D6422">
            <v>730.4</v>
          </cell>
          <cell r="H6422" t="str">
            <v>hard coal</v>
          </cell>
        </row>
        <row r="6423">
          <cell r="C6423" t="str">
            <v>ST</v>
          </cell>
          <cell r="D6423">
            <v>727.5</v>
          </cell>
          <cell r="H6423" t="str">
            <v>hard coal</v>
          </cell>
        </row>
        <row r="6424">
          <cell r="C6424" t="str">
            <v>ST</v>
          </cell>
          <cell r="D6424">
            <v>511</v>
          </cell>
          <cell r="H6424" t="str">
            <v>hard coal</v>
          </cell>
        </row>
        <row r="6425">
          <cell r="C6425" t="str">
            <v>GT</v>
          </cell>
          <cell r="D6425">
            <v>159</v>
          </cell>
          <cell r="H6425" t="str">
            <v>natural gas peaker</v>
          </cell>
        </row>
        <row r="6426">
          <cell r="C6426" t="str">
            <v>ST</v>
          </cell>
          <cell r="D6426">
            <v>732</v>
          </cell>
          <cell r="H6426" t="str">
            <v>hard coal</v>
          </cell>
        </row>
        <row r="6427">
          <cell r="C6427" t="str">
            <v>GT</v>
          </cell>
          <cell r="D6427">
            <v>159</v>
          </cell>
          <cell r="H6427" t="str">
            <v>natural gas peaker</v>
          </cell>
        </row>
        <row r="6428">
          <cell r="C6428" t="str">
            <v>GT</v>
          </cell>
          <cell r="D6428">
            <v>159</v>
          </cell>
          <cell r="H6428" t="str">
            <v>natural gas peaker</v>
          </cell>
        </row>
        <row r="6429">
          <cell r="C6429" t="str">
            <v>GT</v>
          </cell>
          <cell r="D6429">
            <v>159</v>
          </cell>
          <cell r="H6429" t="str">
            <v>natural gas peaker</v>
          </cell>
        </row>
        <row r="6430">
          <cell r="C6430" t="str">
            <v>GT</v>
          </cell>
          <cell r="D6430">
            <v>159</v>
          </cell>
          <cell r="H6430" t="str">
            <v>natural gas peaker</v>
          </cell>
        </row>
        <row r="6431">
          <cell r="C6431" t="str">
            <v>GT</v>
          </cell>
          <cell r="D6431">
            <v>159</v>
          </cell>
          <cell r="H6431" t="str">
            <v>natural gas peaker</v>
          </cell>
        </row>
        <row r="6432">
          <cell r="C6432" t="str">
            <v>ST</v>
          </cell>
          <cell r="D6432">
            <v>1401</v>
          </cell>
          <cell r="H6432" t="str">
            <v>nuclear</v>
          </cell>
        </row>
        <row r="6433">
          <cell r="C6433" t="str">
            <v>ST</v>
          </cell>
          <cell r="D6433">
            <v>502</v>
          </cell>
          <cell r="H6433" t="str">
            <v>hard coal</v>
          </cell>
        </row>
        <row r="6434">
          <cell r="C6434" t="str">
            <v>ST</v>
          </cell>
          <cell r="D6434">
            <v>502</v>
          </cell>
          <cell r="H6434" t="str">
            <v>hard coal</v>
          </cell>
        </row>
        <row r="6435">
          <cell r="C6435" t="str">
            <v>CT</v>
          </cell>
          <cell r="D6435">
            <v>541</v>
          </cell>
          <cell r="H6435" t="str">
            <v>natural gas nonpeaker</v>
          </cell>
        </row>
        <row r="6436">
          <cell r="C6436" t="str">
            <v>CT</v>
          </cell>
          <cell r="D6436" t="str">
            <v xml:space="preserve"> </v>
          </cell>
          <cell r="H6436" t="str">
            <v>natural gas nonpeaker</v>
          </cell>
        </row>
        <row r="6437">
          <cell r="C6437" t="str">
            <v>CA</v>
          </cell>
          <cell r="D6437" t="str">
            <v xml:space="preserve"> </v>
          </cell>
          <cell r="H6437" t="str">
            <v>natural gas nonpeaker</v>
          </cell>
        </row>
        <row r="6438">
          <cell r="C6438" t="str">
            <v>CT</v>
          </cell>
          <cell r="D6438">
            <v>540</v>
          </cell>
          <cell r="H6438" t="str">
            <v>natural gas nonpeaker</v>
          </cell>
        </row>
        <row r="6439">
          <cell r="C6439" t="str">
            <v>CT</v>
          </cell>
          <cell r="D6439" t="str">
            <v xml:space="preserve"> </v>
          </cell>
          <cell r="H6439" t="str">
            <v>natural gas nonpeaker</v>
          </cell>
        </row>
        <row r="6440">
          <cell r="C6440" t="str">
            <v>CA</v>
          </cell>
          <cell r="D6440" t="str">
            <v xml:space="preserve"> </v>
          </cell>
          <cell r="H6440" t="str">
            <v>natural gas nonpeaker</v>
          </cell>
        </row>
        <row r="6441">
          <cell r="C6441" t="str">
            <v>GT</v>
          </cell>
          <cell r="D6441">
            <v>61.2</v>
          </cell>
          <cell r="H6441" t="str">
            <v>natural gas peaker</v>
          </cell>
        </row>
        <row r="6442">
          <cell r="C6442" t="str">
            <v>GT</v>
          </cell>
          <cell r="D6442">
            <v>55.6</v>
          </cell>
          <cell r="H6442" t="str">
            <v>natural gas peaker</v>
          </cell>
        </row>
        <row r="6443">
          <cell r="C6443" t="str">
            <v>GT</v>
          </cell>
          <cell r="D6443">
            <v>60.9</v>
          </cell>
          <cell r="H6443" t="str">
            <v>natural gas peaker</v>
          </cell>
        </row>
        <row r="6444">
          <cell r="C6444" t="str">
            <v>GT</v>
          </cell>
          <cell r="D6444">
            <v>58.3</v>
          </cell>
          <cell r="H6444" t="str">
            <v>natural gas peaker</v>
          </cell>
        </row>
        <row r="6445">
          <cell r="C6445" t="str">
            <v>PV</v>
          </cell>
          <cell r="D6445">
            <v>3</v>
          </cell>
          <cell r="H6445" t="str">
            <v>solar PV</v>
          </cell>
        </row>
        <row r="6446">
          <cell r="C6446" t="str">
            <v>ST</v>
          </cell>
          <cell r="D6446">
            <v>307</v>
          </cell>
          <cell r="H6446" t="str">
            <v>hard coal</v>
          </cell>
        </row>
        <row r="6447">
          <cell r="C6447" t="str">
            <v>ST</v>
          </cell>
          <cell r="D6447">
            <v>307</v>
          </cell>
          <cell r="H6447" t="str">
            <v>hard coal</v>
          </cell>
        </row>
        <row r="6448">
          <cell r="C6448" t="str">
            <v>ST</v>
          </cell>
          <cell r="D6448">
            <v>740</v>
          </cell>
          <cell r="H6448" t="str">
            <v>hard coal</v>
          </cell>
        </row>
        <row r="6449">
          <cell r="C6449" t="str">
            <v>ST</v>
          </cell>
          <cell r="D6449">
            <v>740</v>
          </cell>
          <cell r="H6449" t="str">
            <v>hard coal</v>
          </cell>
        </row>
        <row r="6450">
          <cell r="C6450" t="str">
            <v>ST</v>
          </cell>
          <cell r="D6450">
            <v>665</v>
          </cell>
          <cell r="H6450" t="str">
            <v>hard coal</v>
          </cell>
        </row>
        <row r="6451">
          <cell r="C6451" t="str">
            <v>ST</v>
          </cell>
          <cell r="D6451">
            <v>700</v>
          </cell>
          <cell r="H6451" t="str">
            <v>hard coal</v>
          </cell>
        </row>
        <row r="6452">
          <cell r="C6452" t="str">
            <v>GT</v>
          </cell>
          <cell r="D6452">
            <v>65</v>
          </cell>
          <cell r="H6452" t="str">
            <v>petroleum</v>
          </cell>
        </row>
        <row r="6453">
          <cell r="C6453" t="str">
            <v>GT</v>
          </cell>
          <cell r="D6453">
            <v>65</v>
          </cell>
          <cell r="H6453" t="str">
            <v>petroleum</v>
          </cell>
        </row>
        <row r="6454">
          <cell r="C6454" t="str">
            <v>IC</v>
          </cell>
          <cell r="D6454">
            <v>2</v>
          </cell>
          <cell r="H6454" t="str">
            <v>petroleum</v>
          </cell>
        </row>
        <row r="6455">
          <cell r="C6455" t="str">
            <v>IC</v>
          </cell>
          <cell r="D6455">
            <v>2</v>
          </cell>
          <cell r="H6455" t="str">
            <v>petroleum</v>
          </cell>
        </row>
        <row r="6456">
          <cell r="C6456" t="str">
            <v>CA</v>
          </cell>
          <cell r="D6456">
            <v>96</v>
          </cell>
          <cell r="H6456" t="str">
            <v>petroleum</v>
          </cell>
        </row>
        <row r="6457">
          <cell r="C6457" t="str">
            <v>CT</v>
          </cell>
          <cell r="D6457">
            <v>69.7</v>
          </cell>
          <cell r="H6457" t="str">
            <v>petroleum</v>
          </cell>
        </row>
        <row r="6458">
          <cell r="C6458" t="str">
            <v>CT</v>
          </cell>
          <cell r="D6458">
            <v>69.7</v>
          </cell>
          <cell r="H6458" t="str">
            <v>petroleum</v>
          </cell>
        </row>
        <row r="6459">
          <cell r="C6459" t="str">
            <v>CT</v>
          </cell>
          <cell r="D6459">
            <v>69.7</v>
          </cell>
          <cell r="H6459" t="str">
            <v>petroleum</v>
          </cell>
        </row>
        <row r="6460">
          <cell r="C6460" t="str">
            <v>IC</v>
          </cell>
          <cell r="D6460">
            <v>0.6</v>
          </cell>
          <cell r="H6460" t="str">
            <v>petroleum</v>
          </cell>
        </row>
        <row r="6461">
          <cell r="C6461" t="str">
            <v>ST</v>
          </cell>
          <cell r="D6461">
            <v>684.4</v>
          </cell>
          <cell r="H6461" t="str">
            <v>hard coal</v>
          </cell>
        </row>
        <row r="6462">
          <cell r="C6462" t="str">
            <v>HY</v>
          </cell>
          <cell r="D6462">
            <v>2</v>
          </cell>
          <cell r="H6462" t="str">
            <v>hydro</v>
          </cell>
        </row>
        <row r="6463">
          <cell r="C6463" t="str">
            <v>HY</v>
          </cell>
          <cell r="D6463">
            <v>2</v>
          </cell>
          <cell r="H6463" t="str">
            <v>hydro</v>
          </cell>
        </row>
        <row r="6464">
          <cell r="C6464" t="str">
            <v>HY</v>
          </cell>
          <cell r="D6464">
            <v>2</v>
          </cell>
          <cell r="H6464" t="str">
            <v>hydro</v>
          </cell>
        </row>
        <row r="6465">
          <cell r="C6465" t="str">
            <v>ST</v>
          </cell>
          <cell r="D6465">
            <v>431</v>
          </cell>
          <cell r="H6465" t="str">
            <v>hard coal</v>
          </cell>
        </row>
        <row r="6466">
          <cell r="C6466" t="str">
            <v>ST</v>
          </cell>
          <cell r="D6466">
            <v>472</v>
          </cell>
          <cell r="H6466" t="str">
            <v>hard coal</v>
          </cell>
        </row>
        <row r="6467">
          <cell r="C6467" t="str">
            <v>GT</v>
          </cell>
          <cell r="D6467">
            <v>78</v>
          </cell>
          <cell r="H6467" t="str">
            <v>natural gas peaker</v>
          </cell>
        </row>
        <row r="6468">
          <cell r="C6468" t="str">
            <v>GT</v>
          </cell>
          <cell r="D6468">
            <v>77</v>
          </cell>
          <cell r="H6468" t="str">
            <v>natural gas peaker</v>
          </cell>
        </row>
        <row r="6469">
          <cell r="C6469" t="str">
            <v>ST</v>
          </cell>
          <cell r="D6469">
            <v>361</v>
          </cell>
          <cell r="H6469" t="str">
            <v>hard coal</v>
          </cell>
        </row>
        <row r="6470">
          <cell r="C6470" t="str">
            <v>ST</v>
          </cell>
          <cell r="D6470">
            <v>361</v>
          </cell>
          <cell r="H6470" t="str">
            <v>hard coal</v>
          </cell>
        </row>
        <row r="6471">
          <cell r="C6471" t="str">
            <v>HY</v>
          </cell>
          <cell r="D6471">
            <v>6.2</v>
          </cell>
          <cell r="H6471" t="str">
            <v>hydro</v>
          </cell>
        </row>
        <row r="6472">
          <cell r="C6472" t="str">
            <v>HY</v>
          </cell>
          <cell r="D6472">
            <v>6.4</v>
          </cell>
          <cell r="H6472" t="str">
            <v>hydro</v>
          </cell>
        </row>
        <row r="6473">
          <cell r="C6473" t="str">
            <v>HY</v>
          </cell>
          <cell r="D6473">
            <v>6.9</v>
          </cell>
          <cell r="H6473" t="str">
            <v>hydro</v>
          </cell>
        </row>
        <row r="6474">
          <cell r="C6474" t="str">
            <v>HY</v>
          </cell>
          <cell r="D6474">
            <v>0.4</v>
          </cell>
          <cell r="H6474" t="str">
            <v>hydro</v>
          </cell>
        </row>
        <row r="6475">
          <cell r="C6475" t="str">
            <v>PS</v>
          </cell>
          <cell r="D6475">
            <v>53.6</v>
          </cell>
          <cell r="H6475" t="str">
            <v>other</v>
          </cell>
        </row>
        <row r="6476">
          <cell r="C6476" t="str">
            <v>PS</v>
          </cell>
          <cell r="D6476">
            <v>53.6</v>
          </cell>
          <cell r="H6476" t="str">
            <v>other</v>
          </cell>
        </row>
        <row r="6477">
          <cell r="C6477" t="str">
            <v>HY</v>
          </cell>
          <cell r="D6477">
            <v>56.8</v>
          </cell>
          <cell r="H6477" t="str">
            <v>hydro</v>
          </cell>
        </row>
        <row r="6478">
          <cell r="C6478" t="str">
            <v>HY</v>
          </cell>
          <cell r="D6478">
            <v>56.8</v>
          </cell>
          <cell r="H6478" t="str">
            <v>hydro</v>
          </cell>
        </row>
        <row r="6479">
          <cell r="C6479" t="str">
            <v>PS</v>
          </cell>
          <cell r="D6479">
            <v>53.6</v>
          </cell>
          <cell r="H6479" t="str">
            <v>other</v>
          </cell>
        </row>
        <row r="6480">
          <cell r="C6480" t="str">
            <v>PS</v>
          </cell>
          <cell r="D6480">
            <v>53.6</v>
          </cell>
          <cell r="H6480" t="str">
            <v>other</v>
          </cell>
        </row>
        <row r="6481">
          <cell r="C6481" t="str">
            <v>GT</v>
          </cell>
          <cell r="D6481">
            <v>25</v>
          </cell>
          <cell r="H6481" t="str">
            <v>natural gas peaker</v>
          </cell>
        </row>
        <row r="6482">
          <cell r="C6482" t="str">
            <v>GT</v>
          </cell>
          <cell r="D6482">
            <v>25</v>
          </cell>
          <cell r="H6482" t="str">
            <v>natural gas peaker</v>
          </cell>
        </row>
        <row r="6483">
          <cell r="C6483" t="str">
            <v>GT</v>
          </cell>
          <cell r="D6483">
            <v>25</v>
          </cell>
          <cell r="H6483" t="str">
            <v>natural gas peaker</v>
          </cell>
        </row>
        <row r="6484">
          <cell r="C6484" t="str">
            <v>GT</v>
          </cell>
          <cell r="D6484">
            <v>20</v>
          </cell>
          <cell r="H6484" t="str">
            <v>natural gas peaker</v>
          </cell>
        </row>
        <row r="6485">
          <cell r="C6485" t="str">
            <v>ST</v>
          </cell>
          <cell r="D6485">
            <v>53.1</v>
          </cell>
          <cell r="H6485" t="str">
            <v>lignite</v>
          </cell>
        </row>
        <row r="6486">
          <cell r="C6486" t="str">
            <v>IC</v>
          </cell>
          <cell r="D6486">
            <v>9.1</v>
          </cell>
          <cell r="H6486" t="str">
            <v>natural gas peaker</v>
          </cell>
        </row>
        <row r="6487">
          <cell r="C6487" t="str">
            <v>IC</v>
          </cell>
          <cell r="D6487">
            <v>9.1</v>
          </cell>
          <cell r="H6487" t="str">
            <v>natural gas peaker</v>
          </cell>
        </row>
        <row r="6488">
          <cell r="C6488" t="str">
            <v>ST</v>
          </cell>
          <cell r="D6488">
            <v>680</v>
          </cell>
          <cell r="H6488" t="str">
            <v>hard coal</v>
          </cell>
        </row>
        <row r="6489">
          <cell r="C6489" t="str">
            <v>ST</v>
          </cell>
          <cell r="D6489">
            <v>682</v>
          </cell>
          <cell r="H6489" t="str">
            <v>hard coal</v>
          </cell>
        </row>
        <row r="6490">
          <cell r="C6490" t="str">
            <v>ST</v>
          </cell>
          <cell r="D6490">
            <v>876</v>
          </cell>
          <cell r="H6490" t="str">
            <v>hard coal</v>
          </cell>
        </row>
        <row r="6491">
          <cell r="C6491" t="str">
            <v>GT</v>
          </cell>
          <cell r="D6491">
            <v>50</v>
          </cell>
          <cell r="H6491" t="str">
            <v>petroleum</v>
          </cell>
        </row>
        <row r="6492">
          <cell r="C6492" t="str">
            <v>GT</v>
          </cell>
          <cell r="D6492">
            <v>45</v>
          </cell>
          <cell r="H6492" t="str">
            <v>petroleum</v>
          </cell>
        </row>
        <row r="6493">
          <cell r="C6493" t="str">
            <v>ST</v>
          </cell>
          <cell r="D6493">
            <v>516</v>
          </cell>
          <cell r="H6493" t="str">
            <v>hard coal</v>
          </cell>
        </row>
        <row r="6494">
          <cell r="C6494" t="str">
            <v>ST</v>
          </cell>
          <cell r="D6494">
            <v>515</v>
          </cell>
          <cell r="H6494" t="str">
            <v>hard coal</v>
          </cell>
        </row>
        <row r="6495">
          <cell r="C6495" t="str">
            <v>ST</v>
          </cell>
          <cell r="D6495">
            <v>654.29999999999995</v>
          </cell>
          <cell r="H6495" t="str">
            <v>hard coal</v>
          </cell>
        </row>
        <row r="6496">
          <cell r="C6496" t="str">
            <v>ST</v>
          </cell>
          <cell r="D6496">
            <v>691</v>
          </cell>
          <cell r="H6496" t="str">
            <v>hard coal</v>
          </cell>
        </row>
        <row r="6497">
          <cell r="C6497" t="str">
            <v>ST</v>
          </cell>
          <cell r="D6497">
            <v>474</v>
          </cell>
          <cell r="H6497" t="str">
            <v>hard coal</v>
          </cell>
        </row>
        <row r="6498">
          <cell r="C6498" t="str">
            <v>IC</v>
          </cell>
          <cell r="D6498">
            <v>0.6</v>
          </cell>
          <cell r="H6498" t="str">
            <v>petroleum</v>
          </cell>
        </row>
        <row r="6499">
          <cell r="C6499" t="str">
            <v>ST</v>
          </cell>
          <cell r="D6499">
            <v>1122</v>
          </cell>
          <cell r="H6499" t="str">
            <v>nuclear</v>
          </cell>
        </row>
        <row r="6500">
          <cell r="C6500" t="str">
            <v>ST</v>
          </cell>
          <cell r="D6500">
            <v>1118</v>
          </cell>
          <cell r="H6500" t="str">
            <v>nuclear</v>
          </cell>
        </row>
        <row r="6501">
          <cell r="C6501" t="str">
            <v>PS</v>
          </cell>
          <cell r="D6501">
            <v>404</v>
          </cell>
          <cell r="H6501" t="str">
            <v>other</v>
          </cell>
        </row>
        <row r="6502">
          <cell r="C6502" t="str">
            <v>PS</v>
          </cell>
          <cell r="D6502">
            <v>404</v>
          </cell>
          <cell r="H6502" t="str">
            <v>other</v>
          </cell>
        </row>
        <row r="6503">
          <cell r="C6503" t="str">
            <v>PS</v>
          </cell>
          <cell r="D6503">
            <v>404</v>
          </cell>
          <cell r="H6503" t="str">
            <v>other</v>
          </cell>
        </row>
        <row r="6504">
          <cell r="C6504" t="str">
            <v>ST</v>
          </cell>
          <cell r="D6504">
            <v>332</v>
          </cell>
          <cell r="H6504" t="str">
            <v>hard coal</v>
          </cell>
        </row>
        <row r="6505">
          <cell r="C6505" t="str">
            <v>ST</v>
          </cell>
          <cell r="D6505">
            <v>1247</v>
          </cell>
          <cell r="H6505" t="str">
            <v>nuclear</v>
          </cell>
        </row>
        <row r="6506">
          <cell r="C6506" t="str">
            <v>ST</v>
          </cell>
          <cell r="D6506">
            <v>1247</v>
          </cell>
          <cell r="H6506" t="str">
            <v>nuclear</v>
          </cell>
        </row>
        <row r="6507">
          <cell r="C6507" t="str">
            <v>ST</v>
          </cell>
          <cell r="D6507">
            <v>1119.7</v>
          </cell>
          <cell r="H6507" t="str">
            <v>nuclear</v>
          </cell>
        </row>
        <row r="6508">
          <cell r="C6508" t="str">
            <v>ST</v>
          </cell>
          <cell r="D6508">
            <v>1122.0999999999999</v>
          </cell>
          <cell r="H6508" t="str">
            <v>nuclear</v>
          </cell>
        </row>
        <row r="6509">
          <cell r="C6509" t="str">
            <v>ST</v>
          </cell>
          <cell r="D6509">
            <v>585</v>
          </cell>
          <cell r="H6509" t="str">
            <v>hard coal</v>
          </cell>
        </row>
        <row r="6510">
          <cell r="C6510" t="str">
            <v>ST</v>
          </cell>
          <cell r="D6510">
            <v>848.1</v>
          </cell>
          <cell r="H6510" t="str">
            <v>nuclear</v>
          </cell>
        </row>
        <row r="6511">
          <cell r="C6511" t="str">
            <v>CA</v>
          </cell>
          <cell r="D6511">
            <v>301</v>
          </cell>
          <cell r="H6511" t="str">
            <v>natural gas nonpeaker</v>
          </cell>
        </row>
        <row r="6512">
          <cell r="C6512" t="str">
            <v>CT</v>
          </cell>
          <cell r="D6512">
            <v>123</v>
          </cell>
          <cell r="H6512" t="str">
            <v>natural gas nonpeaker</v>
          </cell>
        </row>
        <row r="6513">
          <cell r="C6513" t="str">
            <v>CT</v>
          </cell>
          <cell r="D6513">
            <v>128</v>
          </cell>
          <cell r="H6513" t="str">
            <v>natural gas nonpeaker</v>
          </cell>
        </row>
        <row r="6514">
          <cell r="C6514" t="str">
            <v>CT</v>
          </cell>
          <cell r="D6514">
            <v>128</v>
          </cell>
          <cell r="H6514" t="str">
            <v>natural gas nonpeaker</v>
          </cell>
        </row>
        <row r="6515">
          <cell r="C6515" t="str">
            <v>GT</v>
          </cell>
          <cell r="D6515">
            <v>144</v>
          </cell>
          <cell r="H6515" t="str">
            <v>natural gas peaker</v>
          </cell>
        </row>
        <row r="6516">
          <cell r="C6516" t="str">
            <v>GT</v>
          </cell>
          <cell r="D6516">
            <v>144</v>
          </cell>
          <cell r="H6516" t="str">
            <v>natural gas peaker</v>
          </cell>
        </row>
        <row r="6517">
          <cell r="C6517" t="str">
            <v>ST</v>
          </cell>
          <cell r="D6517">
            <v>630</v>
          </cell>
          <cell r="H6517" t="str">
            <v>hard coal</v>
          </cell>
        </row>
        <row r="6518">
          <cell r="C6518" t="str">
            <v>ST</v>
          </cell>
          <cell r="D6518">
            <v>630</v>
          </cell>
          <cell r="H6518" t="str">
            <v>hard coal</v>
          </cell>
        </row>
        <row r="6519">
          <cell r="C6519" t="str">
            <v>ST</v>
          </cell>
          <cell r="D6519">
            <v>630</v>
          </cell>
          <cell r="H6519" t="str">
            <v>hard coal</v>
          </cell>
        </row>
        <row r="6520">
          <cell r="C6520" t="str">
            <v>ST</v>
          </cell>
          <cell r="D6520">
            <v>622</v>
          </cell>
          <cell r="H6520" t="str">
            <v>hard coal</v>
          </cell>
        </row>
        <row r="6521">
          <cell r="C6521" t="str">
            <v>ST</v>
          </cell>
          <cell r="D6521">
            <v>620</v>
          </cell>
          <cell r="H6521" t="str">
            <v>hard coal</v>
          </cell>
        </row>
        <row r="6522">
          <cell r="C6522" t="str">
            <v>ST</v>
          </cell>
          <cell r="D6522">
            <v>1250.4000000000001</v>
          </cell>
          <cell r="H6522" t="str">
            <v>nuclear</v>
          </cell>
        </row>
        <row r="6523">
          <cell r="C6523" t="str">
            <v>ST</v>
          </cell>
          <cell r="D6523">
            <v>1172</v>
          </cell>
          <cell r="H6523" t="str">
            <v>nuclear</v>
          </cell>
        </row>
        <row r="6524">
          <cell r="C6524" t="str">
            <v>HY</v>
          </cell>
          <cell r="D6524">
            <v>2</v>
          </cell>
          <cell r="H6524" t="str">
            <v>hydro</v>
          </cell>
        </row>
        <row r="6525">
          <cell r="C6525" t="str">
            <v>HY</v>
          </cell>
          <cell r="D6525">
            <v>2</v>
          </cell>
          <cell r="H6525" t="str">
            <v>hydro</v>
          </cell>
        </row>
        <row r="6526">
          <cell r="C6526" t="str">
            <v>HY</v>
          </cell>
          <cell r="D6526">
            <v>2</v>
          </cell>
          <cell r="H6526" t="str">
            <v>hydro</v>
          </cell>
        </row>
        <row r="6527">
          <cell r="C6527" t="str">
            <v>GT</v>
          </cell>
          <cell r="D6527">
            <v>67</v>
          </cell>
          <cell r="H6527" t="str">
            <v>natural gas peaker</v>
          </cell>
        </row>
        <row r="6528">
          <cell r="C6528" t="str">
            <v>GT</v>
          </cell>
          <cell r="D6528">
            <v>67</v>
          </cell>
          <cell r="H6528" t="str">
            <v>natural gas peaker</v>
          </cell>
        </row>
        <row r="6529">
          <cell r="C6529" t="str">
            <v>ST</v>
          </cell>
          <cell r="D6529">
            <v>580.6</v>
          </cell>
          <cell r="H6529" t="str">
            <v>nuclear</v>
          </cell>
        </row>
        <row r="6530">
          <cell r="C6530" t="str">
            <v>GT</v>
          </cell>
          <cell r="D6530">
            <v>82.2</v>
          </cell>
          <cell r="H6530" t="str">
            <v>natural gas peaker</v>
          </cell>
        </row>
        <row r="6531">
          <cell r="C6531" t="str">
            <v>GT</v>
          </cell>
          <cell r="D6531">
            <v>82.2</v>
          </cell>
          <cell r="H6531" t="str">
            <v>natural gas peaker</v>
          </cell>
        </row>
        <row r="6532">
          <cell r="C6532" t="str">
            <v>GT</v>
          </cell>
          <cell r="D6532">
            <v>82.2</v>
          </cell>
          <cell r="H6532" t="str">
            <v>natural gas peaker</v>
          </cell>
        </row>
        <row r="6533">
          <cell r="C6533" t="str">
            <v>GT</v>
          </cell>
          <cell r="D6533">
            <v>82.2</v>
          </cell>
          <cell r="H6533" t="str">
            <v>natural gas peaker</v>
          </cell>
        </row>
        <row r="6534">
          <cell r="C6534" t="str">
            <v>GT</v>
          </cell>
          <cell r="D6534">
            <v>82.2</v>
          </cell>
          <cell r="H6534" t="str">
            <v>natural gas peaker</v>
          </cell>
        </row>
        <row r="6535">
          <cell r="C6535" t="str">
            <v>GT</v>
          </cell>
          <cell r="D6535">
            <v>82.2</v>
          </cell>
          <cell r="H6535" t="str">
            <v>natural gas peaker</v>
          </cell>
        </row>
        <row r="6536">
          <cell r="C6536" t="str">
            <v>GT</v>
          </cell>
          <cell r="D6536">
            <v>82.2</v>
          </cell>
          <cell r="H6536" t="str">
            <v>natural gas peaker</v>
          </cell>
        </row>
        <row r="6537">
          <cell r="C6537" t="str">
            <v>GT</v>
          </cell>
          <cell r="D6537">
            <v>82.2</v>
          </cell>
          <cell r="H6537" t="str">
            <v>natural gas peaker</v>
          </cell>
        </row>
        <row r="6538">
          <cell r="C6538" t="str">
            <v>IC</v>
          </cell>
          <cell r="D6538">
            <v>2.8</v>
          </cell>
          <cell r="H6538" t="str">
            <v>petroleum</v>
          </cell>
        </row>
        <row r="6539">
          <cell r="C6539" t="str">
            <v>IC</v>
          </cell>
          <cell r="D6539">
            <v>2.8</v>
          </cell>
          <cell r="H6539" t="str">
            <v>petroleum</v>
          </cell>
        </row>
        <row r="6540">
          <cell r="C6540" t="str">
            <v>IC</v>
          </cell>
          <cell r="D6540">
            <v>2.8</v>
          </cell>
          <cell r="H6540" t="str">
            <v>petroleum</v>
          </cell>
        </row>
        <row r="6541">
          <cell r="C6541" t="str">
            <v>IC</v>
          </cell>
          <cell r="D6541">
            <v>2.8</v>
          </cell>
          <cell r="H6541" t="str">
            <v>petroleum</v>
          </cell>
        </row>
        <row r="6542">
          <cell r="C6542" t="str">
            <v>IC</v>
          </cell>
          <cell r="D6542">
            <v>2.8</v>
          </cell>
          <cell r="H6542" t="str">
            <v>petroleum</v>
          </cell>
        </row>
        <row r="6543">
          <cell r="C6543" t="str">
            <v>IC</v>
          </cell>
          <cell r="D6543">
            <v>2.5</v>
          </cell>
          <cell r="H6543" t="str">
            <v>natural gas peaker</v>
          </cell>
        </row>
        <row r="6544">
          <cell r="C6544" t="str">
            <v>PV</v>
          </cell>
          <cell r="D6544">
            <v>3</v>
          </cell>
          <cell r="H6544" t="str">
            <v>solar PV</v>
          </cell>
        </row>
        <row r="6545">
          <cell r="C6545" t="str">
            <v>PS</v>
          </cell>
          <cell r="D6545">
            <v>72</v>
          </cell>
          <cell r="H6545" t="str">
            <v>other</v>
          </cell>
        </row>
        <row r="6546">
          <cell r="C6546" t="str">
            <v>PS</v>
          </cell>
          <cell r="D6546">
            <v>72</v>
          </cell>
          <cell r="H6546" t="str">
            <v>other</v>
          </cell>
        </row>
        <row r="6547">
          <cell r="C6547" t="str">
            <v>PS</v>
          </cell>
          <cell r="D6547">
            <v>72</v>
          </cell>
          <cell r="H6547" t="str">
            <v>other</v>
          </cell>
        </row>
        <row r="6548">
          <cell r="C6548" t="str">
            <v>PS</v>
          </cell>
          <cell r="D6548">
            <v>72</v>
          </cell>
          <cell r="H6548" t="str">
            <v>other</v>
          </cell>
        </row>
        <row r="6549">
          <cell r="C6549" t="str">
            <v>PS</v>
          </cell>
          <cell r="D6549">
            <v>72</v>
          </cell>
          <cell r="H6549" t="str">
            <v>other</v>
          </cell>
        </row>
        <row r="6550">
          <cell r="C6550" t="str">
            <v>PS</v>
          </cell>
          <cell r="D6550">
            <v>72</v>
          </cell>
          <cell r="H6550" t="str">
            <v>other</v>
          </cell>
        </row>
        <row r="6551">
          <cell r="C6551" t="str">
            <v>PS</v>
          </cell>
          <cell r="D6551">
            <v>72</v>
          </cell>
          <cell r="H6551" t="str">
            <v>other</v>
          </cell>
        </row>
        <row r="6552">
          <cell r="C6552" t="str">
            <v>PS</v>
          </cell>
          <cell r="D6552">
            <v>72</v>
          </cell>
          <cell r="H6552" t="str">
            <v>other</v>
          </cell>
        </row>
        <row r="6553">
          <cell r="C6553" t="str">
            <v>ST</v>
          </cell>
          <cell r="D6553">
            <v>971</v>
          </cell>
          <cell r="H6553" t="str">
            <v>nuclear</v>
          </cell>
        </row>
        <row r="6554">
          <cell r="C6554" t="str">
            <v>HY</v>
          </cell>
          <cell r="D6554">
            <v>29</v>
          </cell>
          <cell r="H6554" t="str">
            <v>hydro</v>
          </cell>
        </row>
        <row r="6555">
          <cell r="C6555" t="str">
            <v>HY</v>
          </cell>
          <cell r="D6555">
            <v>29</v>
          </cell>
          <cell r="H6555" t="str">
            <v>hydro</v>
          </cell>
        </row>
        <row r="6556">
          <cell r="C6556" t="str">
            <v>HY</v>
          </cell>
          <cell r="D6556">
            <v>143</v>
          </cell>
          <cell r="H6556" t="str">
            <v>hydro</v>
          </cell>
        </row>
        <row r="6557">
          <cell r="C6557" t="str">
            <v>HY</v>
          </cell>
          <cell r="D6557">
            <v>143</v>
          </cell>
          <cell r="H6557" t="str">
            <v>hydro</v>
          </cell>
        </row>
        <row r="6558">
          <cell r="C6558" t="str">
            <v>PS</v>
          </cell>
          <cell r="D6558">
            <v>143</v>
          </cell>
          <cell r="H6558" t="str">
            <v>other</v>
          </cell>
        </row>
        <row r="6559">
          <cell r="C6559" t="str">
            <v>PS</v>
          </cell>
          <cell r="D6559">
            <v>143</v>
          </cell>
          <cell r="H6559" t="str">
            <v>other</v>
          </cell>
        </row>
        <row r="6560">
          <cell r="C6560" t="str">
            <v>HY</v>
          </cell>
          <cell r="D6560">
            <v>20.5</v>
          </cell>
          <cell r="H6560" t="str">
            <v>hydro</v>
          </cell>
        </row>
        <row r="6561">
          <cell r="C6561" t="str">
            <v>HY</v>
          </cell>
          <cell r="D6561">
            <v>20.5</v>
          </cell>
          <cell r="H6561" t="str">
            <v>hydro</v>
          </cell>
        </row>
        <row r="6562">
          <cell r="C6562" t="str">
            <v>HY</v>
          </cell>
          <cell r="D6562">
            <v>20.5</v>
          </cell>
          <cell r="H6562" t="str">
            <v>hydro</v>
          </cell>
        </row>
        <row r="6563">
          <cell r="C6563" t="str">
            <v>HY</v>
          </cell>
          <cell r="D6563">
            <v>20.5</v>
          </cell>
          <cell r="H6563" t="str">
            <v>hydro</v>
          </cell>
        </row>
        <row r="6564">
          <cell r="C6564" t="str">
            <v>HY</v>
          </cell>
          <cell r="D6564">
            <v>84</v>
          </cell>
          <cell r="H6564" t="str">
            <v>hydro</v>
          </cell>
        </row>
        <row r="6565">
          <cell r="C6565" t="str">
            <v>HY</v>
          </cell>
          <cell r="D6565">
            <v>84</v>
          </cell>
          <cell r="H6565" t="str">
            <v>hydro</v>
          </cell>
        </row>
        <row r="6566">
          <cell r="C6566" t="str">
            <v>HY</v>
          </cell>
          <cell r="D6566">
            <v>84</v>
          </cell>
          <cell r="H6566" t="str">
            <v>hydro</v>
          </cell>
        </row>
        <row r="6567">
          <cell r="C6567" t="str">
            <v>HY</v>
          </cell>
          <cell r="D6567">
            <v>84</v>
          </cell>
          <cell r="H6567" t="str">
            <v>hydro</v>
          </cell>
        </row>
        <row r="6568">
          <cell r="C6568" t="str">
            <v>PS</v>
          </cell>
          <cell r="D6568">
            <v>82</v>
          </cell>
          <cell r="H6568" t="str">
            <v>other</v>
          </cell>
        </row>
        <row r="6569">
          <cell r="C6569" t="str">
            <v>PS</v>
          </cell>
          <cell r="D6569">
            <v>82</v>
          </cell>
          <cell r="H6569" t="str">
            <v>other</v>
          </cell>
        </row>
        <row r="6570">
          <cell r="C6570" t="str">
            <v>PS</v>
          </cell>
          <cell r="D6570">
            <v>82</v>
          </cell>
          <cell r="H6570" t="str">
            <v>other</v>
          </cell>
        </row>
        <row r="6571">
          <cell r="C6571" t="str">
            <v>PS</v>
          </cell>
          <cell r="D6571">
            <v>82</v>
          </cell>
          <cell r="H6571" t="str">
            <v>other</v>
          </cell>
        </row>
        <row r="6572">
          <cell r="C6572" t="str">
            <v>HY</v>
          </cell>
          <cell r="D6572">
            <v>3</v>
          </cell>
          <cell r="H6572" t="str">
            <v>hydro</v>
          </cell>
        </row>
        <row r="6573">
          <cell r="C6573" t="str">
            <v>HY</v>
          </cell>
          <cell r="D6573">
            <v>42</v>
          </cell>
          <cell r="H6573" t="str">
            <v>hydro</v>
          </cell>
        </row>
        <row r="6574">
          <cell r="C6574" t="str">
            <v>HY</v>
          </cell>
          <cell r="D6574">
            <v>42</v>
          </cell>
          <cell r="H6574" t="str">
            <v>hydro</v>
          </cell>
        </row>
        <row r="6575">
          <cell r="C6575" t="str">
            <v>ST</v>
          </cell>
          <cell r="D6575">
            <v>245</v>
          </cell>
          <cell r="H6575" t="str">
            <v>hard coal</v>
          </cell>
        </row>
        <row r="6576">
          <cell r="C6576" t="str">
            <v>ST</v>
          </cell>
          <cell r="D6576">
            <v>245</v>
          </cell>
          <cell r="H6576" t="str">
            <v>hard coal</v>
          </cell>
        </row>
        <row r="6577">
          <cell r="C6577" t="str">
            <v>GT</v>
          </cell>
          <cell r="D6577">
            <v>80</v>
          </cell>
          <cell r="H6577" t="str">
            <v>natural gas peaker</v>
          </cell>
        </row>
        <row r="6578">
          <cell r="C6578" t="str">
            <v>GT</v>
          </cell>
          <cell r="D6578">
            <v>80</v>
          </cell>
          <cell r="H6578" t="str">
            <v>natural gas peaker</v>
          </cell>
        </row>
        <row r="6579">
          <cell r="C6579" t="str">
            <v>ST</v>
          </cell>
          <cell r="D6579">
            <v>528</v>
          </cell>
          <cell r="H6579" t="str">
            <v>hard coal</v>
          </cell>
        </row>
        <row r="6580">
          <cell r="C6580" t="str">
            <v>ST</v>
          </cell>
          <cell r="D6580">
            <v>528</v>
          </cell>
          <cell r="H6580" t="str">
            <v>hard coal</v>
          </cell>
        </row>
        <row r="6581">
          <cell r="C6581" t="str">
            <v>ST</v>
          </cell>
          <cell r="D6581">
            <v>528</v>
          </cell>
          <cell r="H6581" t="str">
            <v>hard coal</v>
          </cell>
        </row>
        <row r="6582">
          <cell r="C6582" t="str">
            <v>HY</v>
          </cell>
          <cell r="D6582">
            <v>27</v>
          </cell>
          <cell r="H6582" t="str">
            <v>hydro</v>
          </cell>
        </row>
        <row r="6583">
          <cell r="C6583" t="str">
            <v>PS</v>
          </cell>
          <cell r="D6583">
            <v>31</v>
          </cell>
          <cell r="H6583" t="str">
            <v>other</v>
          </cell>
        </row>
        <row r="6584">
          <cell r="C6584" t="str">
            <v>PS</v>
          </cell>
          <cell r="D6584">
            <v>31</v>
          </cell>
          <cell r="H6584" t="str">
            <v>other</v>
          </cell>
        </row>
        <row r="6585">
          <cell r="C6585" t="str">
            <v>PS</v>
          </cell>
          <cell r="D6585">
            <v>31</v>
          </cell>
          <cell r="H6585" t="str">
            <v>other</v>
          </cell>
        </row>
        <row r="6586">
          <cell r="C6586" t="str">
            <v>PS</v>
          </cell>
          <cell r="D6586">
            <v>31</v>
          </cell>
          <cell r="H6586" t="str">
            <v>other</v>
          </cell>
        </row>
        <row r="6587">
          <cell r="C6587" t="str">
            <v>PS</v>
          </cell>
          <cell r="D6587">
            <v>31</v>
          </cell>
          <cell r="H6587" t="str">
            <v>other</v>
          </cell>
        </row>
        <row r="6588">
          <cell r="C6588" t="str">
            <v>PS</v>
          </cell>
          <cell r="D6588">
            <v>31</v>
          </cell>
          <cell r="H6588" t="str">
            <v>other</v>
          </cell>
        </row>
        <row r="6589">
          <cell r="C6589" t="str">
            <v>PS</v>
          </cell>
          <cell r="D6589">
            <v>31</v>
          </cell>
          <cell r="H6589" t="str">
            <v>other</v>
          </cell>
        </row>
        <row r="6590">
          <cell r="C6590" t="str">
            <v>HY</v>
          </cell>
          <cell r="D6590">
            <v>23</v>
          </cell>
          <cell r="H6590" t="str">
            <v>hydro</v>
          </cell>
        </row>
        <row r="6591">
          <cell r="C6591" t="str">
            <v>HY</v>
          </cell>
          <cell r="D6591">
            <v>23</v>
          </cell>
          <cell r="H6591" t="str">
            <v>hydro</v>
          </cell>
        </row>
        <row r="6592">
          <cell r="C6592" t="str">
            <v>HY</v>
          </cell>
          <cell r="D6592">
            <v>23</v>
          </cell>
          <cell r="H6592" t="str">
            <v>hydro</v>
          </cell>
        </row>
        <row r="6593">
          <cell r="C6593" t="str">
            <v>HY</v>
          </cell>
          <cell r="D6593">
            <v>23</v>
          </cell>
          <cell r="H6593" t="str">
            <v>hydro</v>
          </cell>
        </row>
        <row r="6594">
          <cell r="C6594" t="str">
            <v>HY</v>
          </cell>
          <cell r="D6594">
            <v>23</v>
          </cell>
          <cell r="H6594" t="str">
            <v>hydro</v>
          </cell>
        </row>
        <row r="6595">
          <cell r="C6595" t="str">
            <v>GT</v>
          </cell>
          <cell r="D6595">
            <v>16.7</v>
          </cell>
          <cell r="H6595" t="str">
            <v>natural gas peaker</v>
          </cell>
        </row>
        <row r="6596">
          <cell r="C6596" t="str">
            <v>GT</v>
          </cell>
          <cell r="D6596">
            <v>16.899999999999999</v>
          </cell>
          <cell r="H6596" t="str">
            <v>natural gas peaker</v>
          </cell>
        </row>
        <row r="6597">
          <cell r="C6597" t="str">
            <v>ST</v>
          </cell>
          <cell r="D6597">
            <v>1205</v>
          </cell>
          <cell r="H6597" t="str">
            <v>nuclear</v>
          </cell>
        </row>
        <row r="6598">
          <cell r="C6598" t="str">
            <v>ST</v>
          </cell>
          <cell r="D6598">
            <v>1195</v>
          </cell>
          <cell r="H6598" t="str">
            <v>nuclear</v>
          </cell>
        </row>
        <row r="6599">
          <cell r="C6599" t="str">
            <v>ST</v>
          </cell>
          <cell r="D6599">
            <v>800</v>
          </cell>
          <cell r="H6599" t="str">
            <v>lignite</v>
          </cell>
        </row>
        <row r="6600">
          <cell r="C6600" t="str">
            <v>ST</v>
          </cell>
          <cell r="D6600">
            <v>805</v>
          </cell>
          <cell r="H6600" t="str">
            <v>lignite</v>
          </cell>
        </row>
        <row r="6601">
          <cell r="C6601" t="str">
            <v>ST</v>
          </cell>
          <cell r="D6601">
            <v>805</v>
          </cell>
          <cell r="H6601" t="str">
            <v>lignite</v>
          </cell>
        </row>
        <row r="6602">
          <cell r="C6602" t="str">
            <v>ST</v>
          </cell>
          <cell r="D6602">
            <v>894</v>
          </cell>
          <cell r="H6602" t="str">
            <v>nuclear</v>
          </cell>
        </row>
        <row r="6603">
          <cell r="C6603" t="str">
            <v>IC</v>
          </cell>
          <cell r="D6603">
            <v>7</v>
          </cell>
          <cell r="H6603" t="str">
            <v>petroleum</v>
          </cell>
        </row>
        <row r="6604">
          <cell r="C6604" t="str">
            <v>IC</v>
          </cell>
          <cell r="D6604">
            <v>7</v>
          </cell>
          <cell r="H6604" t="str">
            <v>petroleum</v>
          </cell>
        </row>
        <row r="6605">
          <cell r="C6605" t="str">
            <v>PS</v>
          </cell>
          <cell r="D6605">
            <v>404.7</v>
          </cell>
          <cell r="H6605" t="str">
            <v>other</v>
          </cell>
        </row>
        <row r="6606">
          <cell r="C6606" t="str">
            <v>PS</v>
          </cell>
          <cell r="D6606">
            <v>404.1</v>
          </cell>
          <cell r="H6606" t="str">
            <v>other</v>
          </cell>
        </row>
        <row r="6607">
          <cell r="C6607" t="str">
            <v>PS</v>
          </cell>
          <cell r="D6607">
            <v>403.5</v>
          </cell>
          <cell r="H6607" t="str">
            <v>other</v>
          </cell>
        </row>
        <row r="6608">
          <cell r="C6608" t="str">
            <v>PS</v>
          </cell>
          <cell r="D6608">
            <v>404</v>
          </cell>
          <cell r="H6608" t="str">
            <v>other</v>
          </cell>
        </row>
        <row r="6609">
          <cell r="C6609" t="str">
            <v>ST</v>
          </cell>
          <cell r="D6609">
            <v>1152</v>
          </cell>
          <cell r="H6609" t="str">
            <v>nuclear</v>
          </cell>
        </row>
        <row r="6610">
          <cell r="C6610" t="str">
            <v>ST</v>
          </cell>
          <cell r="D6610">
            <v>1125.7</v>
          </cell>
          <cell r="H6610" t="str">
            <v>nuclear</v>
          </cell>
        </row>
        <row r="6611">
          <cell r="C6611" t="str">
            <v>ST</v>
          </cell>
          <cell r="D6611">
            <v>1190</v>
          </cell>
          <cell r="H6611" t="str">
            <v>nuclear</v>
          </cell>
        </row>
        <row r="6612">
          <cell r="C6612" t="str">
            <v>ST</v>
          </cell>
          <cell r="D6612">
            <v>589</v>
          </cell>
          <cell r="H6612" t="str">
            <v>hard coal</v>
          </cell>
        </row>
        <row r="6613">
          <cell r="C6613" t="str">
            <v>ST</v>
          </cell>
          <cell r="D6613">
            <v>589</v>
          </cell>
          <cell r="H6613" t="str">
            <v>hard coal</v>
          </cell>
        </row>
        <row r="6614">
          <cell r="C6614" t="str">
            <v>ST</v>
          </cell>
          <cell r="D6614">
            <v>447.9</v>
          </cell>
          <cell r="H6614" t="str">
            <v>natural gas peaker</v>
          </cell>
        </row>
        <row r="6615">
          <cell r="C6615" t="str">
            <v>GT</v>
          </cell>
          <cell r="D6615">
            <v>42.9</v>
          </cell>
          <cell r="H6615" t="str">
            <v>other</v>
          </cell>
        </row>
        <row r="6616">
          <cell r="C6616" t="str">
            <v>GT</v>
          </cell>
          <cell r="D6616">
            <v>42.9</v>
          </cell>
          <cell r="H6616" t="str">
            <v>other</v>
          </cell>
        </row>
        <row r="6617">
          <cell r="C6617" t="str">
            <v>GT</v>
          </cell>
          <cell r="D6617">
            <v>42.9</v>
          </cell>
          <cell r="H6617" t="str">
            <v>other</v>
          </cell>
        </row>
        <row r="6618">
          <cell r="C6618" t="str">
            <v>HY</v>
          </cell>
          <cell r="D6618">
            <v>191</v>
          </cell>
          <cell r="H6618" t="str">
            <v>hydro</v>
          </cell>
        </row>
        <row r="6619">
          <cell r="C6619" t="str">
            <v>HY</v>
          </cell>
          <cell r="D6619">
            <v>191</v>
          </cell>
          <cell r="H6619" t="str">
            <v>hydro</v>
          </cell>
        </row>
        <row r="6620">
          <cell r="C6620" t="str">
            <v>HY</v>
          </cell>
          <cell r="D6620">
            <v>35</v>
          </cell>
          <cell r="H6620" t="str">
            <v>hydro</v>
          </cell>
        </row>
        <row r="6621">
          <cell r="C6621" t="str">
            <v>HY</v>
          </cell>
          <cell r="D6621">
            <v>125</v>
          </cell>
          <cell r="H6621" t="str">
            <v>hydro</v>
          </cell>
        </row>
        <row r="6622">
          <cell r="C6622" t="str">
            <v>HY</v>
          </cell>
          <cell r="D6622">
            <v>125</v>
          </cell>
          <cell r="H6622" t="str">
            <v>hydro</v>
          </cell>
        </row>
        <row r="6623">
          <cell r="C6623" t="str">
            <v>HY</v>
          </cell>
          <cell r="D6623">
            <v>125</v>
          </cell>
          <cell r="H6623" t="str">
            <v>hydro</v>
          </cell>
        </row>
        <row r="6624">
          <cell r="C6624" t="str">
            <v>HY</v>
          </cell>
          <cell r="D6624">
            <v>125</v>
          </cell>
          <cell r="H6624" t="str">
            <v>hydro</v>
          </cell>
        </row>
        <row r="6625">
          <cell r="C6625" t="str">
            <v>HY</v>
          </cell>
          <cell r="D6625">
            <v>125</v>
          </cell>
          <cell r="H6625" t="str">
            <v>hydro</v>
          </cell>
        </row>
        <row r="6626">
          <cell r="C6626" t="str">
            <v>HY</v>
          </cell>
          <cell r="D6626">
            <v>125</v>
          </cell>
          <cell r="H6626" t="str">
            <v>hydro</v>
          </cell>
        </row>
        <row r="6627">
          <cell r="C6627" t="str">
            <v>HY</v>
          </cell>
          <cell r="D6627">
            <v>125</v>
          </cell>
          <cell r="H6627" t="str">
            <v>hydro</v>
          </cell>
        </row>
        <row r="6628">
          <cell r="C6628" t="str">
            <v>HY</v>
          </cell>
          <cell r="D6628">
            <v>125</v>
          </cell>
          <cell r="H6628" t="str">
            <v>hydro</v>
          </cell>
        </row>
        <row r="6629">
          <cell r="C6629" t="str">
            <v>HY</v>
          </cell>
          <cell r="D6629">
            <v>125</v>
          </cell>
          <cell r="H6629" t="str">
            <v>hydro</v>
          </cell>
        </row>
        <row r="6630">
          <cell r="C6630" t="str">
            <v>HY</v>
          </cell>
          <cell r="D6630">
            <v>125</v>
          </cell>
          <cell r="H6630" t="str">
            <v>hydro</v>
          </cell>
        </row>
        <row r="6631">
          <cell r="C6631" t="str">
            <v>HY</v>
          </cell>
          <cell r="D6631">
            <v>690</v>
          </cell>
          <cell r="H6631" t="str">
            <v>hydro</v>
          </cell>
        </row>
        <row r="6632">
          <cell r="C6632" t="str">
            <v>HY</v>
          </cell>
          <cell r="D6632">
            <v>125</v>
          </cell>
          <cell r="H6632" t="str">
            <v>hydro</v>
          </cell>
        </row>
        <row r="6633">
          <cell r="C6633" t="str">
            <v>HY</v>
          </cell>
          <cell r="D6633">
            <v>690</v>
          </cell>
          <cell r="H6633" t="str">
            <v>hydro</v>
          </cell>
        </row>
        <row r="6634">
          <cell r="C6634" t="str">
            <v>HY</v>
          </cell>
          <cell r="D6634">
            <v>690</v>
          </cell>
          <cell r="H6634" t="str">
            <v>hydro</v>
          </cell>
        </row>
        <row r="6635">
          <cell r="C6635" t="str">
            <v>HY</v>
          </cell>
          <cell r="D6635">
            <v>805</v>
          </cell>
          <cell r="H6635" t="str">
            <v>hydro</v>
          </cell>
        </row>
        <row r="6636">
          <cell r="C6636" t="str">
            <v>HY</v>
          </cell>
          <cell r="D6636">
            <v>805</v>
          </cell>
          <cell r="H6636" t="str">
            <v>hydro</v>
          </cell>
        </row>
        <row r="6637">
          <cell r="C6637" t="str">
            <v>HY</v>
          </cell>
          <cell r="D6637">
            <v>805</v>
          </cell>
          <cell r="H6637" t="str">
            <v>hydro</v>
          </cell>
        </row>
        <row r="6638">
          <cell r="C6638" t="str">
            <v>HY</v>
          </cell>
          <cell r="D6638">
            <v>125</v>
          </cell>
          <cell r="H6638" t="str">
            <v>hydro</v>
          </cell>
        </row>
        <row r="6639">
          <cell r="C6639" t="str">
            <v>HY</v>
          </cell>
          <cell r="D6639">
            <v>125</v>
          </cell>
          <cell r="H6639" t="str">
            <v>hydro</v>
          </cell>
        </row>
        <row r="6640">
          <cell r="C6640" t="str">
            <v>HY</v>
          </cell>
          <cell r="D6640">
            <v>125</v>
          </cell>
          <cell r="H6640" t="str">
            <v>hydro</v>
          </cell>
        </row>
        <row r="6641">
          <cell r="C6641" t="str">
            <v>HY</v>
          </cell>
          <cell r="D6641">
            <v>125</v>
          </cell>
          <cell r="H6641" t="str">
            <v>hydro</v>
          </cell>
        </row>
        <row r="6642">
          <cell r="C6642" t="str">
            <v>HY</v>
          </cell>
          <cell r="D6642">
            <v>125</v>
          </cell>
          <cell r="H6642" t="str">
            <v>hydro</v>
          </cell>
        </row>
        <row r="6643">
          <cell r="C6643" t="str">
            <v>HY</v>
          </cell>
          <cell r="D6643">
            <v>125</v>
          </cell>
          <cell r="H6643" t="str">
            <v>hydro</v>
          </cell>
        </row>
        <row r="6644">
          <cell r="C6644" t="str">
            <v>HY</v>
          </cell>
          <cell r="D6644">
            <v>125</v>
          </cell>
          <cell r="H6644" t="str">
            <v>hydro</v>
          </cell>
        </row>
        <row r="6645">
          <cell r="C6645" t="str">
            <v>HY</v>
          </cell>
          <cell r="D6645">
            <v>10</v>
          </cell>
          <cell r="H6645" t="str">
            <v>hydro</v>
          </cell>
        </row>
        <row r="6646">
          <cell r="C6646" t="str">
            <v>HY</v>
          </cell>
          <cell r="D6646">
            <v>10</v>
          </cell>
          <cell r="H6646" t="str">
            <v>hydro</v>
          </cell>
        </row>
        <row r="6647">
          <cell r="C6647" t="str">
            <v>HY</v>
          </cell>
          <cell r="D6647">
            <v>10</v>
          </cell>
          <cell r="H6647" t="str">
            <v>hydro</v>
          </cell>
        </row>
        <row r="6648">
          <cell r="C6648" t="str">
            <v>PS</v>
          </cell>
          <cell r="D6648">
            <v>53.5</v>
          </cell>
          <cell r="H6648" t="str">
            <v>other</v>
          </cell>
        </row>
        <row r="6649">
          <cell r="C6649" t="str">
            <v>PS</v>
          </cell>
          <cell r="D6649">
            <v>53.5</v>
          </cell>
          <cell r="H6649" t="str">
            <v>other</v>
          </cell>
        </row>
        <row r="6650">
          <cell r="C6650" t="str">
            <v>PS</v>
          </cell>
          <cell r="D6650">
            <v>53.5</v>
          </cell>
          <cell r="H6650" t="str">
            <v>other</v>
          </cell>
        </row>
        <row r="6651">
          <cell r="C6651" t="str">
            <v>PS</v>
          </cell>
          <cell r="D6651">
            <v>50</v>
          </cell>
          <cell r="H6651" t="str">
            <v>other</v>
          </cell>
        </row>
        <row r="6652">
          <cell r="C6652" t="str">
            <v>PS</v>
          </cell>
          <cell r="D6652">
            <v>50</v>
          </cell>
          <cell r="H6652" t="str">
            <v>other</v>
          </cell>
        </row>
        <row r="6653">
          <cell r="C6653" t="str">
            <v>PS</v>
          </cell>
          <cell r="D6653">
            <v>53.5</v>
          </cell>
          <cell r="H6653" t="str">
            <v>other</v>
          </cell>
        </row>
        <row r="6654">
          <cell r="C6654" t="str">
            <v>ST</v>
          </cell>
          <cell r="D6654">
            <v>446</v>
          </cell>
          <cell r="H6654" t="str">
            <v>hard coal</v>
          </cell>
        </row>
        <row r="6655">
          <cell r="C6655" t="str">
            <v>ST</v>
          </cell>
          <cell r="D6655">
            <v>446</v>
          </cell>
          <cell r="H6655" t="str">
            <v>hard coal</v>
          </cell>
        </row>
        <row r="6656">
          <cell r="C6656" t="str">
            <v>ST</v>
          </cell>
          <cell r="D6656">
            <v>471</v>
          </cell>
          <cell r="H6656" t="str">
            <v>hard coal</v>
          </cell>
        </row>
        <row r="6657">
          <cell r="C6657" t="str">
            <v>ST</v>
          </cell>
          <cell r="D6657">
            <v>1300</v>
          </cell>
          <cell r="H6657" t="str">
            <v>hard coal</v>
          </cell>
        </row>
        <row r="6658">
          <cell r="C6658" t="str">
            <v>ST</v>
          </cell>
          <cell r="D6658">
            <v>1300</v>
          </cell>
          <cell r="H6658" t="str">
            <v>hard coal</v>
          </cell>
        </row>
        <row r="6659">
          <cell r="C6659" t="str">
            <v>PS</v>
          </cell>
          <cell r="D6659">
            <v>500</v>
          </cell>
          <cell r="H6659" t="str">
            <v>other</v>
          </cell>
        </row>
        <row r="6660">
          <cell r="C6660" t="str">
            <v>PS</v>
          </cell>
          <cell r="D6660">
            <v>500</v>
          </cell>
          <cell r="H6660" t="str">
            <v>other</v>
          </cell>
        </row>
        <row r="6661">
          <cell r="C6661" t="str">
            <v>PS</v>
          </cell>
          <cell r="D6661">
            <v>502</v>
          </cell>
          <cell r="H6661" t="str">
            <v>other</v>
          </cell>
        </row>
        <row r="6662">
          <cell r="C6662" t="str">
            <v>PS</v>
          </cell>
          <cell r="D6662">
            <v>500</v>
          </cell>
          <cell r="H6662" t="str">
            <v>other</v>
          </cell>
        </row>
        <row r="6663">
          <cell r="C6663" t="str">
            <v>PS</v>
          </cell>
          <cell r="D6663">
            <v>501</v>
          </cell>
          <cell r="H6663" t="str">
            <v>other</v>
          </cell>
        </row>
        <row r="6664">
          <cell r="C6664" t="str">
            <v>PS</v>
          </cell>
          <cell r="D6664">
            <v>500</v>
          </cell>
          <cell r="H6664" t="str">
            <v>other</v>
          </cell>
        </row>
        <row r="6665">
          <cell r="C6665" t="str">
            <v>ST</v>
          </cell>
          <cell r="D6665">
            <v>948</v>
          </cell>
          <cell r="H6665" t="str">
            <v>nuclear</v>
          </cell>
        </row>
        <row r="6666">
          <cell r="C6666" t="str">
            <v>ST</v>
          </cell>
          <cell r="D6666">
            <v>944</v>
          </cell>
          <cell r="H6666" t="str">
            <v>nuclear</v>
          </cell>
        </row>
        <row r="6667">
          <cell r="C6667" t="str">
            <v>HY</v>
          </cell>
          <cell r="D6667">
            <v>1</v>
          </cell>
          <cell r="H6667" t="str">
            <v>hydro</v>
          </cell>
        </row>
        <row r="6668">
          <cell r="C6668" t="str">
            <v>HY</v>
          </cell>
          <cell r="D6668">
            <v>61</v>
          </cell>
          <cell r="H6668" t="str">
            <v>hydro</v>
          </cell>
        </row>
        <row r="6669">
          <cell r="C6669" t="str">
            <v>HY</v>
          </cell>
          <cell r="D6669">
            <v>105</v>
          </cell>
          <cell r="H6669" t="str">
            <v>hydro</v>
          </cell>
        </row>
        <row r="6670">
          <cell r="C6670" t="str">
            <v>HY</v>
          </cell>
          <cell r="D6670">
            <v>105</v>
          </cell>
          <cell r="H6670" t="str">
            <v>hydro</v>
          </cell>
        </row>
        <row r="6671">
          <cell r="C6671" t="str">
            <v>HY</v>
          </cell>
          <cell r="D6671">
            <v>105</v>
          </cell>
          <cell r="H6671" t="str">
            <v>hydro</v>
          </cell>
        </row>
        <row r="6672">
          <cell r="C6672" t="str">
            <v>HY</v>
          </cell>
          <cell r="D6672">
            <v>105</v>
          </cell>
          <cell r="H6672" t="str">
            <v>hydro</v>
          </cell>
        </row>
        <row r="6673">
          <cell r="C6673" t="str">
            <v>HY</v>
          </cell>
          <cell r="D6673">
            <v>105</v>
          </cell>
          <cell r="H6673" t="str">
            <v>hydro</v>
          </cell>
        </row>
        <row r="6674">
          <cell r="C6674" t="str">
            <v>HY</v>
          </cell>
          <cell r="D6674">
            <v>24.5</v>
          </cell>
          <cell r="H6674" t="str">
            <v>hydro</v>
          </cell>
        </row>
        <row r="6675">
          <cell r="C6675" t="str">
            <v>HY</v>
          </cell>
          <cell r="D6675">
            <v>24.5</v>
          </cell>
          <cell r="H6675" t="str">
            <v>hydro</v>
          </cell>
        </row>
        <row r="6676">
          <cell r="C6676" t="str">
            <v>HY</v>
          </cell>
          <cell r="D6676">
            <v>135</v>
          </cell>
          <cell r="H6676" t="str">
            <v>hydro</v>
          </cell>
        </row>
        <row r="6677">
          <cell r="C6677" t="str">
            <v>HY</v>
          </cell>
          <cell r="D6677">
            <v>127</v>
          </cell>
          <cell r="H6677" t="str">
            <v>hydro</v>
          </cell>
        </row>
        <row r="6678">
          <cell r="C6678" t="str">
            <v>HY</v>
          </cell>
          <cell r="D6678">
            <v>135</v>
          </cell>
          <cell r="H6678" t="str">
            <v>hydro</v>
          </cell>
        </row>
        <row r="6679">
          <cell r="C6679" t="str">
            <v>HY</v>
          </cell>
          <cell r="D6679">
            <v>135</v>
          </cell>
          <cell r="H6679" t="str">
            <v>hydro</v>
          </cell>
        </row>
        <row r="6680">
          <cell r="C6680" t="str">
            <v>HY</v>
          </cell>
          <cell r="D6680">
            <v>135</v>
          </cell>
          <cell r="H6680" t="str">
            <v>hydro</v>
          </cell>
        </row>
        <row r="6681">
          <cell r="C6681" t="str">
            <v>HY</v>
          </cell>
          <cell r="D6681">
            <v>135</v>
          </cell>
          <cell r="H6681" t="str">
            <v>hydro</v>
          </cell>
        </row>
        <row r="6682">
          <cell r="C6682" t="str">
            <v>ST</v>
          </cell>
          <cell r="D6682">
            <v>380</v>
          </cell>
          <cell r="H6682" t="str">
            <v>hard coal</v>
          </cell>
        </row>
        <row r="6683">
          <cell r="C6683" t="str">
            <v>ST</v>
          </cell>
          <cell r="D6683">
            <v>382</v>
          </cell>
          <cell r="H6683" t="str">
            <v>hard coal</v>
          </cell>
        </row>
        <row r="6684">
          <cell r="C6684" t="str">
            <v>ST</v>
          </cell>
          <cell r="D6684">
            <v>655</v>
          </cell>
          <cell r="H6684" t="str">
            <v>hard coal</v>
          </cell>
        </row>
        <row r="6685">
          <cell r="C6685" t="str">
            <v>ST</v>
          </cell>
          <cell r="D6685">
            <v>590</v>
          </cell>
          <cell r="H6685" t="str">
            <v>hard coal</v>
          </cell>
        </row>
        <row r="6686">
          <cell r="C6686" t="str">
            <v>ST</v>
          </cell>
          <cell r="D6686">
            <v>590</v>
          </cell>
          <cell r="H6686" t="str">
            <v>hard coal</v>
          </cell>
        </row>
        <row r="6687">
          <cell r="C6687" t="str">
            <v>ST</v>
          </cell>
          <cell r="D6687">
            <v>435</v>
          </cell>
          <cell r="H6687" t="str">
            <v>hard coal</v>
          </cell>
        </row>
        <row r="6688">
          <cell r="C6688" t="str">
            <v>ST</v>
          </cell>
          <cell r="D6688">
            <v>855</v>
          </cell>
          <cell r="H6688" t="str">
            <v>lignite</v>
          </cell>
        </row>
        <row r="6689">
          <cell r="C6689" t="str">
            <v>ST</v>
          </cell>
          <cell r="D6689">
            <v>855</v>
          </cell>
          <cell r="H6689" t="str">
            <v>lignite</v>
          </cell>
        </row>
        <row r="6690">
          <cell r="C6690" t="str">
            <v>ST</v>
          </cell>
          <cell r="D6690">
            <v>420</v>
          </cell>
          <cell r="H6690" t="str">
            <v>hard coal</v>
          </cell>
        </row>
        <row r="6691">
          <cell r="C6691" t="str">
            <v>ST</v>
          </cell>
          <cell r="D6691">
            <v>420</v>
          </cell>
          <cell r="H6691" t="str">
            <v>hard coal</v>
          </cell>
        </row>
        <row r="6692">
          <cell r="C6692" t="str">
            <v>ST</v>
          </cell>
          <cell r="D6692">
            <v>391</v>
          </cell>
          <cell r="H6692" t="str">
            <v>lignite</v>
          </cell>
        </row>
        <row r="6693">
          <cell r="C6693" t="str">
            <v>HY</v>
          </cell>
          <cell r="D6693">
            <v>66.5</v>
          </cell>
          <cell r="H6693" t="str">
            <v>hydro</v>
          </cell>
        </row>
        <row r="6694">
          <cell r="C6694" t="str">
            <v>HY</v>
          </cell>
          <cell r="D6694">
            <v>66.5</v>
          </cell>
          <cell r="H6694" t="str">
            <v>hydro</v>
          </cell>
        </row>
        <row r="6695">
          <cell r="C6695" t="str">
            <v>PS</v>
          </cell>
          <cell r="D6695">
            <v>345</v>
          </cell>
          <cell r="H6695" t="str">
            <v>other</v>
          </cell>
        </row>
        <row r="6696">
          <cell r="C6696" t="str">
            <v>PS</v>
          </cell>
          <cell r="D6696">
            <v>345</v>
          </cell>
          <cell r="H6696" t="str">
            <v>other</v>
          </cell>
        </row>
        <row r="6697">
          <cell r="C6697" t="str">
            <v>PS</v>
          </cell>
          <cell r="D6697">
            <v>345</v>
          </cell>
          <cell r="H6697" t="str">
            <v>other</v>
          </cell>
        </row>
        <row r="6698">
          <cell r="C6698" t="str">
            <v>ST</v>
          </cell>
          <cell r="D6698">
            <v>423.5</v>
          </cell>
          <cell r="H6698" t="str">
            <v>natural gas peaker</v>
          </cell>
        </row>
        <row r="6699">
          <cell r="C6699" t="str">
            <v>ST</v>
          </cell>
          <cell r="D6699">
            <v>493.8</v>
          </cell>
          <cell r="H6699" t="str">
            <v>hard coal</v>
          </cell>
        </row>
        <row r="6700">
          <cell r="C6700" t="str">
            <v>ST</v>
          </cell>
          <cell r="D6700">
            <v>624.70000000000005</v>
          </cell>
          <cell r="H6700" t="str">
            <v>petroleum</v>
          </cell>
        </row>
        <row r="6701">
          <cell r="C6701" t="str">
            <v>ST</v>
          </cell>
          <cell r="D6701">
            <v>339</v>
          </cell>
          <cell r="H6701" t="str">
            <v>hard coal</v>
          </cell>
        </row>
        <row r="6702">
          <cell r="C6702" t="str">
            <v>ST</v>
          </cell>
          <cell r="D6702">
            <v>339</v>
          </cell>
          <cell r="H6702" t="str">
            <v>hard coal</v>
          </cell>
        </row>
        <row r="6703">
          <cell r="C6703" t="str">
            <v>ST</v>
          </cell>
          <cell r="D6703">
            <v>340</v>
          </cell>
          <cell r="H6703" t="str">
            <v>hard coal</v>
          </cell>
        </row>
        <row r="6704">
          <cell r="C6704" t="str">
            <v>ST</v>
          </cell>
          <cell r="D6704">
            <v>532</v>
          </cell>
          <cell r="H6704" t="str">
            <v>hard coal</v>
          </cell>
        </row>
        <row r="6705">
          <cell r="C6705" t="str">
            <v>ST</v>
          </cell>
          <cell r="D6705">
            <v>535</v>
          </cell>
          <cell r="H6705" t="str">
            <v>hard coal</v>
          </cell>
        </row>
        <row r="6706">
          <cell r="C6706" t="str">
            <v>GT</v>
          </cell>
          <cell r="D6706">
            <v>52</v>
          </cell>
          <cell r="H6706" t="str">
            <v>natural gas peaker</v>
          </cell>
        </row>
        <row r="6707">
          <cell r="C6707" t="str">
            <v>GT</v>
          </cell>
          <cell r="D6707">
            <v>52</v>
          </cell>
          <cell r="H6707" t="str">
            <v>natural gas peaker</v>
          </cell>
        </row>
        <row r="6708">
          <cell r="C6708" t="str">
            <v>ST</v>
          </cell>
          <cell r="D6708">
            <v>184</v>
          </cell>
          <cell r="H6708" t="str">
            <v>hard coal</v>
          </cell>
        </row>
        <row r="6709">
          <cell r="C6709" t="str">
            <v>ST</v>
          </cell>
          <cell r="D6709">
            <v>275</v>
          </cell>
          <cell r="H6709" t="str">
            <v>hard coal</v>
          </cell>
        </row>
        <row r="6710">
          <cell r="C6710" t="str">
            <v>HY</v>
          </cell>
          <cell r="D6710">
            <v>38</v>
          </cell>
          <cell r="H6710" t="str">
            <v>hydro</v>
          </cell>
        </row>
        <row r="6711">
          <cell r="C6711" t="str">
            <v>HY</v>
          </cell>
          <cell r="D6711">
            <v>38</v>
          </cell>
          <cell r="H6711" t="str">
            <v>hydro</v>
          </cell>
        </row>
        <row r="6712">
          <cell r="C6712" t="str">
            <v>HY</v>
          </cell>
          <cell r="D6712">
            <v>1.2</v>
          </cell>
          <cell r="H6712" t="str">
            <v>hydro</v>
          </cell>
        </row>
        <row r="6713">
          <cell r="C6713" t="str">
            <v>HY</v>
          </cell>
          <cell r="D6713">
            <v>15</v>
          </cell>
          <cell r="H6713" t="str">
            <v>hydro</v>
          </cell>
        </row>
        <row r="6714">
          <cell r="C6714" t="str">
            <v>HY</v>
          </cell>
          <cell r="D6714">
            <v>19</v>
          </cell>
          <cell r="H6714" t="str">
            <v>hydro</v>
          </cell>
        </row>
        <row r="6715">
          <cell r="C6715" t="str">
            <v>HY</v>
          </cell>
          <cell r="D6715">
            <v>15</v>
          </cell>
          <cell r="H6715" t="str">
            <v>hydro</v>
          </cell>
        </row>
        <row r="6716">
          <cell r="C6716" t="str">
            <v>HY</v>
          </cell>
          <cell r="D6716">
            <v>15</v>
          </cell>
          <cell r="H6716" t="str">
            <v>hydro</v>
          </cell>
        </row>
        <row r="6717">
          <cell r="C6717" t="str">
            <v>HY</v>
          </cell>
          <cell r="D6717">
            <v>15</v>
          </cell>
          <cell r="H6717" t="str">
            <v>hydro</v>
          </cell>
        </row>
        <row r="6718">
          <cell r="C6718" t="str">
            <v>HY</v>
          </cell>
          <cell r="D6718">
            <v>17</v>
          </cell>
          <cell r="H6718" t="str">
            <v>hydro</v>
          </cell>
        </row>
        <row r="6719">
          <cell r="C6719" t="str">
            <v>HY</v>
          </cell>
          <cell r="D6719">
            <v>17</v>
          </cell>
          <cell r="H6719" t="str">
            <v>hydro</v>
          </cell>
        </row>
        <row r="6720">
          <cell r="C6720" t="str">
            <v>HY</v>
          </cell>
          <cell r="D6720">
            <v>17</v>
          </cell>
          <cell r="H6720" t="str">
            <v>hydro</v>
          </cell>
        </row>
        <row r="6721">
          <cell r="C6721" t="str">
            <v>HY</v>
          </cell>
          <cell r="D6721">
            <v>17</v>
          </cell>
          <cell r="H6721" t="str">
            <v>hydro</v>
          </cell>
        </row>
        <row r="6722">
          <cell r="C6722" t="str">
            <v>HY</v>
          </cell>
          <cell r="D6722">
            <v>19</v>
          </cell>
          <cell r="H6722" t="str">
            <v>hydro</v>
          </cell>
        </row>
        <row r="6723">
          <cell r="C6723" t="str">
            <v>HY</v>
          </cell>
          <cell r="D6723">
            <v>42</v>
          </cell>
          <cell r="H6723" t="str">
            <v>hydro</v>
          </cell>
        </row>
        <row r="6724">
          <cell r="C6724" t="str">
            <v>HY</v>
          </cell>
          <cell r="D6724">
            <v>42</v>
          </cell>
          <cell r="H6724" t="str">
            <v>hydro</v>
          </cell>
        </row>
        <row r="6725">
          <cell r="C6725" t="str">
            <v>HY</v>
          </cell>
          <cell r="D6725">
            <v>42</v>
          </cell>
          <cell r="H6725" t="str">
            <v>hydro</v>
          </cell>
        </row>
        <row r="6726">
          <cell r="C6726" t="str">
            <v>HY</v>
          </cell>
          <cell r="D6726">
            <v>42</v>
          </cell>
          <cell r="H6726" t="str">
            <v>hydro</v>
          </cell>
        </row>
        <row r="6727">
          <cell r="C6727" t="str">
            <v>HY</v>
          </cell>
          <cell r="D6727">
            <v>42</v>
          </cell>
          <cell r="H6727" t="str">
            <v>hydro</v>
          </cell>
        </row>
        <row r="6728">
          <cell r="C6728" t="str">
            <v>HY</v>
          </cell>
          <cell r="D6728">
            <v>42</v>
          </cell>
          <cell r="H6728" t="str">
            <v>hydro</v>
          </cell>
        </row>
        <row r="6729">
          <cell r="C6729" t="str">
            <v>HY</v>
          </cell>
          <cell r="D6729">
            <v>42</v>
          </cell>
          <cell r="H6729" t="str">
            <v>hydro</v>
          </cell>
        </row>
        <row r="6730">
          <cell r="C6730" t="str">
            <v>HY</v>
          </cell>
          <cell r="D6730">
            <v>42</v>
          </cell>
          <cell r="H6730" t="str">
            <v>hydro</v>
          </cell>
        </row>
        <row r="6731">
          <cell r="C6731" t="str">
            <v>HY</v>
          </cell>
          <cell r="D6731">
            <v>112.5</v>
          </cell>
          <cell r="H6731" t="str">
            <v>hydro</v>
          </cell>
        </row>
        <row r="6732">
          <cell r="C6732" t="str">
            <v>HY</v>
          </cell>
          <cell r="D6732">
            <v>112.5</v>
          </cell>
          <cell r="H6732" t="str">
            <v>hydro</v>
          </cell>
        </row>
        <row r="6733">
          <cell r="C6733" t="str">
            <v>HY</v>
          </cell>
          <cell r="D6733">
            <v>112.5</v>
          </cell>
          <cell r="H6733" t="str">
            <v>hydro</v>
          </cell>
        </row>
        <row r="6734">
          <cell r="C6734" t="str">
            <v>HY</v>
          </cell>
          <cell r="D6734">
            <v>112.5</v>
          </cell>
          <cell r="H6734" t="str">
            <v>hydro</v>
          </cell>
        </row>
        <row r="6735">
          <cell r="C6735" t="str">
            <v>ST</v>
          </cell>
          <cell r="D6735">
            <v>560</v>
          </cell>
          <cell r="H6735" t="str">
            <v>hard coal</v>
          </cell>
        </row>
        <row r="6736">
          <cell r="C6736" t="str">
            <v>ST</v>
          </cell>
          <cell r="D6736">
            <v>570</v>
          </cell>
          <cell r="H6736" t="str">
            <v>hard coal</v>
          </cell>
        </row>
        <row r="6737">
          <cell r="C6737" t="str">
            <v>ST</v>
          </cell>
          <cell r="D6737">
            <v>570</v>
          </cell>
          <cell r="H6737" t="str">
            <v>hard coal</v>
          </cell>
        </row>
        <row r="6738">
          <cell r="C6738" t="str">
            <v>HY</v>
          </cell>
          <cell r="D6738">
            <v>2.2999999999999998</v>
          </cell>
          <cell r="H6738" t="str">
            <v>hydro</v>
          </cell>
        </row>
        <row r="6739">
          <cell r="C6739" t="str">
            <v>HY</v>
          </cell>
          <cell r="D6739">
            <v>2.2999999999999998</v>
          </cell>
          <cell r="H6739" t="str">
            <v>hydro</v>
          </cell>
        </row>
        <row r="6740">
          <cell r="C6740" t="str">
            <v>HY</v>
          </cell>
          <cell r="D6740">
            <v>3</v>
          </cell>
          <cell r="H6740" t="str">
            <v>hydro</v>
          </cell>
        </row>
        <row r="6741">
          <cell r="C6741" t="str">
            <v>PS</v>
          </cell>
          <cell r="D6741">
            <v>115</v>
          </cell>
          <cell r="H6741" t="str">
            <v>other</v>
          </cell>
        </row>
        <row r="6742">
          <cell r="C6742" t="str">
            <v>PS</v>
          </cell>
          <cell r="D6742">
            <v>115</v>
          </cell>
          <cell r="H6742" t="str">
            <v>other</v>
          </cell>
        </row>
        <row r="6743">
          <cell r="C6743" t="str">
            <v>GT</v>
          </cell>
          <cell r="D6743">
            <v>45</v>
          </cell>
          <cell r="H6743" t="str">
            <v>natural gas peaker</v>
          </cell>
        </row>
        <row r="6744">
          <cell r="C6744" t="str">
            <v>GT</v>
          </cell>
          <cell r="D6744">
            <v>55</v>
          </cell>
          <cell r="H6744" t="str">
            <v>petroleum</v>
          </cell>
        </row>
        <row r="6745">
          <cell r="C6745" t="str">
            <v>GT</v>
          </cell>
          <cell r="D6745">
            <v>55</v>
          </cell>
          <cell r="H6745" t="str">
            <v>petroleum</v>
          </cell>
        </row>
        <row r="6746">
          <cell r="C6746" t="str">
            <v>GT</v>
          </cell>
          <cell r="D6746">
            <v>55</v>
          </cell>
          <cell r="H6746" t="str">
            <v>petroleum</v>
          </cell>
        </row>
        <row r="6747">
          <cell r="C6747" t="str">
            <v>ST</v>
          </cell>
          <cell r="D6747">
            <v>497</v>
          </cell>
          <cell r="H6747" t="str">
            <v>hard coal</v>
          </cell>
        </row>
        <row r="6748">
          <cell r="C6748" t="str">
            <v>ST</v>
          </cell>
          <cell r="D6748">
            <v>494</v>
          </cell>
          <cell r="H6748" t="str">
            <v>hard coal</v>
          </cell>
        </row>
        <row r="6749">
          <cell r="C6749" t="str">
            <v>IC</v>
          </cell>
          <cell r="D6749">
            <v>1.8</v>
          </cell>
          <cell r="H6749" t="str">
            <v>petroleum</v>
          </cell>
        </row>
        <row r="6750">
          <cell r="C6750" t="str">
            <v>IC</v>
          </cell>
          <cell r="D6750">
            <v>2.6</v>
          </cell>
          <cell r="H6750" t="str">
            <v>petroleum</v>
          </cell>
        </row>
        <row r="6751">
          <cell r="C6751" t="str">
            <v>GT</v>
          </cell>
          <cell r="D6751">
            <v>78</v>
          </cell>
          <cell r="H6751" t="str">
            <v>natural gas peaker</v>
          </cell>
        </row>
        <row r="6752">
          <cell r="C6752" t="str">
            <v>GT</v>
          </cell>
          <cell r="D6752">
            <v>78</v>
          </cell>
          <cell r="H6752" t="str">
            <v>natural gas peaker</v>
          </cell>
        </row>
        <row r="6753">
          <cell r="C6753" t="str">
            <v>GT</v>
          </cell>
          <cell r="D6753">
            <v>49</v>
          </cell>
          <cell r="H6753" t="str">
            <v>natural gas peaker</v>
          </cell>
        </row>
        <row r="6754">
          <cell r="C6754" t="str">
            <v>GT</v>
          </cell>
          <cell r="D6754">
            <v>49</v>
          </cell>
          <cell r="H6754" t="str">
            <v>natural gas peaker</v>
          </cell>
        </row>
        <row r="6755">
          <cell r="C6755" t="str">
            <v>IC</v>
          </cell>
          <cell r="D6755">
            <v>1</v>
          </cell>
          <cell r="H6755" t="str">
            <v>petroleum</v>
          </cell>
        </row>
        <row r="6756">
          <cell r="C6756" t="str">
            <v>IC</v>
          </cell>
          <cell r="D6756">
            <v>1.6</v>
          </cell>
          <cell r="H6756" t="str">
            <v>petroleum</v>
          </cell>
        </row>
        <row r="6757">
          <cell r="C6757" t="str">
            <v>IC</v>
          </cell>
          <cell r="D6757">
            <v>0.5</v>
          </cell>
          <cell r="H6757" t="str">
            <v>petroleum</v>
          </cell>
        </row>
        <row r="6758">
          <cell r="C6758" t="str">
            <v>HY</v>
          </cell>
          <cell r="D6758">
            <v>0.4</v>
          </cell>
          <cell r="H6758" t="str">
            <v>hydro</v>
          </cell>
        </row>
        <row r="6759">
          <cell r="C6759" t="str">
            <v>HY</v>
          </cell>
          <cell r="D6759">
            <v>0.5</v>
          </cell>
          <cell r="H6759" t="str">
            <v>hydro</v>
          </cell>
        </row>
        <row r="6760">
          <cell r="C6760" t="str">
            <v>HY</v>
          </cell>
          <cell r="D6760">
            <v>0.5</v>
          </cell>
          <cell r="H6760" t="str">
            <v>hydro</v>
          </cell>
        </row>
        <row r="6761">
          <cell r="C6761" t="str">
            <v>GT</v>
          </cell>
          <cell r="D6761">
            <v>20.100000000000001</v>
          </cell>
          <cell r="H6761" t="str">
            <v>petroleum</v>
          </cell>
        </row>
        <row r="6762">
          <cell r="C6762" t="str">
            <v>ST</v>
          </cell>
          <cell r="D6762">
            <v>110</v>
          </cell>
          <cell r="H6762" t="str">
            <v>natural gas peaker</v>
          </cell>
        </row>
        <row r="6763">
          <cell r="C6763" t="str">
            <v>GT</v>
          </cell>
          <cell r="D6763">
            <v>47.1</v>
          </cell>
          <cell r="H6763" t="str">
            <v>natural gas peaker</v>
          </cell>
        </row>
        <row r="6764">
          <cell r="C6764" t="str">
            <v>GT</v>
          </cell>
          <cell r="D6764">
            <v>47.1</v>
          </cell>
          <cell r="H6764" t="str">
            <v>natural gas peaker</v>
          </cell>
        </row>
        <row r="6765">
          <cell r="C6765" t="str">
            <v>ST</v>
          </cell>
          <cell r="D6765">
            <v>505</v>
          </cell>
          <cell r="H6765" t="str">
            <v>hard coal</v>
          </cell>
        </row>
        <row r="6766">
          <cell r="C6766" t="str">
            <v>ST</v>
          </cell>
          <cell r="D6766">
            <v>275</v>
          </cell>
          <cell r="H6766" t="str">
            <v>hard coal</v>
          </cell>
        </row>
        <row r="6767">
          <cell r="C6767" t="str">
            <v>ST</v>
          </cell>
          <cell r="D6767">
            <v>285</v>
          </cell>
          <cell r="H6767" t="str">
            <v>hard coal</v>
          </cell>
        </row>
        <row r="6768">
          <cell r="C6768" t="str">
            <v>ST</v>
          </cell>
          <cell r="D6768">
            <v>285</v>
          </cell>
          <cell r="H6768" t="str">
            <v>hard coal</v>
          </cell>
        </row>
        <row r="6769">
          <cell r="C6769" t="str">
            <v>ST</v>
          </cell>
          <cell r="D6769">
            <v>285</v>
          </cell>
          <cell r="H6769" t="str">
            <v>hard coal</v>
          </cell>
        </row>
        <row r="6770">
          <cell r="C6770" t="str">
            <v>ST</v>
          </cell>
          <cell r="D6770">
            <v>727</v>
          </cell>
          <cell r="H6770" t="str">
            <v>hard coal</v>
          </cell>
        </row>
        <row r="6771">
          <cell r="C6771" t="str">
            <v>ST</v>
          </cell>
          <cell r="D6771">
            <v>1280</v>
          </cell>
          <cell r="H6771" t="str">
            <v>nuclear</v>
          </cell>
        </row>
        <row r="6772">
          <cell r="C6772" t="str">
            <v>ST</v>
          </cell>
          <cell r="D6772">
            <v>1280</v>
          </cell>
          <cell r="H6772" t="str">
            <v>nuclear</v>
          </cell>
        </row>
        <row r="6773">
          <cell r="C6773" t="str">
            <v>GT</v>
          </cell>
          <cell r="D6773">
            <v>48.9</v>
          </cell>
          <cell r="H6773" t="str">
            <v>petroleum</v>
          </cell>
        </row>
        <row r="6774">
          <cell r="C6774" t="str">
            <v>GT</v>
          </cell>
          <cell r="D6774">
            <v>48.9</v>
          </cell>
          <cell r="H6774" t="str">
            <v>petroleum</v>
          </cell>
        </row>
        <row r="6775">
          <cell r="C6775" t="str">
            <v>GT</v>
          </cell>
          <cell r="D6775">
            <v>46</v>
          </cell>
          <cell r="H6775" t="str">
            <v>petroleum</v>
          </cell>
        </row>
        <row r="6776">
          <cell r="C6776" t="str">
            <v>GT</v>
          </cell>
          <cell r="D6776">
            <v>45.4</v>
          </cell>
          <cell r="H6776" t="str">
            <v>petroleum</v>
          </cell>
        </row>
        <row r="6777">
          <cell r="C6777" t="str">
            <v>GT</v>
          </cell>
          <cell r="D6777">
            <v>80.8</v>
          </cell>
          <cell r="H6777" t="str">
            <v>natural gas peaker</v>
          </cell>
        </row>
        <row r="6778">
          <cell r="C6778" t="str">
            <v>ST</v>
          </cell>
          <cell r="D6778">
            <v>725</v>
          </cell>
          <cell r="H6778" t="str">
            <v>hard coal</v>
          </cell>
        </row>
        <row r="6779">
          <cell r="C6779" t="str">
            <v>ST</v>
          </cell>
          <cell r="D6779">
            <v>860</v>
          </cell>
          <cell r="H6779" t="str">
            <v>hard coal</v>
          </cell>
        </row>
        <row r="6780">
          <cell r="C6780" t="str">
            <v>ST</v>
          </cell>
          <cell r="D6780">
            <v>860</v>
          </cell>
          <cell r="H6780" t="str">
            <v>hard coal</v>
          </cell>
        </row>
        <row r="6781">
          <cell r="C6781" t="str">
            <v>ST</v>
          </cell>
          <cell r="D6781">
            <v>860</v>
          </cell>
          <cell r="H6781" t="str">
            <v>hard coal</v>
          </cell>
        </row>
        <row r="6782">
          <cell r="C6782" t="str">
            <v>ST</v>
          </cell>
          <cell r="D6782">
            <v>860</v>
          </cell>
          <cell r="H6782" t="str">
            <v>hard coal</v>
          </cell>
        </row>
        <row r="6783">
          <cell r="C6783" t="str">
            <v>GT</v>
          </cell>
          <cell r="D6783">
            <v>41</v>
          </cell>
          <cell r="H6783" t="str">
            <v>petroleum</v>
          </cell>
        </row>
        <row r="6784">
          <cell r="C6784" t="str">
            <v>GT</v>
          </cell>
          <cell r="D6784">
            <v>56</v>
          </cell>
          <cell r="H6784" t="str">
            <v>petroleum</v>
          </cell>
        </row>
        <row r="6785">
          <cell r="C6785" t="str">
            <v>GT</v>
          </cell>
          <cell r="D6785">
            <v>49</v>
          </cell>
          <cell r="H6785" t="str">
            <v>petroleum</v>
          </cell>
        </row>
        <row r="6786">
          <cell r="C6786" t="str">
            <v>GT</v>
          </cell>
          <cell r="D6786">
            <v>41</v>
          </cell>
          <cell r="H6786" t="str">
            <v>petroleum</v>
          </cell>
        </row>
        <row r="6787">
          <cell r="C6787" t="str">
            <v>GT</v>
          </cell>
          <cell r="D6787">
            <v>54</v>
          </cell>
          <cell r="H6787" t="str">
            <v>petroleum</v>
          </cell>
        </row>
        <row r="6788">
          <cell r="C6788" t="str">
            <v>GT</v>
          </cell>
          <cell r="D6788">
            <v>54</v>
          </cell>
          <cell r="H6788" t="str">
            <v>petroleum</v>
          </cell>
        </row>
        <row r="6789">
          <cell r="C6789" t="str">
            <v>IC</v>
          </cell>
          <cell r="D6789">
            <v>2.5</v>
          </cell>
          <cell r="H6789" t="str">
            <v>petroleum</v>
          </cell>
        </row>
        <row r="6790">
          <cell r="C6790" t="str">
            <v>ST</v>
          </cell>
          <cell r="D6790">
            <v>1299</v>
          </cell>
          <cell r="H6790" t="str">
            <v>hard coal</v>
          </cell>
        </row>
        <row r="6791">
          <cell r="C6791" t="str">
            <v>HY</v>
          </cell>
          <cell r="D6791">
            <v>34</v>
          </cell>
          <cell r="H6791" t="str">
            <v>hydro</v>
          </cell>
        </row>
        <row r="6792">
          <cell r="C6792" t="str">
            <v>HY</v>
          </cell>
          <cell r="D6792">
            <v>31</v>
          </cell>
          <cell r="H6792" t="str">
            <v>hydro</v>
          </cell>
        </row>
        <row r="6793">
          <cell r="C6793" t="str">
            <v>HY</v>
          </cell>
          <cell r="D6793">
            <v>4</v>
          </cell>
          <cell r="H6793" t="str">
            <v>hydro</v>
          </cell>
        </row>
        <row r="6794">
          <cell r="C6794" t="str">
            <v>HY</v>
          </cell>
          <cell r="D6794">
            <v>4</v>
          </cell>
          <cell r="H6794" t="str">
            <v>hydro</v>
          </cell>
        </row>
        <row r="6795">
          <cell r="C6795" t="str">
            <v>HY</v>
          </cell>
          <cell r="D6795">
            <v>4</v>
          </cell>
          <cell r="H6795" t="str">
            <v>hydro</v>
          </cell>
        </row>
        <row r="6796">
          <cell r="C6796" t="str">
            <v>HY</v>
          </cell>
          <cell r="D6796">
            <v>4</v>
          </cell>
          <cell r="H6796" t="str">
            <v>hydro</v>
          </cell>
        </row>
        <row r="6797">
          <cell r="C6797" t="str">
            <v>IC</v>
          </cell>
          <cell r="D6797">
            <v>2.5</v>
          </cell>
          <cell r="H6797" t="str">
            <v>petroleum</v>
          </cell>
        </row>
        <row r="6798">
          <cell r="C6798" t="str">
            <v>IC</v>
          </cell>
          <cell r="D6798">
            <v>4.4000000000000004</v>
          </cell>
          <cell r="H6798" t="str">
            <v>petroleum</v>
          </cell>
        </row>
        <row r="6799">
          <cell r="C6799" t="str">
            <v>IC</v>
          </cell>
          <cell r="D6799">
            <v>4.4000000000000004</v>
          </cell>
          <cell r="H6799" t="str">
            <v>petroleum</v>
          </cell>
        </row>
        <row r="6800">
          <cell r="C6800" t="str">
            <v>IC</v>
          </cell>
          <cell r="D6800">
            <v>7</v>
          </cell>
          <cell r="H6800" t="str">
            <v>petroleum</v>
          </cell>
        </row>
        <row r="6801">
          <cell r="C6801" t="str">
            <v>IC</v>
          </cell>
          <cell r="D6801">
            <v>0.5</v>
          </cell>
          <cell r="H6801" t="str">
            <v>petroleum</v>
          </cell>
        </row>
        <row r="6802">
          <cell r="C6802" t="str">
            <v>IC</v>
          </cell>
          <cell r="D6802">
            <v>1.2</v>
          </cell>
          <cell r="H6802" t="str">
            <v>petroleum</v>
          </cell>
        </row>
        <row r="6803">
          <cell r="C6803" t="str">
            <v>IC</v>
          </cell>
          <cell r="D6803">
            <v>1</v>
          </cell>
          <cell r="H6803" t="str">
            <v>petroleum</v>
          </cell>
        </row>
        <row r="6804">
          <cell r="C6804" t="str">
            <v>GT</v>
          </cell>
          <cell r="D6804">
            <v>44</v>
          </cell>
          <cell r="H6804" t="str">
            <v>petroleum</v>
          </cell>
        </row>
        <row r="6805">
          <cell r="C6805" t="str">
            <v>GT</v>
          </cell>
          <cell r="D6805">
            <v>50</v>
          </cell>
          <cell r="H6805" t="str">
            <v>petroleum</v>
          </cell>
        </row>
        <row r="6806">
          <cell r="C6806" t="str">
            <v>CT</v>
          </cell>
          <cell r="D6806">
            <v>41</v>
          </cell>
          <cell r="H6806" t="str">
            <v>petroleum</v>
          </cell>
        </row>
        <row r="6807">
          <cell r="C6807" t="str">
            <v>CA</v>
          </cell>
          <cell r="D6807">
            <v>10</v>
          </cell>
          <cell r="H6807" t="str">
            <v>petroleum</v>
          </cell>
        </row>
        <row r="6808">
          <cell r="C6808" t="str">
            <v>IC</v>
          </cell>
          <cell r="D6808">
            <v>2.8</v>
          </cell>
          <cell r="H6808" t="str">
            <v>petroleum</v>
          </cell>
        </row>
        <row r="6809">
          <cell r="C6809" t="str">
            <v>IC</v>
          </cell>
          <cell r="D6809">
            <v>2.8</v>
          </cell>
          <cell r="H6809" t="str">
            <v>petroleum</v>
          </cell>
        </row>
        <row r="6810">
          <cell r="C6810" t="str">
            <v>GT</v>
          </cell>
          <cell r="D6810">
            <v>15.5</v>
          </cell>
          <cell r="H6810" t="str">
            <v>petroleum</v>
          </cell>
        </row>
        <row r="6811">
          <cell r="C6811" t="str">
            <v>GT</v>
          </cell>
          <cell r="D6811">
            <v>15</v>
          </cell>
          <cell r="H6811" t="str">
            <v>petroleum</v>
          </cell>
        </row>
        <row r="6812">
          <cell r="C6812" t="str">
            <v>ST</v>
          </cell>
          <cell r="D6812">
            <v>25</v>
          </cell>
          <cell r="H6812" t="str">
            <v>lignite</v>
          </cell>
        </row>
        <row r="6813">
          <cell r="C6813" t="str">
            <v>ST</v>
          </cell>
          <cell r="D6813">
            <v>50</v>
          </cell>
          <cell r="H6813" t="str">
            <v>lignite</v>
          </cell>
        </row>
        <row r="6814">
          <cell r="C6814" t="str">
            <v>IC</v>
          </cell>
          <cell r="D6814">
            <v>2.8</v>
          </cell>
          <cell r="H6814" t="str">
            <v>petroleum</v>
          </cell>
        </row>
        <row r="6815">
          <cell r="C6815" t="str">
            <v>HY</v>
          </cell>
          <cell r="D6815">
            <v>9.6999999999999993</v>
          </cell>
          <cell r="H6815" t="str">
            <v>hydro</v>
          </cell>
        </row>
        <row r="6816">
          <cell r="C6816" t="str">
            <v>HY</v>
          </cell>
          <cell r="D6816">
            <v>9.6999999999999993</v>
          </cell>
          <cell r="H6816" t="str">
            <v>hydro</v>
          </cell>
        </row>
        <row r="6817">
          <cell r="C6817" t="str">
            <v>GT</v>
          </cell>
          <cell r="D6817">
            <v>17</v>
          </cell>
          <cell r="H6817" t="str">
            <v>natural gas peaker</v>
          </cell>
        </row>
        <row r="6818">
          <cell r="C6818" t="str">
            <v>GT</v>
          </cell>
          <cell r="D6818">
            <v>22.9</v>
          </cell>
          <cell r="H6818" t="str">
            <v>natural gas peaker</v>
          </cell>
        </row>
        <row r="6819">
          <cell r="C6819" t="str">
            <v>GT</v>
          </cell>
          <cell r="D6819">
            <v>22.5</v>
          </cell>
          <cell r="H6819" t="str">
            <v>natural gas peaker</v>
          </cell>
        </row>
        <row r="6820">
          <cell r="C6820" t="str">
            <v>GT</v>
          </cell>
          <cell r="D6820">
            <v>12.6</v>
          </cell>
          <cell r="H6820" t="str">
            <v>natural gas peaker</v>
          </cell>
        </row>
        <row r="6821">
          <cell r="C6821" t="str">
            <v>GT</v>
          </cell>
          <cell r="D6821">
            <v>12.6</v>
          </cell>
          <cell r="H6821" t="str">
            <v>natural gas peaker</v>
          </cell>
        </row>
        <row r="6822">
          <cell r="C6822" t="str">
            <v>IC</v>
          </cell>
          <cell r="D6822">
            <v>0.4</v>
          </cell>
          <cell r="H6822" t="str">
            <v>petroleum</v>
          </cell>
        </row>
        <row r="6823">
          <cell r="C6823" t="str">
            <v>IC</v>
          </cell>
          <cell r="D6823">
            <v>0.4</v>
          </cell>
          <cell r="H6823" t="str">
            <v>petroleum</v>
          </cell>
        </row>
        <row r="6824">
          <cell r="C6824" t="str">
            <v>IC</v>
          </cell>
          <cell r="D6824">
            <v>0.4</v>
          </cell>
          <cell r="H6824" t="str">
            <v>petroleum</v>
          </cell>
        </row>
        <row r="6825">
          <cell r="C6825" t="str">
            <v>IC</v>
          </cell>
          <cell r="D6825">
            <v>0.4</v>
          </cell>
          <cell r="H6825" t="str">
            <v>petroleum</v>
          </cell>
        </row>
        <row r="6826">
          <cell r="C6826" t="str">
            <v>IC</v>
          </cell>
          <cell r="D6826">
            <v>1.3</v>
          </cell>
          <cell r="H6826" t="str">
            <v>petroleum</v>
          </cell>
        </row>
        <row r="6827">
          <cell r="C6827" t="str">
            <v>IC</v>
          </cell>
          <cell r="D6827">
            <v>1</v>
          </cell>
          <cell r="H6827" t="str">
            <v>petroleum</v>
          </cell>
        </row>
        <row r="6828">
          <cell r="C6828" t="str">
            <v>IC</v>
          </cell>
          <cell r="D6828">
            <v>1</v>
          </cell>
          <cell r="H6828" t="str">
            <v>petroleum</v>
          </cell>
        </row>
        <row r="6829">
          <cell r="C6829" t="str">
            <v>IC</v>
          </cell>
          <cell r="D6829">
            <v>1</v>
          </cell>
          <cell r="H6829" t="str">
            <v>petroleum</v>
          </cell>
        </row>
        <row r="6830">
          <cell r="C6830" t="str">
            <v>IC</v>
          </cell>
          <cell r="D6830">
            <v>1</v>
          </cell>
          <cell r="H6830" t="str">
            <v>petroleum</v>
          </cell>
        </row>
        <row r="6831">
          <cell r="C6831" t="str">
            <v>IC</v>
          </cell>
          <cell r="D6831">
            <v>1.1000000000000001</v>
          </cell>
          <cell r="H6831" t="str">
            <v>petroleum</v>
          </cell>
        </row>
        <row r="6832">
          <cell r="C6832" t="str">
            <v>IC</v>
          </cell>
          <cell r="D6832">
            <v>1.1000000000000001</v>
          </cell>
          <cell r="H6832" t="str">
            <v>petroleum</v>
          </cell>
        </row>
        <row r="6833">
          <cell r="C6833" t="str">
            <v>IC</v>
          </cell>
          <cell r="D6833">
            <v>0.8</v>
          </cell>
          <cell r="H6833" t="str">
            <v>petroleum</v>
          </cell>
        </row>
        <row r="6834">
          <cell r="C6834" t="str">
            <v>IC</v>
          </cell>
          <cell r="D6834">
            <v>0.8</v>
          </cell>
          <cell r="H6834" t="str">
            <v>petroleum</v>
          </cell>
        </row>
        <row r="6835">
          <cell r="C6835" t="str">
            <v>IC</v>
          </cell>
          <cell r="D6835">
            <v>0.8</v>
          </cell>
          <cell r="H6835" t="str">
            <v>petroleum</v>
          </cell>
        </row>
        <row r="6836">
          <cell r="C6836" t="str">
            <v>IC</v>
          </cell>
          <cell r="D6836">
            <v>3</v>
          </cell>
          <cell r="H6836" t="str">
            <v>petroleum</v>
          </cell>
        </row>
        <row r="6837">
          <cell r="C6837" t="str">
            <v>IC</v>
          </cell>
          <cell r="D6837">
            <v>3</v>
          </cell>
          <cell r="H6837" t="str">
            <v>petroleum</v>
          </cell>
        </row>
        <row r="6838">
          <cell r="C6838" t="str">
            <v>HY</v>
          </cell>
          <cell r="D6838">
            <v>1.3</v>
          </cell>
          <cell r="H6838" t="str">
            <v>hydro</v>
          </cell>
        </row>
        <row r="6839">
          <cell r="C6839" t="str">
            <v>HY</v>
          </cell>
          <cell r="D6839">
            <v>1.3</v>
          </cell>
          <cell r="H6839" t="str">
            <v>hydro</v>
          </cell>
        </row>
        <row r="6840">
          <cell r="C6840" t="str">
            <v>HY</v>
          </cell>
          <cell r="D6840">
            <v>1.3</v>
          </cell>
          <cell r="H6840" t="str">
            <v>hydro</v>
          </cell>
        </row>
        <row r="6841">
          <cell r="C6841" t="str">
            <v>IC</v>
          </cell>
          <cell r="D6841">
            <v>3</v>
          </cell>
          <cell r="H6841" t="str">
            <v>petroleum</v>
          </cell>
        </row>
        <row r="6842">
          <cell r="C6842" t="str">
            <v>WT</v>
          </cell>
          <cell r="D6842">
            <v>0.1</v>
          </cell>
          <cell r="H6842" t="str">
            <v>onshore wind</v>
          </cell>
        </row>
        <row r="6843">
          <cell r="C6843" t="str">
            <v>WT</v>
          </cell>
          <cell r="D6843">
            <v>0.1</v>
          </cell>
          <cell r="H6843" t="str">
            <v>onshore wind</v>
          </cell>
        </row>
        <row r="6844">
          <cell r="C6844" t="str">
            <v>WT</v>
          </cell>
          <cell r="D6844">
            <v>0.1</v>
          </cell>
          <cell r="H6844" t="str">
            <v>onshore wind</v>
          </cell>
        </row>
        <row r="6845">
          <cell r="C6845" t="str">
            <v>WT</v>
          </cell>
          <cell r="D6845">
            <v>0.1</v>
          </cell>
          <cell r="H6845" t="str">
            <v>onshore wind</v>
          </cell>
        </row>
        <row r="6846">
          <cell r="C6846" t="str">
            <v>IC</v>
          </cell>
          <cell r="D6846">
            <v>2.8</v>
          </cell>
          <cell r="H6846" t="str">
            <v>petroleum</v>
          </cell>
        </row>
        <row r="6847">
          <cell r="C6847" t="str">
            <v>WT</v>
          </cell>
          <cell r="D6847">
            <v>0.1</v>
          </cell>
          <cell r="H6847" t="str">
            <v>onshore wind</v>
          </cell>
        </row>
        <row r="6848">
          <cell r="C6848" t="str">
            <v>IC</v>
          </cell>
          <cell r="D6848">
            <v>2.8</v>
          </cell>
          <cell r="H6848" t="str">
            <v>petroleum</v>
          </cell>
        </row>
        <row r="6849">
          <cell r="C6849" t="str">
            <v>WT</v>
          </cell>
          <cell r="D6849">
            <v>0.1</v>
          </cell>
          <cell r="H6849" t="str">
            <v>onshore wind</v>
          </cell>
        </row>
        <row r="6850">
          <cell r="C6850" t="str">
            <v>IC</v>
          </cell>
          <cell r="D6850">
            <v>1.4</v>
          </cell>
          <cell r="H6850" t="str">
            <v>petroleum</v>
          </cell>
        </row>
        <row r="6851">
          <cell r="C6851" t="str">
            <v>WT</v>
          </cell>
          <cell r="D6851">
            <v>0.1</v>
          </cell>
          <cell r="H6851" t="str">
            <v>onshore wind</v>
          </cell>
        </row>
        <row r="6852">
          <cell r="C6852" t="str">
            <v>IC</v>
          </cell>
          <cell r="D6852">
            <v>0.7</v>
          </cell>
          <cell r="H6852" t="str">
            <v>petroleum</v>
          </cell>
        </row>
        <row r="6853">
          <cell r="C6853" t="str">
            <v>WT</v>
          </cell>
          <cell r="D6853">
            <v>0.1</v>
          </cell>
          <cell r="H6853" t="str">
            <v>onshore wind</v>
          </cell>
        </row>
        <row r="6854">
          <cell r="C6854" t="str">
            <v>WT</v>
          </cell>
          <cell r="D6854">
            <v>0.9</v>
          </cell>
          <cell r="H6854" t="str">
            <v>onshore wind</v>
          </cell>
        </row>
        <row r="6855">
          <cell r="C6855" t="str">
            <v>WT</v>
          </cell>
          <cell r="D6855">
            <v>0.9</v>
          </cell>
          <cell r="H6855" t="str">
            <v>onshore wind</v>
          </cell>
        </row>
        <row r="6856">
          <cell r="C6856" t="str">
            <v>WT</v>
          </cell>
          <cell r="D6856">
            <v>0.6</v>
          </cell>
          <cell r="H6856" t="str">
            <v>onshore wind</v>
          </cell>
        </row>
        <row r="6857">
          <cell r="C6857" t="str">
            <v>WT</v>
          </cell>
          <cell r="D6857">
            <v>0.1</v>
          </cell>
          <cell r="H6857" t="str">
            <v>onshore wind</v>
          </cell>
        </row>
        <row r="6858">
          <cell r="C6858" t="str">
            <v>WT</v>
          </cell>
          <cell r="D6858">
            <v>0.2</v>
          </cell>
          <cell r="H6858" t="str">
            <v>onshore wind</v>
          </cell>
        </row>
        <row r="6859">
          <cell r="C6859" t="str">
            <v>WT</v>
          </cell>
          <cell r="D6859">
            <v>0.5</v>
          </cell>
          <cell r="H6859" t="str">
            <v>onshore wind</v>
          </cell>
        </row>
        <row r="6860">
          <cell r="C6860" t="str">
            <v>WT</v>
          </cell>
          <cell r="D6860">
            <v>0.1</v>
          </cell>
          <cell r="H6860" t="str">
            <v>onshore wind</v>
          </cell>
        </row>
        <row r="6861">
          <cell r="C6861" t="str">
            <v>WT</v>
          </cell>
          <cell r="D6861">
            <v>0.1</v>
          </cell>
          <cell r="H6861" t="str">
            <v>onshore wind</v>
          </cell>
        </row>
        <row r="6862">
          <cell r="C6862" t="str">
            <v>IC</v>
          </cell>
          <cell r="D6862">
            <v>1.1000000000000001</v>
          </cell>
          <cell r="H6862" t="str">
            <v>petroleum</v>
          </cell>
        </row>
        <row r="6863">
          <cell r="C6863" t="str">
            <v>WT</v>
          </cell>
          <cell r="D6863">
            <v>0.1</v>
          </cell>
          <cell r="H6863" t="str">
            <v>onshore wind</v>
          </cell>
        </row>
        <row r="6864">
          <cell r="C6864" t="str">
            <v>WT</v>
          </cell>
          <cell r="D6864">
            <v>0.1</v>
          </cell>
          <cell r="H6864" t="str">
            <v>onshore wind</v>
          </cell>
        </row>
        <row r="6865">
          <cell r="C6865" t="str">
            <v>WT</v>
          </cell>
          <cell r="D6865">
            <v>0.1</v>
          </cell>
          <cell r="H6865" t="str">
            <v>onshore wind</v>
          </cell>
        </row>
        <row r="6866">
          <cell r="C6866" t="str">
            <v>BA</v>
          </cell>
          <cell r="D6866">
            <v>1.2</v>
          </cell>
          <cell r="H6866" t="str">
            <v>other</v>
          </cell>
        </row>
        <row r="6867">
          <cell r="C6867" t="str">
            <v>IC</v>
          </cell>
          <cell r="D6867">
            <v>2.5</v>
          </cell>
          <cell r="H6867" t="str">
            <v>petroleum</v>
          </cell>
        </row>
        <row r="6868">
          <cell r="C6868" t="str">
            <v>IC</v>
          </cell>
          <cell r="D6868">
            <v>2.5</v>
          </cell>
          <cell r="H6868" t="str">
            <v>petroleum</v>
          </cell>
        </row>
        <row r="6869">
          <cell r="C6869" t="str">
            <v>IC</v>
          </cell>
          <cell r="D6869">
            <v>1.2</v>
          </cell>
          <cell r="H6869" t="str">
            <v>petroleum</v>
          </cell>
        </row>
        <row r="6870">
          <cell r="C6870" t="str">
            <v>IC</v>
          </cell>
          <cell r="D6870">
            <v>2.8</v>
          </cell>
          <cell r="H6870" t="str">
            <v>petroleum</v>
          </cell>
        </row>
        <row r="6871">
          <cell r="C6871" t="str">
            <v>IC</v>
          </cell>
          <cell r="D6871">
            <v>1.6</v>
          </cell>
          <cell r="H6871" t="str">
            <v>petroleum</v>
          </cell>
        </row>
        <row r="6872">
          <cell r="C6872" t="str">
            <v>IC</v>
          </cell>
          <cell r="D6872">
            <v>1.6</v>
          </cell>
          <cell r="H6872" t="str">
            <v>petroleum</v>
          </cell>
        </row>
        <row r="6873">
          <cell r="C6873" t="str">
            <v>IC</v>
          </cell>
          <cell r="D6873">
            <v>1.5</v>
          </cell>
          <cell r="H6873" t="str">
            <v>petroleum</v>
          </cell>
        </row>
        <row r="6874">
          <cell r="C6874" t="str">
            <v>IC</v>
          </cell>
          <cell r="D6874">
            <v>2</v>
          </cell>
          <cell r="H6874" t="str">
            <v>petroleum</v>
          </cell>
        </row>
        <row r="6875">
          <cell r="C6875" t="str">
            <v>IC</v>
          </cell>
          <cell r="D6875">
            <v>0.8</v>
          </cell>
          <cell r="H6875" t="str">
            <v>petroleum</v>
          </cell>
        </row>
        <row r="6876">
          <cell r="C6876" t="str">
            <v>IC</v>
          </cell>
          <cell r="D6876">
            <v>0.5</v>
          </cell>
          <cell r="H6876" t="str">
            <v>petroleum</v>
          </cell>
        </row>
        <row r="6877">
          <cell r="C6877" t="str">
            <v>IC</v>
          </cell>
          <cell r="D6877">
            <v>0.5</v>
          </cell>
          <cell r="H6877" t="str">
            <v>petroleum</v>
          </cell>
        </row>
        <row r="6878">
          <cell r="C6878" t="str">
            <v>IC</v>
          </cell>
          <cell r="D6878">
            <v>0.8</v>
          </cell>
          <cell r="H6878" t="str">
            <v>petroleum</v>
          </cell>
        </row>
        <row r="6879">
          <cell r="C6879" t="str">
            <v>IC</v>
          </cell>
          <cell r="D6879">
            <v>0.5</v>
          </cell>
          <cell r="H6879" t="str">
            <v>petroleum</v>
          </cell>
        </row>
        <row r="6880">
          <cell r="C6880" t="str">
            <v>IC</v>
          </cell>
          <cell r="D6880">
            <v>0.5</v>
          </cell>
          <cell r="H6880" t="str">
            <v>petroleum</v>
          </cell>
        </row>
        <row r="6881">
          <cell r="C6881" t="str">
            <v>IC</v>
          </cell>
          <cell r="D6881">
            <v>1.3</v>
          </cell>
          <cell r="H6881" t="str">
            <v>petroleum</v>
          </cell>
        </row>
        <row r="6882">
          <cell r="C6882" t="str">
            <v>IC</v>
          </cell>
          <cell r="D6882">
            <v>0.9</v>
          </cell>
          <cell r="H6882" t="str">
            <v>petroleum</v>
          </cell>
        </row>
        <row r="6883">
          <cell r="C6883" t="str">
            <v>IC</v>
          </cell>
          <cell r="D6883">
            <v>0.4</v>
          </cell>
          <cell r="H6883" t="str">
            <v>petroleum</v>
          </cell>
        </row>
        <row r="6884">
          <cell r="C6884" t="str">
            <v>IC</v>
          </cell>
          <cell r="D6884">
            <v>0.5</v>
          </cell>
          <cell r="H6884" t="str">
            <v>petroleum</v>
          </cell>
        </row>
        <row r="6885">
          <cell r="C6885" t="str">
            <v>IC</v>
          </cell>
          <cell r="D6885">
            <v>0.8</v>
          </cell>
          <cell r="H6885" t="str">
            <v>petroleum</v>
          </cell>
        </row>
        <row r="6886">
          <cell r="C6886" t="str">
            <v>IC</v>
          </cell>
          <cell r="D6886">
            <v>0.5</v>
          </cell>
          <cell r="H6886" t="str">
            <v>petroleum</v>
          </cell>
        </row>
        <row r="6887">
          <cell r="C6887" t="str">
            <v>IC</v>
          </cell>
          <cell r="D6887">
            <v>0.3</v>
          </cell>
          <cell r="H6887" t="str">
            <v>petroleum</v>
          </cell>
        </row>
        <row r="6888">
          <cell r="C6888" t="str">
            <v>IC</v>
          </cell>
          <cell r="D6888">
            <v>0.4</v>
          </cell>
          <cell r="H6888" t="str">
            <v>petroleum</v>
          </cell>
        </row>
        <row r="6889">
          <cell r="C6889" t="str">
            <v>IC</v>
          </cell>
          <cell r="D6889">
            <v>0.5</v>
          </cell>
          <cell r="H6889" t="str">
            <v>petroleum</v>
          </cell>
        </row>
        <row r="6890">
          <cell r="C6890" t="str">
            <v>IC</v>
          </cell>
          <cell r="D6890">
            <v>0.3</v>
          </cell>
          <cell r="H6890" t="str">
            <v>petroleum</v>
          </cell>
        </row>
        <row r="6891">
          <cell r="C6891" t="str">
            <v>IC</v>
          </cell>
          <cell r="D6891">
            <v>0.5</v>
          </cell>
          <cell r="H6891" t="str">
            <v>petroleum</v>
          </cell>
        </row>
        <row r="6892">
          <cell r="C6892" t="str">
            <v>IC</v>
          </cell>
          <cell r="D6892">
            <v>0.8</v>
          </cell>
          <cell r="H6892" t="str">
            <v>petroleum</v>
          </cell>
        </row>
        <row r="6893">
          <cell r="C6893" t="str">
            <v>IC</v>
          </cell>
          <cell r="D6893">
            <v>0.7</v>
          </cell>
          <cell r="H6893" t="str">
            <v>petroleum</v>
          </cell>
        </row>
        <row r="6894">
          <cell r="C6894" t="str">
            <v>IC</v>
          </cell>
          <cell r="D6894">
            <v>0.3</v>
          </cell>
          <cell r="H6894" t="str">
            <v>petroleum</v>
          </cell>
        </row>
        <row r="6895">
          <cell r="C6895" t="str">
            <v>IC</v>
          </cell>
          <cell r="D6895">
            <v>0.5</v>
          </cell>
          <cell r="H6895" t="str">
            <v>petroleum</v>
          </cell>
        </row>
        <row r="6896">
          <cell r="C6896" t="str">
            <v>IC</v>
          </cell>
          <cell r="D6896">
            <v>0.7</v>
          </cell>
          <cell r="H6896" t="str">
            <v>petroleum</v>
          </cell>
        </row>
        <row r="6897">
          <cell r="C6897" t="str">
            <v>IC</v>
          </cell>
          <cell r="D6897">
            <v>0.5</v>
          </cell>
          <cell r="H6897" t="str">
            <v>petroleum</v>
          </cell>
        </row>
        <row r="6898">
          <cell r="C6898" t="str">
            <v>IC</v>
          </cell>
          <cell r="D6898">
            <v>0.5</v>
          </cell>
          <cell r="H6898" t="str">
            <v>petroleum</v>
          </cell>
        </row>
        <row r="6899">
          <cell r="C6899" t="str">
            <v>IC</v>
          </cell>
          <cell r="D6899">
            <v>0.6</v>
          </cell>
          <cell r="H6899" t="str">
            <v>petroleum</v>
          </cell>
        </row>
        <row r="6900">
          <cell r="C6900" t="str">
            <v>IC</v>
          </cell>
          <cell r="D6900">
            <v>0.9</v>
          </cell>
          <cell r="H6900" t="str">
            <v>petroleum</v>
          </cell>
        </row>
        <row r="6901">
          <cell r="C6901" t="str">
            <v>IC</v>
          </cell>
          <cell r="D6901">
            <v>0.3</v>
          </cell>
          <cell r="H6901" t="str">
            <v>petroleum</v>
          </cell>
        </row>
        <row r="6902">
          <cell r="C6902" t="str">
            <v>IC</v>
          </cell>
          <cell r="D6902">
            <v>0.5</v>
          </cell>
          <cell r="H6902" t="str">
            <v>petroleum</v>
          </cell>
        </row>
        <row r="6903">
          <cell r="C6903" t="str">
            <v>IC</v>
          </cell>
          <cell r="D6903">
            <v>0.5</v>
          </cell>
          <cell r="H6903" t="str">
            <v>petroleum</v>
          </cell>
        </row>
        <row r="6904">
          <cell r="C6904" t="str">
            <v>IC</v>
          </cell>
          <cell r="D6904">
            <v>0.3</v>
          </cell>
          <cell r="H6904" t="str">
            <v>petroleum</v>
          </cell>
        </row>
        <row r="6905">
          <cell r="C6905" t="str">
            <v>IC</v>
          </cell>
          <cell r="D6905">
            <v>0.3</v>
          </cell>
          <cell r="H6905" t="str">
            <v>petroleum</v>
          </cell>
        </row>
        <row r="6906">
          <cell r="C6906" t="str">
            <v>IC</v>
          </cell>
          <cell r="D6906">
            <v>0.4</v>
          </cell>
          <cell r="H6906" t="str">
            <v>petroleum</v>
          </cell>
        </row>
        <row r="6907">
          <cell r="C6907" t="str">
            <v>IC</v>
          </cell>
          <cell r="D6907">
            <v>0.5</v>
          </cell>
          <cell r="H6907" t="str">
            <v>petroleum</v>
          </cell>
        </row>
        <row r="6908">
          <cell r="C6908" t="str">
            <v>IC</v>
          </cell>
          <cell r="D6908">
            <v>0.6</v>
          </cell>
          <cell r="H6908" t="str">
            <v>petroleum</v>
          </cell>
        </row>
        <row r="6909">
          <cell r="C6909" t="str">
            <v>IC</v>
          </cell>
          <cell r="D6909">
            <v>0.6</v>
          </cell>
          <cell r="H6909" t="str">
            <v>petroleum</v>
          </cell>
        </row>
        <row r="6910">
          <cell r="C6910" t="str">
            <v>IC</v>
          </cell>
          <cell r="D6910">
            <v>1.1000000000000001</v>
          </cell>
          <cell r="H6910" t="str">
            <v>petroleum</v>
          </cell>
        </row>
        <row r="6911">
          <cell r="C6911" t="str">
            <v>IC</v>
          </cell>
          <cell r="D6911">
            <v>0.5</v>
          </cell>
          <cell r="H6911" t="str">
            <v>petroleum</v>
          </cell>
        </row>
        <row r="6912">
          <cell r="C6912" t="str">
            <v>GT</v>
          </cell>
          <cell r="D6912">
            <v>16</v>
          </cell>
          <cell r="H6912" t="str">
            <v>petroleum</v>
          </cell>
        </row>
        <row r="6913">
          <cell r="C6913" t="str">
            <v>CT</v>
          </cell>
          <cell r="D6913">
            <v>41</v>
          </cell>
          <cell r="H6913" t="str">
            <v>natural gas nonpeaker</v>
          </cell>
        </row>
        <row r="6914">
          <cell r="C6914" t="str">
            <v>CA</v>
          </cell>
          <cell r="D6914">
            <v>10</v>
          </cell>
          <cell r="H6914" t="str">
            <v>natural gas nonpeaker</v>
          </cell>
        </row>
        <row r="6915">
          <cell r="C6915" t="str">
            <v>GT</v>
          </cell>
          <cell r="D6915">
            <v>22</v>
          </cell>
          <cell r="H6915" t="str">
            <v>natural gas peaker</v>
          </cell>
        </row>
        <row r="6916">
          <cell r="C6916" t="str">
            <v>HY</v>
          </cell>
          <cell r="D6916">
            <v>2.2999999999999998</v>
          </cell>
          <cell r="H6916" t="str">
            <v>hydro</v>
          </cell>
        </row>
        <row r="6917">
          <cell r="C6917" t="str">
            <v>HY</v>
          </cell>
          <cell r="D6917">
            <v>2.2999999999999998</v>
          </cell>
          <cell r="H6917" t="str">
            <v>hydro</v>
          </cell>
        </row>
        <row r="6918">
          <cell r="C6918" t="str">
            <v>HY</v>
          </cell>
          <cell r="D6918">
            <v>0.5</v>
          </cell>
          <cell r="H6918" t="str">
            <v>hydro</v>
          </cell>
        </row>
        <row r="6919">
          <cell r="C6919" t="str">
            <v>HY</v>
          </cell>
          <cell r="D6919">
            <v>0.8</v>
          </cell>
          <cell r="H6919" t="str">
            <v>hydro</v>
          </cell>
        </row>
        <row r="6920">
          <cell r="C6920" t="str">
            <v>IC</v>
          </cell>
          <cell r="D6920">
            <v>2.5</v>
          </cell>
          <cell r="H6920" t="str">
            <v>petroleum</v>
          </cell>
        </row>
        <row r="6921">
          <cell r="C6921" t="str">
            <v>IC</v>
          </cell>
          <cell r="D6921">
            <v>2.5</v>
          </cell>
          <cell r="H6921" t="str">
            <v>petroleum</v>
          </cell>
        </row>
        <row r="6922">
          <cell r="C6922" t="str">
            <v>GT</v>
          </cell>
          <cell r="D6922">
            <v>70.5</v>
          </cell>
          <cell r="H6922" t="str">
            <v>natural gas peaker</v>
          </cell>
        </row>
        <row r="6923">
          <cell r="C6923" t="str">
            <v>GT</v>
          </cell>
          <cell r="D6923">
            <v>90.4</v>
          </cell>
          <cell r="H6923" t="str">
            <v>natural gas peaker</v>
          </cell>
        </row>
        <row r="6924">
          <cell r="C6924" t="str">
            <v>GT</v>
          </cell>
          <cell r="D6924">
            <v>94.2</v>
          </cell>
          <cell r="H6924" t="str">
            <v>natural gas peaker</v>
          </cell>
        </row>
        <row r="6925">
          <cell r="C6925" t="str">
            <v>IC</v>
          </cell>
          <cell r="D6925">
            <v>3.2</v>
          </cell>
          <cell r="H6925" t="str">
            <v>petroleum</v>
          </cell>
        </row>
        <row r="6926">
          <cell r="C6926" t="str">
            <v>IC</v>
          </cell>
          <cell r="D6926">
            <v>3</v>
          </cell>
          <cell r="H6926" t="str">
            <v>petroleum</v>
          </cell>
        </row>
        <row r="6927">
          <cell r="C6927" t="str">
            <v>BA</v>
          </cell>
          <cell r="D6927">
            <v>1</v>
          </cell>
          <cell r="H6927" t="str">
            <v>other</v>
          </cell>
        </row>
        <row r="6928">
          <cell r="C6928" t="str">
            <v>HY</v>
          </cell>
          <cell r="D6928">
            <v>0.4</v>
          </cell>
          <cell r="H6928" t="str">
            <v>hydro</v>
          </cell>
        </row>
        <row r="6929">
          <cell r="C6929" t="str">
            <v>HY</v>
          </cell>
          <cell r="D6929">
            <v>0.4</v>
          </cell>
          <cell r="H6929" t="str">
            <v>hydro</v>
          </cell>
        </row>
        <row r="6930">
          <cell r="C6930" t="str">
            <v>HY</v>
          </cell>
          <cell r="D6930">
            <v>0.4</v>
          </cell>
          <cell r="H6930" t="str">
            <v>hydro</v>
          </cell>
        </row>
        <row r="6931">
          <cell r="C6931" t="str">
            <v>HY</v>
          </cell>
          <cell r="D6931">
            <v>1.5</v>
          </cell>
          <cell r="H6931" t="str">
            <v>hydro</v>
          </cell>
        </row>
        <row r="6932">
          <cell r="C6932" t="str">
            <v>HY</v>
          </cell>
          <cell r="D6932">
            <v>2.2000000000000002</v>
          </cell>
          <cell r="H6932" t="str">
            <v>hydro</v>
          </cell>
        </row>
        <row r="6933">
          <cell r="C6933" t="str">
            <v>HY</v>
          </cell>
          <cell r="D6933">
            <v>1.9</v>
          </cell>
          <cell r="H6933" t="str">
            <v>hydro</v>
          </cell>
        </row>
        <row r="6934">
          <cell r="C6934" t="str">
            <v>HY</v>
          </cell>
          <cell r="D6934">
            <v>0.4</v>
          </cell>
          <cell r="H6934" t="str">
            <v>hydro</v>
          </cell>
        </row>
        <row r="6935">
          <cell r="C6935" t="str">
            <v>HY</v>
          </cell>
          <cell r="D6935">
            <v>1.3</v>
          </cell>
          <cell r="H6935" t="str">
            <v>hydro</v>
          </cell>
        </row>
        <row r="6936">
          <cell r="C6936" t="str">
            <v>HY</v>
          </cell>
          <cell r="D6936">
            <v>1.4</v>
          </cell>
          <cell r="H6936" t="str">
            <v>hydro</v>
          </cell>
        </row>
        <row r="6937">
          <cell r="C6937" t="str">
            <v>HY</v>
          </cell>
          <cell r="D6937">
            <v>1.4</v>
          </cell>
          <cell r="H6937" t="str">
            <v>hydro</v>
          </cell>
        </row>
        <row r="6938">
          <cell r="C6938" t="str">
            <v>IC</v>
          </cell>
          <cell r="D6938">
            <v>1.2</v>
          </cell>
          <cell r="H6938" t="str">
            <v>petroleum</v>
          </cell>
        </row>
        <row r="6939">
          <cell r="C6939" t="str">
            <v>IC</v>
          </cell>
          <cell r="D6939">
            <v>1.2</v>
          </cell>
          <cell r="H6939" t="str">
            <v>petroleum</v>
          </cell>
        </row>
        <row r="6940">
          <cell r="C6940" t="str">
            <v>IC</v>
          </cell>
          <cell r="D6940">
            <v>0.4</v>
          </cell>
          <cell r="H6940" t="str">
            <v>petroleum</v>
          </cell>
        </row>
        <row r="6941">
          <cell r="C6941" t="str">
            <v>IC</v>
          </cell>
          <cell r="D6941">
            <v>1.2</v>
          </cell>
          <cell r="H6941" t="str">
            <v>petroleum</v>
          </cell>
        </row>
        <row r="6942">
          <cell r="C6942" t="str">
            <v>HY</v>
          </cell>
          <cell r="D6942">
            <v>0.5</v>
          </cell>
          <cell r="H6942" t="str">
            <v>hydro</v>
          </cell>
        </row>
        <row r="6943">
          <cell r="C6943" t="str">
            <v>HY</v>
          </cell>
          <cell r="D6943">
            <v>0.5</v>
          </cell>
          <cell r="H6943" t="str">
            <v>hydro</v>
          </cell>
        </row>
        <row r="6944">
          <cell r="C6944" t="str">
            <v>HY</v>
          </cell>
          <cell r="D6944">
            <v>0.5</v>
          </cell>
          <cell r="H6944" t="str">
            <v>hydro</v>
          </cell>
        </row>
        <row r="6945">
          <cell r="C6945" t="str">
            <v>HY</v>
          </cell>
          <cell r="D6945">
            <v>0.8</v>
          </cell>
          <cell r="H6945" t="str">
            <v>hydro</v>
          </cell>
        </row>
        <row r="6946">
          <cell r="C6946" t="str">
            <v>HY</v>
          </cell>
          <cell r="D6946">
            <v>0.6</v>
          </cell>
          <cell r="H6946" t="str">
            <v>hydro</v>
          </cell>
        </row>
        <row r="6947">
          <cell r="C6947" t="str">
            <v>HY</v>
          </cell>
          <cell r="D6947">
            <v>0.3</v>
          </cell>
          <cell r="H6947" t="str">
            <v>hydro</v>
          </cell>
        </row>
        <row r="6948">
          <cell r="C6948" t="str">
            <v>HY</v>
          </cell>
          <cell r="D6948">
            <v>20</v>
          </cell>
          <cell r="H6948" t="str">
            <v>hydro</v>
          </cell>
        </row>
        <row r="6949">
          <cell r="C6949" t="str">
            <v>HY</v>
          </cell>
          <cell r="D6949">
            <v>20</v>
          </cell>
          <cell r="H6949" t="str">
            <v>hydro</v>
          </cell>
        </row>
        <row r="6950">
          <cell r="C6950" t="str">
            <v>HY</v>
          </cell>
          <cell r="D6950">
            <v>5.0999999999999996</v>
          </cell>
          <cell r="H6950" t="str">
            <v>hydro</v>
          </cell>
        </row>
        <row r="6951">
          <cell r="C6951" t="str">
            <v>HY</v>
          </cell>
          <cell r="D6951">
            <v>5.0999999999999996</v>
          </cell>
          <cell r="H6951" t="str">
            <v>hydro</v>
          </cell>
        </row>
        <row r="6952">
          <cell r="C6952" t="str">
            <v>HY</v>
          </cell>
          <cell r="D6952">
            <v>1.1000000000000001</v>
          </cell>
          <cell r="H6952" t="str">
            <v>hydro</v>
          </cell>
        </row>
        <row r="6953">
          <cell r="C6953" t="str">
            <v>HY</v>
          </cell>
          <cell r="D6953">
            <v>1.1000000000000001</v>
          </cell>
          <cell r="H6953" t="str">
            <v>hydro</v>
          </cell>
        </row>
        <row r="6954">
          <cell r="C6954" t="str">
            <v>HY</v>
          </cell>
          <cell r="D6954">
            <v>1.1000000000000001</v>
          </cell>
          <cell r="H6954" t="str">
            <v>hydro</v>
          </cell>
        </row>
        <row r="6955">
          <cell r="C6955" t="str">
            <v>HY</v>
          </cell>
          <cell r="D6955">
            <v>2.7</v>
          </cell>
          <cell r="H6955" t="str">
            <v>hydro</v>
          </cell>
        </row>
        <row r="6956">
          <cell r="C6956" t="str">
            <v>HY</v>
          </cell>
          <cell r="D6956">
            <v>5</v>
          </cell>
          <cell r="H6956" t="str">
            <v>hydro</v>
          </cell>
        </row>
        <row r="6957">
          <cell r="C6957" t="str">
            <v>HY</v>
          </cell>
          <cell r="D6957">
            <v>10</v>
          </cell>
          <cell r="H6957" t="str">
            <v>hydro</v>
          </cell>
        </row>
        <row r="6958">
          <cell r="C6958" t="str">
            <v>HY</v>
          </cell>
          <cell r="D6958">
            <v>10</v>
          </cell>
          <cell r="H6958" t="str">
            <v>hydro</v>
          </cell>
        </row>
        <row r="6959">
          <cell r="C6959" t="str">
            <v>HY</v>
          </cell>
          <cell r="D6959">
            <v>19.2</v>
          </cell>
          <cell r="H6959" t="str">
            <v>hydro</v>
          </cell>
        </row>
        <row r="6960">
          <cell r="C6960" t="str">
            <v>HY</v>
          </cell>
          <cell r="D6960">
            <v>19.2</v>
          </cell>
          <cell r="H6960" t="str">
            <v>hydro</v>
          </cell>
        </row>
        <row r="6961">
          <cell r="C6961" t="str">
            <v>HY</v>
          </cell>
          <cell r="D6961">
            <v>19.2</v>
          </cell>
          <cell r="H6961" t="str">
            <v>hydro</v>
          </cell>
        </row>
        <row r="6962">
          <cell r="C6962" t="str">
            <v>HY</v>
          </cell>
          <cell r="D6962">
            <v>9.3000000000000007</v>
          </cell>
          <cell r="H6962" t="str">
            <v>hydro</v>
          </cell>
        </row>
        <row r="6963">
          <cell r="C6963" t="str">
            <v>HY</v>
          </cell>
          <cell r="D6963">
            <v>9.3000000000000007</v>
          </cell>
          <cell r="H6963" t="str">
            <v>hydro</v>
          </cell>
        </row>
        <row r="6964">
          <cell r="C6964" t="str">
            <v>HY</v>
          </cell>
          <cell r="D6964">
            <v>9.3000000000000007</v>
          </cell>
          <cell r="H6964" t="str">
            <v>hydro</v>
          </cell>
        </row>
        <row r="6965">
          <cell r="C6965" t="str">
            <v>HY</v>
          </cell>
          <cell r="D6965">
            <v>17.2</v>
          </cell>
          <cell r="H6965" t="str">
            <v>hydro</v>
          </cell>
        </row>
        <row r="6966">
          <cell r="C6966" t="str">
            <v>HY</v>
          </cell>
          <cell r="D6966">
            <v>2.7</v>
          </cell>
          <cell r="H6966" t="str">
            <v>hydro</v>
          </cell>
        </row>
        <row r="6967">
          <cell r="C6967" t="str">
            <v>HY</v>
          </cell>
          <cell r="D6967">
            <v>2.7</v>
          </cell>
          <cell r="H6967" t="str">
            <v>hydro</v>
          </cell>
        </row>
        <row r="6968">
          <cell r="C6968" t="str">
            <v>HY</v>
          </cell>
          <cell r="D6968">
            <v>50.6</v>
          </cell>
          <cell r="H6968" t="str">
            <v>hydro</v>
          </cell>
        </row>
        <row r="6969">
          <cell r="C6969" t="str">
            <v>HY</v>
          </cell>
          <cell r="D6969">
            <v>50.6</v>
          </cell>
          <cell r="H6969" t="str">
            <v>hydro</v>
          </cell>
        </row>
        <row r="6970">
          <cell r="C6970" t="str">
            <v>HY</v>
          </cell>
          <cell r="D6970">
            <v>50.6</v>
          </cell>
          <cell r="H6970" t="str">
            <v>hydro</v>
          </cell>
        </row>
        <row r="6971">
          <cell r="C6971" t="str">
            <v>HY</v>
          </cell>
          <cell r="D6971">
            <v>6</v>
          </cell>
          <cell r="H6971" t="str">
            <v>hydro</v>
          </cell>
        </row>
        <row r="6972">
          <cell r="C6972" t="str">
            <v>HY</v>
          </cell>
          <cell r="D6972">
            <v>6</v>
          </cell>
          <cell r="H6972" t="str">
            <v>hydro</v>
          </cell>
        </row>
        <row r="6973">
          <cell r="C6973" t="str">
            <v>HY</v>
          </cell>
          <cell r="D6973">
            <v>12.9</v>
          </cell>
          <cell r="H6973" t="str">
            <v>hydro</v>
          </cell>
        </row>
        <row r="6974">
          <cell r="C6974" t="str">
            <v>HY</v>
          </cell>
          <cell r="D6974">
            <v>5</v>
          </cell>
          <cell r="H6974" t="str">
            <v>hydro</v>
          </cell>
        </row>
        <row r="6975">
          <cell r="C6975" t="str">
            <v>HY</v>
          </cell>
          <cell r="D6975">
            <v>20.7</v>
          </cell>
          <cell r="H6975" t="str">
            <v>hydro</v>
          </cell>
        </row>
        <row r="6976">
          <cell r="C6976" t="str">
            <v>HY</v>
          </cell>
          <cell r="D6976">
            <v>20.7</v>
          </cell>
          <cell r="H6976" t="str">
            <v>hydro</v>
          </cell>
        </row>
        <row r="6977">
          <cell r="C6977" t="str">
            <v>HY</v>
          </cell>
          <cell r="D6977">
            <v>10.5</v>
          </cell>
          <cell r="H6977" t="str">
            <v>hydro</v>
          </cell>
        </row>
        <row r="6978">
          <cell r="C6978" t="str">
            <v>HY</v>
          </cell>
          <cell r="D6978">
            <v>10</v>
          </cell>
          <cell r="H6978" t="str">
            <v>hydro</v>
          </cell>
        </row>
        <row r="6979">
          <cell r="C6979" t="str">
            <v>HY</v>
          </cell>
          <cell r="D6979">
            <v>10</v>
          </cell>
          <cell r="H6979" t="str">
            <v>hydro</v>
          </cell>
        </row>
        <row r="6980">
          <cell r="C6980" t="str">
            <v>HY</v>
          </cell>
          <cell r="D6980">
            <v>26</v>
          </cell>
          <cell r="H6980" t="str">
            <v>hydro</v>
          </cell>
        </row>
        <row r="6981">
          <cell r="C6981" t="str">
            <v>HY</v>
          </cell>
          <cell r="D6981">
            <v>26</v>
          </cell>
          <cell r="H6981" t="str">
            <v>hydro</v>
          </cell>
        </row>
        <row r="6982">
          <cell r="C6982" t="str">
            <v>HY</v>
          </cell>
          <cell r="D6982">
            <v>21</v>
          </cell>
          <cell r="H6982" t="str">
            <v>hydro</v>
          </cell>
        </row>
        <row r="6983">
          <cell r="C6983" t="str">
            <v>HY</v>
          </cell>
          <cell r="D6983">
            <v>21</v>
          </cell>
          <cell r="H6983" t="str">
            <v>hydro</v>
          </cell>
        </row>
        <row r="6984">
          <cell r="C6984" t="str">
            <v>HY</v>
          </cell>
          <cell r="D6984">
            <v>57.5</v>
          </cell>
          <cell r="H6984" t="str">
            <v>hydro</v>
          </cell>
        </row>
        <row r="6985">
          <cell r="C6985" t="str">
            <v>HY</v>
          </cell>
          <cell r="D6985">
            <v>57.5</v>
          </cell>
          <cell r="H6985" t="str">
            <v>hydro</v>
          </cell>
        </row>
        <row r="6986">
          <cell r="C6986" t="str">
            <v>HY</v>
          </cell>
          <cell r="D6986">
            <v>40</v>
          </cell>
          <cell r="H6986" t="str">
            <v>hydro</v>
          </cell>
        </row>
        <row r="6987">
          <cell r="C6987" t="str">
            <v>HY</v>
          </cell>
          <cell r="D6987">
            <v>40</v>
          </cell>
          <cell r="H6987" t="str">
            <v>hydro</v>
          </cell>
        </row>
        <row r="6988">
          <cell r="C6988" t="str">
            <v>HY</v>
          </cell>
          <cell r="D6988">
            <v>52</v>
          </cell>
          <cell r="H6988" t="str">
            <v>hydro</v>
          </cell>
        </row>
        <row r="6989">
          <cell r="C6989" t="str">
            <v>HY</v>
          </cell>
          <cell r="D6989">
            <v>50</v>
          </cell>
          <cell r="H6989" t="str">
            <v>hydro</v>
          </cell>
        </row>
        <row r="6990">
          <cell r="C6990" t="str">
            <v>HY</v>
          </cell>
          <cell r="D6990">
            <v>52</v>
          </cell>
          <cell r="H6990" t="str">
            <v>hydro</v>
          </cell>
        </row>
        <row r="6991">
          <cell r="C6991" t="str">
            <v>HY</v>
          </cell>
          <cell r="D6991">
            <v>13.8</v>
          </cell>
          <cell r="H6991" t="str">
            <v>hydro</v>
          </cell>
        </row>
        <row r="6992">
          <cell r="C6992" t="str">
            <v>HY</v>
          </cell>
          <cell r="D6992">
            <v>13.8</v>
          </cell>
          <cell r="H6992" t="str">
            <v>hydro</v>
          </cell>
        </row>
        <row r="6993">
          <cell r="C6993" t="str">
            <v>HY</v>
          </cell>
          <cell r="D6993">
            <v>13.8</v>
          </cell>
          <cell r="H6993" t="str">
            <v>hydro</v>
          </cell>
        </row>
        <row r="6994">
          <cell r="C6994" t="str">
            <v>HY</v>
          </cell>
          <cell r="D6994">
            <v>34.5</v>
          </cell>
          <cell r="H6994" t="str">
            <v>hydro</v>
          </cell>
        </row>
        <row r="6995">
          <cell r="C6995" t="str">
            <v>HY</v>
          </cell>
          <cell r="D6995">
            <v>34.5</v>
          </cell>
          <cell r="H6995" t="str">
            <v>hydro</v>
          </cell>
        </row>
        <row r="6996">
          <cell r="C6996" t="str">
            <v>HY</v>
          </cell>
          <cell r="D6996">
            <v>34.5</v>
          </cell>
          <cell r="H6996" t="str">
            <v>hydro</v>
          </cell>
        </row>
        <row r="6997">
          <cell r="C6997" t="str">
            <v>HY</v>
          </cell>
          <cell r="D6997">
            <v>38.5</v>
          </cell>
          <cell r="H6997" t="str">
            <v>hydro</v>
          </cell>
        </row>
        <row r="6998">
          <cell r="C6998" t="str">
            <v>HY</v>
          </cell>
          <cell r="D6998">
            <v>2</v>
          </cell>
          <cell r="H6998" t="str">
            <v>hydro</v>
          </cell>
        </row>
        <row r="6999">
          <cell r="C6999" t="str">
            <v>HY</v>
          </cell>
          <cell r="D6999">
            <v>2</v>
          </cell>
          <cell r="H6999" t="str">
            <v>hydro</v>
          </cell>
        </row>
        <row r="7000">
          <cell r="C7000" t="str">
            <v>HY</v>
          </cell>
          <cell r="D7000">
            <v>2</v>
          </cell>
          <cell r="H7000" t="str">
            <v>hydro</v>
          </cell>
        </row>
        <row r="7001">
          <cell r="C7001" t="str">
            <v>HY</v>
          </cell>
          <cell r="D7001">
            <v>2</v>
          </cell>
          <cell r="H7001" t="str">
            <v>hydro</v>
          </cell>
        </row>
        <row r="7002">
          <cell r="C7002" t="str">
            <v>HY</v>
          </cell>
          <cell r="D7002">
            <v>31.4</v>
          </cell>
          <cell r="H7002" t="str">
            <v>hydro</v>
          </cell>
        </row>
        <row r="7003">
          <cell r="C7003" t="str">
            <v>HY</v>
          </cell>
          <cell r="D7003">
            <v>30.7</v>
          </cell>
          <cell r="H7003" t="str">
            <v>hydro</v>
          </cell>
        </row>
        <row r="7004">
          <cell r="C7004" t="str">
            <v>HY</v>
          </cell>
          <cell r="D7004">
            <v>15</v>
          </cell>
          <cell r="H7004" t="str">
            <v>hydro</v>
          </cell>
        </row>
        <row r="7005">
          <cell r="C7005" t="str">
            <v>HY</v>
          </cell>
          <cell r="D7005">
            <v>15</v>
          </cell>
          <cell r="H7005" t="str">
            <v>hydro</v>
          </cell>
        </row>
        <row r="7006">
          <cell r="C7006" t="str">
            <v>HY</v>
          </cell>
          <cell r="D7006">
            <v>32</v>
          </cell>
          <cell r="H7006" t="str">
            <v>hydro</v>
          </cell>
        </row>
        <row r="7007">
          <cell r="C7007" t="str">
            <v>HY</v>
          </cell>
          <cell r="D7007">
            <v>32</v>
          </cell>
          <cell r="H7007" t="str">
            <v>hydro</v>
          </cell>
        </row>
        <row r="7008">
          <cell r="C7008" t="str">
            <v>HY</v>
          </cell>
          <cell r="D7008">
            <v>32</v>
          </cell>
          <cell r="H7008" t="str">
            <v>hydro</v>
          </cell>
        </row>
        <row r="7009">
          <cell r="C7009" t="str">
            <v>HY</v>
          </cell>
          <cell r="D7009">
            <v>97</v>
          </cell>
          <cell r="H7009" t="str">
            <v>hydro</v>
          </cell>
        </row>
        <row r="7010">
          <cell r="C7010" t="str">
            <v>HY</v>
          </cell>
          <cell r="D7010">
            <v>90</v>
          </cell>
          <cell r="H7010" t="str">
            <v>hydro</v>
          </cell>
        </row>
        <row r="7011">
          <cell r="C7011" t="str">
            <v>HY</v>
          </cell>
          <cell r="D7011">
            <v>90</v>
          </cell>
          <cell r="H7011" t="str">
            <v>hydro</v>
          </cell>
        </row>
        <row r="7012">
          <cell r="C7012" t="str">
            <v>HY</v>
          </cell>
          <cell r="D7012">
            <v>1.2</v>
          </cell>
          <cell r="H7012" t="str">
            <v>hydro</v>
          </cell>
        </row>
        <row r="7013">
          <cell r="C7013" t="str">
            <v>HY</v>
          </cell>
          <cell r="D7013">
            <v>1.2</v>
          </cell>
          <cell r="H7013" t="str">
            <v>hydro</v>
          </cell>
        </row>
        <row r="7014">
          <cell r="C7014" t="str">
            <v>HY</v>
          </cell>
          <cell r="D7014">
            <v>158.4</v>
          </cell>
          <cell r="H7014" t="str">
            <v>hydro</v>
          </cell>
        </row>
        <row r="7015">
          <cell r="C7015" t="str">
            <v>HY</v>
          </cell>
          <cell r="D7015">
            <v>161.5</v>
          </cell>
          <cell r="H7015" t="str">
            <v>hydro</v>
          </cell>
        </row>
        <row r="7016">
          <cell r="C7016" t="str">
            <v>HY</v>
          </cell>
          <cell r="D7016">
            <v>158.4</v>
          </cell>
          <cell r="H7016" t="str">
            <v>hydro</v>
          </cell>
        </row>
        <row r="7017">
          <cell r="C7017" t="str">
            <v>HY</v>
          </cell>
          <cell r="D7017">
            <v>161.5</v>
          </cell>
          <cell r="H7017" t="str">
            <v>hydro</v>
          </cell>
        </row>
        <row r="7018">
          <cell r="C7018" t="str">
            <v>HY</v>
          </cell>
          <cell r="D7018">
            <v>232</v>
          </cell>
          <cell r="H7018" t="str">
            <v>hydro</v>
          </cell>
        </row>
        <row r="7019">
          <cell r="C7019" t="str">
            <v>HY</v>
          </cell>
          <cell r="D7019">
            <v>232</v>
          </cell>
          <cell r="H7019" t="str">
            <v>hydro</v>
          </cell>
        </row>
        <row r="7020">
          <cell r="C7020" t="str">
            <v>HY</v>
          </cell>
          <cell r="D7020">
            <v>1.4</v>
          </cell>
          <cell r="H7020" t="str">
            <v>hydro</v>
          </cell>
        </row>
        <row r="7021">
          <cell r="C7021" t="str">
            <v>HY</v>
          </cell>
          <cell r="D7021">
            <v>22</v>
          </cell>
          <cell r="H7021" t="str">
            <v>hydro</v>
          </cell>
        </row>
        <row r="7022">
          <cell r="C7022" t="str">
            <v>HY</v>
          </cell>
          <cell r="D7022">
            <v>29.5</v>
          </cell>
          <cell r="H7022" t="str">
            <v>hydro</v>
          </cell>
        </row>
        <row r="7023">
          <cell r="C7023" t="str">
            <v>HY</v>
          </cell>
          <cell r="D7023">
            <v>29.2</v>
          </cell>
          <cell r="H7023" t="str">
            <v>hydro</v>
          </cell>
        </row>
        <row r="7024">
          <cell r="C7024" t="str">
            <v>HY</v>
          </cell>
          <cell r="D7024">
            <v>29.2</v>
          </cell>
          <cell r="H7024" t="str">
            <v>hydro</v>
          </cell>
        </row>
        <row r="7025">
          <cell r="C7025" t="str">
            <v>HY</v>
          </cell>
          <cell r="D7025">
            <v>29.4</v>
          </cell>
          <cell r="H7025" t="str">
            <v>hydro</v>
          </cell>
        </row>
        <row r="7026">
          <cell r="C7026" t="str">
            <v>HY</v>
          </cell>
          <cell r="D7026">
            <v>29.4</v>
          </cell>
          <cell r="H7026" t="str">
            <v>hydro</v>
          </cell>
        </row>
        <row r="7027">
          <cell r="C7027" t="str">
            <v>HY</v>
          </cell>
          <cell r="D7027">
            <v>29.2</v>
          </cell>
          <cell r="H7027" t="str">
            <v>hydro</v>
          </cell>
        </row>
        <row r="7028">
          <cell r="C7028" t="str">
            <v>HY</v>
          </cell>
          <cell r="D7028">
            <v>29.2</v>
          </cell>
          <cell r="H7028" t="str">
            <v>hydro</v>
          </cell>
        </row>
        <row r="7029">
          <cell r="C7029" t="str">
            <v>HY</v>
          </cell>
          <cell r="D7029">
            <v>29</v>
          </cell>
          <cell r="H7029" t="str">
            <v>hydro</v>
          </cell>
        </row>
        <row r="7030">
          <cell r="C7030" t="str">
            <v>HY</v>
          </cell>
          <cell r="D7030">
            <v>29</v>
          </cell>
          <cell r="H7030" t="str">
            <v>hydro</v>
          </cell>
        </row>
        <row r="7031">
          <cell r="C7031" t="str">
            <v>HY</v>
          </cell>
          <cell r="D7031">
            <v>55</v>
          </cell>
          <cell r="H7031" t="str">
            <v>hydro</v>
          </cell>
        </row>
        <row r="7032">
          <cell r="C7032" t="str">
            <v>HY</v>
          </cell>
          <cell r="D7032">
            <v>22.3</v>
          </cell>
          <cell r="H7032" t="str">
            <v>hydro</v>
          </cell>
        </row>
        <row r="7033">
          <cell r="C7033" t="str">
            <v>HY</v>
          </cell>
          <cell r="D7033">
            <v>55</v>
          </cell>
          <cell r="H7033" t="str">
            <v>hydro</v>
          </cell>
        </row>
        <row r="7034">
          <cell r="C7034" t="str">
            <v>HY</v>
          </cell>
          <cell r="D7034">
            <v>55</v>
          </cell>
          <cell r="H7034" t="str">
            <v>hydro</v>
          </cell>
        </row>
        <row r="7035">
          <cell r="C7035" t="str">
            <v>HY</v>
          </cell>
          <cell r="D7035">
            <v>23</v>
          </cell>
          <cell r="H7035" t="str">
            <v>hydro</v>
          </cell>
        </row>
        <row r="7036">
          <cell r="C7036" t="str">
            <v>HY</v>
          </cell>
          <cell r="D7036">
            <v>22</v>
          </cell>
          <cell r="H7036" t="str">
            <v>hydro</v>
          </cell>
        </row>
        <row r="7037">
          <cell r="C7037" t="str">
            <v>HY</v>
          </cell>
          <cell r="D7037">
            <v>30.3</v>
          </cell>
          <cell r="H7037" t="str">
            <v>hydro</v>
          </cell>
        </row>
        <row r="7038">
          <cell r="C7038" t="str">
            <v>HY</v>
          </cell>
          <cell r="D7038">
            <v>30.4</v>
          </cell>
          <cell r="H7038" t="str">
            <v>hydro</v>
          </cell>
        </row>
        <row r="7039">
          <cell r="C7039" t="str">
            <v>HY</v>
          </cell>
          <cell r="D7039">
            <v>29.1</v>
          </cell>
          <cell r="H7039" t="str">
            <v>hydro</v>
          </cell>
        </row>
        <row r="7040">
          <cell r="C7040" t="str">
            <v>HY</v>
          </cell>
          <cell r="D7040">
            <v>30.7</v>
          </cell>
          <cell r="H7040" t="str">
            <v>hydro</v>
          </cell>
        </row>
        <row r="7041">
          <cell r="C7041" t="str">
            <v>HY</v>
          </cell>
          <cell r="D7041">
            <v>29.6</v>
          </cell>
          <cell r="H7041" t="str">
            <v>hydro</v>
          </cell>
        </row>
        <row r="7042">
          <cell r="C7042" t="str">
            <v>HY</v>
          </cell>
          <cell r="D7042">
            <v>2</v>
          </cell>
          <cell r="H7042" t="str">
            <v>hydro</v>
          </cell>
        </row>
        <row r="7043">
          <cell r="C7043" t="str">
            <v>HY</v>
          </cell>
          <cell r="D7043">
            <v>1.6</v>
          </cell>
          <cell r="H7043" t="str">
            <v>hydro</v>
          </cell>
        </row>
        <row r="7044">
          <cell r="C7044" t="str">
            <v>HY</v>
          </cell>
          <cell r="D7044">
            <v>0.7</v>
          </cell>
          <cell r="H7044" t="str">
            <v>hydro</v>
          </cell>
        </row>
        <row r="7045">
          <cell r="C7045" t="str">
            <v>HY</v>
          </cell>
          <cell r="D7045">
            <v>0.7</v>
          </cell>
          <cell r="H7045" t="str">
            <v>hydro</v>
          </cell>
        </row>
        <row r="7046">
          <cell r="C7046" t="str">
            <v>HY</v>
          </cell>
          <cell r="D7046">
            <v>0.7</v>
          </cell>
          <cell r="H7046" t="str">
            <v>hydro</v>
          </cell>
        </row>
        <row r="7047">
          <cell r="C7047" t="str">
            <v>HY</v>
          </cell>
          <cell r="D7047">
            <v>2.8</v>
          </cell>
          <cell r="H7047" t="str">
            <v>hydro</v>
          </cell>
        </row>
        <row r="7048">
          <cell r="C7048" t="str">
            <v>HY</v>
          </cell>
          <cell r="D7048">
            <v>0.6</v>
          </cell>
          <cell r="H7048" t="str">
            <v>hydro</v>
          </cell>
        </row>
        <row r="7049">
          <cell r="C7049" t="str">
            <v>HY</v>
          </cell>
          <cell r="D7049">
            <v>0.6</v>
          </cell>
          <cell r="H7049" t="str">
            <v>hydro</v>
          </cell>
        </row>
        <row r="7050">
          <cell r="C7050" t="str">
            <v>HY</v>
          </cell>
          <cell r="D7050">
            <v>3.2</v>
          </cell>
          <cell r="H7050" t="str">
            <v>hydro</v>
          </cell>
        </row>
        <row r="7051">
          <cell r="C7051" t="str">
            <v>HY</v>
          </cell>
          <cell r="D7051">
            <v>1.3</v>
          </cell>
          <cell r="H7051" t="str">
            <v>hydro</v>
          </cell>
        </row>
        <row r="7052">
          <cell r="C7052" t="str">
            <v>HY</v>
          </cell>
          <cell r="D7052">
            <v>0.6</v>
          </cell>
          <cell r="H7052" t="str">
            <v>hydro</v>
          </cell>
        </row>
        <row r="7053">
          <cell r="C7053" t="str">
            <v>HY</v>
          </cell>
          <cell r="D7053">
            <v>1.9</v>
          </cell>
          <cell r="H7053" t="str">
            <v>hydro</v>
          </cell>
        </row>
        <row r="7054">
          <cell r="C7054" t="str">
            <v>HY</v>
          </cell>
          <cell r="D7054">
            <v>1.9</v>
          </cell>
          <cell r="H7054" t="str">
            <v>hydro</v>
          </cell>
        </row>
        <row r="7055">
          <cell r="C7055" t="str">
            <v>HY</v>
          </cell>
          <cell r="D7055">
            <v>0.8</v>
          </cell>
          <cell r="H7055" t="str">
            <v>hydro</v>
          </cell>
        </row>
        <row r="7056">
          <cell r="C7056" t="str">
            <v>ST</v>
          </cell>
          <cell r="D7056">
            <v>967.5</v>
          </cell>
          <cell r="H7056" t="str">
            <v>nuclear</v>
          </cell>
        </row>
        <row r="7057">
          <cell r="C7057" t="str">
            <v>GT</v>
          </cell>
          <cell r="D7057">
            <v>15.2</v>
          </cell>
          <cell r="H7057" t="str">
            <v>petroleum</v>
          </cell>
        </row>
        <row r="7058">
          <cell r="C7058" t="str">
            <v>GT</v>
          </cell>
          <cell r="D7058">
            <v>25.7</v>
          </cell>
          <cell r="H7058" t="str">
            <v>petroleum</v>
          </cell>
        </row>
        <row r="7059">
          <cell r="C7059" t="str">
            <v>ST</v>
          </cell>
          <cell r="D7059">
            <v>450</v>
          </cell>
          <cell r="H7059" t="str">
            <v>hard coal</v>
          </cell>
        </row>
        <row r="7060">
          <cell r="C7060" t="str">
            <v>ST</v>
          </cell>
          <cell r="D7060">
            <v>450</v>
          </cell>
          <cell r="H7060" t="str">
            <v>hard coal</v>
          </cell>
        </row>
        <row r="7061">
          <cell r="C7061" t="str">
            <v>IC</v>
          </cell>
          <cell r="D7061">
            <v>2.5</v>
          </cell>
          <cell r="H7061" t="str">
            <v>petroleum</v>
          </cell>
        </row>
        <row r="7062">
          <cell r="C7062" t="str">
            <v>IC</v>
          </cell>
          <cell r="D7062">
            <v>2.5</v>
          </cell>
          <cell r="H7062" t="str">
            <v>petroleum</v>
          </cell>
        </row>
        <row r="7063">
          <cell r="C7063" t="str">
            <v>IC</v>
          </cell>
          <cell r="D7063">
            <v>2.5</v>
          </cell>
          <cell r="H7063" t="str">
            <v>petroleum</v>
          </cell>
        </row>
        <row r="7064">
          <cell r="C7064" t="str">
            <v>IC</v>
          </cell>
          <cell r="D7064">
            <v>7.6</v>
          </cell>
          <cell r="H7064" t="str">
            <v>petroleum</v>
          </cell>
        </row>
        <row r="7065">
          <cell r="C7065" t="str">
            <v>IC</v>
          </cell>
          <cell r="D7065">
            <v>7.6</v>
          </cell>
          <cell r="H7065" t="str">
            <v>petroleum</v>
          </cell>
        </row>
        <row r="7066">
          <cell r="C7066" t="str">
            <v>IC</v>
          </cell>
          <cell r="D7066">
            <v>7.6</v>
          </cell>
          <cell r="H7066" t="str">
            <v>petroleum</v>
          </cell>
        </row>
        <row r="7067">
          <cell r="C7067" t="str">
            <v>IC</v>
          </cell>
          <cell r="D7067">
            <v>7.6</v>
          </cell>
          <cell r="H7067" t="str">
            <v>petroleum</v>
          </cell>
        </row>
        <row r="7068">
          <cell r="C7068" t="str">
            <v>GT</v>
          </cell>
          <cell r="D7068">
            <v>19</v>
          </cell>
          <cell r="H7068" t="str">
            <v>petroleum</v>
          </cell>
        </row>
        <row r="7069">
          <cell r="C7069" t="str">
            <v>GT</v>
          </cell>
          <cell r="D7069">
            <v>22.6</v>
          </cell>
          <cell r="H7069" t="str">
            <v>petroleum</v>
          </cell>
        </row>
        <row r="7070">
          <cell r="C7070" t="str">
            <v>IC</v>
          </cell>
          <cell r="D7070">
            <v>1.5</v>
          </cell>
          <cell r="H7070" t="str">
            <v>petroleum</v>
          </cell>
        </row>
        <row r="7071">
          <cell r="C7071" t="str">
            <v>IC</v>
          </cell>
          <cell r="D7071">
            <v>1.5</v>
          </cell>
          <cell r="H7071" t="str">
            <v>petroleum</v>
          </cell>
        </row>
        <row r="7072">
          <cell r="C7072" t="str">
            <v>ST</v>
          </cell>
          <cell r="D7072">
            <v>9</v>
          </cell>
          <cell r="H7072" t="str">
            <v>petroleum</v>
          </cell>
        </row>
        <row r="7073">
          <cell r="C7073" t="str">
            <v>HY</v>
          </cell>
          <cell r="D7073">
            <v>3</v>
          </cell>
          <cell r="H7073" t="str">
            <v>hydro</v>
          </cell>
        </row>
        <row r="7074">
          <cell r="C7074" t="str">
            <v>HY</v>
          </cell>
          <cell r="D7074">
            <v>27</v>
          </cell>
          <cell r="H7074" t="str">
            <v>hydro</v>
          </cell>
        </row>
        <row r="7075">
          <cell r="C7075" t="str">
            <v>HY</v>
          </cell>
          <cell r="D7075">
            <v>11</v>
          </cell>
          <cell r="H7075" t="str">
            <v>hydro</v>
          </cell>
        </row>
        <row r="7076">
          <cell r="C7076" t="str">
            <v>HY</v>
          </cell>
          <cell r="D7076">
            <v>12</v>
          </cell>
          <cell r="H7076" t="str">
            <v>hydro</v>
          </cell>
        </row>
        <row r="7077">
          <cell r="C7077" t="str">
            <v>HY</v>
          </cell>
          <cell r="D7077">
            <v>27</v>
          </cell>
          <cell r="H7077" t="str">
            <v>hydro</v>
          </cell>
        </row>
        <row r="7078">
          <cell r="C7078" t="str">
            <v>HY</v>
          </cell>
          <cell r="D7078">
            <v>14.5</v>
          </cell>
          <cell r="H7078" t="str">
            <v>hydro</v>
          </cell>
        </row>
        <row r="7079">
          <cell r="C7079" t="str">
            <v>HY</v>
          </cell>
          <cell r="D7079">
            <v>14.4</v>
          </cell>
          <cell r="H7079" t="str">
            <v>hydro</v>
          </cell>
        </row>
        <row r="7080">
          <cell r="C7080" t="str">
            <v>HY</v>
          </cell>
          <cell r="D7080">
            <v>16</v>
          </cell>
          <cell r="H7080" t="str">
            <v>hydro</v>
          </cell>
        </row>
        <row r="7081">
          <cell r="C7081" t="str">
            <v>ST</v>
          </cell>
          <cell r="D7081">
            <v>900</v>
          </cell>
          <cell r="H7081" t="str">
            <v>hard coal</v>
          </cell>
        </row>
        <row r="7082">
          <cell r="C7082" t="str">
            <v>ST</v>
          </cell>
          <cell r="D7082">
            <v>900</v>
          </cell>
          <cell r="H7082" t="str">
            <v>hard coal</v>
          </cell>
        </row>
        <row r="7083">
          <cell r="C7083" t="str">
            <v>HY</v>
          </cell>
          <cell r="D7083">
            <v>2.2999999999999998</v>
          </cell>
          <cell r="H7083" t="str">
            <v>hydro</v>
          </cell>
        </row>
        <row r="7084">
          <cell r="C7084" t="str">
            <v>HY</v>
          </cell>
          <cell r="D7084">
            <v>2.2999999999999998</v>
          </cell>
          <cell r="H7084" t="str">
            <v>hydro</v>
          </cell>
        </row>
        <row r="7085">
          <cell r="C7085" t="str">
            <v>HY</v>
          </cell>
          <cell r="D7085">
            <v>2.8</v>
          </cell>
          <cell r="H7085" t="str">
            <v>hydro</v>
          </cell>
        </row>
        <row r="7086">
          <cell r="C7086" t="str">
            <v>HY</v>
          </cell>
          <cell r="D7086">
            <v>2.8</v>
          </cell>
          <cell r="H7086" t="str">
            <v>hydro</v>
          </cell>
        </row>
        <row r="7087">
          <cell r="C7087" t="str">
            <v>HY</v>
          </cell>
          <cell r="D7087">
            <v>0.2</v>
          </cell>
          <cell r="H7087" t="str">
            <v>hydro</v>
          </cell>
        </row>
        <row r="7088">
          <cell r="C7088" t="str">
            <v>HY</v>
          </cell>
          <cell r="D7088">
            <v>0.3</v>
          </cell>
          <cell r="H7088" t="str">
            <v>hydro</v>
          </cell>
        </row>
        <row r="7089">
          <cell r="C7089" t="str">
            <v>HY</v>
          </cell>
          <cell r="D7089">
            <v>0.5</v>
          </cell>
          <cell r="H7089" t="str">
            <v>hydro</v>
          </cell>
        </row>
        <row r="7090">
          <cell r="C7090" t="str">
            <v>HY</v>
          </cell>
          <cell r="D7090">
            <v>1</v>
          </cell>
          <cell r="H7090" t="str">
            <v>hydro</v>
          </cell>
        </row>
        <row r="7091">
          <cell r="C7091" t="str">
            <v>HY</v>
          </cell>
          <cell r="D7091">
            <v>1.2</v>
          </cell>
          <cell r="H7091" t="str">
            <v>hydro</v>
          </cell>
        </row>
        <row r="7092">
          <cell r="C7092" t="str">
            <v>HY</v>
          </cell>
          <cell r="D7092">
            <v>3.8</v>
          </cell>
          <cell r="H7092" t="str">
            <v>hydro</v>
          </cell>
        </row>
        <row r="7093">
          <cell r="C7093" t="str">
            <v>IC</v>
          </cell>
          <cell r="D7093">
            <v>2.5</v>
          </cell>
          <cell r="H7093" t="str">
            <v>petroleum</v>
          </cell>
        </row>
        <row r="7094">
          <cell r="C7094" t="str">
            <v>IC</v>
          </cell>
          <cell r="D7094">
            <v>12.3</v>
          </cell>
          <cell r="H7094" t="str">
            <v>petroleum</v>
          </cell>
        </row>
        <row r="7095">
          <cell r="C7095" t="str">
            <v>IC</v>
          </cell>
          <cell r="D7095">
            <v>12.3</v>
          </cell>
          <cell r="H7095" t="str">
            <v>petroleum</v>
          </cell>
        </row>
        <row r="7096">
          <cell r="C7096" t="str">
            <v>IC</v>
          </cell>
          <cell r="D7096">
            <v>12.3</v>
          </cell>
          <cell r="H7096" t="str">
            <v>petroleum</v>
          </cell>
        </row>
        <row r="7097">
          <cell r="C7097" t="str">
            <v>IC</v>
          </cell>
          <cell r="D7097">
            <v>12.3</v>
          </cell>
          <cell r="H7097" t="str">
            <v>petroleum</v>
          </cell>
        </row>
        <row r="7098">
          <cell r="C7098" t="str">
            <v>CT</v>
          </cell>
          <cell r="D7098">
            <v>21.1</v>
          </cell>
          <cell r="H7098" t="str">
            <v>petroleum</v>
          </cell>
        </row>
        <row r="7099">
          <cell r="C7099" t="str">
            <v>CA</v>
          </cell>
          <cell r="D7099">
            <v>12</v>
          </cell>
          <cell r="H7099" t="str">
            <v>petroleum</v>
          </cell>
        </row>
        <row r="7100">
          <cell r="C7100" t="str">
            <v>CT</v>
          </cell>
          <cell r="D7100">
            <v>21.1</v>
          </cell>
          <cell r="H7100" t="str">
            <v>petroleum</v>
          </cell>
        </row>
        <row r="7101">
          <cell r="C7101" t="str">
            <v>CT</v>
          </cell>
          <cell r="D7101">
            <v>17.600000000000001</v>
          </cell>
          <cell r="H7101" t="str">
            <v>petroleum</v>
          </cell>
        </row>
        <row r="7102">
          <cell r="C7102" t="str">
            <v>CA</v>
          </cell>
          <cell r="D7102">
            <v>13.8</v>
          </cell>
          <cell r="H7102" t="str">
            <v>petroleum</v>
          </cell>
        </row>
        <row r="7103">
          <cell r="C7103" t="str">
            <v>CT</v>
          </cell>
          <cell r="D7103">
            <v>17.600000000000001</v>
          </cell>
          <cell r="H7103" t="str">
            <v>petroleum</v>
          </cell>
        </row>
        <row r="7104">
          <cell r="C7104" t="str">
            <v>IC</v>
          </cell>
          <cell r="D7104">
            <v>2.5</v>
          </cell>
          <cell r="H7104" t="str">
            <v>petroleum</v>
          </cell>
        </row>
        <row r="7105">
          <cell r="C7105" t="str">
            <v>IC</v>
          </cell>
          <cell r="D7105">
            <v>2.5</v>
          </cell>
          <cell r="H7105" t="str">
            <v>petroleum</v>
          </cell>
        </row>
        <row r="7106">
          <cell r="C7106" t="str">
            <v>IC</v>
          </cell>
          <cell r="D7106">
            <v>5.5</v>
          </cell>
          <cell r="H7106" t="str">
            <v>petroleum</v>
          </cell>
        </row>
        <row r="7107">
          <cell r="C7107" t="str">
            <v>IC</v>
          </cell>
          <cell r="D7107">
            <v>5.5</v>
          </cell>
          <cell r="H7107" t="str">
            <v>petroleum</v>
          </cell>
        </row>
        <row r="7108">
          <cell r="C7108" t="str">
            <v>IC</v>
          </cell>
          <cell r="D7108">
            <v>5.5</v>
          </cell>
          <cell r="H7108" t="str">
            <v>petroleum</v>
          </cell>
        </row>
        <row r="7109">
          <cell r="C7109" t="str">
            <v>IC</v>
          </cell>
          <cell r="D7109">
            <v>5.5</v>
          </cell>
          <cell r="H7109" t="str">
            <v>petroleum</v>
          </cell>
        </row>
        <row r="7110">
          <cell r="C7110" t="str">
            <v>IC</v>
          </cell>
          <cell r="D7110">
            <v>5.5</v>
          </cell>
          <cell r="H7110" t="str">
            <v>petroleum</v>
          </cell>
        </row>
        <row r="7111">
          <cell r="C7111" t="str">
            <v>IC</v>
          </cell>
          <cell r="D7111">
            <v>5.5</v>
          </cell>
          <cell r="H7111" t="str">
            <v>petroleum</v>
          </cell>
        </row>
        <row r="7112">
          <cell r="C7112" t="str">
            <v>IC</v>
          </cell>
          <cell r="D7112">
            <v>2.5</v>
          </cell>
          <cell r="H7112" t="str">
            <v>petroleum</v>
          </cell>
        </row>
        <row r="7113">
          <cell r="C7113" t="str">
            <v>IC</v>
          </cell>
          <cell r="D7113">
            <v>2.5</v>
          </cell>
          <cell r="H7113" t="str">
            <v>petroleum</v>
          </cell>
        </row>
        <row r="7114">
          <cell r="C7114" t="str">
            <v>HY</v>
          </cell>
          <cell r="D7114">
            <v>22</v>
          </cell>
          <cell r="H7114" t="str">
            <v>hydro</v>
          </cell>
        </row>
        <row r="7115">
          <cell r="C7115" t="str">
            <v>HY</v>
          </cell>
          <cell r="D7115">
            <v>22</v>
          </cell>
          <cell r="H7115" t="str">
            <v>hydro</v>
          </cell>
        </row>
        <row r="7116">
          <cell r="C7116" t="str">
            <v>HY</v>
          </cell>
          <cell r="D7116">
            <v>1.1000000000000001</v>
          </cell>
          <cell r="H7116" t="str">
            <v>hydro</v>
          </cell>
        </row>
        <row r="7117">
          <cell r="C7117" t="str">
            <v>HY</v>
          </cell>
          <cell r="D7117">
            <v>0.4</v>
          </cell>
          <cell r="H7117" t="str">
            <v>hydro</v>
          </cell>
        </row>
        <row r="7118">
          <cell r="C7118" t="str">
            <v>HY</v>
          </cell>
          <cell r="D7118">
            <v>1.1000000000000001</v>
          </cell>
          <cell r="H7118" t="str">
            <v>hydro</v>
          </cell>
        </row>
        <row r="7119">
          <cell r="C7119" t="str">
            <v>HY</v>
          </cell>
          <cell r="D7119">
            <v>1.7</v>
          </cell>
          <cell r="H7119" t="str">
            <v>hydro</v>
          </cell>
        </row>
        <row r="7120">
          <cell r="C7120" t="str">
            <v>HY</v>
          </cell>
          <cell r="D7120">
            <v>2.1</v>
          </cell>
          <cell r="H7120" t="str">
            <v>hydro</v>
          </cell>
        </row>
        <row r="7121">
          <cell r="C7121" t="str">
            <v>HY</v>
          </cell>
          <cell r="D7121">
            <v>0.5</v>
          </cell>
          <cell r="H7121" t="str">
            <v>hydro</v>
          </cell>
        </row>
        <row r="7122">
          <cell r="C7122" t="str">
            <v>HY</v>
          </cell>
          <cell r="D7122">
            <v>0.5</v>
          </cell>
          <cell r="H7122" t="str">
            <v>hydro</v>
          </cell>
        </row>
        <row r="7123">
          <cell r="C7123" t="str">
            <v>IC</v>
          </cell>
          <cell r="D7123">
            <v>2</v>
          </cell>
          <cell r="H7123" t="str">
            <v>petroleum</v>
          </cell>
        </row>
        <row r="7124">
          <cell r="C7124" t="str">
            <v>IC</v>
          </cell>
          <cell r="D7124">
            <v>2</v>
          </cell>
          <cell r="H7124" t="str">
            <v>petroleum</v>
          </cell>
        </row>
        <row r="7125">
          <cell r="C7125" t="str">
            <v>IC</v>
          </cell>
          <cell r="D7125">
            <v>2</v>
          </cell>
          <cell r="H7125" t="str">
            <v>petroleum</v>
          </cell>
        </row>
        <row r="7126">
          <cell r="C7126" t="str">
            <v>HY</v>
          </cell>
          <cell r="D7126">
            <v>2.5</v>
          </cell>
          <cell r="H7126" t="str">
            <v>hydro</v>
          </cell>
        </row>
        <row r="7127">
          <cell r="C7127" t="str">
            <v>GT</v>
          </cell>
          <cell r="D7127">
            <v>13.5</v>
          </cell>
          <cell r="H7127" t="str">
            <v>natural gas peaker</v>
          </cell>
        </row>
        <row r="7128">
          <cell r="C7128" t="str">
            <v>GT</v>
          </cell>
          <cell r="D7128">
            <v>13.5</v>
          </cell>
          <cell r="H7128" t="str">
            <v>natural gas peaker</v>
          </cell>
        </row>
        <row r="7129">
          <cell r="C7129" t="str">
            <v>GT</v>
          </cell>
          <cell r="D7129">
            <v>13.5</v>
          </cell>
          <cell r="H7129" t="str">
            <v>natural gas peaker</v>
          </cell>
        </row>
        <row r="7130">
          <cell r="C7130" t="str">
            <v>GT</v>
          </cell>
          <cell r="D7130">
            <v>19.8</v>
          </cell>
          <cell r="H7130" t="str">
            <v>natural gas peaker</v>
          </cell>
        </row>
        <row r="7131">
          <cell r="C7131" t="str">
            <v>IC</v>
          </cell>
          <cell r="D7131">
            <v>2</v>
          </cell>
          <cell r="H7131" t="str">
            <v>petroleum</v>
          </cell>
        </row>
        <row r="7132">
          <cell r="C7132" t="str">
            <v>IC</v>
          </cell>
          <cell r="D7132">
            <v>2</v>
          </cell>
          <cell r="H7132" t="str">
            <v>petroleum</v>
          </cell>
        </row>
        <row r="7133">
          <cell r="C7133" t="str">
            <v>IC</v>
          </cell>
          <cell r="D7133">
            <v>2</v>
          </cell>
          <cell r="H7133" t="str">
            <v>petroleum</v>
          </cell>
        </row>
        <row r="7134">
          <cell r="C7134" t="str">
            <v>IC</v>
          </cell>
          <cell r="D7134">
            <v>2</v>
          </cell>
          <cell r="H7134" t="str">
            <v>petroleum</v>
          </cell>
        </row>
        <row r="7135">
          <cell r="C7135" t="str">
            <v>IC</v>
          </cell>
          <cell r="D7135">
            <v>2</v>
          </cell>
          <cell r="H7135" t="str">
            <v>petroleum</v>
          </cell>
        </row>
        <row r="7136">
          <cell r="C7136" t="str">
            <v>HY</v>
          </cell>
          <cell r="D7136">
            <v>76</v>
          </cell>
          <cell r="H7136" t="str">
            <v>hydro</v>
          </cell>
        </row>
        <row r="7137">
          <cell r="C7137" t="str">
            <v>HY</v>
          </cell>
          <cell r="D7137">
            <v>76</v>
          </cell>
          <cell r="H7137" t="str">
            <v>hydro</v>
          </cell>
        </row>
        <row r="7138">
          <cell r="C7138" t="str">
            <v>IC</v>
          </cell>
          <cell r="D7138">
            <v>2</v>
          </cell>
          <cell r="H7138" t="str">
            <v>petroleum</v>
          </cell>
        </row>
        <row r="7139">
          <cell r="C7139" t="str">
            <v>IC</v>
          </cell>
          <cell r="D7139">
            <v>2</v>
          </cell>
          <cell r="H7139" t="str">
            <v>petroleum</v>
          </cell>
        </row>
        <row r="7140">
          <cell r="C7140" t="str">
            <v>IC</v>
          </cell>
          <cell r="D7140">
            <v>2</v>
          </cell>
          <cell r="H7140" t="str">
            <v>petroleum</v>
          </cell>
        </row>
        <row r="7141">
          <cell r="C7141" t="str">
            <v>IC</v>
          </cell>
          <cell r="D7141">
            <v>2</v>
          </cell>
          <cell r="H7141" t="str">
            <v>petroleum</v>
          </cell>
        </row>
        <row r="7142">
          <cell r="C7142" t="str">
            <v>IC</v>
          </cell>
          <cell r="D7142">
            <v>2</v>
          </cell>
          <cell r="H7142" t="str">
            <v>petroleum</v>
          </cell>
        </row>
        <row r="7143">
          <cell r="C7143" t="str">
            <v>IC</v>
          </cell>
          <cell r="D7143">
            <v>2</v>
          </cell>
          <cell r="H7143" t="str">
            <v>petroleum</v>
          </cell>
        </row>
        <row r="7144">
          <cell r="C7144" t="str">
            <v>HY</v>
          </cell>
          <cell r="D7144">
            <v>0.7</v>
          </cell>
          <cell r="H7144" t="str">
            <v>hydro</v>
          </cell>
        </row>
        <row r="7145">
          <cell r="C7145" t="str">
            <v>HY</v>
          </cell>
          <cell r="D7145">
            <v>0.7</v>
          </cell>
          <cell r="H7145" t="str">
            <v>hydro</v>
          </cell>
        </row>
        <row r="7146">
          <cell r="C7146" t="str">
            <v>HY</v>
          </cell>
          <cell r="D7146">
            <v>1</v>
          </cell>
          <cell r="H7146" t="str">
            <v>hydro</v>
          </cell>
        </row>
        <row r="7147">
          <cell r="C7147" t="str">
            <v>IC</v>
          </cell>
          <cell r="D7147">
            <v>2</v>
          </cell>
          <cell r="H7147" t="str">
            <v>petroleum</v>
          </cell>
        </row>
        <row r="7148">
          <cell r="C7148" t="str">
            <v>IC</v>
          </cell>
          <cell r="D7148">
            <v>2</v>
          </cell>
          <cell r="H7148" t="str">
            <v>petroleum</v>
          </cell>
        </row>
        <row r="7149">
          <cell r="C7149" t="str">
            <v>HY</v>
          </cell>
          <cell r="D7149">
            <v>5</v>
          </cell>
          <cell r="H7149" t="str">
            <v>hydro</v>
          </cell>
        </row>
        <row r="7150">
          <cell r="C7150" t="str">
            <v>HY</v>
          </cell>
          <cell r="D7150">
            <v>0.6</v>
          </cell>
          <cell r="H7150" t="str">
            <v>hydro</v>
          </cell>
        </row>
        <row r="7151">
          <cell r="C7151" t="str">
            <v>HY</v>
          </cell>
          <cell r="D7151">
            <v>0.6</v>
          </cell>
          <cell r="H7151" t="str">
            <v>hydro</v>
          </cell>
        </row>
        <row r="7152">
          <cell r="C7152" t="str">
            <v>HY</v>
          </cell>
          <cell r="D7152">
            <v>0.6</v>
          </cell>
          <cell r="H7152" t="str">
            <v>hydro</v>
          </cell>
        </row>
        <row r="7153">
          <cell r="C7153" t="str">
            <v>PS</v>
          </cell>
          <cell r="D7153">
            <v>140</v>
          </cell>
          <cell r="H7153" t="str">
            <v>other</v>
          </cell>
        </row>
        <row r="7154">
          <cell r="C7154" t="str">
            <v>PS</v>
          </cell>
          <cell r="D7154">
            <v>140</v>
          </cell>
          <cell r="H7154" t="str">
            <v>other</v>
          </cell>
        </row>
        <row r="7155">
          <cell r="C7155" t="str">
            <v>PS</v>
          </cell>
          <cell r="D7155">
            <v>140</v>
          </cell>
          <cell r="H7155" t="str">
            <v>other</v>
          </cell>
        </row>
        <row r="7156">
          <cell r="C7156" t="str">
            <v>HY</v>
          </cell>
          <cell r="D7156">
            <v>1.3</v>
          </cell>
          <cell r="H7156" t="str">
            <v>hydro</v>
          </cell>
        </row>
        <row r="7157">
          <cell r="C7157" t="str">
            <v>HY</v>
          </cell>
          <cell r="D7157">
            <v>1.3</v>
          </cell>
          <cell r="H7157" t="str">
            <v>hydro</v>
          </cell>
        </row>
        <row r="7158">
          <cell r="C7158" t="str">
            <v>HY</v>
          </cell>
          <cell r="D7158">
            <v>10.199999999999999</v>
          </cell>
          <cell r="H7158" t="str">
            <v>hydro</v>
          </cell>
        </row>
        <row r="7159">
          <cell r="C7159" t="str">
            <v>HY</v>
          </cell>
          <cell r="D7159">
            <v>10.4</v>
          </cell>
          <cell r="H7159" t="str">
            <v>hydro</v>
          </cell>
        </row>
        <row r="7160">
          <cell r="C7160" t="str">
            <v>HY</v>
          </cell>
          <cell r="D7160">
            <v>4.5</v>
          </cell>
          <cell r="H7160" t="str">
            <v>hydro</v>
          </cell>
        </row>
        <row r="7161">
          <cell r="C7161" t="str">
            <v>HY</v>
          </cell>
          <cell r="D7161">
            <v>2.1</v>
          </cell>
          <cell r="H7161" t="str">
            <v>hydro</v>
          </cell>
        </row>
        <row r="7162">
          <cell r="C7162" t="str">
            <v>HY</v>
          </cell>
          <cell r="D7162">
            <v>0.9</v>
          </cell>
          <cell r="H7162" t="str">
            <v>hydro</v>
          </cell>
        </row>
        <row r="7163">
          <cell r="C7163" t="str">
            <v>HY</v>
          </cell>
          <cell r="D7163">
            <v>0.9</v>
          </cell>
          <cell r="H7163" t="str">
            <v>hydro</v>
          </cell>
        </row>
        <row r="7164">
          <cell r="C7164" t="str">
            <v>HY</v>
          </cell>
          <cell r="D7164">
            <v>2.4</v>
          </cell>
          <cell r="H7164" t="str">
            <v>hydro</v>
          </cell>
        </row>
        <row r="7165">
          <cell r="C7165" t="str">
            <v>HY</v>
          </cell>
          <cell r="D7165">
            <v>2.4</v>
          </cell>
          <cell r="H7165" t="str">
            <v>hydro</v>
          </cell>
        </row>
        <row r="7166">
          <cell r="C7166" t="str">
            <v>HY</v>
          </cell>
          <cell r="D7166">
            <v>0.5</v>
          </cell>
          <cell r="H7166" t="str">
            <v>hydro</v>
          </cell>
        </row>
        <row r="7167">
          <cell r="C7167" t="str">
            <v>HY</v>
          </cell>
          <cell r="D7167">
            <v>0.5</v>
          </cell>
          <cell r="H7167" t="str">
            <v>hydro</v>
          </cell>
        </row>
        <row r="7168">
          <cell r="C7168" t="str">
            <v>HY</v>
          </cell>
          <cell r="D7168">
            <v>0.9</v>
          </cell>
          <cell r="H7168" t="str">
            <v>hydro</v>
          </cell>
        </row>
        <row r="7169">
          <cell r="C7169" t="str">
            <v>HY</v>
          </cell>
          <cell r="D7169">
            <v>0.5</v>
          </cell>
          <cell r="H7169" t="str">
            <v>hydro</v>
          </cell>
        </row>
        <row r="7170">
          <cell r="C7170" t="str">
            <v>HY</v>
          </cell>
          <cell r="D7170">
            <v>0.5</v>
          </cell>
          <cell r="H7170" t="str">
            <v>hydro</v>
          </cell>
        </row>
        <row r="7171">
          <cell r="C7171" t="str">
            <v>HY</v>
          </cell>
          <cell r="D7171">
            <v>0.6</v>
          </cell>
          <cell r="H7171" t="str">
            <v>hydro</v>
          </cell>
        </row>
        <row r="7172">
          <cell r="C7172" t="str">
            <v>HY</v>
          </cell>
          <cell r="D7172">
            <v>0.8</v>
          </cell>
          <cell r="H7172" t="str">
            <v>hydro</v>
          </cell>
        </row>
        <row r="7173">
          <cell r="C7173" t="str">
            <v>HY</v>
          </cell>
          <cell r="D7173">
            <v>1</v>
          </cell>
          <cell r="H7173" t="str">
            <v>hydro</v>
          </cell>
        </row>
        <row r="7174">
          <cell r="C7174" t="str">
            <v>HY</v>
          </cell>
          <cell r="D7174">
            <v>10</v>
          </cell>
          <cell r="H7174" t="str">
            <v>hydro</v>
          </cell>
        </row>
        <row r="7175">
          <cell r="C7175" t="str">
            <v>HY</v>
          </cell>
          <cell r="D7175">
            <v>10</v>
          </cell>
          <cell r="H7175" t="str">
            <v>hydro</v>
          </cell>
        </row>
        <row r="7176">
          <cell r="C7176" t="str">
            <v>IC</v>
          </cell>
          <cell r="D7176">
            <v>7</v>
          </cell>
          <cell r="H7176" t="str">
            <v>petroleum</v>
          </cell>
        </row>
        <row r="7177">
          <cell r="C7177" t="str">
            <v>IC</v>
          </cell>
          <cell r="D7177">
            <v>1.8</v>
          </cell>
          <cell r="H7177" t="str">
            <v>petroleum</v>
          </cell>
        </row>
        <row r="7178">
          <cell r="C7178" t="str">
            <v>IC</v>
          </cell>
          <cell r="D7178">
            <v>1.8</v>
          </cell>
          <cell r="H7178" t="str">
            <v>petroleum</v>
          </cell>
        </row>
        <row r="7179">
          <cell r="C7179" t="str">
            <v>IC</v>
          </cell>
          <cell r="D7179">
            <v>1.8</v>
          </cell>
          <cell r="H7179" t="str">
            <v>petroleum</v>
          </cell>
        </row>
        <row r="7180">
          <cell r="C7180" t="str">
            <v>IC</v>
          </cell>
          <cell r="D7180">
            <v>1.8</v>
          </cell>
          <cell r="H7180" t="str">
            <v>petroleum</v>
          </cell>
        </row>
        <row r="7181">
          <cell r="C7181" t="str">
            <v>IC</v>
          </cell>
          <cell r="D7181">
            <v>3.5</v>
          </cell>
          <cell r="H7181" t="str">
            <v>natural gas peaker</v>
          </cell>
        </row>
        <row r="7182">
          <cell r="C7182" t="str">
            <v>IC</v>
          </cell>
          <cell r="D7182">
            <v>3.7</v>
          </cell>
          <cell r="H7182" t="str">
            <v>natural gas peaker</v>
          </cell>
        </row>
        <row r="7183">
          <cell r="C7183" t="str">
            <v>IC</v>
          </cell>
          <cell r="D7183">
            <v>3.7</v>
          </cell>
          <cell r="H7183" t="str">
            <v>natural gas peaker</v>
          </cell>
        </row>
        <row r="7184">
          <cell r="C7184" t="str">
            <v>IC</v>
          </cell>
          <cell r="D7184">
            <v>0.5</v>
          </cell>
          <cell r="H7184" t="str">
            <v>petroleum</v>
          </cell>
        </row>
        <row r="7185">
          <cell r="C7185" t="str">
            <v>IC</v>
          </cell>
          <cell r="D7185">
            <v>0.5</v>
          </cell>
          <cell r="H7185" t="str">
            <v>petroleum</v>
          </cell>
        </row>
        <row r="7186">
          <cell r="C7186" t="str">
            <v>IC</v>
          </cell>
          <cell r="D7186">
            <v>0.6</v>
          </cell>
          <cell r="H7186" t="str">
            <v>petroleum</v>
          </cell>
        </row>
        <row r="7187">
          <cell r="C7187" t="str">
            <v>IC</v>
          </cell>
          <cell r="D7187">
            <v>0.6</v>
          </cell>
          <cell r="H7187" t="str">
            <v>petroleum</v>
          </cell>
        </row>
        <row r="7188">
          <cell r="C7188" t="str">
            <v>IC</v>
          </cell>
          <cell r="D7188">
            <v>8.6</v>
          </cell>
          <cell r="H7188" t="str">
            <v>natural gas peaker</v>
          </cell>
        </row>
        <row r="7189">
          <cell r="C7189" t="str">
            <v>IC</v>
          </cell>
          <cell r="D7189">
            <v>8.6</v>
          </cell>
          <cell r="H7189" t="str">
            <v>natural gas peaker</v>
          </cell>
        </row>
        <row r="7190">
          <cell r="C7190" t="str">
            <v>IC</v>
          </cell>
          <cell r="D7190">
            <v>8.6</v>
          </cell>
          <cell r="H7190" t="str">
            <v>natural gas peaker</v>
          </cell>
        </row>
        <row r="7191">
          <cell r="C7191" t="str">
            <v>IC</v>
          </cell>
          <cell r="D7191">
            <v>8.6</v>
          </cell>
          <cell r="H7191" t="str">
            <v>natural gas peaker</v>
          </cell>
        </row>
        <row r="7192">
          <cell r="C7192" t="str">
            <v>IC</v>
          </cell>
          <cell r="D7192">
            <v>8.6</v>
          </cell>
          <cell r="H7192" t="str">
            <v>natural gas peaker</v>
          </cell>
        </row>
        <row r="7193">
          <cell r="C7193" t="str">
            <v>IC</v>
          </cell>
          <cell r="D7193">
            <v>8.6</v>
          </cell>
          <cell r="H7193" t="str">
            <v>natural gas peaker</v>
          </cell>
        </row>
        <row r="7194">
          <cell r="C7194" t="str">
            <v>IC</v>
          </cell>
          <cell r="D7194">
            <v>8.6</v>
          </cell>
          <cell r="H7194" t="str">
            <v>natural gas peaker</v>
          </cell>
        </row>
        <row r="7195">
          <cell r="C7195" t="str">
            <v>CT</v>
          </cell>
          <cell r="D7195">
            <v>50</v>
          </cell>
          <cell r="H7195" t="str">
            <v>natural gas nonpeaker</v>
          </cell>
        </row>
        <row r="7196">
          <cell r="C7196" t="str">
            <v>CA</v>
          </cell>
          <cell r="D7196">
            <v>29</v>
          </cell>
          <cell r="H7196" t="str">
            <v>natural gas nonpeaker</v>
          </cell>
        </row>
        <row r="7197">
          <cell r="C7197" t="str">
            <v>CT</v>
          </cell>
          <cell r="D7197">
            <v>102.6</v>
          </cell>
          <cell r="H7197" t="str">
            <v>natural gas nonpeaker</v>
          </cell>
        </row>
        <row r="7198">
          <cell r="C7198" t="str">
            <v>CT</v>
          </cell>
          <cell r="D7198">
            <v>50</v>
          </cell>
          <cell r="H7198" t="str">
            <v>natural gas nonpeaker</v>
          </cell>
        </row>
        <row r="7199">
          <cell r="C7199" t="str">
            <v>GT</v>
          </cell>
          <cell r="D7199">
            <v>77.7</v>
          </cell>
          <cell r="H7199" t="str">
            <v>natural gas peaker</v>
          </cell>
        </row>
        <row r="7200">
          <cell r="C7200" t="str">
            <v>HY</v>
          </cell>
          <cell r="D7200">
            <v>4.8</v>
          </cell>
          <cell r="H7200" t="str">
            <v>hydro</v>
          </cell>
        </row>
        <row r="7201">
          <cell r="C7201" t="str">
            <v>HY</v>
          </cell>
          <cell r="D7201">
            <v>4.8</v>
          </cell>
          <cell r="H7201" t="str">
            <v>hydro</v>
          </cell>
        </row>
        <row r="7202">
          <cell r="C7202" t="str">
            <v>HY</v>
          </cell>
          <cell r="D7202">
            <v>4.8</v>
          </cell>
          <cell r="H7202" t="str">
            <v>hydro</v>
          </cell>
        </row>
        <row r="7203">
          <cell r="C7203" t="str">
            <v>HY</v>
          </cell>
          <cell r="D7203">
            <v>4.8</v>
          </cell>
          <cell r="H7203" t="str">
            <v>hydro</v>
          </cell>
        </row>
        <row r="7204">
          <cell r="C7204" t="str">
            <v>HY</v>
          </cell>
          <cell r="D7204">
            <v>4.8</v>
          </cell>
          <cell r="H7204" t="str">
            <v>hydro</v>
          </cell>
        </row>
        <row r="7205">
          <cell r="C7205" t="str">
            <v>HY</v>
          </cell>
          <cell r="D7205">
            <v>4.8</v>
          </cell>
          <cell r="H7205" t="str">
            <v>hydro</v>
          </cell>
        </row>
        <row r="7206">
          <cell r="C7206" t="str">
            <v>HY</v>
          </cell>
          <cell r="D7206">
            <v>8.9</v>
          </cell>
          <cell r="H7206" t="str">
            <v>hydro</v>
          </cell>
        </row>
        <row r="7207">
          <cell r="C7207" t="str">
            <v>HY</v>
          </cell>
          <cell r="D7207">
            <v>4.9000000000000004</v>
          </cell>
          <cell r="H7207" t="str">
            <v>hydro</v>
          </cell>
        </row>
        <row r="7208">
          <cell r="C7208" t="str">
            <v>HY</v>
          </cell>
          <cell r="D7208">
            <v>4.9000000000000004</v>
          </cell>
          <cell r="H7208" t="str">
            <v>hydro</v>
          </cell>
        </row>
        <row r="7209">
          <cell r="C7209" t="str">
            <v>GT</v>
          </cell>
          <cell r="D7209">
            <v>22</v>
          </cell>
          <cell r="H7209" t="str">
            <v>petroleum</v>
          </cell>
        </row>
        <row r="7210">
          <cell r="C7210" t="str">
            <v>GT</v>
          </cell>
          <cell r="D7210">
            <v>22</v>
          </cell>
          <cell r="H7210" t="str">
            <v>petroleum</v>
          </cell>
        </row>
        <row r="7211">
          <cell r="C7211" t="str">
            <v>IC</v>
          </cell>
          <cell r="D7211">
            <v>1.1000000000000001</v>
          </cell>
          <cell r="H7211" t="str">
            <v>petroleum</v>
          </cell>
        </row>
        <row r="7212">
          <cell r="C7212" t="str">
            <v>IC</v>
          </cell>
          <cell r="D7212">
            <v>1.8</v>
          </cell>
          <cell r="H7212" t="str">
            <v>petroleum</v>
          </cell>
        </row>
        <row r="7213">
          <cell r="C7213" t="str">
            <v>IC</v>
          </cell>
          <cell r="D7213">
            <v>2.5</v>
          </cell>
          <cell r="H7213" t="str">
            <v>petroleum</v>
          </cell>
        </row>
        <row r="7214">
          <cell r="C7214" t="str">
            <v>IC</v>
          </cell>
          <cell r="D7214">
            <v>2.1</v>
          </cell>
          <cell r="H7214" t="str">
            <v>petroleum</v>
          </cell>
        </row>
        <row r="7215">
          <cell r="C7215" t="str">
            <v>IC</v>
          </cell>
          <cell r="D7215">
            <v>2.1</v>
          </cell>
          <cell r="H7215" t="str">
            <v>petroleum</v>
          </cell>
        </row>
        <row r="7216">
          <cell r="C7216" t="str">
            <v>IC</v>
          </cell>
          <cell r="D7216">
            <v>2.1</v>
          </cell>
          <cell r="H7216" t="str">
            <v>petroleum</v>
          </cell>
        </row>
        <row r="7217">
          <cell r="C7217" t="str">
            <v>IC</v>
          </cell>
          <cell r="D7217">
            <v>2.1</v>
          </cell>
          <cell r="H7217" t="str">
            <v>petroleum</v>
          </cell>
        </row>
        <row r="7218">
          <cell r="C7218" t="str">
            <v>IC</v>
          </cell>
          <cell r="D7218">
            <v>2.1</v>
          </cell>
          <cell r="H7218" t="str">
            <v>petroleum</v>
          </cell>
        </row>
        <row r="7219">
          <cell r="C7219" t="str">
            <v>IC</v>
          </cell>
          <cell r="D7219">
            <v>2.1</v>
          </cell>
          <cell r="H7219" t="str">
            <v>petroleum</v>
          </cell>
        </row>
        <row r="7220">
          <cell r="C7220" t="str">
            <v>IC</v>
          </cell>
          <cell r="D7220">
            <v>1.2</v>
          </cell>
          <cell r="H7220" t="str">
            <v>petroleum</v>
          </cell>
        </row>
        <row r="7221">
          <cell r="C7221" t="str">
            <v>IC</v>
          </cell>
          <cell r="D7221">
            <v>1.6</v>
          </cell>
          <cell r="H7221" t="str">
            <v>petroleum</v>
          </cell>
        </row>
        <row r="7222">
          <cell r="C7222" t="str">
            <v>IC</v>
          </cell>
          <cell r="D7222">
            <v>1.8</v>
          </cell>
          <cell r="H7222" t="str">
            <v>petroleum</v>
          </cell>
        </row>
        <row r="7223">
          <cell r="C7223" t="str">
            <v>IC</v>
          </cell>
          <cell r="D7223">
            <v>2.5</v>
          </cell>
          <cell r="H7223" t="str">
            <v>petroleum</v>
          </cell>
        </row>
        <row r="7224">
          <cell r="C7224" t="str">
            <v>IC</v>
          </cell>
          <cell r="D7224">
            <v>3</v>
          </cell>
          <cell r="H7224" t="str">
            <v>petroleum</v>
          </cell>
        </row>
        <row r="7225">
          <cell r="C7225" t="str">
            <v>IC</v>
          </cell>
          <cell r="D7225">
            <v>3</v>
          </cell>
          <cell r="H7225" t="str">
            <v>petroleum</v>
          </cell>
        </row>
        <row r="7226">
          <cell r="C7226" t="str">
            <v>HY</v>
          </cell>
          <cell r="D7226">
            <v>1</v>
          </cell>
          <cell r="H7226" t="str">
            <v>hydro</v>
          </cell>
        </row>
        <row r="7227">
          <cell r="C7227" t="str">
            <v>HY</v>
          </cell>
          <cell r="D7227">
            <v>2.2000000000000002</v>
          </cell>
          <cell r="H7227" t="str">
            <v>hydro</v>
          </cell>
        </row>
        <row r="7228">
          <cell r="C7228" t="str">
            <v>HY</v>
          </cell>
          <cell r="D7228">
            <v>2.2000000000000002</v>
          </cell>
          <cell r="H7228" t="str">
            <v>hydro</v>
          </cell>
        </row>
        <row r="7229">
          <cell r="C7229" t="str">
            <v>HY</v>
          </cell>
          <cell r="D7229">
            <v>2.1</v>
          </cell>
          <cell r="H7229" t="str">
            <v>hydro</v>
          </cell>
        </row>
        <row r="7230">
          <cell r="C7230" t="str">
            <v>IC</v>
          </cell>
          <cell r="D7230">
            <v>2.5</v>
          </cell>
          <cell r="H7230" t="str">
            <v>petroleum</v>
          </cell>
        </row>
        <row r="7231">
          <cell r="C7231" t="str">
            <v>GT</v>
          </cell>
          <cell r="D7231">
            <v>19</v>
          </cell>
          <cell r="H7231" t="str">
            <v>petroleum</v>
          </cell>
        </row>
        <row r="7232">
          <cell r="C7232" t="str">
            <v>GT</v>
          </cell>
          <cell r="D7232">
            <v>17</v>
          </cell>
          <cell r="H7232" t="str">
            <v>petroleum</v>
          </cell>
        </row>
        <row r="7233">
          <cell r="C7233" t="str">
            <v>GT</v>
          </cell>
          <cell r="D7233">
            <v>17</v>
          </cell>
          <cell r="H7233" t="str">
            <v>petroleum</v>
          </cell>
        </row>
        <row r="7234">
          <cell r="C7234" t="str">
            <v>GT</v>
          </cell>
          <cell r="D7234">
            <v>44</v>
          </cell>
          <cell r="H7234" t="str">
            <v>petroleum</v>
          </cell>
        </row>
        <row r="7235">
          <cell r="C7235" t="str">
            <v>IC</v>
          </cell>
          <cell r="D7235">
            <v>7.5</v>
          </cell>
          <cell r="H7235" t="str">
            <v>petroleum</v>
          </cell>
        </row>
        <row r="7236">
          <cell r="C7236" t="str">
            <v>IC</v>
          </cell>
          <cell r="D7236">
            <v>7.5</v>
          </cell>
          <cell r="H7236" t="str">
            <v>petroleum</v>
          </cell>
        </row>
        <row r="7237">
          <cell r="C7237" t="str">
            <v>IC</v>
          </cell>
          <cell r="D7237">
            <v>2.5</v>
          </cell>
          <cell r="H7237" t="str">
            <v>petroleum</v>
          </cell>
        </row>
        <row r="7238">
          <cell r="C7238" t="str">
            <v>IC</v>
          </cell>
          <cell r="D7238">
            <v>2.5</v>
          </cell>
          <cell r="H7238" t="str">
            <v>petroleum</v>
          </cell>
        </row>
        <row r="7239">
          <cell r="C7239" t="str">
            <v>HY</v>
          </cell>
          <cell r="D7239">
            <v>40</v>
          </cell>
          <cell r="H7239" t="str">
            <v>hydro</v>
          </cell>
        </row>
        <row r="7240">
          <cell r="C7240" t="str">
            <v>HY</v>
          </cell>
          <cell r="D7240">
            <v>40</v>
          </cell>
          <cell r="H7240" t="str">
            <v>hydro</v>
          </cell>
        </row>
        <row r="7241">
          <cell r="C7241" t="str">
            <v>HY</v>
          </cell>
          <cell r="D7241">
            <v>38.6</v>
          </cell>
          <cell r="H7241" t="str">
            <v>hydro</v>
          </cell>
        </row>
        <row r="7242">
          <cell r="C7242" t="str">
            <v>HY</v>
          </cell>
          <cell r="D7242">
            <v>1</v>
          </cell>
          <cell r="H7242" t="str">
            <v>hydro</v>
          </cell>
        </row>
        <row r="7243">
          <cell r="C7243" t="str">
            <v>HY</v>
          </cell>
          <cell r="D7243">
            <v>1</v>
          </cell>
          <cell r="H7243" t="str">
            <v>hydro</v>
          </cell>
        </row>
        <row r="7244">
          <cell r="C7244" t="str">
            <v>HY</v>
          </cell>
          <cell r="D7244">
            <v>2.9</v>
          </cell>
          <cell r="H7244" t="str">
            <v>hydro</v>
          </cell>
        </row>
        <row r="7245">
          <cell r="C7245" t="str">
            <v>HY</v>
          </cell>
          <cell r="D7245">
            <v>4.8</v>
          </cell>
          <cell r="H7245" t="str">
            <v>hydro</v>
          </cell>
        </row>
        <row r="7246">
          <cell r="C7246" t="str">
            <v>GT</v>
          </cell>
          <cell r="D7246">
            <v>50</v>
          </cell>
          <cell r="H7246" t="str">
            <v>petroleum</v>
          </cell>
        </row>
        <row r="7247">
          <cell r="C7247" t="str">
            <v>GT</v>
          </cell>
          <cell r="D7247">
            <v>50</v>
          </cell>
          <cell r="H7247" t="str">
            <v>petroleum</v>
          </cell>
        </row>
        <row r="7248">
          <cell r="C7248" t="str">
            <v>HY</v>
          </cell>
          <cell r="D7248">
            <v>50</v>
          </cell>
          <cell r="H7248" t="str">
            <v>hydro</v>
          </cell>
        </row>
        <row r="7249">
          <cell r="C7249" t="str">
            <v>HY</v>
          </cell>
          <cell r="D7249">
            <v>20</v>
          </cell>
          <cell r="H7249" t="str">
            <v>hydro</v>
          </cell>
        </row>
        <row r="7250">
          <cell r="C7250" t="str">
            <v>HY</v>
          </cell>
          <cell r="D7250">
            <v>50</v>
          </cell>
          <cell r="H7250" t="str">
            <v>hydro</v>
          </cell>
        </row>
        <row r="7251">
          <cell r="C7251" t="str">
            <v>HY</v>
          </cell>
          <cell r="D7251">
            <v>49</v>
          </cell>
          <cell r="H7251" t="str">
            <v>hydro</v>
          </cell>
        </row>
        <row r="7252">
          <cell r="C7252" t="str">
            <v>HY</v>
          </cell>
          <cell r="D7252">
            <v>49</v>
          </cell>
          <cell r="H7252" t="str">
            <v>hydro</v>
          </cell>
        </row>
        <row r="7253">
          <cell r="C7253" t="str">
            <v>HY</v>
          </cell>
          <cell r="D7253">
            <v>34</v>
          </cell>
          <cell r="H7253" t="str">
            <v>hydro</v>
          </cell>
        </row>
        <row r="7254">
          <cell r="C7254" t="str">
            <v>HY</v>
          </cell>
          <cell r="D7254">
            <v>34</v>
          </cell>
          <cell r="H7254" t="str">
            <v>hydro</v>
          </cell>
        </row>
        <row r="7255">
          <cell r="C7255" t="str">
            <v>HY</v>
          </cell>
          <cell r="D7255">
            <v>34</v>
          </cell>
          <cell r="H7255" t="str">
            <v>hydro</v>
          </cell>
        </row>
        <row r="7256">
          <cell r="C7256" t="str">
            <v>GT</v>
          </cell>
          <cell r="D7256">
            <v>74.099999999999994</v>
          </cell>
          <cell r="H7256" t="str">
            <v>natural gas peaker</v>
          </cell>
        </row>
        <row r="7257">
          <cell r="C7257" t="str">
            <v>HY</v>
          </cell>
          <cell r="D7257">
            <v>13</v>
          </cell>
          <cell r="H7257" t="str">
            <v>hydro</v>
          </cell>
        </row>
        <row r="7258">
          <cell r="C7258" t="str">
            <v>HY</v>
          </cell>
          <cell r="D7258">
            <v>13</v>
          </cell>
          <cell r="H7258" t="str">
            <v>hydro</v>
          </cell>
        </row>
        <row r="7259">
          <cell r="C7259" t="str">
            <v>HY</v>
          </cell>
          <cell r="D7259">
            <v>13</v>
          </cell>
          <cell r="H7259" t="str">
            <v>hydro</v>
          </cell>
        </row>
        <row r="7260">
          <cell r="C7260" t="str">
            <v>HY</v>
          </cell>
          <cell r="D7260">
            <v>13</v>
          </cell>
          <cell r="H7260" t="str">
            <v>hydro</v>
          </cell>
        </row>
        <row r="7261">
          <cell r="C7261" t="str">
            <v>IC</v>
          </cell>
          <cell r="D7261">
            <v>0.8</v>
          </cell>
          <cell r="H7261" t="str">
            <v>petroleum</v>
          </cell>
        </row>
        <row r="7262">
          <cell r="C7262" t="str">
            <v>IC</v>
          </cell>
          <cell r="D7262">
            <v>0.6</v>
          </cell>
          <cell r="H7262" t="str">
            <v>petroleum</v>
          </cell>
        </row>
        <row r="7263">
          <cell r="C7263" t="str">
            <v>IC</v>
          </cell>
          <cell r="D7263">
            <v>1.2</v>
          </cell>
          <cell r="H7263" t="str">
            <v>petroleum</v>
          </cell>
        </row>
        <row r="7264">
          <cell r="C7264" t="str">
            <v>IC</v>
          </cell>
          <cell r="D7264">
            <v>1.2</v>
          </cell>
          <cell r="H7264" t="str">
            <v>petroleum</v>
          </cell>
        </row>
        <row r="7265">
          <cell r="C7265" t="str">
            <v>ST</v>
          </cell>
          <cell r="D7265">
            <v>231</v>
          </cell>
          <cell r="H7265" t="str">
            <v>hard coal</v>
          </cell>
        </row>
        <row r="7266">
          <cell r="C7266" t="str">
            <v>ST</v>
          </cell>
          <cell r="D7266">
            <v>223</v>
          </cell>
          <cell r="H7266" t="str">
            <v>hard coal</v>
          </cell>
        </row>
        <row r="7267">
          <cell r="C7267" t="str">
            <v>ST</v>
          </cell>
          <cell r="D7267">
            <v>825.8</v>
          </cell>
          <cell r="H7267" t="str">
            <v>hard coal</v>
          </cell>
        </row>
        <row r="7268">
          <cell r="C7268" t="str">
            <v>ST</v>
          </cell>
          <cell r="D7268">
            <v>842</v>
          </cell>
          <cell r="H7268" t="str">
            <v>hard coal</v>
          </cell>
        </row>
        <row r="7269">
          <cell r="C7269" t="str">
            <v>HY</v>
          </cell>
          <cell r="D7269">
            <v>1</v>
          </cell>
          <cell r="H7269" t="str">
            <v>hydro</v>
          </cell>
        </row>
        <row r="7270">
          <cell r="C7270" t="str">
            <v>HY</v>
          </cell>
          <cell r="D7270">
            <v>4.9000000000000004</v>
          </cell>
          <cell r="H7270" t="str">
            <v>hydro</v>
          </cell>
        </row>
        <row r="7271">
          <cell r="C7271" t="str">
            <v>HY</v>
          </cell>
          <cell r="D7271">
            <v>7.1</v>
          </cell>
          <cell r="H7271" t="str">
            <v>hydro</v>
          </cell>
        </row>
        <row r="7272">
          <cell r="C7272" t="str">
            <v>HY</v>
          </cell>
          <cell r="D7272" t="str">
            <v xml:space="preserve"> </v>
          </cell>
          <cell r="H7272" t="str">
            <v>hydro</v>
          </cell>
        </row>
        <row r="7273">
          <cell r="C7273" t="str">
            <v>HY</v>
          </cell>
          <cell r="D7273">
            <v>9.9</v>
          </cell>
          <cell r="H7273" t="str">
            <v>hydro</v>
          </cell>
        </row>
        <row r="7274">
          <cell r="C7274" t="str">
            <v>HY</v>
          </cell>
          <cell r="D7274">
            <v>5.0999999999999996</v>
          </cell>
          <cell r="H7274" t="str">
            <v>hydro</v>
          </cell>
        </row>
        <row r="7275">
          <cell r="C7275" t="str">
            <v>GT</v>
          </cell>
          <cell r="D7275">
            <v>53</v>
          </cell>
          <cell r="H7275" t="str">
            <v>petroleum</v>
          </cell>
        </row>
        <row r="7276">
          <cell r="C7276" t="str">
            <v>GT</v>
          </cell>
          <cell r="D7276">
            <v>53</v>
          </cell>
          <cell r="H7276" t="str">
            <v>petroleum</v>
          </cell>
        </row>
        <row r="7277">
          <cell r="C7277" t="str">
            <v>GT</v>
          </cell>
          <cell r="D7277">
            <v>53</v>
          </cell>
          <cell r="H7277" t="str">
            <v>petroleum</v>
          </cell>
        </row>
        <row r="7278">
          <cell r="C7278" t="str">
            <v>ST</v>
          </cell>
          <cell r="D7278">
            <v>748.8</v>
          </cell>
          <cell r="H7278" t="str">
            <v>hard coal</v>
          </cell>
        </row>
        <row r="7279">
          <cell r="C7279" t="str">
            <v>HY</v>
          </cell>
          <cell r="D7279">
            <v>0.5</v>
          </cell>
          <cell r="H7279" t="str">
            <v>hydro</v>
          </cell>
        </row>
        <row r="7280">
          <cell r="C7280" t="str">
            <v>HY</v>
          </cell>
          <cell r="D7280">
            <v>0.1</v>
          </cell>
          <cell r="H7280" t="str">
            <v>hydro</v>
          </cell>
        </row>
        <row r="7281">
          <cell r="C7281" t="str">
            <v>IC</v>
          </cell>
          <cell r="D7281">
            <v>0.4</v>
          </cell>
          <cell r="H7281" t="str">
            <v>petroleum</v>
          </cell>
        </row>
        <row r="7282">
          <cell r="C7282" t="str">
            <v>IC</v>
          </cell>
          <cell r="D7282">
            <v>0.4</v>
          </cell>
          <cell r="H7282" t="str">
            <v>petroleum</v>
          </cell>
        </row>
        <row r="7283">
          <cell r="C7283" t="str">
            <v>IC</v>
          </cell>
          <cell r="D7283">
            <v>0.2</v>
          </cell>
          <cell r="H7283" t="str">
            <v>petroleum</v>
          </cell>
        </row>
        <row r="7284">
          <cell r="C7284" t="str">
            <v>IC</v>
          </cell>
          <cell r="D7284">
            <v>1.1000000000000001</v>
          </cell>
          <cell r="H7284" t="str">
            <v>petroleum</v>
          </cell>
        </row>
        <row r="7285">
          <cell r="C7285" t="str">
            <v>IC</v>
          </cell>
          <cell r="D7285">
            <v>1.6</v>
          </cell>
          <cell r="H7285" t="str">
            <v>petroleum</v>
          </cell>
        </row>
        <row r="7286">
          <cell r="C7286" t="str">
            <v>IC</v>
          </cell>
          <cell r="D7286">
            <v>1.4</v>
          </cell>
          <cell r="H7286" t="str">
            <v>petroleum</v>
          </cell>
        </row>
        <row r="7287">
          <cell r="C7287" t="str">
            <v>IC</v>
          </cell>
          <cell r="D7287">
            <v>2.8</v>
          </cell>
          <cell r="H7287" t="str">
            <v>petroleum</v>
          </cell>
        </row>
        <row r="7288">
          <cell r="C7288" t="str">
            <v>IC</v>
          </cell>
          <cell r="D7288">
            <v>1</v>
          </cell>
          <cell r="H7288" t="str">
            <v>petroleum</v>
          </cell>
        </row>
        <row r="7289">
          <cell r="C7289" t="str">
            <v>IC</v>
          </cell>
          <cell r="D7289">
            <v>1.5</v>
          </cell>
          <cell r="H7289" t="str">
            <v>petroleum</v>
          </cell>
        </row>
        <row r="7290">
          <cell r="C7290" t="str">
            <v>GT</v>
          </cell>
          <cell r="D7290">
            <v>0.1</v>
          </cell>
          <cell r="H7290" t="str">
            <v>other</v>
          </cell>
        </row>
        <row r="7291">
          <cell r="C7291" t="str">
            <v>GT</v>
          </cell>
          <cell r="D7291">
            <v>0.1</v>
          </cell>
          <cell r="H7291" t="str">
            <v>other</v>
          </cell>
        </row>
        <row r="7292">
          <cell r="C7292" t="str">
            <v>GT</v>
          </cell>
          <cell r="D7292">
            <v>0.1</v>
          </cell>
          <cell r="H7292" t="str">
            <v>other</v>
          </cell>
        </row>
        <row r="7293">
          <cell r="C7293" t="str">
            <v>GT</v>
          </cell>
          <cell r="D7293">
            <v>0.1</v>
          </cell>
          <cell r="H7293" t="str">
            <v>other</v>
          </cell>
        </row>
        <row r="7294">
          <cell r="C7294" t="str">
            <v>GT</v>
          </cell>
          <cell r="D7294">
            <v>0.1</v>
          </cell>
          <cell r="H7294" t="str">
            <v>other</v>
          </cell>
        </row>
        <row r="7295">
          <cell r="C7295" t="str">
            <v>GT</v>
          </cell>
          <cell r="D7295">
            <v>0.1</v>
          </cell>
          <cell r="H7295" t="str">
            <v>other</v>
          </cell>
        </row>
        <row r="7296">
          <cell r="C7296" t="str">
            <v>GT</v>
          </cell>
          <cell r="D7296">
            <v>0.1</v>
          </cell>
          <cell r="H7296" t="str">
            <v>other</v>
          </cell>
        </row>
        <row r="7297">
          <cell r="C7297" t="str">
            <v>GT</v>
          </cell>
          <cell r="D7297">
            <v>0.1</v>
          </cell>
          <cell r="H7297" t="str">
            <v>other</v>
          </cell>
        </row>
        <row r="7298">
          <cell r="C7298" t="str">
            <v>GT</v>
          </cell>
          <cell r="D7298">
            <v>0.1</v>
          </cell>
          <cell r="H7298" t="str">
            <v>other</v>
          </cell>
        </row>
        <row r="7299">
          <cell r="C7299" t="str">
            <v>GT</v>
          </cell>
          <cell r="D7299">
            <v>0.1</v>
          </cell>
          <cell r="H7299" t="str">
            <v>other</v>
          </cell>
        </row>
        <row r="7300">
          <cell r="C7300" t="str">
            <v>GT</v>
          </cell>
          <cell r="D7300">
            <v>0.1</v>
          </cell>
          <cell r="H7300" t="str">
            <v>other</v>
          </cell>
        </row>
        <row r="7301">
          <cell r="C7301" t="str">
            <v>GT</v>
          </cell>
          <cell r="D7301">
            <v>0.1</v>
          </cell>
          <cell r="H7301" t="str">
            <v>other</v>
          </cell>
        </row>
        <row r="7302">
          <cell r="C7302" t="str">
            <v>GT</v>
          </cell>
          <cell r="D7302">
            <v>0.1</v>
          </cell>
          <cell r="H7302" t="str">
            <v>other</v>
          </cell>
        </row>
        <row r="7303">
          <cell r="C7303" t="str">
            <v>GT</v>
          </cell>
          <cell r="D7303">
            <v>0.1</v>
          </cell>
          <cell r="H7303" t="str">
            <v>other</v>
          </cell>
        </row>
        <row r="7304">
          <cell r="C7304" t="str">
            <v>GT</v>
          </cell>
          <cell r="D7304">
            <v>0.1</v>
          </cell>
          <cell r="H7304" t="str">
            <v>other</v>
          </cell>
        </row>
        <row r="7305">
          <cell r="C7305" t="str">
            <v>GT</v>
          </cell>
          <cell r="D7305">
            <v>0.1</v>
          </cell>
          <cell r="H7305" t="str">
            <v>other</v>
          </cell>
        </row>
        <row r="7306">
          <cell r="C7306" t="str">
            <v>GT</v>
          </cell>
          <cell r="D7306">
            <v>0.1</v>
          </cell>
          <cell r="H7306" t="str">
            <v>other</v>
          </cell>
        </row>
        <row r="7307">
          <cell r="C7307" t="str">
            <v>GT</v>
          </cell>
          <cell r="D7307">
            <v>0.1</v>
          </cell>
          <cell r="H7307" t="str">
            <v>other</v>
          </cell>
        </row>
        <row r="7308">
          <cell r="C7308" t="str">
            <v>GT</v>
          </cell>
          <cell r="D7308">
            <v>0.1</v>
          </cell>
          <cell r="H7308" t="str">
            <v>other</v>
          </cell>
        </row>
        <row r="7309">
          <cell r="C7309" t="str">
            <v>GT</v>
          </cell>
          <cell r="D7309">
            <v>0.1</v>
          </cell>
          <cell r="H7309" t="str">
            <v>other</v>
          </cell>
        </row>
        <row r="7310">
          <cell r="C7310" t="str">
            <v>GT</v>
          </cell>
          <cell r="D7310">
            <v>0.1</v>
          </cell>
          <cell r="H7310" t="str">
            <v>other</v>
          </cell>
        </row>
        <row r="7311">
          <cell r="C7311" t="str">
            <v>GT</v>
          </cell>
          <cell r="D7311">
            <v>0.1</v>
          </cell>
          <cell r="H7311" t="str">
            <v>other</v>
          </cell>
        </row>
        <row r="7312">
          <cell r="C7312" t="str">
            <v>GT</v>
          </cell>
          <cell r="D7312">
            <v>0.1</v>
          </cell>
          <cell r="H7312" t="str">
            <v>other</v>
          </cell>
        </row>
        <row r="7313">
          <cell r="C7313" t="str">
            <v>BA</v>
          </cell>
          <cell r="D7313">
            <v>1</v>
          </cell>
          <cell r="H7313" t="str">
            <v>other</v>
          </cell>
        </row>
        <row r="7314">
          <cell r="C7314" t="str">
            <v>ST</v>
          </cell>
          <cell r="D7314">
            <v>150.6</v>
          </cell>
          <cell r="H7314" t="str">
            <v>hard coal</v>
          </cell>
        </row>
        <row r="7315">
          <cell r="C7315" t="str">
            <v>ST</v>
          </cell>
          <cell r="D7315">
            <v>113</v>
          </cell>
          <cell r="H7315" t="str">
            <v>hard coal</v>
          </cell>
        </row>
        <row r="7316">
          <cell r="C7316" t="str">
            <v>ST</v>
          </cell>
          <cell r="D7316">
            <v>149.5</v>
          </cell>
          <cell r="H7316" t="str">
            <v>hard coal</v>
          </cell>
        </row>
        <row r="7317">
          <cell r="C7317" t="str">
            <v>ST</v>
          </cell>
          <cell r="D7317">
            <v>295.8</v>
          </cell>
          <cell r="H7317" t="str">
            <v>hard coal</v>
          </cell>
        </row>
        <row r="7318">
          <cell r="C7318" t="str">
            <v>GT</v>
          </cell>
          <cell r="D7318">
            <v>20.7</v>
          </cell>
          <cell r="H7318" t="str">
            <v>petroleum</v>
          </cell>
        </row>
        <row r="7319">
          <cell r="C7319" t="str">
            <v>ST</v>
          </cell>
          <cell r="D7319">
            <v>280</v>
          </cell>
          <cell r="H7319" t="str">
            <v>hard coal</v>
          </cell>
        </row>
        <row r="7320">
          <cell r="C7320" t="str">
            <v>GT</v>
          </cell>
          <cell r="D7320">
            <v>65</v>
          </cell>
          <cell r="H7320" t="str">
            <v>natural gas peaker</v>
          </cell>
        </row>
        <row r="7321">
          <cell r="C7321" t="str">
            <v>GT</v>
          </cell>
          <cell r="D7321">
            <v>65</v>
          </cell>
          <cell r="H7321" t="str">
            <v>natural gas peaker</v>
          </cell>
        </row>
        <row r="7322">
          <cell r="C7322" t="str">
            <v>GT</v>
          </cell>
          <cell r="D7322">
            <v>65</v>
          </cell>
          <cell r="H7322" t="str">
            <v>natural gas peaker</v>
          </cell>
        </row>
        <row r="7323">
          <cell r="C7323" t="str">
            <v>GT</v>
          </cell>
          <cell r="D7323">
            <v>65</v>
          </cell>
          <cell r="H7323" t="str">
            <v>natural gas peaker</v>
          </cell>
        </row>
        <row r="7324">
          <cell r="C7324" t="str">
            <v>GT</v>
          </cell>
          <cell r="D7324">
            <v>128</v>
          </cell>
          <cell r="H7324" t="str">
            <v>natural gas peaker</v>
          </cell>
        </row>
        <row r="7325">
          <cell r="C7325" t="str">
            <v>ST</v>
          </cell>
          <cell r="D7325">
            <v>240</v>
          </cell>
          <cell r="H7325" t="str">
            <v>hard coal</v>
          </cell>
        </row>
        <row r="7326">
          <cell r="C7326" t="str">
            <v>ST</v>
          </cell>
          <cell r="D7326">
            <v>440</v>
          </cell>
          <cell r="H7326" t="str">
            <v>hard coal</v>
          </cell>
        </row>
        <row r="7327">
          <cell r="C7327" t="str">
            <v>GT</v>
          </cell>
          <cell r="D7327">
            <v>22.9</v>
          </cell>
          <cell r="H7327" t="str">
            <v>petroleum</v>
          </cell>
        </row>
        <row r="7328">
          <cell r="C7328" t="str">
            <v>HY</v>
          </cell>
          <cell r="D7328">
            <v>28</v>
          </cell>
          <cell r="H7328" t="str">
            <v>hydro</v>
          </cell>
        </row>
        <row r="7329">
          <cell r="C7329" t="str">
            <v>HY</v>
          </cell>
          <cell r="D7329">
            <v>28</v>
          </cell>
          <cell r="H7329" t="str">
            <v>hydro</v>
          </cell>
        </row>
        <row r="7330">
          <cell r="C7330" t="str">
            <v>HY</v>
          </cell>
          <cell r="D7330">
            <v>28</v>
          </cell>
          <cell r="H7330" t="str">
            <v>hydro</v>
          </cell>
        </row>
        <row r="7331">
          <cell r="C7331" t="str">
            <v>IC</v>
          </cell>
          <cell r="D7331">
            <v>4</v>
          </cell>
          <cell r="H7331" t="str">
            <v>natural gas peaker</v>
          </cell>
        </row>
        <row r="7332">
          <cell r="C7332" t="str">
            <v>IC</v>
          </cell>
          <cell r="D7332">
            <v>4</v>
          </cell>
          <cell r="H7332" t="str">
            <v>natural gas peaker</v>
          </cell>
        </row>
        <row r="7333">
          <cell r="C7333" t="str">
            <v>IC</v>
          </cell>
          <cell r="D7333">
            <v>6</v>
          </cell>
          <cell r="H7333" t="str">
            <v>natural gas peaker</v>
          </cell>
        </row>
        <row r="7334">
          <cell r="C7334" t="str">
            <v>IC</v>
          </cell>
          <cell r="D7334">
            <v>6.1</v>
          </cell>
          <cell r="H7334" t="str">
            <v>natural gas peaker</v>
          </cell>
        </row>
        <row r="7335">
          <cell r="C7335" t="str">
            <v>IC</v>
          </cell>
          <cell r="D7335">
            <v>2</v>
          </cell>
          <cell r="H7335" t="str">
            <v>petroleum</v>
          </cell>
        </row>
        <row r="7336">
          <cell r="C7336" t="str">
            <v>IC</v>
          </cell>
          <cell r="D7336">
            <v>2.8</v>
          </cell>
          <cell r="H7336" t="str">
            <v>petroleum</v>
          </cell>
        </row>
        <row r="7337">
          <cell r="C7337" t="str">
            <v>IC</v>
          </cell>
          <cell r="D7337">
            <v>2.8</v>
          </cell>
          <cell r="H7337" t="str">
            <v>petroleum</v>
          </cell>
        </row>
        <row r="7338">
          <cell r="C7338" t="str">
            <v>IC</v>
          </cell>
          <cell r="D7338">
            <v>4</v>
          </cell>
          <cell r="H7338" t="str">
            <v>petroleum</v>
          </cell>
        </row>
        <row r="7339">
          <cell r="C7339" t="str">
            <v>IC</v>
          </cell>
          <cell r="D7339">
            <v>13.5</v>
          </cell>
          <cell r="H7339" t="str">
            <v>petroleum</v>
          </cell>
        </row>
        <row r="7340">
          <cell r="C7340" t="str">
            <v>ST</v>
          </cell>
          <cell r="D7340">
            <v>417</v>
          </cell>
          <cell r="H7340" t="str">
            <v>hard coal</v>
          </cell>
        </row>
        <row r="7341">
          <cell r="C7341" t="str">
            <v>GT</v>
          </cell>
          <cell r="D7341">
            <v>60.2</v>
          </cell>
          <cell r="H7341" t="str">
            <v>petroleum</v>
          </cell>
        </row>
        <row r="7342">
          <cell r="C7342" t="str">
            <v>IC</v>
          </cell>
          <cell r="D7342">
            <v>4</v>
          </cell>
          <cell r="H7342" t="str">
            <v>petroleum</v>
          </cell>
        </row>
        <row r="7343">
          <cell r="C7343" t="str">
            <v>IC</v>
          </cell>
          <cell r="D7343">
            <v>2.2000000000000002</v>
          </cell>
          <cell r="H7343" t="str">
            <v>petroleum</v>
          </cell>
        </row>
        <row r="7344">
          <cell r="C7344" t="str">
            <v>IC</v>
          </cell>
          <cell r="D7344">
            <v>2.8</v>
          </cell>
          <cell r="H7344" t="str">
            <v>petroleum</v>
          </cell>
        </row>
        <row r="7345">
          <cell r="C7345" t="str">
            <v>IC</v>
          </cell>
          <cell r="D7345">
            <v>0.5</v>
          </cell>
          <cell r="H7345" t="str">
            <v>natural gas peaker</v>
          </cell>
        </row>
        <row r="7346">
          <cell r="C7346" t="str">
            <v>IC</v>
          </cell>
          <cell r="D7346">
            <v>2</v>
          </cell>
          <cell r="H7346" t="str">
            <v>petroleum</v>
          </cell>
        </row>
        <row r="7347">
          <cell r="C7347" t="str">
            <v>IC</v>
          </cell>
          <cell r="D7347">
            <v>1.8</v>
          </cell>
          <cell r="H7347" t="str">
            <v>petroleum</v>
          </cell>
        </row>
        <row r="7348">
          <cell r="C7348" t="str">
            <v>IC</v>
          </cell>
          <cell r="D7348">
            <v>4</v>
          </cell>
          <cell r="H7348" t="str">
            <v>petroleum</v>
          </cell>
        </row>
        <row r="7349">
          <cell r="C7349" t="str">
            <v>HY</v>
          </cell>
          <cell r="D7349">
            <v>8</v>
          </cell>
          <cell r="H7349" t="str">
            <v>hydro</v>
          </cell>
        </row>
        <row r="7350">
          <cell r="C7350" t="str">
            <v>ST</v>
          </cell>
          <cell r="D7350">
            <v>25.8</v>
          </cell>
          <cell r="H7350" t="str">
            <v>natural gas peaker</v>
          </cell>
        </row>
        <row r="7351">
          <cell r="C7351" t="str">
            <v>IC</v>
          </cell>
          <cell r="D7351">
            <v>1.6</v>
          </cell>
          <cell r="H7351" t="str">
            <v>petroleum</v>
          </cell>
        </row>
        <row r="7352">
          <cell r="C7352" t="str">
            <v>HY</v>
          </cell>
          <cell r="D7352">
            <v>1.3</v>
          </cell>
          <cell r="H7352" t="str">
            <v>hydro</v>
          </cell>
        </row>
        <row r="7353">
          <cell r="C7353" t="str">
            <v>IC</v>
          </cell>
          <cell r="D7353">
            <v>6.9</v>
          </cell>
          <cell r="H7353" t="str">
            <v>natural gas peaker</v>
          </cell>
        </row>
        <row r="7354">
          <cell r="C7354" t="str">
            <v>IC</v>
          </cell>
          <cell r="D7354">
            <v>6.9</v>
          </cell>
          <cell r="H7354" t="str">
            <v>natural gas peaker</v>
          </cell>
        </row>
        <row r="7355">
          <cell r="C7355" t="str">
            <v>IC</v>
          </cell>
          <cell r="D7355">
            <v>5.5</v>
          </cell>
          <cell r="H7355" t="str">
            <v>petroleum</v>
          </cell>
        </row>
        <row r="7356">
          <cell r="C7356" t="str">
            <v>IC</v>
          </cell>
          <cell r="D7356">
            <v>5.9</v>
          </cell>
          <cell r="H7356" t="str">
            <v>petroleum</v>
          </cell>
        </row>
        <row r="7357">
          <cell r="C7357" t="str">
            <v>IC</v>
          </cell>
          <cell r="D7357">
            <v>6.9</v>
          </cell>
          <cell r="H7357" t="str">
            <v>natural gas peaker</v>
          </cell>
        </row>
        <row r="7358">
          <cell r="C7358" t="str">
            <v>IC</v>
          </cell>
          <cell r="D7358">
            <v>5.9</v>
          </cell>
          <cell r="H7358" t="str">
            <v>natural gas peaker</v>
          </cell>
        </row>
        <row r="7359">
          <cell r="C7359" t="str">
            <v>IC</v>
          </cell>
          <cell r="D7359">
            <v>6</v>
          </cell>
          <cell r="H7359" t="str">
            <v>natural gas peaker</v>
          </cell>
        </row>
        <row r="7360">
          <cell r="C7360" t="str">
            <v>IC</v>
          </cell>
          <cell r="D7360">
            <v>5.9</v>
          </cell>
          <cell r="H7360" t="str">
            <v>natural gas peaker</v>
          </cell>
        </row>
        <row r="7361">
          <cell r="C7361" t="str">
            <v>IC</v>
          </cell>
          <cell r="D7361">
            <v>4</v>
          </cell>
          <cell r="H7361" t="str">
            <v>natural gas peaker</v>
          </cell>
        </row>
        <row r="7362">
          <cell r="C7362" t="str">
            <v>IC</v>
          </cell>
          <cell r="D7362">
            <v>2.5</v>
          </cell>
          <cell r="H7362" t="str">
            <v>natural gas peaker</v>
          </cell>
        </row>
        <row r="7363">
          <cell r="C7363" t="str">
            <v>IC</v>
          </cell>
          <cell r="D7363">
            <v>2.5</v>
          </cell>
          <cell r="H7363" t="str">
            <v>natural gas peaker</v>
          </cell>
        </row>
        <row r="7364">
          <cell r="C7364" t="str">
            <v>ST</v>
          </cell>
          <cell r="D7364">
            <v>152</v>
          </cell>
          <cell r="H7364" t="str">
            <v>lignite</v>
          </cell>
        </row>
        <row r="7365">
          <cell r="C7365" t="str">
            <v>ST</v>
          </cell>
          <cell r="D7365">
            <v>153</v>
          </cell>
          <cell r="H7365" t="str">
            <v>lignite</v>
          </cell>
        </row>
        <row r="7366">
          <cell r="C7366" t="str">
            <v>GT</v>
          </cell>
          <cell r="D7366">
            <v>12</v>
          </cell>
          <cell r="H7366" t="str">
            <v>petroleum</v>
          </cell>
        </row>
        <row r="7367">
          <cell r="C7367" t="str">
            <v>GT</v>
          </cell>
          <cell r="D7367">
            <v>16</v>
          </cell>
          <cell r="H7367" t="str">
            <v>petroleum</v>
          </cell>
        </row>
        <row r="7368">
          <cell r="C7368" t="str">
            <v>GT</v>
          </cell>
          <cell r="D7368">
            <v>85</v>
          </cell>
          <cell r="H7368" t="str">
            <v>natural gas peaker</v>
          </cell>
        </row>
        <row r="7369">
          <cell r="C7369" t="str">
            <v>GT</v>
          </cell>
          <cell r="D7369">
            <v>85</v>
          </cell>
          <cell r="H7369" t="str">
            <v>natural gas peaker</v>
          </cell>
        </row>
        <row r="7370">
          <cell r="C7370" t="str">
            <v>GT</v>
          </cell>
          <cell r="D7370">
            <v>85</v>
          </cell>
          <cell r="H7370" t="str">
            <v>natural gas peaker</v>
          </cell>
        </row>
        <row r="7371">
          <cell r="C7371" t="str">
            <v>GT</v>
          </cell>
          <cell r="D7371">
            <v>85</v>
          </cell>
          <cell r="H7371" t="str">
            <v>natural gas peaker</v>
          </cell>
        </row>
        <row r="7372">
          <cell r="C7372" t="str">
            <v>HY</v>
          </cell>
          <cell r="D7372">
            <v>3.1</v>
          </cell>
          <cell r="H7372" t="str">
            <v>hydro</v>
          </cell>
        </row>
        <row r="7373">
          <cell r="C7373" t="str">
            <v>HY</v>
          </cell>
          <cell r="D7373">
            <v>3.1</v>
          </cell>
          <cell r="H7373" t="str">
            <v>hydro</v>
          </cell>
        </row>
        <row r="7374">
          <cell r="C7374" t="str">
            <v>IC</v>
          </cell>
          <cell r="D7374">
            <v>2.7</v>
          </cell>
          <cell r="H7374" t="str">
            <v>petroleum</v>
          </cell>
        </row>
        <row r="7375">
          <cell r="C7375" t="str">
            <v>HY</v>
          </cell>
          <cell r="D7375">
            <v>5</v>
          </cell>
          <cell r="H7375" t="str">
            <v>hydro</v>
          </cell>
        </row>
        <row r="7376">
          <cell r="C7376" t="str">
            <v>HY</v>
          </cell>
          <cell r="D7376">
            <v>6</v>
          </cell>
          <cell r="H7376" t="str">
            <v>hydro</v>
          </cell>
        </row>
        <row r="7377">
          <cell r="C7377" t="str">
            <v>HY</v>
          </cell>
          <cell r="D7377">
            <v>6</v>
          </cell>
          <cell r="H7377" t="str">
            <v>hydro</v>
          </cell>
        </row>
        <row r="7378">
          <cell r="C7378" t="str">
            <v>HY</v>
          </cell>
          <cell r="D7378">
            <v>0.4</v>
          </cell>
          <cell r="H7378" t="str">
            <v>hydro</v>
          </cell>
        </row>
        <row r="7379">
          <cell r="C7379" t="str">
            <v>HY</v>
          </cell>
          <cell r="D7379">
            <v>0.4</v>
          </cell>
          <cell r="H7379" t="str">
            <v>hydro</v>
          </cell>
        </row>
        <row r="7380">
          <cell r="C7380" t="str">
            <v>HY</v>
          </cell>
          <cell r="D7380">
            <v>0.2</v>
          </cell>
          <cell r="H7380" t="str">
            <v>hydro</v>
          </cell>
        </row>
        <row r="7381">
          <cell r="C7381" t="str">
            <v>HY</v>
          </cell>
          <cell r="D7381">
            <v>0.1</v>
          </cell>
          <cell r="H7381" t="str">
            <v>hydro</v>
          </cell>
        </row>
        <row r="7382">
          <cell r="C7382" t="str">
            <v>HY</v>
          </cell>
          <cell r="D7382">
            <v>0.2</v>
          </cell>
          <cell r="H7382" t="str">
            <v>hydro</v>
          </cell>
        </row>
        <row r="7383">
          <cell r="C7383" t="str">
            <v>HY</v>
          </cell>
          <cell r="D7383">
            <v>0.4</v>
          </cell>
          <cell r="H7383" t="str">
            <v>hydro</v>
          </cell>
        </row>
        <row r="7384">
          <cell r="C7384" t="str">
            <v>HY</v>
          </cell>
          <cell r="D7384">
            <v>3.9</v>
          </cell>
          <cell r="H7384" t="str">
            <v>hydro</v>
          </cell>
        </row>
        <row r="7385">
          <cell r="C7385" t="str">
            <v>HY</v>
          </cell>
          <cell r="D7385">
            <v>3.9</v>
          </cell>
          <cell r="H7385" t="str">
            <v>hydro</v>
          </cell>
        </row>
        <row r="7386">
          <cell r="C7386" t="str">
            <v>IC</v>
          </cell>
          <cell r="D7386">
            <v>0.8</v>
          </cell>
          <cell r="H7386" t="str">
            <v>petroleum</v>
          </cell>
        </row>
        <row r="7387">
          <cell r="C7387" t="str">
            <v>IC</v>
          </cell>
          <cell r="D7387">
            <v>0.8</v>
          </cell>
          <cell r="H7387" t="str">
            <v>petroleum</v>
          </cell>
        </row>
        <row r="7388">
          <cell r="C7388" t="str">
            <v>IC</v>
          </cell>
          <cell r="D7388">
            <v>0.8</v>
          </cell>
          <cell r="H7388" t="str">
            <v>petroleum</v>
          </cell>
        </row>
        <row r="7389">
          <cell r="C7389" t="str">
            <v>IC</v>
          </cell>
          <cell r="D7389">
            <v>0.8</v>
          </cell>
          <cell r="H7389" t="str">
            <v>petroleum</v>
          </cell>
        </row>
        <row r="7390">
          <cell r="C7390" t="str">
            <v>IC</v>
          </cell>
          <cell r="D7390">
            <v>0.8</v>
          </cell>
          <cell r="H7390" t="str">
            <v>petroleum</v>
          </cell>
        </row>
        <row r="7391">
          <cell r="C7391" t="str">
            <v>IC</v>
          </cell>
          <cell r="D7391">
            <v>0.8</v>
          </cell>
          <cell r="H7391" t="str">
            <v>petroleum</v>
          </cell>
        </row>
        <row r="7392">
          <cell r="C7392" t="str">
            <v>IC</v>
          </cell>
          <cell r="D7392">
            <v>0.8</v>
          </cell>
          <cell r="H7392" t="str">
            <v>petroleum</v>
          </cell>
        </row>
        <row r="7393">
          <cell r="C7393" t="str">
            <v>IC</v>
          </cell>
          <cell r="D7393">
            <v>0.8</v>
          </cell>
          <cell r="H7393" t="str">
            <v>petroleum</v>
          </cell>
        </row>
        <row r="7394">
          <cell r="C7394" t="str">
            <v>IC</v>
          </cell>
          <cell r="D7394">
            <v>1</v>
          </cell>
          <cell r="H7394" t="str">
            <v>petroleum</v>
          </cell>
        </row>
        <row r="7395">
          <cell r="C7395" t="str">
            <v>CE</v>
          </cell>
          <cell r="D7395">
            <v>110</v>
          </cell>
          <cell r="H7395" t="str">
            <v>other</v>
          </cell>
        </row>
        <row r="7396">
          <cell r="C7396" t="str">
            <v>GT</v>
          </cell>
          <cell r="D7396">
            <v>114</v>
          </cell>
          <cell r="H7396" t="str">
            <v>natural gas peaker</v>
          </cell>
        </row>
        <row r="7397">
          <cell r="C7397" t="str">
            <v>GT</v>
          </cell>
          <cell r="D7397">
            <v>114</v>
          </cell>
          <cell r="H7397" t="str">
            <v>natural gas peaker</v>
          </cell>
        </row>
        <row r="7398">
          <cell r="C7398" t="str">
            <v>GT</v>
          </cell>
          <cell r="D7398">
            <v>175</v>
          </cell>
          <cell r="H7398" t="str">
            <v>natural gas peaker</v>
          </cell>
        </row>
        <row r="7399">
          <cell r="C7399" t="str">
            <v>GT</v>
          </cell>
          <cell r="D7399">
            <v>175</v>
          </cell>
          <cell r="H7399" t="str">
            <v>natural gas peaker</v>
          </cell>
        </row>
        <row r="7400">
          <cell r="C7400" t="str">
            <v>HY</v>
          </cell>
          <cell r="D7400">
            <v>3</v>
          </cell>
          <cell r="H7400" t="str">
            <v>hydro</v>
          </cell>
        </row>
        <row r="7401">
          <cell r="C7401" t="str">
            <v>HY</v>
          </cell>
          <cell r="D7401">
            <v>0.6</v>
          </cell>
          <cell r="H7401" t="str">
            <v>hydro</v>
          </cell>
        </row>
        <row r="7402">
          <cell r="C7402" t="str">
            <v>HY</v>
          </cell>
          <cell r="D7402">
            <v>10.8</v>
          </cell>
          <cell r="H7402" t="str">
            <v>hydro</v>
          </cell>
        </row>
        <row r="7403">
          <cell r="C7403" t="str">
            <v>HY</v>
          </cell>
          <cell r="D7403">
            <v>10.8</v>
          </cell>
          <cell r="H7403" t="str">
            <v>hydro</v>
          </cell>
        </row>
        <row r="7404">
          <cell r="C7404" t="str">
            <v>HY</v>
          </cell>
          <cell r="D7404">
            <v>10.8</v>
          </cell>
          <cell r="H7404" t="str">
            <v>hydro</v>
          </cell>
        </row>
        <row r="7405">
          <cell r="C7405" t="str">
            <v>HY</v>
          </cell>
          <cell r="D7405">
            <v>8.8000000000000007</v>
          </cell>
          <cell r="H7405" t="str">
            <v>hydro</v>
          </cell>
        </row>
        <row r="7406">
          <cell r="C7406" t="str">
            <v>HY</v>
          </cell>
          <cell r="D7406">
            <v>8.4</v>
          </cell>
          <cell r="H7406" t="str">
            <v>hydro</v>
          </cell>
        </row>
        <row r="7407">
          <cell r="C7407" t="str">
            <v>IC</v>
          </cell>
          <cell r="D7407">
            <v>7</v>
          </cell>
          <cell r="H7407" t="str">
            <v>petroleum</v>
          </cell>
        </row>
        <row r="7408">
          <cell r="C7408" t="str">
            <v>IC</v>
          </cell>
          <cell r="D7408">
            <v>7</v>
          </cell>
          <cell r="H7408" t="str">
            <v>petroleum</v>
          </cell>
        </row>
        <row r="7409">
          <cell r="C7409" t="str">
            <v>CT</v>
          </cell>
          <cell r="D7409">
            <v>151.6</v>
          </cell>
          <cell r="H7409" t="str">
            <v>natural gas nonpeaker</v>
          </cell>
        </row>
        <row r="7410">
          <cell r="C7410" t="str">
            <v>CT</v>
          </cell>
          <cell r="D7410">
            <v>151.6</v>
          </cell>
          <cell r="H7410" t="str">
            <v>natural gas nonpeaker</v>
          </cell>
        </row>
        <row r="7411">
          <cell r="C7411" t="str">
            <v>CA</v>
          </cell>
          <cell r="D7411">
            <v>206.8</v>
          </cell>
          <cell r="H7411" t="str">
            <v>natural gas nonpeaker</v>
          </cell>
        </row>
        <row r="7412">
          <cell r="C7412" t="str">
            <v>GT</v>
          </cell>
          <cell r="D7412">
            <v>72</v>
          </cell>
          <cell r="H7412" t="str">
            <v>natural gas peaker</v>
          </cell>
        </row>
        <row r="7413">
          <cell r="C7413" t="str">
            <v>GT</v>
          </cell>
          <cell r="D7413">
            <v>72</v>
          </cell>
          <cell r="H7413" t="str">
            <v>natural gas peaker</v>
          </cell>
        </row>
        <row r="7414">
          <cell r="C7414" t="str">
            <v>ST</v>
          </cell>
          <cell r="D7414">
            <v>560</v>
          </cell>
          <cell r="H7414" t="str">
            <v>hard coal</v>
          </cell>
        </row>
        <row r="7415">
          <cell r="C7415" t="str">
            <v>ST</v>
          </cell>
          <cell r="D7415">
            <v>785</v>
          </cell>
          <cell r="H7415" t="str">
            <v>hard coal</v>
          </cell>
        </row>
        <row r="7416">
          <cell r="C7416" t="str">
            <v>IC</v>
          </cell>
          <cell r="D7416">
            <v>1.4</v>
          </cell>
          <cell r="H7416" t="str">
            <v>natural gas peaker</v>
          </cell>
        </row>
        <row r="7417">
          <cell r="C7417" t="str">
            <v>IC</v>
          </cell>
          <cell r="D7417">
            <v>1.9</v>
          </cell>
          <cell r="H7417" t="str">
            <v>natural gas peaker</v>
          </cell>
        </row>
        <row r="7418">
          <cell r="C7418" t="str">
            <v>IC</v>
          </cell>
          <cell r="D7418">
            <v>2.2999999999999998</v>
          </cell>
          <cell r="H7418" t="str">
            <v>natural gas peaker</v>
          </cell>
        </row>
        <row r="7419">
          <cell r="C7419" t="str">
            <v>IC</v>
          </cell>
          <cell r="D7419">
            <v>1.4</v>
          </cell>
          <cell r="H7419" t="str">
            <v>natural gas peaker</v>
          </cell>
        </row>
        <row r="7420">
          <cell r="C7420" t="str">
            <v>IC</v>
          </cell>
          <cell r="D7420">
            <v>1.9</v>
          </cell>
          <cell r="H7420" t="str">
            <v>natural gas peaker</v>
          </cell>
        </row>
        <row r="7421">
          <cell r="C7421" t="str">
            <v>IC</v>
          </cell>
          <cell r="D7421">
            <v>1.9</v>
          </cell>
          <cell r="H7421" t="str">
            <v>natural gas peaker</v>
          </cell>
        </row>
        <row r="7422">
          <cell r="C7422" t="str">
            <v>IC</v>
          </cell>
          <cell r="D7422">
            <v>0.7</v>
          </cell>
          <cell r="H7422" t="str">
            <v>natural gas peaker</v>
          </cell>
        </row>
        <row r="7423">
          <cell r="C7423" t="str">
            <v>IC</v>
          </cell>
          <cell r="D7423">
            <v>0.7</v>
          </cell>
          <cell r="H7423" t="str">
            <v>natural gas peaker</v>
          </cell>
        </row>
        <row r="7424">
          <cell r="C7424" t="str">
            <v>IC</v>
          </cell>
          <cell r="D7424">
            <v>1.9</v>
          </cell>
          <cell r="H7424" t="str">
            <v>natural gas peaker</v>
          </cell>
        </row>
        <row r="7425">
          <cell r="C7425" t="str">
            <v>IC</v>
          </cell>
          <cell r="D7425">
            <v>3.3</v>
          </cell>
          <cell r="H7425" t="str">
            <v>petroleum</v>
          </cell>
        </row>
        <row r="7426">
          <cell r="C7426" t="str">
            <v>HY</v>
          </cell>
          <cell r="D7426">
            <v>6.6</v>
          </cell>
          <cell r="H7426" t="str">
            <v>hydro</v>
          </cell>
        </row>
        <row r="7427">
          <cell r="C7427" t="str">
            <v>HY</v>
          </cell>
          <cell r="D7427">
            <v>0.8</v>
          </cell>
          <cell r="H7427" t="str">
            <v>hydro</v>
          </cell>
        </row>
        <row r="7428">
          <cell r="C7428" t="str">
            <v>HY</v>
          </cell>
          <cell r="D7428">
            <v>1.2</v>
          </cell>
          <cell r="H7428" t="str">
            <v>hydro</v>
          </cell>
        </row>
        <row r="7429">
          <cell r="C7429" t="str">
            <v>HY</v>
          </cell>
          <cell r="D7429">
            <v>2.9</v>
          </cell>
          <cell r="H7429" t="str">
            <v>hydro</v>
          </cell>
        </row>
        <row r="7430">
          <cell r="C7430" t="str">
            <v>HY</v>
          </cell>
          <cell r="D7430">
            <v>2.9</v>
          </cell>
          <cell r="H7430" t="str">
            <v>hydro</v>
          </cell>
        </row>
        <row r="7431">
          <cell r="C7431" t="str">
            <v>HY</v>
          </cell>
          <cell r="D7431">
            <v>0.6</v>
          </cell>
          <cell r="H7431" t="str">
            <v>hydro</v>
          </cell>
        </row>
        <row r="7432">
          <cell r="C7432" t="str">
            <v>GT</v>
          </cell>
          <cell r="D7432">
            <v>17</v>
          </cell>
          <cell r="H7432" t="str">
            <v>petroleum</v>
          </cell>
        </row>
        <row r="7433">
          <cell r="C7433" t="str">
            <v>PS</v>
          </cell>
          <cell r="D7433">
            <v>340</v>
          </cell>
          <cell r="H7433" t="str">
            <v>other</v>
          </cell>
        </row>
        <row r="7434">
          <cell r="C7434" t="str">
            <v>PS</v>
          </cell>
          <cell r="D7434">
            <v>340</v>
          </cell>
          <cell r="H7434" t="str">
            <v>other</v>
          </cell>
        </row>
        <row r="7435">
          <cell r="C7435" t="str">
            <v>PS</v>
          </cell>
          <cell r="D7435">
            <v>340</v>
          </cell>
          <cell r="H7435" t="str">
            <v>other</v>
          </cell>
        </row>
        <row r="7436">
          <cell r="C7436" t="str">
            <v>PS</v>
          </cell>
          <cell r="D7436">
            <v>340</v>
          </cell>
          <cell r="H7436" t="str">
            <v>other</v>
          </cell>
        </row>
        <row r="7437">
          <cell r="C7437" t="str">
            <v>HY</v>
          </cell>
          <cell r="D7437">
            <v>15.5</v>
          </cell>
          <cell r="H7437" t="str">
            <v>hydro</v>
          </cell>
        </row>
        <row r="7438">
          <cell r="C7438" t="str">
            <v>HY</v>
          </cell>
          <cell r="D7438">
            <v>2.4</v>
          </cell>
          <cell r="H7438" t="str">
            <v>hydro</v>
          </cell>
        </row>
        <row r="7439">
          <cell r="C7439" t="str">
            <v>HY</v>
          </cell>
          <cell r="D7439">
            <v>6</v>
          </cell>
          <cell r="H7439" t="str">
            <v>hydro</v>
          </cell>
        </row>
        <row r="7440">
          <cell r="C7440" t="str">
            <v>HY</v>
          </cell>
          <cell r="D7440">
            <v>3</v>
          </cell>
          <cell r="H7440" t="str">
            <v>hydro</v>
          </cell>
        </row>
        <row r="7441">
          <cell r="C7441" t="str">
            <v>ST</v>
          </cell>
          <cell r="D7441">
            <v>14</v>
          </cell>
          <cell r="H7441" t="str">
            <v>petroleum</v>
          </cell>
        </row>
        <row r="7442">
          <cell r="C7442" t="str">
            <v>GT</v>
          </cell>
          <cell r="D7442">
            <v>20</v>
          </cell>
          <cell r="H7442" t="str">
            <v>petroleum</v>
          </cell>
        </row>
        <row r="7443">
          <cell r="C7443" t="str">
            <v>GT</v>
          </cell>
          <cell r="D7443">
            <v>20</v>
          </cell>
          <cell r="H7443" t="str">
            <v>natural gas peaker</v>
          </cell>
        </row>
        <row r="7444">
          <cell r="C7444" t="str">
            <v>HY</v>
          </cell>
          <cell r="D7444">
            <v>1.8</v>
          </cell>
          <cell r="H7444" t="str">
            <v>hydro</v>
          </cell>
        </row>
        <row r="7445">
          <cell r="C7445" t="str">
            <v>HY</v>
          </cell>
          <cell r="D7445">
            <v>6</v>
          </cell>
          <cell r="H7445" t="str">
            <v>hydro</v>
          </cell>
        </row>
        <row r="7446">
          <cell r="C7446" t="str">
            <v>HY</v>
          </cell>
          <cell r="D7446">
            <v>6</v>
          </cell>
          <cell r="H7446" t="str">
            <v>hydro</v>
          </cell>
        </row>
        <row r="7447">
          <cell r="C7447" t="str">
            <v>HY</v>
          </cell>
          <cell r="D7447">
            <v>5</v>
          </cell>
          <cell r="H7447" t="str">
            <v>hydro</v>
          </cell>
        </row>
        <row r="7448">
          <cell r="C7448" t="str">
            <v>GT</v>
          </cell>
          <cell r="D7448">
            <v>34</v>
          </cell>
          <cell r="H7448" t="str">
            <v>natural gas peaker</v>
          </cell>
        </row>
        <row r="7449">
          <cell r="C7449" t="str">
            <v>GT</v>
          </cell>
          <cell r="D7449">
            <v>31</v>
          </cell>
          <cell r="H7449" t="str">
            <v>natural gas peaker</v>
          </cell>
        </row>
        <row r="7450">
          <cell r="C7450" t="str">
            <v>GT</v>
          </cell>
          <cell r="D7450">
            <v>38.299999999999997</v>
          </cell>
          <cell r="H7450" t="str">
            <v>natural gas peaker</v>
          </cell>
        </row>
        <row r="7451">
          <cell r="C7451" t="str">
            <v>GT</v>
          </cell>
          <cell r="D7451">
            <v>37.299999999999997</v>
          </cell>
          <cell r="H7451" t="str">
            <v>natural gas peaker</v>
          </cell>
        </row>
        <row r="7452">
          <cell r="C7452" t="str">
            <v>GT</v>
          </cell>
          <cell r="D7452">
            <v>79.900000000000006</v>
          </cell>
          <cell r="H7452" t="str">
            <v>natural gas peaker</v>
          </cell>
        </row>
        <row r="7453">
          <cell r="C7453" t="str">
            <v>GT</v>
          </cell>
          <cell r="D7453">
            <v>76.900000000000006</v>
          </cell>
          <cell r="H7453" t="str">
            <v>petroleum</v>
          </cell>
        </row>
        <row r="7454">
          <cell r="C7454" t="str">
            <v>GT</v>
          </cell>
          <cell r="D7454">
            <v>81.7</v>
          </cell>
          <cell r="H7454" t="str">
            <v>petroleum</v>
          </cell>
        </row>
        <row r="7455">
          <cell r="C7455" t="str">
            <v>GT</v>
          </cell>
          <cell r="D7455">
            <v>82</v>
          </cell>
          <cell r="H7455" t="str">
            <v>petroleum</v>
          </cell>
        </row>
        <row r="7456">
          <cell r="C7456" t="str">
            <v>HY</v>
          </cell>
          <cell r="D7456">
            <v>1</v>
          </cell>
          <cell r="H7456" t="str">
            <v>hydro</v>
          </cell>
        </row>
        <row r="7457">
          <cell r="C7457" t="str">
            <v>HY</v>
          </cell>
          <cell r="D7457">
            <v>1</v>
          </cell>
          <cell r="H7457" t="str">
            <v>hydro</v>
          </cell>
        </row>
        <row r="7458">
          <cell r="C7458" t="str">
            <v>HY</v>
          </cell>
          <cell r="D7458">
            <v>1</v>
          </cell>
          <cell r="H7458" t="str">
            <v>hydro</v>
          </cell>
        </row>
        <row r="7459">
          <cell r="C7459" t="str">
            <v>HY</v>
          </cell>
          <cell r="D7459">
            <v>2.5</v>
          </cell>
          <cell r="H7459" t="str">
            <v>hydro</v>
          </cell>
        </row>
        <row r="7460">
          <cell r="C7460" t="str">
            <v>HY</v>
          </cell>
          <cell r="D7460">
            <v>2.5</v>
          </cell>
          <cell r="H7460" t="str">
            <v>hydro</v>
          </cell>
        </row>
        <row r="7461">
          <cell r="C7461" t="str">
            <v>CT</v>
          </cell>
          <cell r="D7461">
            <v>126</v>
          </cell>
          <cell r="H7461" t="str">
            <v>natural gas nonpeaker</v>
          </cell>
        </row>
        <row r="7462">
          <cell r="C7462" t="str">
            <v>CT</v>
          </cell>
          <cell r="D7462">
            <v>126</v>
          </cell>
          <cell r="H7462" t="str">
            <v>natural gas nonpeaker</v>
          </cell>
        </row>
        <row r="7463">
          <cell r="C7463" t="str">
            <v>CT</v>
          </cell>
          <cell r="D7463">
            <v>126</v>
          </cell>
          <cell r="H7463" t="str">
            <v>natural gas nonpeaker</v>
          </cell>
        </row>
        <row r="7464">
          <cell r="C7464" t="str">
            <v>CA</v>
          </cell>
          <cell r="D7464">
            <v>187</v>
          </cell>
          <cell r="H7464" t="str">
            <v>natural gas nonpeaker</v>
          </cell>
        </row>
        <row r="7465">
          <cell r="C7465" t="str">
            <v>CT</v>
          </cell>
          <cell r="D7465">
            <v>128</v>
          </cell>
          <cell r="H7465" t="str">
            <v>natural gas nonpeaker</v>
          </cell>
        </row>
        <row r="7466">
          <cell r="C7466" t="str">
            <v>CT</v>
          </cell>
          <cell r="D7466">
            <v>128</v>
          </cell>
          <cell r="H7466" t="str">
            <v>natural gas nonpeaker</v>
          </cell>
        </row>
        <row r="7467">
          <cell r="C7467" t="str">
            <v>CT</v>
          </cell>
          <cell r="D7467">
            <v>128</v>
          </cell>
          <cell r="H7467" t="str">
            <v>natural gas nonpeaker</v>
          </cell>
        </row>
        <row r="7468">
          <cell r="C7468" t="str">
            <v>CA</v>
          </cell>
          <cell r="D7468">
            <v>187</v>
          </cell>
          <cell r="H7468" t="str">
            <v>natural gas nonpeaker</v>
          </cell>
        </row>
        <row r="7469">
          <cell r="C7469" t="str">
            <v>GT</v>
          </cell>
          <cell r="D7469">
            <v>37.200000000000003</v>
          </cell>
          <cell r="H7469" t="str">
            <v>petroleum</v>
          </cell>
        </row>
        <row r="7470">
          <cell r="C7470" t="str">
            <v>GT</v>
          </cell>
          <cell r="D7470">
            <v>37.299999999999997</v>
          </cell>
          <cell r="H7470" t="str">
            <v>petroleum</v>
          </cell>
        </row>
        <row r="7471">
          <cell r="C7471" t="str">
            <v>GT</v>
          </cell>
          <cell r="D7471">
            <v>78</v>
          </cell>
          <cell r="H7471" t="str">
            <v>natural gas peaker</v>
          </cell>
        </row>
        <row r="7472">
          <cell r="C7472" t="str">
            <v>GT</v>
          </cell>
          <cell r="D7472">
            <v>80</v>
          </cell>
          <cell r="H7472" t="str">
            <v>natural gas peaker</v>
          </cell>
        </row>
        <row r="7473">
          <cell r="C7473" t="str">
            <v>GT</v>
          </cell>
          <cell r="D7473">
            <v>80</v>
          </cell>
          <cell r="H7473" t="str">
            <v>natural gas peaker</v>
          </cell>
        </row>
        <row r="7474">
          <cell r="C7474" t="str">
            <v>GT</v>
          </cell>
          <cell r="D7474">
            <v>78</v>
          </cell>
          <cell r="H7474" t="str">
            <v>natural gas peaker</v>
          </cell>
        </row>
        <row r="7475">
          <cell r="C7475" t="str">
            <v>GT</v>
          </cell>
          <cell r="D7475">
            <v>80</v>
          </cell>
          <cell r="H7475" t="str">
            <v>natural gas peaker</v>
          </cell>
        </row>
        <row r="7476">
          <cell r="C7476" t="str">
            <v>GT</v>
          </cell>
          <cell r="D7476">
            <v>80</v>
          </cell>
          <cell r="H7476" t="str">
            <v>natural gas peaker</v>
          </cell>
        </row>
        <row r="7477">
          <cell r="C7477" t="str">
            <v>GT</v>
          </cell>
          <cell r="D7477">
            <v>91.3</v>
          </cell>
          <cell r="H7477" t="str">
            <v>natural gas peaker</v>
          </cell>
        </row>
        <row r="7478">
          <cell r="C7478" t="str">
            <v>GT</v>
          </cell>
          <cell r="D7478">
            <v>90.9</v>
          </cell>
          <cell r="H7478" t="str">
            <v>natural gas peaker</v>
          </cell>
        </row>
        <row r="7479">
          <cell r="C7479" t="str">
            <v>GT</v>
          </cell>
          <cell r="D7479">
            <v>89.6</v>
          </cell>
          <cell r="H7479" t="str">
            <v>natural gas peaker</v>
          </cell>
        </row>
        <row r="7480">
          <cell r="C7480" t="str">
            <v>GT</v>
          </cell>
          <cell r="D7480">
            <v>92.1</v>
          </cell>
          <cell r="H7480" t="str">
            <v>natural gas peaker</v>
          </cell>
        </row>
        <row r="7481">
          <cell r="C7481" t="str">
            <v>PS</v>
          </cell>
          <cell r="D7481">
            <v>10</v>
          </cell>
          <cell r="H7481" t="str">
            <v>other</v>
          </cell>
        </row>
        <row r="7482">
          <cell r="C7482" t="str">
            <v>PS</v>
          </cell>
          <cell r="D7482">
            <v>10</v>
          </cell>
          <cell r="H7482" t="str">
            <v>other</v>
          </cell>
        </row>
        <row r="7483">
          <cell r="C7483" t="str">
            <v>PS</v>
          </cell>
          <cell r="D7483">
            <v>10</v>
          </cell>
          <cell r="H7483" t="str">
            <v>other</v>
          </cell>
        </row>
        <row r="7484">
          <cell r="C7484" t="str">
            <v>PS</v>
          </cell>
          <cell r="D7484">
            <v>10</v>
          </cell>
          <cell r="H7484" t="str">
            <v>other</v>
          </cell>
        </row>
        <row r="7485">
          <cell r="C7485" t="str">
            <v>HY</v>
          </cell>
          <cell r="D7485">
            <v>21.2</v>
          </cell>
          <cell r="H7485" t="str">
            <v>hydro</v>
          </cell>
        </row>
        <row r="7486">
          <cell r="C7486" t="str">
            <v>HY</v>
          </cell>
          <cell r="D7486">
            <v>21.2</v>
          </cell>
          <cell r="H7486" t="str">
            <v>hydro</v>
          </cell>
        </row>
        <row r="7487">
          <cell r="C7487" t="str">
            <v>HY</v>
          </cell>
          <cell r="D7487">
            <v>1.2</v>
          </cell>
          <cell r="H7487" t="str">
            <v>hydro</v>
          </cell>
        </row>
        <row r="7488">
          <cell r="C7488" t="str">
            <v>IC</v>
          </cell>
          <cell r="D7488">
            <v>0.3</v>
          </cell>
          <cell r="H7488" t="str">
            <v>petroleum</v>
          </cell>
        </row>
        <row r="7489">
          <cell r="C7489" t="str">
            <v>IC</v>
          </cell>
          <cell r="D7489">
            <v>0.2</v>
          </cell>
          <cell r="H7489" t="str">
            <v>petroleum</v>
          </cell>
        </row>
        <row r="7490">
          <cell r="C7490" t="str">
            <v>IC</v>
          </cell>
          <cell r="D7490">
            <v>0.4</v>
          </cell>
          <cell r="H7490" t="str">
            <v>petroleum</v>
          </cell>
        </row>
        <row r="7491">
          <cell r="C7491" t="str">
            <v>IC</v>
          </cell>
          <cell r="D7491">
            <v>1.5</v>
          </cell>
          <cell r="H7491" t="str">
            <v>natural gas peaker</v>
          </cell>
        </row>
        <row r="7492">
          <cell r="C7492" t="str">
            <v>GT</v>
          </cell>
          <cell r="D7492">
            <v>4.8</v>
          </cell>
          <cell r="H7492" t="str">
            <v>natural gas peaker</v>
          </cell>
        </row>
        <row r="7493">
          <cell r="C7493" t="str">
            <v>GT</v>
          </cell>
          <cell r="D7493">
            <v>5</v>
          </cell>
          <cell r="H7493" t="str">
            <v>natural gas peaker</v>
          </cell>
        </row>
        <row r="7494">
          <cell r="C7494" t="str">
            <v>GT</v>
          </cell>
          <cell r="D7494">
            <v>2.5</v>
          </cell>
          <cell r="H7494" t="str">
            <v>natural gas peaker</v>
          </cell>
        </row>
        <row r="7495">
          <cell r="C7495" t="str">
            <v>GT</v>
          </cell>
          <cell r="D7495">
            <v>2.5</v>
          </cell>
          <cell r="H7495" t="str">
            <v>natural gas peaker</v>
          </cell>
        </row>
        <row r="7496">
          <cell r="C7496" t="str">
            <v>GT</v>
          </cell>
          <cell r="D7496">
            <v>2.5</v>
          </cell>
          <cell r="H7496" t="str">
            <v>natural gas peaker</v>
          </cell>
        </row>
        <row r="7497">
          <cell r="C7497" t="str">
            <v>IC</v>
          </cell>
          <cell r="D7497">
            <v>1.5</v>
          </cell>
          <cell r="H7497" t="str">
            <v>natural gas peaker</v>
          </cell>
        </row>
        <row r="7498">
          <cell r="C7498" t="str">
            <v>IC</v>
          </cell>
          <cell r="D7498">
            <v>0.2</v>
          </cell>
          <cell r="H7498" t="str">
            <v>petroleum</v>
          </cell>
        </row>
        <row r="7499">
          <cell r="C7499" t="str">
            <v>IC</v>
          </cell>
          <cell r="D7499">
            <v>0.4</v>
          </cell>
          <cell r="H7499" t="str">
            <v>petroleum</v>
          </cell>
        </row>
        <row r="7500">
          <cell r="C7500" t="str">
            <v>IC</v>
          </cell>
          <cell r="D7500">
            <v>0.4</v>
          </cell>
          <cell r="H7500" t="str">
            <v>petroleum</v>
          </cell>
        </row>
        <row r="7501">
          <cell r="C7501" t="str">
            <v>IC</v>
          </cell>
          <cell r="D7501">
            <v>0.2</v>
          </cell>
          <cell r="H7501" t="str">
            <v>petroleum</v>
          </cell>
        </row>
        <row r="7502">
          <cell r="C7502" t="str">
            <v>HY</v>
          </cell>
          <cell r="D7502">
            <v>6.5</v>
          </cell>
          <cell r="H7502" t="str">
            <v>hydro</v>
          </cell>
        </row>
        <row r="7503">
          <cell r="C7503" t="str">
            <v>HY</v>
          </cell>
          <cell r="D7503">
            <v>6.5</v>
          </cell>
          <cell r="H7503" t="str">
            <v>hydro</v>
          </cell>
        </row>
        <row r="7504">
          <cell r="C7504" t="str">
            <v>HY</v>
          </cell>
          <cell r="D7504">
            <v>6.5</v>
          </cell>
          <cell r="H7504" t="str">
            <v>hydro</v>
          </cell>
        </row>
        <row r="7505">
          <cell r="C7505" t="str">
            <v>IC</v>
          </cell>
          <cell r="D7505">
            <v>0.2</v>
          </cell>
          <cell r="H7505" t="str">
            <v>petroleum</v>
          </cell>
        </row>
        <row r="7506">
          <cell r="C7506" t="str">
            <v>IC</v>
          </cell>
          <cell r="D7506">
            <v>0.6</v>
          </cell>
          <cell r="H7506" t="str">
            <v>petroleum</v>
          </cell>
        </row>
        <row r="7507">
          <cell r="C7507" t="str">
            <v>IC</v>
          </cell>
          <cell r="D7507">
            <v>0.6</v>
          </cell>
          <cell r="H7507" t="str">
            <v>petroleum</v>
          </cell>
        </row>
        <row r="7508">
          <cell r="C7508" t="str">
            <v>IC</v>
          </cell>
          <cell r="D7508">
            <v>0.3</v>
          </cell>
          <cell r="H7508" t="str">
            <v>petroleum</v>
          </cell>
        </row>
        <row r="7509">
          <cell r="C7509" t="str">
            <v>IC</v>
          </cell>
          <cell r="D7509">
            <v>0.3</v>
          </cell>
          <cell r="H7509" t="str">
            <v>petroleum</v>
          </cell>
        </row>
        <row r="7510">
          <cell r="C7510" t="str">
            <v>IC</v>
          </cell>
          <cell r="D7510">
            <v>0.3</v>
          </cell>
          <cell r="H7510" t="str">
            <v>petroleum</v>
          </cell>
        </row>
        <row r="7511">
          <cell r="C7511" t="str">
            <v>HY</v>
          </cell>
          <cell r="D7511">
            <v>0.4</v>
          </cell>
          <cell r="H7511" t="str">
            <v>hydro</v>
          </cell>
        </row>
        <row r="7512">
          <cell r="C7512" t="str">
            <v>HY</v>
          </cell>
          <cell r="D7512">
            <v>0.4</v>
          </cell>
          <cell r="H7512" t="str">
            <v>hydro</v>
          </cell>
        </row>
        <row r="7513">
          <cell r="C7513" t="str">
            <v>HY</v>
          </cell>
          <cell r="D7513">
            <v>3.5</v>
          </cell>
          <cell r="H7513" t="str">
            <v>hydro</v>
          </cell>
        </row>
        <row r="7514">
          <cell r="C7514" t="str">
            <v>HY</v>
          </cell>
          <cell r="D7514">
            <v>47.8</v>
          </cell>
          <cell r="H7514" t="str">
            <v>hydro</v>
          </cell>
        </row>
        <row r="7515">
          <cell r="C7515" t="str">
            <v>HY</v>
          </cell>
          <cell r="D7515">
            <v>12.5</v>
          </cell>
          <cell r="H7515" t="str">
            <v>hydro</v>
          </cell>
        </row>
        <row r="7516">
          <cell r="C7516" t="str">
            <v>HY</v>
          </cell>
          <cell r="D7516">
            <v>0.8</v>
          </cell>
          <cell r="H7516" t="str">
            <v>hydro</v>
          </cell>
        </row>
        <row r="7517">
          <cell r="C7517" t="str">
            <v>HY</v>
          </cell>
          <cell r="D7517">
            <v>2</v>
          </cell>
          <cell r="H7517" t="str">
            <v>hydro</v>
          </cell>
        </row>
        <row r="7518">
          <cell r="C7518" t="str">
            <v>HY</v>
          </cell>
          <cell r="D7518">
            <v>0.1</v>
          </cell>
          <cell r="H7518" t="str">
            <v>hydro</v>
          </cell>
        </row>
        <row r="7519">
          <cell r="C7519" t="str">
            <v>HY</v>
          </cell>
          <cell r="D7519">
            <v>4</v>
          </cell>
          <cell r="H7519" t="str">
            <v>hydro</v>
          </cell>
        </row>
        <row r="7520">
          <cell r="C7520" t="str">
            <v>HY</v>
          </cell>
          <cell r="D7520">
            <v>4</v>
          </cell>
          <cell r="H7520" t="str">
            <v>hydro</v>
          </cell>
        </row>
        <row r="7521">
          <cell r="C7521" t="str">
            <v>GT</v>
          </cell>
          <cell r="D7521">
            <v>80.5</v>
          </cell>
          <cell r="H7521" t="str">
            <v>natural gas peaker</v>
          </cell>
        </row>
        <row r="7522">
          <cell r="C7522" t="str">
            <v>GT</v>
          </cell>
          <cell r="D7522">
            <v>79.5</v>
          </cell>
          <cell r="H7522" t="str">
            <v>natural gas peaker</v>
          </cell>
        </row>
        <row r="7523">
          <cell r="C7523" t="str">
            <v>GT</v>
          </cell>
          <cell r="D7523">
            <v>80.5</v>
          </cell>
          <cell r="H7523" t="str">
            <v>natural gas peaker</v>
          </cell>
        </row>
        <row r="7524">
          <cell r="C7524" t="str">
            <v>GT</v>
          </cell>
          <cell r="D7524">
            <v>83.4</v>
          </cell>
          <cell r="H7524" t="str">
            <v>natural gas peaker</v>
          </cell>
        </row>
        <row r="7525">
          <cell r="C7525" t="str">
            <v>ST</v>
          </cell>
          <cell r="D7525">
            <v>415</v>
          </cell>
          <cell r="H7525" t="str">
            <v>natural gas peaker</v>
          </cell>
        </row>
        <row r="7526">
          <cell r="C7526" t="str">
            <v>GT</v>
          </cell>
          <cell r="D7526">
            <v>84</v>
          </cell>
          <cell r="H7526" t="str">
            <v>natural gas peaker</v>
          </cell>
        </row>
        <row r="7527">
          <cell r="C7527" t="str">
            <v>GT</v>
          </cell>
          <cell r="D7527">
            <v>84</v>
          </cell>
          <cell r="H7527" t="str">
            <v>natural gas peaker</v>
          </cell>
        </row>
        <row r="7528">
          <cell r="C7528" t="str">
            <v>GT</v>
          </cell>
          <cell r="D7528">
            <v>84</v>
          </cell>
          <cell r="H7528" t="str">
            <v>natural gas peaker</v>
          </cell>
        </row>
        <row r="7529">
          <cell r="C7529" t="str">
            <v>GT</v>
          </cell>
          <cell r="D7529">
            <v>84</v>
          </cell>
          <cell r="H7529" t="str">
            <v>natural gas peaker</v>
          </cell>
        </row>
        <row r="7530">
          <cell r="C7530" t="str">
            <v>ST</v>
          </cell>
          <cell r="D7530">
            <v>440</v>
          </cell>
          <cell r="H7530" t="str">
            <v>hard coal</v>
          </cell>
        </row>
        <row r="7531">
          <cell r="C7531" t="str">
            <v>ST</v>
          </cell>
          <cell r="D7531">
            <v>437</v>
          </cell>
          <cell r="H7531" t="str">
            <v>hard coal</v>
          </cell>
        </row>
        <row r="7532">
          <cell r="C7532" t="str">
            <v>HY</v>
          </cell>
          <cell r="D7532">
            <v>6.1</v>
          </cell>
          <cell r="H7532" t="str">
            <v>hydro</v>
          </cell>
        </row>
        <row r="7533">
          <cell r="C7533" t="str">
            <v>GT</v>
          </cell>
          <cell r="D7533">
            <v>24.8</v>
          </cell>
          <cell r="H7533" t="str">
            <v>natural gas peaker</v>
          </cell>
        </row>
        <row r="7534">
          <cell r="C7534" t="str">
            <v>GT</v>
          </cell>
          <cell r="D7534">
            <v>24.8</v>
          </cell>
          <cell r="H7534" t="str">
            <v>natural gas peaker</v>
          </cell>
        </row>
        <row r="7535">
          <cell r="C7535" t="str">
            <v>GT</v>
          </cell>
          <cell r="D7535">
            <v>3.5</v>
          </cell>
          <cell r="H7535" t="str">
            <v>natural gas peaker</v>
          </cell>
        </row>
        <row r="7536">
          <cell r="C7536" t="str">
            <v>GT</v>
          </cell>
          <cell r="D7536">
            <v>3.5</v>
          </cell>
          <cell r="H7536" t="str">
            <v>natural gas peaker</v>
          </cell>
        </row>
        <row r="7537">
          <cell r="C7537" t="str">
            <v>HY</v>
          </cell>
          <cell r="D7537">
            <v>28</v>
          </cell>
          <cell r="H7537" t="str">
            <v>hydro</v>
          </cell>
        </row>
        <row r="7538">
          <cell r="C7538" t="str">
            <v>GT</v>
          </cell>
          <cell r="D7538">
            <v>90</v>
          </cell>
          <cell r="H7538" t="str">
            <v>natural gas peaker</v>
          </cell>
        </row>
        <row r="7539">
          <cell r="C7539" t="str">
            <v>GT</v>
          </cell>
          <cell r="D7539">
            <v>90</v>
          </cell>
          <cell r="H7539" t="str">
            <v>natural gas peaker</v>
          </cell>
        </row>
        <row r="7540">
          <cell r="C7540" t="str">
            <v>GT</v>
          </cell>
          <cell r="D7540">
            <v>147</v>
          </cell>
          <cell r="H7540" t="str">
            <v>natural gas peaker</v>
          </cell>
        </row>
        <row r="7541">
          <cell r="C7541" t="str">
            <v>GT</v>
          </cell>
          <cell r="D7541">
            <v>32</v>
          </cell>
          <cell r="H7541" t="str">
            <v>natural gas peaker</v>
          </cell>
        </row>
        <row r="7542">
          <cell r="C7542" t="str">
            <v>CT</v>
          </cell>
          <cell r="D7542">
            <v>76</v>
          </cell>
          <cell r="H7542" t="str">
            <v>natural gas nonpeaker</v>
          </cell>
        </row>
        <row r="7543">
          <cell r="C7543" t="str">
            <v>CA</v>
          </cell>
          <cell r="D7543">
            <v>39</v>
          </cell>
          <cell r="H7543" t="str">
            <v>natural gas nonpeaker</v>
          </cell>
        </row>
        <row r="7544">
          <cell r="C7544" t="str">
            <v>CT</v>
          </cell>
          <cell r="D7544">
            <v>152</v>
          </cell>
          <cell r="H7544" t="str">
            <v>natural gas nonpeaker</v>
          </cell>
        </row>
        <row r="7545">
          <cell r="C7545" t="str">
            <v>CA</v>
          </cell>
          <cell r="D7545">
            <v>90</v>
          </cell>
          <cell r="H7545" t="str">
            <v>natural gas nonpeaker</v>
          </cell>
        </row>
        <row r="7546">
          <cell r="C7546" t="str">
            <v>CT</v>
          </cell>
          <cell r="D7546">
            <v>160</v>
          </cell>
          <cell r="H7546" t="str">
            <v>natural gas nonpeaker</v>
          </cell>
        </row>
        <row r="7547">
          <cell r="C7547" t="str">
            <v>CA</v>
          </cell>
          <cell r="D7547">
            <v>130</v>
          </cell>
          <cell r="H7547" t="str">
            <v>natural gas nonpeaker</v>
          </cell>
        </row>
        <row r="7548">
          <cell r="C7548" t="str">
            <v>CA</v>
          </cell>
          <cell r="D7548">
            <v>59</v>
          </cell>
          <cell r="H7548" t="str">
            <v>other</v>
          </cell>
        </row>
        <row r="7549">
          <cell r="C7549" t="str">
            <v>CT</v>
          </cell>
          <cell r="D7549">
            <v>161</v>
          </cell>
          <cell r="H7549" t="str">
            <v>hard coal</v>
          </cell>
        </row>
        <row r="7550">
          <cell r="C7550" t="str">
            <v>CT</v>
          </cell>
          <cell r="D7550">
            <v>150</v>
          </cell>
          <cell r="H7550" t="str">
            <v>natural gas nonpeaker</v>
          </cell>
        </row>
        <row r="7551">
          <cell r="C7551" t="str">
            <v>CA</v>
          </cell>
          <cell r="D7551">
            <v>461</v>
          </cell>
          <cell r="H7551" t="str">
            <v>natural gas nonpeaker</v>
          </cell>
        </row>
        <row r="7552">
          <cell r="C7552" t="str">
            <v>CT</v>
          </cell>
          <cell r="D7552">
            <v>150</v>
          </cell>
          <cell r="H7552" t="str">
            <v>natural gas nonpeaker</v>
          </cell>
        </row>
        <row r="7553">
          <cell r="C7553" t="str">
            <v>CT</v>
          </cell>
          <cell r="D7553">
            <v>150</v>
          </cell>
          <cell r="H7553" t="str">
            <v>natural gas nonpeaker</v>
          </cell>
        </row>
        <row r="7554">
          <cell r="C7554" t="str">
            <v>CT</v>
          </cell>
          <cell r="D7554">
            <v>150</v>
          </cell>
          <cell r="H7554" t="str">
            <v>natural gas nonpeaker</v>
          </cell>
        </row>
        <row r="7555">
          <cell r="C7555" t="str">
            <v>HY</v>
          </cell>
          <cell r="D7555">
            <v>11</v>
          </cell>
          <cell r="H7555" t="str">
            <v>hydro</v>
          </cell>
        </row>
        <row r="7556">
          <cell r="C7556" t="str">
            <v>HY</v>
          </cell>
          <cell r="D7556">
            <v>12</v>
          </cell>
          <cell r="H7556" t="str">
            <v>hydro</v>
          </cell>
        </row>
        <row r="7557">
          <cell r="C7557" t="str">
            <v>HY</v>
          </cell>
          <cell r="D7557">
            <v>12</v>
          </cell>
          <cell r="H7557" t="str">
            <v>hydro</v>
          </cell>
        </row>
        <row r="7558">
          <cell r="C7558" t="str">
            <v>GT</v>
          </cell>
          <cell r="D7558">
            <v>50</v>
          </cell>
          <cell r="H7558" t="str">
            <v>petroleum</v>
          </cell>
        </row>
        <row r="7559">
          <cell r="C7559" t="str">
            <v>GT</v>
          </cell>
          <cell r="D7559">
            <v>2.8</v>
          </cell>
          <cell r="H7559" t="str">
            <v>petroleum</v>
          </cell>
        </row>
        <row r="7560">
          <cell r="C7560" t="str">
            <v>GT</v>
          </cell>
          <cell r="D7560">
            <v>23</v>
          </cell>
          <cell r="H7560" t="str">
            <v>petroleum</v>
          </cell>
        </row>
        <row r="7561">
          <cell r="C7561" t="str">
            <v>IC</v>
          </cell>
          <cell r="D7561">
            <v>2.5</v>
          </cell>
          <cell r="H7561" t="str">
            <v>petroleum</v>
          </cell>
        </row>
        <row r="7562">
          <cell r="C7562" t="str">
            <v>HY</v>
          </cell>
          <cell r="D7562">
            <v>1</v>
          </cell>
          <cell r="H7562" t="str">
            <v>hydro</v>
          </cell>
        </row>
        <row r="7563">
          <cell r="C7563" t="str">
            <v>IC</v>
          </cell>
          <cell r="D7563">
            <v>1</v>
          </cell>
          <cell r="H7563" t="str">
            <v>petroleum</v>
          </cell>
        </row>
        <row r="7564">
          <cell r="C7564" t="str">
            <v>IC</v>
          </cell>
          <cell r="D7564">
            <v>1</v>
          </cell>
          <cell r="H7564" t="str">
            <v>petroleum</v>
          </cell>
        </row>
        <row r="7565">
          <cell r="C7565" t="str">
            <v>IC</v>
          </cell>
          <cell r="D7565">
            <v>1</v>
          </cell>
          <cell r="H7565" t="str">
            <v>petroleum</v>
          </cell>
        </row>
        <row r="7566">
          <cell r="C7566" t="str">
            <v>IC</v>
          </cell>
          <cell r="D7566">
            <v>1</v>
          </cell>
          <cell r="H7566" t="str">
            <v>petroleum</v>
          </cell>
        </row>
        <row r="7567">
          <cell r="C7567" t="str">
            <v>IC</v>
          </cell>
          <cell r="D7567">
            <v>1</v>
          </cell>
          <cell r="H7567" t="str">
            <v>petroleum</v>
          </cell>
        </row>
        <row r="7568">
          <cell r="C7568" t="str">
            <v>IC</v>
          </cell>
          <cell r="D7568">
            <v>1</v>
          </cell>
          <cell r="H7568" t="str">
            <v>petroleum</v>
          </cell>
        </row>
        <row r="7569">
          <cell r="C7569" t="str">
            <v>IC</v>
          </cell>
          <cell r="D7569">
            <v>2.1</v>
          </cell>
          <cell r="H7569" t="str">
            <v>petroleum</v>
          </cell>
        </row>
        <row r="7570">
          <cell r="C7570" t="str">
            <v>IC</v>
          </cell>
          <cell r="D7570">
            <v>2.1</v>
          </cell>
          <cell r="H7570" t="str">
            <v>petroleum</v>
          </cell>
        </row>
        <row r="7571">
          <cell r="C7571" t="str">
            <v>CA</v>
          </cell>
          <cell r="D7571">
            <v>33</v>
          </cell>
          <cell r="H7571" t="str">
            <v>natural gas nonpeaker</v>
          </cell>
        </row>
        <row r="7572">
          <cell r="C7572" t="str">
            <v>CT</v>
          </cell>
          <cell r="D7572">
            <v>50</v>
          </cell>
          <cell r="H7572" t="str">
            <v>natural gas nonpeaker</v>
          </cell>
        </row>
        <row r="7573">
          <cell r="C7573" t="str">
            <v>IC</v>
          </cell>
          <cell r="D7573">
            <v>8.1999999999999993</v>
          </cell>
          <cell r="H7573" t="str">
            <v>natural gas peaker</v>
          </cell>
        </row>
        <row r="7574">
          <cell r="C7574" t="str">
            <v>IC</v>
          </cell>
          <cell r="D7574">
            <v>8.1999999999999993</v>
          </cell>
          <cell r="H7574" t="str">
            <v>natural gas peaker</v>
          </cell>
        </row>
        <row r="7575">
          <cell r="C7575" t="str">
            <v>IC</v>
          </cell>
          <cell r="D7575">
            <v>8.1999999999999993</v>
          </cell>
          <cell r="H7575" t="str">
            <v>natural gas peaker</v>
          </cell>
        </row>
        <row r="7576">
          <cell r="C7576" t="str">
            <v>IC</v>
          </cell>
          <cell r="D7576">
            <v>8.1999999999999993</v>
          </cell>
          <cell r="H7576" t="str">
            <v>natural gas peaker</v>
          </cell>
        </row>
        <row r="7577">
          <cell r="C7577" t="str">
            <v>IC</v>
          </cell>
          <cell r="D7577">
            <v>8.1999999999999993</v>
          </cell>
          <cell r="H7577" t="str">
            <v>natural gas peaker</v>
          </cell>
        </row>
        <row r="7578">
          <cell r="C7578" t="str">
            <v>IC</v>
          </cell>
          <cell r="D7578">
            <v>8.1999999999999993</v>
          </cell>
          <cell r="H7578" t="str">
            <v>natural gas peaker</v>
          </cell>
        </row>
        <row r="7579">
          <cell r="C7579" t="str">
            <v>GT</v>
          </cell>
          <cell r="D7579">
            <v>45</v>
          </cell>
          <cell r="H7579" t="str">
            <v>natural gas peaker</v>
          </cell>
        </row>
        <row r="7580">
          <cell r="C7580" t="str">
            <v>GT</v>
          </cell>
          <cell r="D7580">
            <v>35</v>
          </cell>
          <cell r="H7580" t="str">
            <v>natural gas peaker</v>
          </cell>
        </row>
        <row r="7581">
          <cell r="C7581" t="str">
            <v>GT</v>
          </cell>
          <cell r="D7581">
            <v>35</v>
          </cell>
          <cell r="H7581" t="str">
            <v>natural gas peaker</v>
          </cell>
        </row>
        <row r="7582">
          <cell r="C7582" t="str">
            <v>GT</v>
          </cell>
          <cell r="D7582">
            <v>75</v>
          </cell>
          <cell r="H7582" t="str">
            <v>natural gas peaker</v>
          </cell>
        </row>
        <row r="7583">
          <cell r="C7583" t="str">
            <v>GT</v>
          </cell>
          <cell r="D7583">
            <v>90</v>
          </cell>
          <cell r="H7583" t="str">
            <v>natural gas peaker</v>
          </cell>
        </row>
        <row r="7584">
          <cell r="C7584" t="str">
            <v>GT</v>
          </cell>
          <cell r="D7584">
            <v>89.9</v>
          </cell>
          <cell r="H7584" t="str">
            <v>natural gas peaker</v>
          </cell>
        </row>
        <row r="7585">
          <cell r="C7585" t="str">
            <v>GT</v>
          </cell>
          <cell r="D7585">
            <v>92.1</v>
          </cell>
          <cell r="H7585" t="str">
            <v>natural gas peaker</v>
          </cell>
        </row>
        <row r="7586">
          <cell r="C7586" t="str">
            <v>GT</v>
          </cell>
          <cell r="D7586">
            <v>90.3</v>
          </cell>
          <cell r="H7586" t="str">
            <v>natural gas peaker</v>
          </cell>
        </row>
        <row r="7587">
          <cell r="C7587" t="str">
            <v>GT</v>
          </cell>
          <cell r="D7587">
            <v>76</v>
          </cell>
          <cell r="H7587" t="str">
            <v>natural gas peaker</v>
          </cell>
        </row>
        <row r="7588">
          <cell r="C7588" t="str">
            <v>GT</v>
          </cell>
          <cell r="D7588">
            <v>75</v>
          </cell>
          <cell r="H7588" t="str">
            <v>natural gas peaker</v>
          </cell>
        </row>
        <row r="7589">
          <cell r="C7589" t="str">
            <v>GT</v>
          </cell>
          <cell r="D7589">
            <v>74</v>
          </cell>
          <cell r="H7589" t="str">
            <v>natural gas peaker</v>
          </cell>
        </row>
        <row r="7590">
          <cell r="C7590" t="str">
            <v>GT</v>
          </cell>
          <cell r="D7590">
            <v>75</v>
          </cell>
          <cell r="H7590" t="str">
            <v>natural gas peaker</v>
          </cell>
        </row>
        <row r="7591">
          <cell r="C7591" t="str">
            <v>GT</v>
          </cell>
          <cell r="D7591">
            <v>74</v>
          </cell>
          <cell r="H7591" t="str">
            <v>natural gas peaker</v>
          </cell>
        </row>
        <row r="7592">
          <cell r="C7592" t="str">
            <v>GT</v>
          </cell>
          <cell r="D7592">
            <v>74</v>
          </cell>
          <cell r="H7592" t="str">
            <v>natural gas peaker</v>
          </cell>
        </row>
        <row r="7593">
          <cell r="C7593" t="str">
            <v>GT</v>
          </cell>
          <cell r="D7593">
            <v>73</v>
          </cell>
          <cell r="H7593" t="str">
            <v>natural gas peaker</v>
          </cell>
        </row>
        <row r="7594">
          <cell r="C7594" t="str">
            <v>GT</v>
          </cell>
          <cell r="D7594">
            <v>73</v>
          </cell>
          <cell r="H7594" t="str">
            <v>natural gas peaker</v>
          </cell>
        </row>
        <row r="7595">
          <cell r="C7595" t="str">
            <v>GT</v>
          </cell>
          <cell r="D7595">
            <v>76</v>
          </cell>
          <cell r="H7595" t="str">
            <v>natural gas peaker</v>
          </cell>
        </row>
        <row r="7596">
          <cell r="C7596" t="str">
            <v>GT</v>
          </cell>
          <cell r="D7596">
            <v>75</v>
          </cell>
          <cell r="H7596" t="str">
            <v>natural gas peaker</v>
          </cell>
        </row>
        <row r="7597">
          <cell r="C7597" t="str">
            <v>GT</v>
          </cell>
          <cell r="D7597">
            <v>75</v>
          </cell>
          <cell r="H7597" t="str">
            <v>natural gas peaker</v>
          </cell>
        </row>
        <row r="7598">
          <cell r="C7598" t="str">
            <v>GT</v>
          </cell>
          <cell r="D7598">
            <v>74</v>
          </cell>
          <cell r="H7598" t="str">
            <v>natural gas peaker</v>
          </cell>
        </row>
        <row r="7599">
          <cell r="C7599" t="str">
            <v>GT</v>
          </cell>
          <cell r="D7599">
            <v>73</v>
          </cell>
          <cell r="H7599" t="str">
            <v>natural gas peaker</v>
          </cell>
        </row>
        <row r="7600">
          <cell r="C7600" t="str">
            <v>GT</v>
          </cell>
          <cell r="D7600">
            <v>76</v>
          </cell>
          <cell r="H7600" t="str">
            <v>natural gas peaker</v>
          </cell>
        </row>
        <row r="7601">
          <cell r="C7601" t="str">
            <v>GT</v>
          </cell>
          <cell r="D7601">
            <v>75</v>
          </cell>
          <cell r="H7601" t="str">
            <v>natural gas peaker</v>
          </cell>
        </row>
        <row r="7602">
          <cell r="C7602" t="str">
            <v>GT</v>
          </cell>
          <cell r="D7602">
            <v>75</v>
          </cell>
          <cell r="H7602" t="str">
            <v>natural gas peaker</v>
          </cell>
        </row>
        <row r="7603">
          <cell r="C7603" t="str">
            <v>HY</v>
          </cell>
          <cell r="D7603">
            <v>1.3</v>
          </cell>
          <cell r="H7603" t="str">
            <v>hydro</v>
          </cell>
        </row>
        <row r="7604">
          <cell r="C7604" t="str">
            <v>HY</v>
          </cell>
          <cell r="D7604">
            <v>3.9</v>
          </cell>
          <cell r="H7604" t="str">
            <v>hydro</v>
          </cell>
        </row>
        <row r="7605">
          <cell r="C7605" t="str">
            <v>GT</v>
          </cell>
          <cell r="D7605">
            <v>13.5</v>
          </cell>
          <cell r="H7605" t="str">
            <v>natural gas peaker</v>
          </cell>
        </row>
        <row r="7606">
          <cell r="C7606" t="str">
            <v>GT</v>
          </cell>
          <cell r="D7606">
            <v>13.5</v>
          </cell>
          <cell r="H7606" t="str">
            <v>natural gas peaker</v>
          </cell>
        </row>
        <row r="7607">
          <cell r="C7607" t="str">
            <v>GT</v>
          </cell>
          <cell r="D7607">
            <v>3.4</v>
          </cell>
          <cell r="H7607" t="str">
            <v>natural gas peaker</v>
          </cell>
        </row>
        <row r="7608">
          <cell r="C7608" t="str">
            <v>GT</v>
          </cell>
          <cell r="D7608">
            <v>3.4</v>
          </cell>
          <cell r="H7608" t="str">
            <v>natural gas peaker</v>
          </cell>
        </row>
        <row r="7609">
          <cell r="C7609" t="str">
            <v>GT</v>
          </cell>
          <cell r="D7609">
            <v>3.4</v>
          </cell>
          <cell r="H7609" t="str">
            <v>natural gas peaker</v>
          </cell>
        </row>
        <row r="7610">
          <cell r="C7610" t="str">
            <v>GT</v>
          </cell>
          <cell r="D7610">
            <v>3.4</v>
          </cell>
          <cell r="H7610" t="str">
            <v>natural gas peaker</v>
          </cell>
        </row>
        <row r="7611">
          <cell r="C7611" t="str">
            <v>IC</v>
          </cell>
          <cell r="D7611">
            <v>0.2</v>
          </cell>
          <cell r="H7611" t="str">
            <v>petroleum</v>
          </cell>
        </row>
        <row r="7612">
          <cell r="C7612" t="str">
            <v>GT</v>
          </cell>
          <cell r="D7612">
            <v>86.9</v>
          </cell>
          <cell r="H7612" t="str">
            <v>natural gas peaker</v>
          </cell>
        </row>
        <row r="7613">
          <cell r="C7613" t="str">
            <v>CT</v>
          </cell>
          <cell r="D7613">
            <v>48</v>
          </cell>
          <cell r="H7613" t="str">
            <v>natural gas nonpeaker</v>
          </cell>
        </row>
        <row r="7614">
          <cell r="C7614" t="str">
            <v>CA</v>
          </cell>
          <cell r="D7614">
            <v>8</v>
          </cell>
          <cell r="H7614" t="str">
            <v>natural gas nonpeaker</v>
          </cell>
        </row>
        <row r="7615">
          <cell r="C7615" t="str">
            <v>GT</v>
          </cell>
          <cell r="D7615">
            <v>94</v>
          </cell>
          <cell r="H7615" t="str">
            <v>natural gas peaker</v>
          </cell>
        </row>
        <row r="7616">
          <cell r="C7616" t="str">
            <v>CT</v>
          </cell>
          <cell r="D7616">
            <v>159</v>
          </cell>
          <cell r="H7616" t="str">
            <v>natural gas nonpeaker</v>
          </cell>
        </row>
        <row r="7617">
          <cell r="C7617" t="str">
            <v>CT</v>
          </cell>
          <cell r="D7617">
            <v>158</v>
          </cell>
          <cell r="H7617" t="str">
            <v>natural gas nonpeaker</v>
          </cell>
        </row>
        <row r="7618">
          <cell r="C7618" t="str">
            <v>CA</v>
          </cell>
          <cell r="D7618">
            <v>178</v>
          </cell>
          <cell r="H7618" t="str">
            <v>natural gas nonpeaker</v>
          </cell>
        </row>
        <row r="7619">
          <cell r="C7619" t="str">
            <v>CT</v>
          </cell>
          <cell r="D7619">
            <v>163</v>
          </cell>
          <cell r="H7619" t="str">
            <v>natural gas nonpeaker</v>
          </cell>
        </row>
        <row r="7620">
          <cell r="C7620" t="str">
            <v>CT</v>
          </cell>
          <cell r="D7620">
            <v>169</v>
          </cell>
          <cell r="H7620" t="str">
            <v>natural gas nonpeaker</v>
          </cell>
        </row>
        <row r="7621">
          <cell r="C7621" t="str">
            <v>CA</v>
          </cell>
          <cell r="D7621">
            <v>158</v>
          </cell>
          <cell r="H7621" t="str">
            <v>natural gas nonpeaker</v>
          </cell>
        </row>
        <row r="7622">
          <cell r="C7622" t="str">
            <v>CT</v>
          </cell>
          <cell r="D7622">
            <v>172</v>
          </cell>
          <cell r="H7622" t="str">
            <v>natural gas nonpeaker</v>
          </cell>
        </row>
        <row r="7623">
          <cell r="C7623" t="str">
            <v>CT</v>
          </cell>
          <cell r="D7623">
            <v>175</v>
          </cell>
          <cell r="H7623" t="str">
            <v>natural gas nonpeaker</v>
          </cell>
        </row>
        <row r="7624">
          <cell r="C7624" t="str">
            <v>CA</v>
          </cell>
          <cell r="D7624">
            <v>177</v>
          </cell>
          <cell r="H7624" t="str">
            <v>natural gas nonpeaker</v>
          </cell>
        </row>
        <row r="7625">
          <cell r="C7625" t="str">
            <v>CT</v>
          </cell>
          <cell r="D7625">
            <v>173</v>
          </cell>
          <cell r="H7625" t="str">
            <v>natural gas nonpeaker</v>
          </cell>
        </row>
        <row r="7626">
          <cell r="C7626" t="str">
            <v>CT</v>
          </cell>
          <cell r="D7626">
            <v>173</v>
          </cell>
          <cell r="H7626" t="str">
            <v>natural gas nonpeaker</v>
          </cell>
        </row>
        <row r="7627">
          <cell r="C7627" t="str">
            <v>CA</v>
          </cell>
          <cell r="D7627">
            <v>175</v>
          </cell>
          <cell r="H7627" t="str">
            <v>natural gas nonpeaker</v>
          </cell>
        </row>
        <row r="7628">
          <cell r="C7628" t="str">
            <v>CT</v>
          </cell>
          <cell r="D7628">
            <v>174</v>
          </cell>
          <cell r="H7628" t="str">
            <v>natural gas nonpeaker</v>
          </cell>
        </row>
        <row r="7629">
          <cell r="C7629" t="str">
            <v>CT</v>
          </cell>
          <cell r="D7629">
            <v>173</v>
          </cell>
          <cell r="H7629" t="str">
            <v>natural gas nonpeaker</v>
          </cell>
        </row>
        <row r="7630">
          <cell r="C7630" t="str">
            <v>CA</v>
          </cell>
          <cell r="D7630">
            <v>172</v>
          </cell>
          <cell r="H7630" t="str">
            <v>natural gas nonpeaker</v>
          </cell>
        </row>
        <row r="7631">
          <cell r="C7631" t="str">
            <v>GT</v>
          </cell>
          <cell r="D7631">
            <v>16</v>
          </cell>
          <cell r="H7631" t="str">
            <v>natural gas peaker</v>
          </cell>
        </row>
        <row r="7632">
          <cell r="C7632" t="str">
            <v>GT</v>
          </cell>
          <cell r="D7632">
            <v>23</v>
          </cell>
          <cell r="H7632" t="str">
            <v>natural gas peaker</v>
          </cell>
        </row>
        <row r="7633">
          <cell r="C7633" t="str">
            <v>GT</v>
          </cell>
          <cell r="D7633">
            <v>23</v>
          </cell>
          <cell r="H7633" t="str">
            <v>natural gas peaker</v>
          </cell>
        </row>
        <row r="7634">
          <cell r="C7634" t="str">
            <v>CA</v>
          </cell>
          <cell r="D7634">
            <v>27</v>
          </cell>
          <cell r="H7634" t="str">
            <v>natural gas nonpeaker</v>
          </cell>
        </row>
        <row r="7635">
          <cell r="C7635" t="str">
            <v>CT</v>
          </cell>
          <cell r="D7635">
            <v>41</v>
          </cell>
          <cell r="H7635" t="str">
            <v>natural gas nonpeaker</v>
          </cell>
        </row>
        <row r="7636">
          <cell r="C7636" t="str">
            <v>CT</v>
          </cell>
          <cell r="D7636">
            <v>41</v>
          </cell>
          <cell r="H7636" t="str">
            <v>natural gas nonpeaker</v>
          </cell>
        </row>
        <row r="7637">
          <cell r="C7637" t="str">
            <v>CT</v>
          </cell>
          <cell r="D7637">
            <v>87.5</v>
          </cell>
          <cell r="H7637" t="str">
            <v>natural gas nonpeaker</v>
          </cell>
        </row>
        <row r="7638">
          <cell r="C7638" t="str">
            <v>CA</v>
          </cell>
          <cell r="D7638">
            <v>49.4</v>
          </cell>
          <cell r="H7638" t="str">
            <v>natural gas nonpeaker</v>
          </cell>
        </row>
        <row r="7639">
          <cell r="C7639" t="str">
            <v>GT</v>
          </cell>
          <cell r="D7639">
            <v>49.5</v>
          </cell>
          <cell r="H7639" t="str">
            <v>natural gas peaker</v>
          </cell>
        </row>
        <row r="7640">
          <cell r="C7640" t="str">
            <v>GT</v>
          </cell>
          <cell r="D7640">
            <v>50</v>
          </cell>
          <cell r="H7640" t="str">
            <v>natural gas peaker</v>
          </cell>
        </row>
        <row r="7641">
          <cell r="C7641" t="str">
            <v>GT</v>
          </cell>
          <cell r="D7641">
            <v>50</v>
          </cell>
          <cell r="H7641" t="str">
            <v>natural gas peaker</v>
          </cell>
        </row>
        <row r="7642">
          <cell r="C7642" t="str">
            <v>GT</v>
          </cell>
          <cell r="D7642">
            <v>50</v>
          </cell>
          <cell r="H7642" t="str">
            <v>natural gas peaker</v>
          </cell>
        </row>
        <row r="7643">
          <cell r="C7643" t="str">
            <v>HY</v>
          </cell>
          <cell r="D7643">
            <v>6</v>
          </cell>
          <cell r="H7643" t="str">
            <v>hydro</v>
          </cell>
        </row>
        <row r="7644">
          <cell r="C7644" t="str">
            <v>HY</v>
          </cell>
          <cell r="D7644">
            <v>6</v>
          </cell>
          <cell r="H7644" t="str">
            <v>hydro</v>
          </cell>
        </row>
        <row r="7645">
          <cell r="C7645" t="str">
            <v>HY</v>
          </cell>
          <cell r="D7645">
            <v>6</v>
          </cell>
          <cell r="H7645" t="str">
            <v>hydro</v>
          </cell>
        </row>
        <row r="7646">
          <cell r="C7646" t="str">
            <v>GT</v>
          </cell>
          <cell r="D7646">
            <v>44.4</v>
          </cell>
          <cell r="H7646" t="str">
            <v>petroleum</v>
          </cell>
        </row>
        <row r="7647">
          <cell r="C7647" t="str">
            <v>GT</v>
          </cell>
          <cell r="D7647">
            <v>81</v>
          </cell>
          <cell r="H7647" t="str">
            <v>natural gas peaker</v>
          </cell>
        </row>
        <row r="7648">
          <cell r="C7648" t="str">
            <v>GT</v>
          </cell>
          <cell r="D7648">
            <v>81</v>
          </cell>
          <cell r="H7648" t="str">
            <v>natural gas peaker</v>
          </cell>
        </row>
        <row r="7649">
          <cell r="C7649" t="str">
            <v>GT</v>
          </cell>
          <cell r="D7649">
            <v>34</v>
          </cell>
          <cell r="H7649" t="str">
            <v>natural gas peaker</v>
          </cell>
        </row>
        <row r="7650">
          <cell r="C7650" t="str">
            <v>GT</v>
          </cell>
          <cell r="D7650">
            <v>34</v>
          </cell>
          <cell r="H7650" t="str">
            <v>natural gas peaker</v>
          </cell>
        </row>
        <row r="7651">
          <cell r="C7651" t="str">
            <v>GT</v>
          </cell>
          <cell r="D7651">
            <v>34</v>
          </cell>
          <cell r="H7651" t="str">
            <v>natural gas peaker</v>
          </cell>
        </row>
        <row r="7652">
          <cell r="C7652" t="str">
            <v>GT</v>
          </cell>
          <cell r="D7652">
            <v>34</v>
          </cell>
          <cell r="H7652" t="str">
            <v>natural gas peaker</v>
          </cell>
        </row>
        <row r="7653">
          <cell r="C7653" t="str">
            <v>GT</v>
          </cell>
          <cell r="D7653">
            <v>72</v>
          </cell>
          <cell r="H7653" t="str">
            <v>natural gas peaker</v>
          </cell>
        </row>
        <row r="7654">
          <cell r="C7654" t="str">
            <v>GT</v>
          </cell>
          <cell r="D7654">
            <v>3</v>
          </cell>
          <cell r="H7654" t="str">
            <v>petroleum</v>
          </cell>
        </row>
        <row r="7655">
          <cell r="C7655" t="str">
            <v>GT</v>
          </cell>
          <cell r="D7655">
            <v>2.9</v>
          </cell>
          <cell r="H7655" t="str">
            <v>petroleum</v>
          </cell>
        </row>
        <row r="7656">
          <cell r="C7656" t="str">
            <v>HY</v>
          </cell>
          <cell r="D7656">
            <v>17.7</v>
          </cell>
          <cell r="H7656" t="str">
            <v>hydro</v>
          </cell>
        </row>
        <row r="7657">
          <cell r="C7657" t="str">
            <v>GT</v>
          </cell>
          <cell r="D7657">
            <v>21</v>
          </cell>
          <cell r="H7657" t="str">
            <v>natural gas peaker</v>
          </cell>
        </row>
        <row r="7658">
          <cell r="C7658" t="str">
            <v>ST</v>
          </cell>
          <cell r="D7658">
            <v>643.6</v>
          </cell>
          <cell r="H7658" t="str">
            <v>hard coal</v>
          </cell>
        </row>
        <row r="7659">
          <cell r="C7659" t="str">
            <v>GT</v>
          </cell>
          <cell r="D7659">
            <v>42.5</v>
          </cell>
          <cell r="H7659" t="str">
            <v>natural gas peaker</v>
          </cell>
        </row>
        <row r="7660">
          <cell r="C7660" t="str">
            <v>GT</v>
          </cell>
          <cell r="D7660">
            <v>80</v>
          </cell>
          <cell r="H7660" t="str">
            <v>natural gas peaker</v>
          </cell>
        </row>
        <row r="7661">
          <cell r="C7661" t="str">
            <v>GT</v>
          </cell>
          <cell r="D7661">
            <v>80</v>
          </cell>
          <cell r="H7661" t="str">
            <v>natural gas peaker</v>
          </cell>
        </row>
        <row r="7662">
          <cell r="C7662" t="str">
            <v>CT</v>
          </cell>
          <cell r="D7662">
            <v>145.1</v>
          </cell>
          <cell r="H7662" t="str">
            <v>natural gas nonpeaker</v>
          </cell>
        </row>
        <row r="7663">
          <cell r="C7663" t="str">
            <v>CA</v>
          </cell>
          <cell r="D7663">
            <v>75.900000000000006</v>
          </cell>
          <cell r="H7663" t="str">
            <v>natural gas nonpeaker</v>
          </cell>
        </row>
        <row r="7664">
          <cell r="C7664" t="str">
            <v>HY</v>
          </cell>
          <cell r="D7664">
            <v>63</v>
          </cell>
          <cell r="H7664" t="str">
            <v>hydro</v>
          </cell>
        </row>
        <row r="7665">
          <cell r="C7665" t="str">
            <v>HY</v>
          </cell>
          <cell r="D7665">
            <v>63</v>
          </cell>
          <cell r="H7665" t="str">
            <v>hydro</v>
          </cell>
        </row>
        <row r="7666">
          <cell r="C7666" t="str">
            <v>ST</v>
          </cell>
          <cell r="D7666">
            <v>25</v>
          </cell>
          <cell r="H7666" t="str">
            <v>geothermal</v>
          </cell>
        </row>
        <row r="7667">
          <cell r="C7667" t="str">
            <v>ST</v>
          </cell>
          <cell r="D7667">
            <v>22</v>
          </cell>
          <cell r="H7667" t="str">
            <v>geothermal</v>
          </cell>
        </row>
        <row r="7668">
          <cell r="C7668" t="str">
            <v>ST</v>
          </cell>
          <cell r="D7668">
            <v>25</v>
          </cell>
          <cell r="H7668" t="str">
            <v>geothermal</v>
          </cell>
        </row>
        <row r="7669">
          <cell r="C7669" t="str">
            <v>ST</v>
          </cell>
          <cell r="D7669">
            <v>41</v>
          </cell>
          <cell r="H7669" t="str">
            <v>geothermal</v>
          </cell>
        </row>
        <row r="7670">
          <cell r="C7670" t="str">
            <v>HY</v>
          </cell>
          <cell r="D7670">
            <v>1.2</v>
          </cell>
          <cell r="H7670" t="str">
            <v>hydro</v>
          </cell>
        </row>
        <row r="7671">
          <cell r="C7671" t="str">
            <v>HY</v>
          </cell>
          <cell r="D7671">
            <v>11.4</v>
          </cell>
          <cell r="H7671" t="str">
            <v>hydro</v>
          </cell>
        </row>
        <row r="7672">
          <cell r="C7672" t="str">
            <v>CT</v>
          </cell>
          <cell r="D7672">
            <v>179</v>
          </cell>
          <cell r="H7672" t="str">
            <v>natural gas nonpeaker</v>
          </cell>
        </row>
        <row r="7673">
          <cell r="C7673" t="str">
            <v>CT</v>
          </cell>
          <cell r="D7673">
            <v>179</v>
          </cell>
          <cell r="H7673" t="str">
            <v>natural gas nonpeaker</v>
          </cell>
        </row>
        <row r="7674">
          <cell r="C7674" t="str">
            <v>GT</v>
          </cell>
          <cell r="D7674">
            <v>54</v>
          </cell>
          <cell r="H7674" t="str">
            <v>natural gas peaker</v>
          </cell>
        </row>
        <row r="7675">
          <cell r="C7675" t="str">
            <v>GT</v>
          </cell>
          <cell r="D7675">
            <v>54</v>
          </cell>
          <cell r="H7675" t="str">
            <v>natural gas peaker</v>
          </cell>
        </row>
        <row r="7676">
          <cell r="C7676" t="str">
            <v>GT</v>
          </cell>
          <cell r="D7676">
            <v>54</v>
          </cell>
          <cell r="H7676" t="str">
            <v>natural gas peaker</v>
          </cell>
        </row>
        <row r="7677">
          <cell r="C7677" t="str">
            <v>GT</v>
          </cell>
          <cell r="D7677">
            <v>54</v>
          </cell>
          <cell r="H7677" t="str">
            <v>natural gas peaker</v>
          </cell>
        </row>
        <row r="7678">
          <cell r="C7678" t="str">
            <v>GT</v>
          </cell>
          <cell r="D7678">
            <v>54</v>
          </cell>
          <cell r="H7678" t="str">
            <v>natural gas peaker</v>
          </cell>
        </row>
        <row r="7679">
          <cell r="C7679" t="str">
            <v>CA</v>
          </cell>
          <cell r="D7679">
            <v>188</v>
          </cell>
          <cell r="H7679" t="str">
            <v>natural gas nonpeaker</v>
          </cell>
        </row>
        <row r="7680">
          <cell r="C7680" t="str">
            <v>WT</v>
          </cell>
          <cell r="D7680">
            <v>5.2</v>
          </cell>
          <cell r="H7680" t="str">
            <v>onshore wind</v>
          </cell>
        </row>
        <row r="7681">
          <cell r="C7681" t="str">
            <v>IC</v>
          </cell>
          <cell r="D7681">
            <v>7</v>
          </cell>
          <cell r="H7681" t="str">
            <v>natural gas peaker</v>
          </cell>
        </row>
        <row r="7682">
          <cell r="C7682" t="str">
            <v>IC</v>
          </cell>
          <cell r="D7682">
            <v>7</v>
          </cell>
          <cell r="H7682" t="str">
            <v>natural gas peaker</v>
          </cell>
        </row>
        <row r="7683">
          <cell r="C7683" t="str">
            <v>IC</v>
          </cell>
          <cell r="D7683">
            <v>6.6</v>
          </cell>
          <cell r="H7683" t="str">
            <v>natural gas peaker</v>
          </cell>
        </row>
        <row r="7684">
          <cell r="C7684" t="str">
            <v>IC</v>
          </cell>
          <cell r="D7684">
            <v>6.6</v>
          </cell>
          <cell r="H7684" t="str">
            <v>petroleum</v>
          </cell>
        </row>
        <row r="7685">
          <cell r="C7685" t="str">
            <v>IC</v>
          </cell>
          <cell r="D7685">
            <v>6.6</v>
          </cell>
          <cell r="H7685" t="str">
            <v>natural gas peaker</v>
          </cell>
        </row>
        <row r="7686">
          <cell r="C7686" t="str">
            <v>HY</v>
          </cell>
          <cell r="D7686">
            <v>0.3</v>
          </cell>
          <cell r="H7686" t="str">
            <v>hydro</v>
          </cell>
        </row>
        <row r="7687">
          <cell r="C7687" t="str">
            <v>HY</v>
          </cell>
          <cell r="D7687">
            <v>0.3</v>
          </cell>
          <cell r="H7687" t="str">
            <v>hydro</v>
          </cell>
        </row>
        <row r="7688">
          <cell r="C7688" t="str">
            <v>HY</v>
          </cell>
          <cell r="D7688">
            <v>0.3</v>
          </cell>
          <cell r="H7688" t="str">
            <v>hydro</v>
          </cell>
        </row>
        <row r="7689">
          <cell r="C7689" t="str">
            <v>IC</v>
          </cell>
          <cell r="D7689">
            <v>2.8</v>
          </cell>
          <cell r="H7689" t="str">
            <v>petroleum</v>
          </cell>
        </row>
        <row r="7690">
          <cell r="C7690" t="str">
            <v>IC</v>
          </cell>
          <cell r="D7690">
            <v>2.8</v>
          </cell>
          <cell r="H7690" t="str">
            <v>petroleum</v>
          </cell>
        </row>
        <row r="7691">
          <cell r="C7691" t="str">
            <v>IC</v>
          </cell>
          <cell r="D7691">
            <v>2.8</v>
          </cell>
          <cell r="H7691" t="str">
            <v>petroleum</v>
          </cell>
        </row>
        <row r="7692">
          <cell r="C7692" t="str">
            <v>IC</v>
          </cell>
          <cell r="D7692">
            <v>2.1</v>
          </cell>
          <cell r="H7692" t="str">
            <v>natural gas peaker</v>
          </cell>
        </row>
        <row r="7693">
          <cell r="C7693" t="str">
            <v>IC</v>
          </cell>
          <cell r="D7693">
            <v>2.1</v>
          </cell>
          <cell r="H7693" t="str">
            <v>natural gas peaker</v>
          </cell>
        </row>
        <row r="7694">
          <cell r="C7694" t="str">
            <v>IC</v>
          </cell>
          <cell r="D7694">
            <v>2.9</v>
          </cell>
          <cell r="H7694" t="str">
            <v>natural gas peaker</v>
          </cell>
        </row>
        <row r="7695">
          <cell r="C7695" t="str">
            <v>IC</v>
          </cell>
          <cell r="D7695">
            <v>5.5</v>
          </cell>
          <cell r="H7695" t="str">
            <v>natural gas peaker</v>
          </cell>
        </row>
        <row r="7696">
          <cell r="C7696" t="str">
            <v>IC</v>
          </cell>
          <cell r="D7696">
            <v>6.5</v>
          </cell>
          <cell r="H7696" t="str">
            <v>natural gas peaker</v>
          </cell>
        </row>
        <row r="7697">
          <cell r="C7697" t="str">
            <v>IC</v>
          </cell>
          <cell r="D7697">
            <v>7.5</v>
          </cell>
          <cell r="H7697" t="str">
            <v>natural gas peaker</v>
          </cell>
        </row>
        <row r="7698">
          <cell r="C7698" t="str">
            <v>IC</v>
          </cell>
          <cell r="D7698">
            <v>7.5</v>
          </cell>
          <cell r="H7698" t="str">
            <v>natural gas peaker</v>
          </cell>
        </row>
        <row r="7699">
          <cell r="C7699" t="str">
            <v>IC</v>
          </cell>
          <cell r="D7699">
            <v>0.8</v>
          </cell>
          <cell r="H7699" t="str">
            <v>petroleum</v>
          </cell>
        </row>
        <row r="7700">
          <cell r="C7700" t="str">
            <v>IC</v>
          </cell>
          <cell r="D7700">
            <v>0.8</v>
          </cell>
          <cell r="H7700" t="str">
            <v>petroleum</v>
          </cell>
        </row>
        <row r="7701">
          <cell r="C7701" t="str">
            <v>IC</v>
          </cell>
          <cell r="D7701">
            <v>1.8</v>
          </cell>
          <cell r="H7701" t="str">
            <v>petroleum</v>
          </cell>
        </row>
        <row r="7702">
          <cell r="C7702" t="str">
            <v>IC</v>
          </cell>
          <cell r="D7702">
            <v>1.8</v>
          </cell>
          <cell r="H7702" t="str">
            <v>petroleum</v>
          </cell>
        </row>
        <row r="7703">
          <cell r="C7703" t="str">
            <v>IC</v>
          </cell>
          <cell r="D7703">
            <v>3</v>
          </cell>
          <cell r="H7703" t="str">
            <v>petroleum</v>
          </cell>
        </row>
        <row r="7704">
          <cell r="C7704" t="str">
            <v>IC</v>
          </cell>
          <cell r="D7704">
            <v>1.6</v>
          </cell>
          <cell r="H7704" t="str">
            <v>petroleum</v>
          </cell>
        </row>
        <row r="7705">
          <cell r="C7705" t="str">
            <v>IC</v>
          </cell>
          <cell r="D7705">
            <v>1.6</v>
          </cell>
          <cell r="H7705" t="str">
            <v>petroleum</v>
          </cell>
        </row>
        <row r="7706">
          <cell r="C7706" t="str">
            <v>IC</v>
          </cell>
          <cell r="D7706">
            <v>1.6</v>
          </cell>
          <cell r="H7706" t="str">
            <v>petroleum</v>
          </cell>
        </row>
        <row r="7707">
          <cell r="C7707" t="str">
            <v>IC</v>
          </cell>
          <cell r="D7707">
            <v>1.6</v>
          </cell>
          <cell r="H7707" t="str">
            <v>petroleum</v>
          </cell>
        </row>
        <row r="7708">
          <cell r="C7708" t="str">
            <v>IC</v>
          </cell>
          <cell r="D7708">
            <v>1.8</v>
          </cell>
          <cell r="H7708" t="str">
            <v>petroleum</v>
          </cell>
        </row>
        <row r="7709">
          <cell r="C7709" t="str">
            <v>IC</v>
          </cell>
          <cell r="D7709">
            <v>2.6</v>
          </cell>
          <cell r="H7709" t="str">
            <v>natural gas peaker</v>
          </cell>
        </row>
        <row r="7710">
          <cell r="C7710" t="str">
            <v>IC</v>
          </cell>
          <cell r="D7710">
            <v>2.6</v>
          </cell>
          <cell r="H7710" t="str">
            <v>natural gas peaker</v>
          </cell>
        </row>
        <row r="7711">
          <cell r="C7711" t="str">
            <v>IC</v>
          </cell>
          <cell r="D7711">
            <v>2</v>
          </cell>
          <cell r="H7711" t="str">
            <v>natural gas peaker</v>
          </cell>
        </row>
        <row r="7712">
          <cell r="C7712" t="str">
            <v>IC</v>
          </cell>
          <cell r="D7712">
            <v>2</v>
          </cell>
          <cell r="H7712" t="str">
            <v>natural gas peaker</v>
          </cell>
        </row>
        <row r="7713">
          <cell r="C7713" t="str">
            <v>IC</v>
          </cell>
          <cell r="D7713">
            <v>0.8</v>
          </cell>
          <cell r="H7713" t="str">
            <v>biomass</v>
          </cell>
        </row>
        <row r="7714">
          <cell r="C7714" t="str">
            <v>IC</v>
          </cell>
          <cell r="D7714">
            <v>0.8</v>
          </cell>
          <cell r="H7714" t="str">
            <v>biomass</v>
          </cell>
        </row>
        <row r="7715">
          <cell r="C7715" t="str">
            <v>IC</v>
          </cell>
          <cell r="D7715">
            <v>0.8</v>
          </cell>
          <cell r="H7715" t="str">
            <v>biomass</v>
          </cell>
        </row>
        <row r="7716">
          <cell r="C7716" t="str">
            <v>IC</v>
          </cell>
          <cell r="D7716">
            <v>0.8</v>
          </cell>
          <cell r="H7716" t="str">
            <v>biomass</v>
          </cell>
        </row>
        <row r="7717">
          <cell r="C7717" t="str">
            <v>IC</v>
          </cell>
          <cell r="D7717">
            <v>0.6</v>
          </cell>
          <cell r="H7717" t="str">
            <v>petroleum</v>
          </cell>
        </row>
        <row r="7718">
          <cell r="C7718" t="str">
            <v>IC</v>
          </cell>
          <cell r="D7718">
            <v>0.4</v>
          </cell>
          <cell r="H7718" t="str">
            <v>petroleum</v>
          </cell>
        </row>
        <row r="7719">
          <cell r="C7719" t="str">
            <v>IC</v>
          </cell>
          <cell r="D7719">
            <v>1</v>
          </cell>
          <cell r="H7719" t="str">
            <v>petroleum</v>
          </cell>
        </row>
        <row r="7720">
          <cell r="C7720" t="str">
            <v>IC</v>
          </cell>
          <cell r="D7720">
            <v>2</v>
          </cell>
          <cell r="H7720" t="str">
            <v>petroleum</v>
          </cell>
        </row>
        <row r="7721">
          <cell r="C7721" t="str">
            <v>GT</v>
          </cell>
          <cell r="D7721">
            <v>104.3</v>
          </cell>
          <cell r="H7721" t="str">
            <v>natural gas peaker</v>
          </cell>
        </row>
        <row r="7722">
          <cell r="C7722" t="str">
            <v>HY</v>
          </cell>
          <cell r="D7722">
            <v>35</v>
          </cell>
          <cell r="H7722" t="str">
            <v>hydro</v>
          </cell>
        </row>
        <row r="7723">
          <cell r="C7723" t="str">
            <v>HY</v>
          </cell>
          <cell r="D7723">
            <v>35</v>
          </cell>
          <cell r="H7723" t="str">
            <v>hydro</v>
          </cell>
        </row>
        <row r="7724">
          <cell r="C7724" t="str">
            <v>IC</v>
          </cell>
          <cell r="D7724">
            <v>1.2</v>
          </cell>
          <cell r="H7724" t="str">
            <v>petroleum</v>
          </cell>
        </row>
        <row r="7725">
          <cell r="C7725" t="str">
            <v>IC</v>
          </cell>
          <cell r="D7725">
            <v>1.2</v>
          </cell>
          <cell r="H7725" t="str">
            <v>petroleum</v>
          </cell>
        </row>
        <row r="7726">
          <cell r="C7726" t="str">
            <v>HY</v>
          </cell>
          <cell r="D7726">
            <v>5</v>
          </cell>
          <cell r="H7726" t="str">
            <v>hydro</v>
          </cell>
        </row>
        <row r="7727">
          <cell r="C7727" t="str">
            <v>IC</v>
          </cell>
          <cell r="D7727">
            <v>1.6</v>
          </cell>
          <cell r="H7727" t="str">
            <v>petroleum</v>
          </cell>
        </row>
        <row r="7728">
          <cell r="C7728" t="str">
            <v>IC</v>
          </cell>
          <cell r="D7728">
            <v>1.6</v>
          </cell>
          <cell r="H7728" t="str">
            <v>petroleum</v>
          </cell>
        </row>
        <row r="7729">
          <cell r="C7729" t="str">
            <v>IC</v>
          </cell>
          <cell r="D7729">
            <v>1.6</v>
          </cell>
          <cell r="H7729" t="str">
            <v>petroleum</v>
          </cell>
        </row>
        <row r="7730">
          <cell r="C7730" t="str">
            <v>IC</v>
          </cell>
          <cell r="D7730">
            <v>3.6</v>
          </cell>
          <cell r="H7730" t="str">
            <v>petroleum</v>
          </cell>
        </row>
        <row r="7731">
          <cell r="C7731" t="str">
            <v>IC</v>
          </cell>
          <cell r="D7731">
            <v>3.6</v>
          </cell>
          <cell r="H7731" t="str">
            <v>petroleum</v>
          </cell>
        </row>
        <row r="7732">
          <cell r="C7732" t="str">
            <v>IC</v>
          </cell>
          <cell r="D7732">
            <v>3.6</v>
          </cell>
          <cell r="H7732" t="str">
            <v>petroleum</v>
          </cell>
        </row>
        <row r="7733">
          <cell r="C7733" t="str">
            <v>IC</v>
          </cell>
          <cell r="D7733">
            <v>3.6</v>
          </cell>
          <cell r="H7733" t="str">
            <v>petroleum</v>
          </cell>
        </row>
        <row r="7734">
          <cell r="C7734" t="str">
            <v>IC</v>
          </cell>
          <cell r="D7734">
            <v>3.6</v>
          </cell>
          <cell r="H7734" t="str">
            <v>petroleum</v>
          </cell>
        </row>
        <row r="7735">
          <cell r="C7735" t="str">
            <v>IC</v>
          </cell>
          <cell r="D7735">
            <v>0.8</v>
          </cell>
          <cell r="H7735" t="str">
            <v>petroleum</v>
          </cell>
        </row>
        <row r="7736">
          <cell r="C7736" t="str">
            <v>IC</v>
          </cell>
          <cell r="D7736">
            <v>0.5</v>
          </cell>
          <cell r="H7736" t="str">
            <v>petroleum</v>
          </cell>
        </row>
        <row r="7737">
          <cell r="C7737" t="str">
            <v>IC</v>
          </cell>
          <cell r="D7737">
            <v>0.8</v>
          </cell>
          <cell r="H7737" t="str">
            <v>petroleum</v>
          </cell>
        </row>
        <row r="7738">
          <cell r="C7738" t="str">
            <v>IC</v>
          </cell>
          <cell r="D7738">
            <v>1</v>
          </cell>
          <cell r="H7738" t="str">
            <v>petroleum</v>
          </cell>
        </row>
        <row r="7739">
          <cell r="C7739" t="str">
            <v>IC</v>
          </cell>
          <cell r="D7739">
            <v>0.8</v>
          </cell>
          <cell r="H7739" t="str">
            <v>petroleum</v>
          </cell>
        </row>
        <row r="7740">
          <cell r="C7740" t="str">
            <v>IC</v>
          </cell>
          <cell r="D7740">
            <v>1</v>
          </cell>
          <cell r="H7740" t="str">
            <v>petroleum</v>
          </cell>
        </row>
        <row r="7741">
          <cell r="C7741" t="str">
            <v>IC</v>
          </cell>
          <cell r="D7741">
            <v>1.5</v>
          </cell>
          <cell r="H7741" t="str">
            <v>petroleum</v>
          </cell>
        </row>
        <row r="7742">
          <cell r="C7742" t="str">
            <v>IC</v>
          </cell>
          <cell r="D7742">
            <v>1.5</v>
          </cell>
          <cell r="H7742" t="str">
            <v>petroleum</v>
          </cell>
        </row>
        <row r="7743">
          <cell r="C7743" t="str">
            <v>IC</v>
          </cell>
          <cell r="D7743">
            <v>1.5</v>
          </cell>
          <cell r="H7743" t="str">
            <v>petroleum</v>
          </cell>
        </row>
        <row r="7744">
          <cell r="C7744" t="str">
            <v>IC</v>
          </cell>
          <cell r="D7744">
            <v>1.5</v>
          </cell>
          <cell r="H7744" t="str">
            <v>petroleum</v>
          </cell>
        </row>
        <row r="7745">
          <cell r="C7745" t="str">
            <v>IC</v>
          </cell>
          <cell r="D7745">
            <v>1.5</v>
          </cell>
          <cell r="H7745" t="str">
            <v>petroleum</v>
          </cell>
        </row>
        <row r="7746">
          <cell r="C7746" t="str">
            <v>IC</v>
          </cell>
          <cell r="D7746">
            <v>1.5</v>
          </cell>
          <cell r="H7746" t="str">
            <v>petroleum</v>
          </cell>
        </row>
        <row r="7747">
          <cell r="C7747" t="str">
            <v>IC</v>
          </cell>
          <cell r="D7747">
            <v>1.5</v>
          </cell>
          <cell r="H7747" t="str">
            <v>petroleum</v>
          </cell>
        </row>
        <row r="7748">
          <cell r="C7748" t="str">
            <v>IC</v>
          </cell>
          <cell r="D7748">
            <v>1.5</v>
          </cell>
          <cell r="H7748" t="str">
            <v>petroleum</v>
          </cell>
        </row>
        <row r="7749">
          <cell r="C7749" t="str">
            <v>IC</v>
          </cell>
          <cell r="D7749">
            <v>1.5</v>
          </cell>
          <cell r="H7749" t="str">
            <v>petroleum</v>
          </cell>
        </row>
        <row r="7750">
          <cell r="C7750" t="str">
            <v>IC</v>
          </cell>
          <cell r="D7750">
            <v>1.5</v>
          </cell>
          <cell r="H7750" t="str">
            <v>petroleum</v>
          </cell>
        </row>
        <row r="7751">
          <cell r="C7751" t="str">
            <v>IC</v>
          </cell>
          <cell r="D7751">
            <v>1.5</v>
          </cell>
          <cell r="H7751" t="str">
            <v>petroleum</v>
          </cell>
        </row>
        <row r="7752">
          <cell r="C7752" t="str">
            <v>IC</v>
          </cell>
          <cell r="D7752">
            <v>1.5</v>
          </cell>
          <cell r="H7752" t="str">
            <v>petroleum</v>
          </cell>
        </row>
        <row r="7753">
          <cell r="C7753" t="str">
            <v>IC</v>
          </cell>
          <cell r="D7753">
            <v>1.5</v>
          </cell>
          <cell r="H7753" t="str">
            <v>petroleum</v>
          </cell>
        </row>
        <row r="7754">
          <cell r="C7754" t="str">
            <v>IC</v>
          </cell>
          <cell r="D7754">
            <v>1.8</v>
          </cell>
          <cell r="H7754" t="str">
            <v>petroleum</v>
          </cell>
        </row>
        <row r="7755">
          <cell r="C7755" t="str">
            <v>IC</v>
          </cell>
          <cell r="D7755">
            <v>1.5</v>
          </cell>
          <cell r="H7755" t="str">
            <v>petroleum</v>
          </cell>
        </row>
        <row r="7756">
          <cell r="C7756" t="str">
            <v>IC</v>
          </cell>
          <cell r="D7756">
            <v>1.5</v>
          </cell>
          <cell r="H7756" t="str">
            <v>petroleum</v>
          </cell>
        </row>
        <row r="7757">
          <cell r="C7757" t="str">
            <v>IC</v>
          </cell>
          <cell r="D7757">
            <v>1.5</v>
          </cell>
          <cell r="H7757" t="str">
            <v>petroleum</v>
          </cell>
        </row>
        <row r="7758">
          <cell r="C7758" t="str">
            <v>IC</v>
          </cell>
          <cell r="D7758">
            <v>1.5</v>
          </cell>
          <cell r="H7758" t="str">
            <v>petroleum</v>
          </cell>
        </row>
        <row r="7759">
          <cell r="C7759" t="str">
            <v>IC</v>
          </cell>
          <cell r="D7759">
            <v>7.6</v>
          </cell>
          <cell r="H7759" t="str">
            <v>natural gas peaker</v>
          </cell>
        </row>
        <row r="7760">
          <cell r="C7760" t="str">
            <v>IC</v>
          </cell>
          <cell r="D7760">
            <v>7.6</v>
          </cell>
          <cell r="H7760" t="str">
            <v>natural gas peaker</v>
          </cell>
        </row>
        <row r="7761">
          <cell r="C7761" t="str">
            <v>GT</v>
          </cell>
          <cell r="D7761">
            <v>49.3</v>
          </cell>
          <cell r="H7761" t="str">
            <v>natural gas peaker</v>
          </cell>
        </row>
        <row r="7762">
          <cell r="C7762" t="str">
            <v>GT</v>
          </cell>
          <cell r="D7762">
            <v>24.9</v>
          </cell>
          <cell r="H7762" t="str">
            <v>natural gas peaker</v>
          </cell>
        </row>
        <row r="7763">
          <cell r="C7763" t="str">
            <v>GT</v>
          </cell>
          <cell r="D7763">
            <v>24.9</v>
          </cell>
          <cell r="H7763" t="str">
            <v>natural gas peaker</v>
          </cell>
        </row>
        <row r="7764">
          <cell r="C7764" t="str">
            <v>GT</v>
          </cell>
          <cell r="D7764">
            <v>25.2</v>
          </cell>
          <cell r="H7764" t="str">
            <v>natural gas peaker</v>
          </cell>
        </row>
        <row r="7765">
          <cell r="C7765" t="str">
            <v>GT</v>
          </cell>
          <cell r="D7765">
            <v>21.2</v>
          </cell>
          <cell r="H7765" t="str">
            <v>natural gas peaker</v>
          </cell>
        </row>
        <row r="7766">
          <cell r="C7766" t="str">
            <v>GT</v>
          </cell>
          <cell r="D7766">
            <v>21.2</v>
          </cell>
          <cell r="H7766" t="str">
            <v>natural gas peaker</v>
          </cell>
        </row>
        <row r="7767">
          <cell r="C7767" t="str">
            <v>GT</v>
          </cell>
          <cell r="D7767">
            <v>66</v>
          </cell>
          <cell r="H7767" t="str">
            <v>natural gas peaker</v>
          </cell>
        </row>
        <row r="7768">
          <cell r="C7768" t="str">
            <v>GT</v>
          </cell>
          <cell r="D7768">
            <v>66</v>
          </cell>
          <cell r="H7768" t="str">
            <v>natural gas peaker</v>
          </cell>
        </row>
        <row r="7769">
          <cell r="C7769" t="str">
            <v>HY</v>
          </cell>
          <cell r="D7769">
            <v>4.5</v>
          </cell>
          <cell r="H7769" t="str">
            <v>hydro</v>
          </cell>
        </row>
        <row r="7770">
          <cell r="C7770" t="str">
            <v>IC</v>
          </cell>
          <cell r="D7770">
            <v>0.5</v>
          </cell>
          <cell r="H7770" t="str">
            <v>petroleum</v>
          </cell>
        </row>
        <row r="7771">
          <cell r="C7771" t="str">
            <v>IC</v>
          </cell>
          <cell r="D7771">
            <v>0.5</v>
          </cell>
          <cell r="H7771" t="str">
            <v>petroleum</v>
          </cell>
        </row>
        <row r="7772">
          <cell r="C7772" t="str">
            <v>IC</v>
          </cell>
          <cell r="D7772">
            <v>0.5</v>
          </cell>
          <cell r="H7772" t="str">
            <v>petroleum</v>
          </cell>
        </row>
        <row r="7773">
          <cell r="C7773" t="str">
            <v>IC</v>
          </cell>
          <cell r="D7773">
            <v>1</v>
          </cell>
          <cell r="H7773" t="str">
            <v>petroleum</v>
          </cell>
        </row>
        <row r="7774">
          <cell r="C7774" t="str">
            <v>IC</v>
          </cell>
          <cell r="D7774">
            <v>0.5</v>
          </cell>
          <cell r="H7774" t="str">
            <v>petroleum</v>
          </cell>
        </row>
        <row r="7775">
          <cell r="C7775" t="str">
            <v>IC</v>
          </cell>
          <cell r="D7775">
            <v>0.5</v>
          </cell>
          <cell r="H7775" t="str">
            <v>petroleum</v>
          </cell>
        </row>
        <row r="7776">
          <cell r="C7776" t="str">
            <v>IC</v>
          </cell>
          <cell r="D7776">
            <v>0.5</v>
          </cell>
          <cell r="H7776" t="str">
            <v>petroleum</v>
          </cell>
        </row>
        <row r="7777">
          <cell r="C7777" t="str">
            <v>IC</v>
          </cell>
          <cell r="D7777">
            <v>1.1000000000000001</v>
          </cell>
          <cell r="H7777" t="str">
            <v>petroleum</v>
          </cell>
        </row>
        <row r="7778">
          <cell r="C7778" t="str">
            <v>IC</v>
          </cell>
          <cell r="D7778">
            <v>0.5</v>
          </cell>
          <cell r="H7778" t="str">
            <v>petroleum</v>
          </cell>
        </row>
        <row r="7779">
          <cell r="C7779" t="str">
            <v>IC</v>
          </cell>
          <cell r="D7779">
            <v>0.5</v>
          </cell>
          <cell r="H7779" t="str">
            <v>petroleum</v>
          </cell>
        </row>
        <row r="7780">
          <cell r="C7780" t="str">
            <v>IC</v>
          </cell>
          <cell r="D7780">
            <v>0.5</v>
          </cell>
          <cell r="H7780" t="str">
            <v>petroleum</v>
          </cell>
        </row>
        <row r="7781">
          <cell r="C7781" t="str">
            <v>IC</v>
          </cell>
          <cell r="D7781">
            <v>1.7</v>
          </cell>
          <cell r="H7781" t="str">
            <v>petroleum</v>
          </cell>
        </row>
        <row r="7782">
          <cell r="C7782" t="str">
            <v>IC</v>
          </cell>
          <cell r="D7782">
            <v>1</v>
          </cell>
          <cell r="H7782" t="str">
            <v>petroleum</v>
          </cell>
        </row>
        <row r="7783">
          <cell r="C7783" t="str">
            <v>IC</v>
          </cell>
          <cell r="D7783">
            <v>0.9</v>
          </cell>
          <cell r="H7783" t="str">
            <v>petroleum</v>
          </cell>
        </row>
        <row r="7784">
          <cell r="C7784" t="str">
            <v>IC</v>
          </cell>
          <cell r="D7784">
            <v>1</v>
          </cell>
          <cell r="H7784" t="str">
            <v>petroleum</v>
          </cell>
        </row>
        <row r="7785">
          <cell r="C7785" t="str">
            <v>IC</v>
          </cell>
          <cell r="D7785">
            <v>1</v>
          </cell>
          <cell r="H7785" t="str">
            <v>petroleum</v>
          </cell>
        </row>
        <row r="7786">
          <cell r="C7786" t="str">
            <v>IC</v>
          </cell>
          <cell r="D7786">
            <v>3</v>
          </cell>
          <cell r="H7786" t="str">
            <v>petroleum</v>
          </cell>
        </row>
        <row r="7787">
          <cell r="C7787" t="str">
            <v>IC</v>
          </cell>
          <cell r="D7787">
            <v>2</v>
          </cell>
          <cell r="H7787" t="str">
            <v>petroleum</v>
          </cell>
        </row>
        <row r="7788">
          <cell r="C7788" t="str">
            <v>IC</v>
          </cell>
          <cell r="D7788">
            <v>2</v>
          </cell>
          <cell r="H7788" t="str">
            <v>petroleum</v>
          </cell>
        </row>
        <row r="7789">
          <cell r="C7789" t="str">
            <v>HY</v>
          </cell>
          <cell r="D7789">
            <v>1</v>
          </cell>
          <cell r="H7789" t="str">
            <v>hydro</v>
          </cell>
        </row>
        <row r="7790">
          <cell r="C7790" t="str">
            <v>HY</v>
          </cell>
          <cell r="D7790">
            <v>1</v>
          </cell>
          <cell r="H7790" t="str">
            <v>hydro</v>
          </cell>
        </row>
        <row r="7791">
          <cell r="C7791" t="str">
            <v>IC</v>
          </cell>
          <cell r="D7791">
            <v>6.5</v>
          </cell>
          <cell r="H7791" t="str">
            <v>petroleum</v>
          </cell>
        </row>
        <row r="7792">
          <cell r="C7792" t="str">
            <v>IC</v>
          </cell>
          <cell r="D7792">
            <v>6.5</v>
          </cell>
          <cell r="H7792" t="str">
            <v>petroleum</v>
          </cell>
        </row>
        <row r="7793">
          <cell r="C7793" t="str">
            <v>GT</v>
          </cell>
          <cell r="D7793">
            <v>4.2</v>
          </cell>
          <cell r="H7793" t="str">
            <v>natural gas peaker</v>
          </cell>
        </row>
        <row r="7794">
          <cell r="C7794" t="str">
            <v>GT</v>
          </cell>
          <cell r="D7794">
            <v>4.2</v>
          </cell>
          <cell r="H7794" t="str">
            <v>natural gas peaker</v>
          </cell>
        </row>
        <row r="7795">
          <cell r="C7795" t="str">
            <v>IC</v>
          </cell>
          <cell r="D7795">
            <v>0.9</v>
          </cell>
          <cell r="H7795" t="str">
            <v>petroleum</v>
          </cell>
        </row>
        <row r="7796">
          <cell r="C7796" t="str">
            <v>IC</v>
          </cell>
          <cell r="D7796">
            <v>0.4</v>
          </cell>
          <cell r="H7796" t="str">
            <v>petroleum</v>
          </cell>
        </row>
        <row r="7797">
          <cell r="C7797" t="str">
            <v>IC</v>
          </cell>
          <cell r="D7797">
            <v>0.9</v>
          </cell>
          <cell r="H7797" t="str">
            <v>petroleum</v>
          </cell>
        </row>
        <row r="7798">
          <cell r="C7798" t="str">
            <v>IC</v>
          </cell>
          <cell r="D7798">
            <v>0.9</v>
          </cell>
          <cell r="H7798" t="str">
            <v>petroleum</v>
          </cell>
        </row>
        <row r="7799">
          <cell r="C7799" t="str">
            <v>IC</v>
          </cell>
          <cell r="D7799">
            <v>0.4</v>
          </cell>
          <cell r="H7799" t="str">
            <v>petroleum</v>
          </cell>
        </row>
        <row r="7800">
          <cell r="C7800" t="str">
            <v>IC</v>
          </cell>
          <cell r="D7800">
            <v>0.4</v>
          </cell>
          <cell r="H7800" t="str">
            <v>petroleum</v>
          </cell>
        </row>
        <row r="7801">
          <cell r="C7801" t="str">
            <v>IC</v>
          </cell>
          <cell r="D7801">
            <v>0.6</v>
          </cell>
          <cell r="H7801" t="str">
            <v>petroleum</v>
          </cell>
        </row>
        <row r="7802">
          <cell r="C7802" t="str">
            <v>IC</v>
          </cell>
          <cell r="D7802">
            <v>0.9</v>
          </cell>
          <cell r="H7802" t="str">
            <v>petroleum</v>
          </cell>
        </row>
        <row r="7803">
          <cell r="C7803" t="str">
            <v>IC</v>
          </cell>
          <cell r="D7803">
            <v>0.9</v>
          </cell>
          <cell r="H7803" t="str">
            <v>petroleum</v>
          </cell>
        </row>
        <row r="7804">
          <cell r="C7804" t="str">
            <v>IC</v>
          </cell>
          <cell r="D7804">
            <v>0.4</v>
          </cell>
          <cell r="H7804" t="str">
            <v>petroleum</v>
          </cell>
        </row>
        <row r="7805">
          <cell r="C7805" t="str">
            <v>IC</v>
          </cell>
          <cell r="D7805">
            <v>0.4</v>
          </cell>
          <cell r="H7805" t="str">
            <v>petroleum</v>
          </cell>
        </row>
        <row r="7806">
          <cell r="C7806" t="str">
            <v>IC</v>
          </cell>
          <cell r="D7806">
            <v>0.9</v>
          </cell>
          <cell r="H7806" t="str">
            <v>petroleum</v>
          </cell>
        </row>
        <row r="7807">
          <cell r="C7807" t="str">
            <v>IC</v>
          </cell>
          <cell r="D7807">
            <v>0.9</v>
          </cell>
          <cell r="H7807" t="str">
            <v>petroleum</v>
          </cell>
        </row>
        <row r="7808">
          <cell r="C7808" t="str">
            <v>IC</v>
          </cell>
          <cell r="D7808">
            <v>0.4</v>
          </cell>
          <cell r="H7808" t="str">
            <v>petroleum</v>
          </cell>
        </row>
        <row r="7809">
          <cell r="C7809" t="str">
            <v>IC</v>
          </cell>
          <cell r="D7809">
            <v>0.6</v>
          </cell>
          <cell r="H7809" t="str">
            <v>natural gas peaker</v>
          </cell>
        </row>
        <row r="7810">
          <cell r="C7810" t="str">
            <v>IC</v>
          </cell>
          <cell r="D7810">
            <v>0.8</v>
          </cell>
          <cell r="H7810" t="str">
            <v>natural gas peaker</v>
          </cell>
        </row>
        <row r="7811">
          <cell r="C7811" t="str">
            <v>IC</v>
          </cell>
          <cell r="D7811">
            <v>0.8</v>
          </cell>
          <cell r="H7811" t="str">
            <v>natural gas peaker</v>
          </cell>
        </row>
        <row r="7812">
          <cell r="C7812" t="str">
            <v>IC</v>
          </cell>
          <cell r="D7812">
            <v>1</v>
          </cell>
          <cell r="H7812" t="str">
            <v>petroleum</v>
          </cell>
        </row>
        <row r="7813">
          <cell r="C7813" t="str">
            <v>IC</v>
          </cell>
          <cell r="D7813">
            <v>0.6</v>
          </cell>
          <cell r="H7813" t="str">
            <v>petroleum</v>
          </cell>
        </row>
        <row r="7814">
          <cell r="C7814" t="str">
            <v>IC</v>
          </cell>
          <cell r="D7814">
            <v>0.6</v>
          </cell>
          <cell r="H7814" t="str">
            <v>petroleum</v>
          </cell>
        </row>
        <row r="7815">
          <cell r="C7815" t="str">
            <v>IC</v>
          </cell>
          <cell r="D7815">
            <v>0.9</v>
          </cell>
          <cell r="H7815" t="str">
            <v>petroleum</v>
          </cell>
        </row>
        <row r="7816">
          <cell r="C7816" t="str">
            <v>IC</v>
          </cell>
          <cell r="D7816">
            <v>0.6</v>
          </cell>
          <cell r="H7816" t="str">
            <v>petroleum</v>
          </cell>
        </row>
        <row r="7817">
          <cell r="C7817" t="str">
            <v>IC</v>
          </cell>
          <cell r="D7817">
            <v>0.6</v>
          </cell>
          <cell r="H7817" t="str">
            <v>petroleum</v>
          </cell>
        </row>
        <row r="7818">
          <cell r="C7818" t="str">
            <v>IC</v>
          </cell>
          <cell r="D7818">
            <v>0.6</v>
          </cell>
          <cell r="H7818" t="str">
            <v>petroleum</v>
          </cell>
        </row>
        <row r="7819">
          <cell r="C7819" t="str">
            <v>IC</v>
          </cell>
          <cell r="D7819">
            <v>0.6</v>
          </cell>
          <cell r="H7819" t="str">
            <v>petroleum</v>
          </cell>
        </row>
        <row r="7820">
          <cell r="C7820" t="str">
            <v>IC</v>
          </cell>
          <cell r="D7820">
            <v>0.3</v>
          </cell>
          <cell r="H7820" t="str">
            <v>petroleum</v>
          </cell>
        </row>
        <row r="7821">
          <cell r="C7821" t="str">
            <v>IC</v>
          </cell>
          <cell r="D7821">
            <v>0.3</v>
          </cell>
          <cell r="H7821" t="str">
            <v>petroleum</v>
          </cell>
        </row>
        <row r="7822">
          <cell r="C7822" t="str">
            <v>IC</v>
          </cell>
          <cell r="D7822">
            <v>0.3</v>
          </cell>
          <cell r="H7822" t="str">
            <v>petroleum</v>
          </cell>
        </row>
        <row r="7823">
          <cell r="C7823" t="str">
            <v>IC</v>
          </cell>
          <cell r="D7823">
            <v>0.9</v>
          </cell>
          <cell r="H7823" t="str">
            <v>petroleum</v>
          </cell>
        </row>
        <row r="7824">
          <cell r="C7824" t="str">
            <v>IC</v>
          </cell>
          <cell r="D7824">
            <v>0.9</v>
          </cell>
          <cell r="H7824" t="str">
            <v>petroleum</v>
          </cell>
        </row>
        <row r="7825">
          <cell r="C7825" t="str">
            <v>IC</v>
          </cell>
          <cell r="D7825">
            <v>0.4</v>
          </cell>
          <cell r="H7825" t="str">
            <v>petroleum</v>
          </cell>
        </row>
        <row r="7826">
          <cell r="C7826" t="str">
            <v>IC</v>
          </cell>
          <cell r="D7826">
            <v>0.4</v>
          </cell>
          <cell r="H7826" t="str">
            <v>petroleum</v>
          </cell>
        </row>
        <row r="7827">
          <cell r="C7827" t="str">
            <v>IC</v>
          </cell>
          <cell r="D7827">
            <v>0.4</v>
          </cell>
          <cell r="H7827" t="str">
            <v>petroleum</v>
          </cell>
        </row>
        <row r="7828">
          <cell r="C7828" t="str">
            <v>IC</v>
          </cell>
          <cell r="D7828">
            <v>0.9</v>
          </cell>
          <cell r="H7828" t="str">
            <v>petroleum</v>
          </cell>
        </row>
        <row r="7829">
          <cell r="C7829" t="str">
            <v>IC</v>
          </cell>
          <cell r="D7829">
            <v>0.9</v>
          </cell>
          <cell r="H7829" t="str">
            <v>petroleum</v>
          </cell>
        </row>
        <row r="7830">
          <cell r="C7830" t="str">
            <v>HY</v>
          </cell>
          <cell r="D7830">
            <v>1</v>
          </cell>
          <cell r="H7830" t="str">
            <v>hydro</v>
          </cell>
        </row>
        <row r="7831">
          <cell r="C7831" t="str">
            <v>HY</v>
          </cell>
          <cell r="D7831">
            <v>2.5</v>
          </cell>
          <cell r="H7831" t="str">
            <v>hydro</v>
          </cell>
        </row>
        <row r="7832">
          <cell r="C7832" t="str">
            <v>IC</v>
          </cell>
          <cell r="D7832">
            <v>0.3</v>
          </cell>
          <cell r="H7832" t="str">
            <v>petroleum</v>
          </cell>
        </row>
        <row r="7833">
          <cell r="C7833" t="str">
            <v>IC</v>
          </cell>
          <cell r="D7833">
            <v>0.4</v>
          </cell>
          <cell r="H7833" t="str">
            <v>petroleum</v>
          </cell>
        </row>
        <row r="7834">
          <cell r="C7834" t="str">
            <v>IC</v>
          </cell>
          <cell r="D7834">
            <v>0.6</v>
          </cell>
          <cell r="H7834" t="str">
            <v>petroleum</v>
          </cell>
        </row>
        <row r="7835">
          <cell r="C7835" t="str">
            <v>HY</v>
          </cell>
          <cell r="D7835">
            <v>0.7</v>
          </cell>
          <cell r="H7835" t="str">
            <v>hydro</v>
          </cell>
        </row>
        <row r="7836">
          <cell r="C7836" t="str">
            <v>IC</v>
          </cell>
          <cell r="D7836">
            <v>0.3</v>
          </cell>
          <cell r="H7836" t="str">
            <v>petroleum</v>
          </cell>
        </row>
        <row r="7837">
          <cell r="C7837" t="str">
            <v>IC</v>
          </cell>
          <cell r="D7837">
            <v>0.6</v>
          </cell>
          <cell r="H7837" t="str">
            <v>petroleum</v>
          </cell>
        </row>
        <row r="7838">
          <cell r="C7838" t="str">
            <v>IC</v>
          </cell>
          <cell r="D7838">
            <v>0.7</v>
          </cell>
          <cell r="H7838" t="str">
            <v>petroleum</v>
          </cell>
        </row>
        <row r="7839">
          <cell r="C7839" t="str">
            <v>IC</v>
          </cell>
          <cell r="D7839">
            <v>1.2</v>
          </cell>
          <cell r="H7839" t="str">
            <v>petroleum</v>
          </cell>
        </row>
        <row r="7840">
          <cell r="C7840" t="str">
            <v>IC</v>
          </cell>
          <cell r="D7840">
            <v>1.3</v>
          </cell>
          <cell r="H7840" t="str">
            <v>petroleum</v>
          </cell>
        </row>
        <row r="7841">
          <cell r="C7841" t="str">
            <v>IC</v>
          </cell>
          <cell r="D7841">
            <v>1.3</v>
          </cell>
          <cell r="H7841" t="str">
            <v>petroleum</v>
          </cell>
        </row>
        <row r="7842">
          <cell r="C7842" t="str">
            <v>WT</v>
          </cell>
          <cell r="D7842">
            <v>3</v>
          </cell>
          <cell r="H7842" t="str">
            <v>onshore wind</v>
          </cell>
        </row>
        <row r="7843">
          <cell r="C7843" t="str">
            <v>IC</v>
          </cell>
          <cell r="D7843">
            <v>4.4000000000000004</v>
          </cell>
          <cell r="H7843" t="str">
            <v>petroleum</v>
          </cell>
        </row>
        <row r="7844">
          <cell r="C7844" t="str">
            <v>IC</v>
          </cell>
          <cell r="D7844">
            <v>4.4000000000000004</v>
          </cell>
          <cell r="H7844" t="str">
            <v>petroleum</v>
          </cell>
        </row>
        <row r="7845">
          <cell r="C7845" t="str">
            <v>IC</v>
          </cell>
          <cell r="D7845">
            <v>3.7</v>
          </cell>
          <cell r="H7845" t="str">
            <v>petroleum</v>
          </cell>
        </row>
        <row r="7846">
          <cell r="C7846" t="str">
            <v>IC</v>
          </cell>
          <cell r="D7846">
            <v>3.7</v>
          </cell>
          <cell r="H7846" t="str">
            <v>petroleum</v>
          </cell>
        </row>
        <row r="7847">
          <cell r="C7847" t="str">
            <v>IC</v>
          </cell>
          <cell r="D7847">
            <v>0.2</v>
          </cell>
          <cell r="H7847" t="str">
            <v>petroleum</v>
          </cell>
        </row>
        <row r="7848">
          <cell r="C7848" t="str">
            <v>IC</v>
          </cell>
          <cell r="D7848">
            <v>1</v>
          </cell>
          <cell r="H7848" t="str">
            <v>petroleum</v>
          </cell>
        </row>
        <row r="7849">
          <cell r="C7849" t="str">
            <v>IC</v>
          </cell>
          <cell r="D7849">
            <v>1</v>
          </cell>
          <cell r="H7849" t="str">
            <v>petroleum</v>
          </cell>
        </row>
        <row r="7850">
          <cell r="C7850" t="str">
            <v>IC</v>
          </cell>
          <cell r="D7850">
            <v>0.8</v>
          </cell>
          <cell r="H7850" t="str">
            <v>petroleum</v>
          </cell>
        </row>
        <row r="7851">
          <cell r="C7851" t="str">
            <v>ST</v>
          </cell>
          <cell r="D7851">
            <v>80</v>
          </cell>
          <cell r="H7851" t="str">
            <v>hard coal</v>
          </cell>
        </row>
        <row r="7852">
          <cell r="C7852" t="str">
            <v>GT</v>
          </cell>
          <cell r="D7852">
            <v>34</v>
          </cell>
          <cell r="H7852" t="str">
            <v>natural gas peaker</v>
          </cell>
        </row>
        <row r="7853">
          <cell r="C7853" t="str">
            <v>IC</v>
          </cell>
          <cell r="D7853">
            <v>2</v>
          </cell>
          <cell r="H7853" t="str">
            <v>petroleum</v>
          </cell>
        </row>
        <row r="7854">
          <cell r="C7854" t="str">
            <v>HY</v>
          </cell>
          <cell r="D7854">
            <v>1.9</v>
          </cell>
          <cell r="H7854" t="str">
            <v>hydro</v>
          </cell>
        </row>
        <row r="7855">
          <cell r="C7855" t="str">
            <v>HY</v>
          </cell>
          <cell r="D7855">
            <v>7</v>
          </cell>
          <cell r="H7855" t="str">
            <v>hydro</v>
          </cell>
        </row>
        <row r="7856">
          <cell r="C7856" t="str">
            <v>HY</v>
          </cell>
          <cell r="D7856">
            <v>9</v>
          </cell>
          <cell r="H7856" t="str">
            <v>hydro</v>
          </cell>
        </row>
        <row r="7857">
          <cell r="C7857" t="str">
            <v>CT</v>
          </cell>
          <cell r="D7857">
            <v>164</v>
          </cell>
          <cell r="H7857" t="str">
            <v>natural gas nonpeaker</v>
          </cell>
        </row>
        <row r="7858">
          <cell r="C7858" t="str">
            <v>CT</v>
          </cell>
          <cell r="D7858">
            <v>164</v>
          </cell>
          <cell r="H7858" t="str">
            <v>natural gas nonpeaker</v>
          </cell>
        </row>
        <row r="7859">
          <cell r="C7859" t="str">
            <v>CA</v>
          </cell>
          <cell r="D7859">
            <v>190</v>
          </cell>
          <cell r="H7859" t="str">
            <v>natural gas nonpeaker</v>
          </cell>
        </row>
        <row r="7860">
          <cell r="C7860" t="str">
            <v>GT</v>
          </cell>
          <cell r="D7860">
            <v>80.2</v>
          </cell>
          <cell r="H7860" t="str">
            <v>natural gas peaker</v>
          </cell>
        </row>
        <row r="7861">
          <cell r="C7861" t="str">
            <v>WT</v>
          </cell>
          <cell r="D7861">
            <v>13.1</v>
          </cell>
          <cell r="H7861" t="str">
            <v>onshore wind</v>
          </cell>
        </row>
        <row r="7862">
          <cell r="C7862" t="str">
            <v>WT</v>
          </cell>
          <cell r="D7862">
            <v>24</v>
          </cell>
          <cell r="H7862" t="str">
            <v>onshore wind</v>
          </cell>
        </row>
        <row r="7863">
          <cell r="C7863" t="str">
            <v>WT</v>
          </cell>
          <cell r="D7863">
            <v>63</v>
          </cell>
          <cell r="H7863" t="str">
            <v>onshore wind</v>
          </cell>
        </row>
        <row r="7864">
          <cell r="C7864" t="str">
            <v>WT</v>
          </cell>
          <cell r="D7864">
            <v>128</v>
          </cell>
          <cell r="H7864" t="str">
            <v>onshore wind</v>
          </cell>
        </row>
        <row r="7865">
          <cell r="C7865" t="str">
            <v>GT</v>
          </cell>
          <cell r="D7865">
            <v>41.2</v>
          </cell>
          <cell r="H7865" t="str">
            <v>natural gas peaker</v>
          </cell>
        </row>
        <row r="7866">
          <cell r="C7866" t="str">
            <v>CA</v>
          </cell>
          <cell r="D7866">
            <v>16.600000000000001</v>
          </cell>
          <cell r="H7866" t="str">
            <v>natural gas nonpeaker</v>
          </cell>
        </row>
        <row r="7867">
          <cell r="C7867" t="str">
            <v>CT</v>
          </cell>
          <cell r="D7867">
            <v>51.2</v>
          </cell>
          <cell r="H7867" t="str">
            <v>natural gas nonpeaker</v>
          </cell>
        </row>
        <row r="7868">
          <cell r="C7868" t="str">
            <v>GT</v>
          </cell>
          <cell r="D7868">
            <v>177</v>
          </cell>
          <cell r="H7868" t="str">
            <v>natural gas peaker</v>
          </cell>
        </row>
        <row r="7869">
          <cell r="C7869" t="str">
            <v>GT</v>
          </cell>
          <cell r="D7869">
            <v>174</v>
          </cell>
          <cell r="H7869" t="str">
            <v>natural gas peaker</v>
          </cell>
        </row>
        <row r="7870">
          <cell r="C7870" t="str">
            <v>GT</v>
          </cell>
          <cell r="D7870">
            <v>173</v>
          </cell>
          <cell r="H7870" t="str">
            <v>natural gas peaker</v>
          </cell>
        </row>
        <row r="7871">
          <cell r="C7871" t="str">
            <v>GT</v>
          </cell>
          <cell r="D7871">
            <v>170</v>
          </cell>
          <cell r="H7871" t="str">
            <v>natural gas peaker</v>
          </cell>
        </row>
        <row r="7872">
          <cell r="C7872" t="str">
            <v>GT</v>
          </cell>
          <cell r="D7872">
            <v>163</v>
          </cell>
          <cell r="H7872" t="str">
            <v>natural gas peaker</v>
          </cell>
        </row>
        <row r="7873">
          <cell r="C7873" t="str">
            <v>HY</v>
          </cell>
          <cell r="D7873">
            <v>4.5</v>
          </cell>
          <cell r="H7873" t="str">
            <v>hydro</v>
          </cell>
        </row>
        <row r="7874">
          <cell r="C7874" t="str">
            <v>HY</v>
          </cell>
          <cell r="D7874">
            <v>29.6</v>
          </cell>
          <cell r="H7874" t="str">
            <v>hydro</v>
          </cell>
        </row>
        <row r="7875">
          <cell r="C7875" t="str">
            <v>CA</v>
          </cell>
          <cell r="D7875">
            <v>18.8</v>
          </cell>
          <cell r="H7875" t="str">
            <v>natural gas nonpeaker</v>
          </cell>
        </row>
        <row r="7876">
          <cell r="C7876" t="str">
            <v>CT</v>
          </cell>
          <cell r="D7876">
            <v>44.1</v>
          </cell>
          <cell r="H7876" t="str">
            <v>natural gas nonpeaker</v>
          </cell>
        </row>
        <row r="7877">
          <cell r="C7877" t="str">
            <v>GT</v>
          </cell>
          <cell r="D7877">
            <v>43.9</v>
          </cell>
          <cell r="H7877" t="str">
            <v>natural gas peaker</v>
          </cell>
        </row>
        <row r="7878">
          <cell r="C7878" t="str">
            <v>HY</v>
          </cell>
          <cell r="D7878">
            <v>1.5</v>
          </cell>
          <cell r="H7878" t="str">
            <v>hydro</v>
          </cell>
        </row>
        <row r="7879">
          <cell r="C7879" t="str">
            <v>HY</v>
          </cell>
          <cell r="D7879">
            <v>0.6</v>
          </cell>
          <cell r="H7879" t="str">
            <v>hydro</v>
          </cell>
        </row>
        <row r="7880">
          <cell r="C7880" t="str">
            <v>CA</v>
          </cell>
          <cell r="D7880">
            <v>37.6</v>
          </cell>
          <cell r="H7880" t="str">
            <v>natural gas nonpeaker</v>
          </cell>
        </row>
        <row r="7881">
          <cell r="C7881" t="str">
            <v>CT</v>
          </cell>
          <cell r="D7881">
            <v>47.6</v>
          </cell>
          <cell r="H7881" t="str">
            <v>natural gas nonpeaker</v>
          </cell>
        </row>
        <row r="7882">
          <cell r="C7882" t="str">
            <v>CT</v>
          </cell>
          <cell r="D7882">
            <v>47.6</v>
          </cell>
          <cell r="H7882" t="str">
            <v>natural gas nonpeaker</v>
          </cell>
        </row>
        <row r="7883">
          <cell r="C7883" t="str">
            <v>GT</v>
          </cell>
          <cell r="D7883">
            <v>43.8</v>
          </cell>
          <cell r="H7883" t="str">
            <v>natural gas peaker</v>
          </cell>
        </row>
        <row r="7884">
          <cell r="C7884" t="str">
            <v>CT</v>
          </cell>
          <cell r="D7884">
            <v>119</v>
          </cell>
          <cell r="H7884" t="str">
            <v>natural gas nonpeaker</v>
          </cell>
        </row>
        <row r="7885">
          <cell r="C7885" t="str">
            <v>CA</v>
          </cell>
          <cell r="D7885">
            <v>59</v>
          </cell>
          <cell r="H7885" t="str">
            <v>natural gas nonpeaker</v>
          </cell>
        </row>
        <row r="7886">
          <cell r="C7886" t="str">
            <v>IC</v>
          </cell>
          <cell r="D7886">
            <v>3.8</v>
          </cell>
          <cell r="H7886" t="str">
            <v>natural gas peaker</v>
          </cell>
        </row>
        <row r="7887">
          <cell r="C7887" t="str">
            <v>IC</v>
          </cell>
          <cell r="D7887">
            <v>3.8</v>
          </cell>
          <cell r="H7887" t="str">
            <v>natural gas peaker</v>
          </cell>
        </row>
        <row r="7888">
          <cell r="C7888" t="str">
            <v>IC</v>
          </cell>
          <cell r="D7888">
            <v>4.2</v>
          </cell>
          <cell r="H7888" t="str">
            <v>petroleum</v>
          </cell>
        </row>
        <row r="7889">
          <cell r="C7889" t="str">
            <v>IC</v>
          </cell>
          <cell r="D7889">
            <v>1.7</v>
          </cell>
          <cell r="H7889" t="str">
            <v>petroleum</v>
          </cell>
        </row>
        <row r="7890">
          <cell r="C7890" t="str">
            <v>IC</v>
          </cell>
          <cell r="D7890">
            <v>1.7</v>
          </cell>
          <cell r="H7890" t="str">
            <v>petroleum</v>
          </cell>
        </row>
        <row r="7891">
          <cell r="C7891" t="str">
            <v>IC</v>
          </cell>
          <cell r="D7891">
            <v>1.7</v>
          </cell>
          <cell r="H7891" t="str">
            <v>petroleum</v>
          </cell>
        </row>
        <row r="7892">
          <cell r="C7892" t="str">
            <v>HY</v>
          </cell>
          <cell r="D7892">
            <v>0.7</v>
          </cell>
          <cell r="H7892" t="str">
            <v>hydro</v>
          </cell>
        </row>
        <row r="7893">
          <cell r="C7893" t="str">
            <v>HY</v>
          </cell>
          <cell r="D7893">
            <v>0.1</v>
          </cell>
          <cell r="H7893" t="str">
            <v>hydro</v>
          </cell>
        </row>
        <row r="7894">
          <cell r="C7894" t="str">
            <v>IC</v>
          </cell>
          <cell r="D7894">
            <v>1.5</v>
          </cell>
          <cell r="H7894" t="str">
            <v>petroleum</v>
          </cell>
        </row>
        <row r="7895">
          <cell r="C7895" t="str">
            <v>IC</v>
          </cell>
          <cell r="D7895">
            <v>1</v>
          </cell>
          <cell r="H7895" t="str">
            <v>petroleum</v>
          </cell>
        </row>
        <row r="7896">
          <cell r="C7896" t="str">
            <v>IC</v>
          </cell>
          <cell r="D7896">
            <v>2</v>
          </cell>
          <cell r="H7896" t="str">
            <v>petroleum</v>
          </cell>
        </row>
        <row r="7897">
          <cell r="C7897" t="str">
            <v>HY</v>
          </cell>
          <cell r="D7897">
            <v>41</v>
          </cell>
          <cell r="H7897" t="str">
            <v>hydro</v>
          </cell>
        </row>
        <row r="7898">
          <cell r="C7898" t="str">
            <v>HY</v>
          </cell>
          <cell r="D7898">
            <v>41</v>
          </cell>
          <cell r="H7898" t="str">
            <v>hydro</v>
          </cell>
        </row>
        <row r="7899">
          <cell r="C7899" t="str">
            <v>HY</v>
          </cell>
          <cell r="D7899">
            <v>7</v>
          </cell>
          <cell r="H7899" t="str">
            <v>hydro</v>
          </cell>
        </row>
        <row r="7900">
          <cell r="C7900" t="str">
            <v>HY</v>
          </cell>
          <cell r="D7900">
            <v>7</v>
          </cell>
          <cell r="H7900" t="str">
            <v>hydro</v>
          </cell>
        </row>
        <row r="7901">
          <cell r="C7901" t="str">
            <v>HY</v>
          </cell>
          <cell r="D7901">
            <v>8</v>
          </cell>
          <cell r="H7901" t="str">
            <v>hydro</v>
          </cell>
        </row>
        <row r="7902">
          <cell r="C7902" t="str">
            <v>HY</v>
          </cell>
          <cell r="D7902">
            <v>21</v>
          </cell>
          <cell r="H7902" t="str">
            <v>hydro</v>
          </cell>
        </row>
        <row r="7903">
          <cell r="C7903" t="str">
            <v>HY</v>
          </cell>
          <cell r="D7903">
            <v>21</v>
          </cell>
          <cell r="H7903" t="str">
            <v>hydro</v>
          </cell>
        </row>
        <row r="7904">
          <cell r="C7904" t="str">
            <v>IC</v>
          </cell>
          <cell r="D7904">
            <v>1.8</v>
          </cell>
          <cell r="H7904" t="str">
            <v>petroleum</v>
          </cell>
        </row>
        <row r="7905">
          <cell r="C7905" t="str">
            <v>CS</v>
          </cell>
          <cell r="D7905">
            <v>207</v>
          </cell>
          <cell r="H7905" t="str">
            <v>natural gas nonpeaker</v>
          </cell>
        </row>
        <row r="7906">
          <cell r="C7906" t="str">
            <v>CS</v>
          </cell>
          <cell r="D7906">
            <v>218</v>
          </cell>
          <cell r="H7906" t="str">
            <v>natural gas nonpeaker</v>
          </cell>
        </row>
        <row r="7907">
          <cell r="C7907" t="str">
            <v>CS</v>
          </cell>
          <cell r="D7907">
            <v>220</v>
          </cell>
          <cell r="H7907" t="str">
            <v>natural gas nonpeaker</v>
          </cell>
        </row>
        <row r="7908">
          <cell r="C7908" t="str">
            <v>HY</v>
          </cell>
          <cell r="D7908">
            <v>5</v>
          </cell>
          <cell r="H7908" t="str">
            <v>hydro</v>
          </cell>
        </row>
        <row r="7909">
          <cell r="C7909" t="str">
            <v>HY</v>
          </cell>
          <cell r="D7909">
            <v>5</v>
          </cell>
          <cell r="H7909" t="str">
            <v>hydro</v>
          </cell>
        </row>
        <row r="7910">
          <cell r="C7910" t="str">
            <v>HY</v>
          </cell>
          <cell r="D7910">
            <v>1.5</v>
          </cell>
          <cell r="H7910" t="str">
            <v>hydro</v>
          </cell>
        </row>
        <row r="7911">
          <cell r="C7911" t="str">
            <v>HY</v>
          </cell>
          <cell r="D7911">
            <v>0.8</v>
          </cell>
          <cell r="H7911" t="str">
            <v>hydro</v>
          </cell>
        </row>
        <row r="7912">
          <cell r="C7912" t="str">
            <v>HY</v>
          </cell>
          <cell r="D7912">
            <v>1</v>
          </cell>
          <cell r="H7912" t="str">
            <v>hydro</v>
          </cell>
        </row>
        <row r="7913">
          <cell r="C7913" t="str">
            <v>HY</v>
          </cell>
          <cell r="D7913">
            <v>1</v>
          </cell>
          <cell r="H7913" t="str">
            <v>hydro</v>
          </cell>
        </row>
        <row r="7914">
          <cell r="C7914" t="str">
            <v>HY</v>
          </cell>
          <cell r="D7914">
            <v>0.8</v>
          </cell>
          <cell r="H7914" t="str">
            <v>hydro</v>
          </cell>
        </row>
        <row r="7915">
          <cell r="C7915" t="str">
            <v>HY</v>
          </cell>
          <cell r="D7915">
            <v>0.8</v>
          </cell>
          <cell r="H7915" t="str">
            <v>hydro</v>
          </cell>
        </row>
        <row r="7916">
          <cell r="C7916" t="str">
            <v>HY</v>
          </cell>
          <cell r="D7916">
            <v>0.1</v>
          </cell>
          <cell r="H7916" t="str">
            <v>hydro</v>
          </cell>
        </row>
        <row r="7917">
          <cell r="C7917" t="str">
            <v>GT</v>
          </cell>
          <cell r="D7917">
            <v>2</v>
          </cell>
          <cell r="H7917" t="str">
            <v>biomass</v>
          </cell>
        </row>
        <row r="7918">
          <cell r="C7918" t="str">
            <v>GT</v>
          </cell>
          <cell r="D7918">
            <v>2</v>
          </cell>
          <cell r="H7918" t="str">
            <v>biomass</v>
          </cell>
        </row>
        <row r="7919">
          <cell r="C7919" t="str">
            <v>CT</v>
          </cell>
          <cell r="D7919">
            <v>75</v>
          </cell>
          <cell r="H7919" t="str">
            <v>natural gas nonpeaker</v>
          </cell>
        </row>
        <row r="7920">
          <cell r="C7920" t="str">
            <v>CA</v>
          </cell>
          <cell r="D7920">
            <v>25</v>
          </cell>
          <cell r="H7920" t="str">
            <v>natural gas nonpeaker</v>
          </cell>
        </row>
        <row r="7921">
          <cell r="C7921" t="str">
            <v>CT</v>
          </cell>
          <cell r="D7921">
            <v>74</v>
          </cell>
          <cell r="H7921" t="str">
            <v>natural gas nonpeaker</v>
          </cell>
        </row>
        <row r="7922">
          <cell r="C7922" t="str">
            <v>CA</v>
          </cell>
          <cell r="D7922">
            <v>10.5</v>
          </cell>
          <cell r="H7922" t="str">
            <v>natural gas nonpeaker</v>
          </cell>
        </row>
        <row r="7923">
          <cell r="C7923" t="str">
            <v>CT</v>
          </cell>
          <cell r="D7923">
            <v>130</v>
          </cell>
          <cell r="H7923" t="str">
            <v>natural gas nonpeaker</v>
          </cell>
        </row>
        <row r="7924">
          <cell r="C7924" t="str">
            <v>CA</v>
          </cell>
          <cell r="D7924">
            <v>70</v>
          </cell>
          <cell r="H7924" t="str">
            <v>natural gas nonpeaker</v>
          </cell>
        </row>
        <row r="7925">
          <cell r="C7925" t="str">
            <v>ST</v>
          </cell>
          <cell r="D7925">
            <v>30</v>
          </cell>
          <cell r="H7925" t="str">
            <v>biomass</v>
          </cell>
        </row>
        <row r="7926">
          <cell r="C7926" t="str">
            <v>ST</v>
          </cell>
          <cell r="D7926">
            <v>30</v>
          </cell>
          <cell r="H7926" t="str">
            <v>biomass</v>
          </cell>
        </row>
        <row r="7927">
          <cell r="C7927" t="str">
            <v>GT</v>
          </cell>
          <cell r="D7927">
            <v>74.8</v>
          </cell>
          <cell r="H7927" t="str">
            <v>natural gas peaker</v>
          </cell>
        </row>
        <row r="7928">
          <cell r="C7928" t="str">
            <v>GT</v>
          </cell>
          <cell r="D7928">
            <v>75.2</v>
          </cell>
          <cell r="H7928" t="str">
            <v>natural gas peaker</v>
          </cell>
        </row>
        <row r="7929">
          <cell r="C7929" t="str">
            <v>GT</v>
          </cell>
          <cell r="D7929">
            <v>74</v>
          </cell>
          <cell r="H7929" t="str">
            <v>natural gas peaker</v>
          </cell>
        </row>
        <row r="7930">
          <cell r="C7930" t="str">
            <v>GT</v>
          </cell>
          <cell r="D7930">
            <v>74.7</v>
          </cell>
          <cell r="H7930" t="str">
            <v>natural gas peaker</v>
          </cell>
        </row>
        <row r="7931">
          <cell r="C7931" t="str">
            <v>GT</v>
          </cell>
          <cell r="D7931">
            <v>73.5</v>
          </cell>
          <cell r="H7931" t="str">
            <v>natural gas peaker</v>
          </cell>
        </row>
        <row r="7932">
          <cell r="C7932" t="str">
            <v>GT</v>
          </cell>
          <cell r="D7932">
            <v>74.7</v>
          </cell>
          <cell r="H7932" t="str">
            <v>natural gas peaker</v>
          </cell>
        </row>
        <row r="7933">
          <cell r="C7933" t="str">
            <v>GT</v>
          </cell>
          <cell r="D7933">
            <v>74.900000000000006</v>
          </cell>
          <cell r="H7933" t="str">
            <v>natural gas peaker</v>
          </cell>
        </row>
        <row r="7934">
          <cell r="C7934" t="str">
            <v>GT</v>
          </cell>
          <cell r="D7934">
            <v>75</v>
          </cell>
          <cell r="H7934" t="str">
            <v>natural gas peaker</v>
          </cell>
        </row>
        <row r="7935">
          <cell r="C7935" t="str">
            <v>GT</v>
          </cell>
          <cell r="D7935">
            <v>74</v>
          </cell>
          <cell r="H7935" t="str">
            <v>natural gas peaker</v>
          </cell>
        </row>
        <row r="7936">
          <cell r="C7936" t="str">
            <v>GT</v>
          </cell>
          <cell r="D7936">
            <v>76.099999999999994</v>
          </cell>
          <cell r="H7936" t="str">
            <v>natural gas peaker</v>
          </cell>
        </row>
        <row r="7937">
          <cell r="C7937" t="str">
            <v>CT</v>
          </cell>
          <cell r="D7937">
            <v>177.5</v>
          </cell>
          <cell r="H7937" t="str">
            <v>natural gas nonpeaker</v>
          </cell>
        </row>
        <row r="7938">
          <cell r="C7938" t="str">
            <v>CT</v>
          </cell>
          <cell r="D7938">
            <v>177.5</v>
          </cell>
          <cell r="H7938" t="str">
            <v>natural gas nonpeaker</v>
          </cell>
        </row>
        <row r="7939">
          <cell r="C7939" t="str">
            <v>CT</v>
          </cell>
          <cell r="D7939">
            <v>177.8</v>
          </cell>
          <cell r="H7939" t="str">
            <v>natural gas nonpeaker</v>
          </cell>
        </row>
        <row r="7940">
          <cell r="C7940" t="str">
            <v>CT</v>
          </cell>
          <cell r="D7940">
            <v>177.8</v>
          </cell>
          <cell r="H7940" t="str">
            <v>natural gas nonpeaker</v>
          </cell>
        </row>
        <row r="7941">
          <cell r="C7941" t="str">
            <v>CT</v>
          </cell>
          <cell r="D7941">
            <v>182.6</v>
          </cell>
          <cell r="H7941" t="str">
            <v>natural gas nonpeaker</v>
          </cell>
        </row>
        <row r="7942">
          <cell r="C7942" t="str">
            <v>CT</v>
          </cell>
          <cell r="D7942">
            <v>182.6</v>
          </cell>
          <cell r="H7942" t="str">
            <v>natural gas nonpeaker</v>
          </cell>
        </row>
        <row r="7943">
          <cell r="C7943" t="str">
            <v>CA</v>
          </cell>
          <cell r="D7943">
            <v>240</v>
          </cell>
          <cell r="H7943" t="str">
            <v>natural gas nonpeaker</v>
          </cell>
        </row>
        <row r="7944">
          <cell r="C7944" t="str">
            <v>CA</v>
          </cell>
          <cell r="D7944">
            <v>293</v>
          </cell>
          <cell r="H7944" t="str">
            <v>natural gas nonpeaker</v>
          </cell>
        </row>
        <row r="7945">
          <cell r="C7945" t="str">
            <v>CA</v>
          </cell>
          <cell r="D7945">
            <v>293</v>
          </cell>
          <cell r="H7945" t="str">
            <v>natural gas nonpeaker</v>
          </cell>
        </row>
        <row r="7946">
          <cell r="C7946" t="str">
            <v>GT</v>
          </cell>
          <cell r="D7946">
            <v>4</v>
          </cell>
          <cell r="H7946" t="str">
            <v>natural gas peaker</v>
          </cell>
        </row>
        <row r="7947">
          <cell r="C7947" t="str">
            <v>GT</v>
          </cell>
          <cell r="D7947">
            <v>4</v>
          </cell>
          <cell r="H7947" t="str">
            <v>natural gas peaker</v>
          </cell>
        </row>
        <row r="7948">
          <cell r="C7948" t="str">
            <v>GT</v>
          </cell>
          <cell r="D7948">
            <v>4</v>
          </cell>
          <cell r="H7948" t="str">
            <v>natural gas peaker</v>
          </cell>
        </row>
        <row r="7949">
          <cell r="C7949" t="str">
            <v>IC</v>
          </cell>
          <cell r="D7949">
            <v>1.8</v>
          </cell>
          <cell r="H7949" t="str">
            <v>petroleum</v>
          </cell>
        </row>
        <row r="7950">
          <cell r="C7950" t="str">
            <v>IC</v>
          </cell>
          <cell r="D7950">
            <v>1.8</v>
          </cell>
          <cell r="H7950" t="str">
            <v>petroleum</v>
          </cell>
        </row>
        <row r="7951">
          <cell r="C7951" t="str">
            <v>IC</v>
          </cell>
          <cell r="D7951">
            <v>1.8</v>
          </cell>
          <cell r="H7951" t="str">
            <v>petroleum</v>
          </cell>
        </row>
        <row r="7952">
          <cell r="C7952" t="str">
            <v>IC</v>
          </cell>
          <cell r="D7952">
            <v>1.8</v>
          </cell>
          <cell r="H7952" t="str">
            <v>petroleum</v>
          </cell>
        </row>
        <row r="7953">
          <cell r="C7953" t="str">
            <v>IC</v>
          </cell>
          <cell r="D7953">
            <v>1.8</v>
          </cell>
          <cell r="H7953" t="str">
            <v>petroleum</v>
          </cell>
        </row>
        <row r="7954">
          <cell r="C7954" t="str">
            <v>CT</v>
          </cell>
          <cell r="D7954">
            <v>166.3</v>
          </cell>
          <cell r="H7954" t="str">
            <v>natural gas nonpeaker</v>
          </cell>
        </row>
        <row r="7955">
          <cell r="C7955" t="str">
            <v>CA</v>
          </cell>
          <cell r="D7955">
            <v>64.7</v>
          </cell>
          <cell r="H7955" t="str">
            <v>natural gas nonpeaker</v>
          </cell>
        </row>
        <row r="7956">
          <cell r="C7956" t="str">
            <v>ST</v>
          </cell>
          <cell r="D7956">
            <v>1123</v>
          </cell>
          <cell r="H7956" t="str">
            <v>nuclear</v>
          </cell>
        </row>
        <row r="7957">
          <cell r="C7957" t="str">
            <v>ST</v>
          </cell>
          <cell r="D7957">
            <v>1122</v>
          </cell>
          <cell r="H7957" t="str">
            <v>nuclear</v>
          </cell>
        </row>
        <row r="7958">
          <cell r="C7958" t="str">
            <v>IC</v>
          </cell>
          <cell r="D7958">
            <v>2.5</v>
          </cell>
          <cell r="H7958" t="str">
            <v>petroleum</v>
          </cell>
        </row>
        <row r="7959">
          <cell r="C7959" t="str">
            <v>IC</v>
          </cell>
          <cell r="D7959">
            <v>7.3</v>
          </cell>
          <cell r="H7959" t="str">
            <v>petroleum</v>
          </cell>
        </row>
        <row r="7960">
          <cell r="C7960" t="str">
            <v>IC</v>
          </cell>
          <cell r="D7960">
            <v>0.8</v>
          </cell>
          <cell r="H7960" t="str">
            <v>biomass</v>
          </cell>
        </row>
        <row r="7961">
          <cell r="C7961" t="str">
            <v>IC</v>
          </cell>
          <cell r="D7961">
            <v>0.8</v>
          </cell>
          <cell r="H7961" t="str">
            <v>biomass</v>
          </cell>
        </row>
        <row r="7962">
          <cell r="C7962" t="str">
            <v>IC</v>
          </cell>
          <cell r="D7962">
            <v>0.8</v>
          </cell>
          <cell r="H7962" t="str">
            <v>biomass</v>
          </cell>
        </row>
        <row r="7963">
          <cell r="C7963" t="str">
            <v>IC</v>
          </cell>
          <cell r="D7963">
            <v>1.6</v>
          </cell>
          <cell r="H7963" t="str">
            <v>biomass</v>
          </cell>
        </row>
        <row r="7964">
          <cell r="C7964" t="str">
            <v>IC</v>
          </cell>
          <cell r="D7964">
            <v>1.6</v>
          </cell>
          <cell r="H7964" t="str">
            <v>biomass</v>
          </cell>
        </row>
        <row r="7965">
          <cell r="C7965" t="str">
            <v>ST</v>
          </cell>
          <cell r="D7965">
            <v>85</v>
          </cell>
          <cell r="H7965" t="str">
            <v>biomass</v>
          </cell>
        </row>
        <row r="7966">
          <cell r="C7966" t="str">
            <v>GT</v>
          </cell>
          <cell r="D7966">
            <v>98</v>
          </cell>
          <cell r="H7966" t="str">
            <v>natural gas peaker</v>
          </cell>
        </row>
        <row r="7967">
          <cell r="C7967" t="str">
            <v>HY</v>
          </cell>
          <cell r="D7967">
            <v>4</v>
          </cell>
          <cell r="H7967" t="str">
            <v>hydro</v>
          </cell>
        </row>
        <row r="7968">
          <cell r="C7968" t="str">
            <v>HY</v>
          </cell>
          <cell r="D7968">
            <v>4.5</v>
          </cell>
          <cell r="H7968" t="str">
            <v>hydro</v>
          </cell>
        </row>
        <row r="7969">
          <cell r="C7969" t="str">
            <v>GT</v>
          </cell>
          <cell r="D7969">
            <v>88</v>
          </cell>
          <cell r="H7969" t="str">
            <v>natural gas peaker</v>
          </cell>
        </row>
        <row r="7970">
          <cell r="C7970" t="str">
            <v>GT</v>
          </cell>
          <cell r="D7970">
            <v>91</v>
          </cell>
          <cell r="H7970" t="str">
            <v>natural gas peaker</v>
          </cell>
        </row>
        <row r="7971">
          <cell r="C7971" t="str">
            <v>CT</v>
          </cell>
          <cell r="D7971">
            <v>149</v>
          </cell>
          <cell r="H7971" t="str">
            <v>natural gas nonpeaker</v>
          </cell>
        </row>
        <row r="7972">
          <cell r="C7972" t="str">
            <v>CT</v>
          </cell>
          <cell r="D7972">
            <v>154</v>
          </cell>
          <cell r="H7972" t="str">
            <v>natural gas nonpeaker</v>
          </cell>
        </row>
        <row r="7973">
          <cell r="C7973" t="str">
            <v>CA</v>
          </cell>
          <cell r="D7973">
            <v>144</v>
          </cell>
          <cell r="H7973" t="str">
            <v>natural gas nonpeaker</v>
          </cell>
        </row>
        <row r="7974">
          <cell r="C7974" t="str">
            <v>CT</v>
          </cell>
          <cell r="D7974">
            <v>151</v>
          </cell>
          <cell r="H7974" t="str">
            <v>natural gas nonpeaker</v>
          </cell>
        </row>
        <row r="7975">
          <cell r="C7975" t="str">
            <v>CT</v>
          </cell>
          <cell r="D7975">
            <v>150</v>
          </cell>
          <cell r="H7975" t="str">
            <v>natural gas nonpeaker</v>
          </cell>
        </row>
        <row r="7976">
          <cell r="C7976" t="str">
            <v>CA</v>
          </cell>
          <cell r="D7976">
            <v>158</v>
          </cell>
          <cell r="H7976" t="str">
            <v>natural gas nonpeaker</v>
          </cell>
        </row>
        <row r="7977">
          <cell r="C7977" t="str">
            <v>IC</v>
          </cell>
          <cell r="D7977">
            <v>1.9</v>
          </cell>
          <cell r="H7977" t="str">
            <v>petroleum</v>
          </cell>
        </row>
        <row r="7978">
          <cell r="C7978" t="str">
            <v>IC</v>
          </cell>
          <cell r="D7978">
            <v>1.9</v>
          </cell>
          <cell r="H7978" t="str">
            <v>petroleum</v>
          </cell>
        </row>
        <row r="7979">
          <cell r="C7979" t="str">
            <v>IC</v>
          </cell>
          <cell r="D7979">
            <v>1.9</v>
          </cell>
          <cell r="H7979" t="str">
            <v>petroleum</v>
          </cell>
        </row>
        <row r="7980">
          <cell r="C7980" t="str">
            <v>IC</v>
          </cell>
          <cell r="D7980">
            <v>1.9</v>
          </cell>
          <cell r="H7980" t="str">
            <v>petroleum</v>
          </cell>
        </row>
        <row r="7981">
          <cell r="C7981" t="str">
            <v>IC</v>
          </cell>
          <cell r="D7981">
            <v>1.9</v>
          </cell>
          <cell r="H7981" t="str">
            <v>petroleum</v>
          </cell>
        </row>
        <row r="7982">
          <cell r="C7982" t="str">
            <v>IC</v>
          </cell>
          <cell r="D7982">
            <v>1.9</v>
          </cell>
          <cell r="H7982" t="str">
            <v>petroleum</v>
          </cell>
        </row>
        <row r="7983">
          <cell r="C7983" t="str">
            <v>GT</v>
          </cell>
          <cell r="D7983">
            <v>69</v>
          </cell>
          <cell r="H7983" t="str">
            <v>natural gas peaker</v>
          </cell>
        </row>
        <row r="7984">
          <cell r="C7984" t="str">
            <v>GT</v>
          </cell>
          <cell r="D7984">
            <v>69</v>
          </cell>
          <cell r="H7984" t="str">
            <v>natural gas peaker</v>
          </cell>
        </row>
        <row r="7985">
          <cell r="C7985" t="str">
            <v>GT</v>
          </cell>
          <cell r="D7985">
            <v>69</v>
          </cell>
          <cell r="H7985" t="str">
            <v>natural gas peaker</v>
          </cell>
        </row>
        <row r="7986">
          <cell r="C7986" t="str">
            <v>GT</v>
          </cell>
          <cell r="D7986">
            <v>69</v>
          </cell>
          <cell r="H7986" t="str">
            <v>natural gas peaker</v>
          </cell>
        </row>
        <row r="7987">
          <cell r="C7987" t="str">
            <v>GT</v>
          </cell>
          <cell r="D7987">
            <v>45.5</v>
          </cell>
          <cell r="H7987" t="str">
            <v>natural gas peaker</v>
          </cell>
        </row>
        <row r="7988">
          <cell r="C7988" t="str">
            <v>GT</v>
          </cell>
          <cell r="D7988">
            <v>45.5</v>
          </cell>
          <cell r="H7988" t="str">
            <v>natural gas peaker</v>
          </cell>
        </row>
        <row r="7989">
          <cell r="C7989" t="str">
            <v>GT</v>
          </cell>
          <cell r="D7989">
            <v>46</v>
          </cell>
          <cell r="H7989" t="str">
            <v>natural gas peaker</v>
          </cell>
        </row>
        <row r="7990">
          <cell r="C7990" t="str">
            <v>GT</v>
          </cell>
          <cell r="D7990">
            <v>46.1</v>
          </cell>
          <cell r="H7990" t="str">
            <v>natural gas peaker</v>
          </cell>
        </row>
        <row r="7991">
          <cell r="C7991" t="str">
            <v>GT</v>
          </cell>
          <cell r="D7991">
            <v>43</v>
          </cell>
          <cell r="H7991" t="str">
            <v>natural gas peaker</v>
          </cell>
        </row>
        <row r="7992">
          <cell r="C7992" t="str">
            <v>GT</v>
          </cell>
          <cell r="D7992">
            <v>43</v>
          </cell>
          <cell r="H7992" t="str">
            <v>natural gas peaker</v>
          </cell>
        </row>
        <row r="7993">
          <cell r="C7993" t="str">
            <v>GT</v>
          </cell>
          <cell r="D7993">
            <v>43</v>
          </cell>
          <cell r="H7993" t="str">
            <v>natural gas peaker</v>
          </cell>
        </row>
        <row r="7994">
          <cell r="C7994" t="str">
            <v>GT</v>
          </cell>
          <cell r="D7994">
            <v>147.5</v>
          </cell>
          <cell r="H7994" t="str">
            <v>natural gas peaker</v>
          </cell>
        </row>
        <row r="7995">
          <cell r="C7995" t="str">
            <v>GT</v>
          </cell>
          <cell r="D7995">
            <v>155</v>
          </cell>
          <cell r="H7995" t="str">
            <v>natural gas peaker</v>
          </cell>
        </row>
        <row r="7996">
          <cell r="C7996" t="str">
            <v>IC</v>
          </cell>
          <cell r="D7996">
            <v>2.5</v>
          </cell>
          <cell r="H7996" t="str">
            <v>petroleum</v>
          </cell>
        </row>
        <row r="7997">
          <cell r="C7997" t="str">
            <v>IC</v>
          </cell>
          <cell r="D7997">
            <v>2.5</v>
          </cell>
          <cell r="H7997" t="str">
            <v>petroleum</v>
          </cell>
        </row>
        <row r="7998">
          <cell r="C7998" t="str">
            <v>IC</v>
          </cell>
          <cell r="D7998">
            <v>2.5</v>
          </cell>
          <cell r="H7998" t="str">
            <v>petroleum</v>
          </cell>
        </row>
        <row r="7999">
          <cell r="C7999" t="str">
            <v>IC</v>
          </cell>
          <cell r="D7999">
            <v>2.5</v>
          </cell>
          <cell r="H7999" t="str">
            <v>petroleum</v>
          </cell>
        </row>
        <row r="8000">
          <cell r="C8000" t="str">
            <v>IC</v>
          </cell>
          <cell r="D8000">
            <v>2.5</v>
          </cell>
          <cell r="H8000" t="str">
            <v>petroleum</v>
          </cell>
        </row>
        <row r="8001">
          <cell r="C8001" t="str">
            <v>IC</v>
          </cell>
          <cell r="D8001">
            <v>2.5</v>
          </cell>
          <cell r="H8001" t="str">
            <v>petroleum</v>
          </cell>
        </row>
        <row r="8002">
          <cell r="C8002" t="str">
            <v>IC</v>
          </cell>
          <cell r="D8002">
            <v>2.5</v>
          </cell>
          <cell r="H8002" t="str">
            <v>petroleum</v>
          </cell>
        </row>
        <row r="8003">
          <cell r="C8003" t="str">
            <v>IC</v>
          </cell>
          <cell r="D8003">
            <v>2.5</v>
          </cell>
          <cell r="H8003" t="str">
            <v>petroleum</v>
          </cell>
        </row>
        <row r="8004">
          <cell r="C8004" t="str">
            <v>IC</v>
          </cell>
          <cell r="D8004">
            <v>1.5</v>
          </cell>
          <cell r="H8004" t="str">
            <v>petroleum</v>
          </cell>
        </row>
        <row r="8005">
          <cell r="C8005" t="str">
            <v>IC</v>
          </cell>
          <cell r="D8005">
            <v>1.5</v>
          </cell>
          <cell r="H8005" t="str">
            <v>petroleum</v>
          </cell>
        </row>
        <row r="8006">
          <cell r="C8006" t="str">
            <v>IC</v>
          </cell>
          <cell r="D8006">
            <v>1.5</v>
          </cell>
          <cell r="H8006" t="str">
            <v>petroleum</v>
          </cell>
        </row>
        <row r="8007">
          <cell r="C8007" t="str">
            <v>IC</v>
          </cell>
          <cell r="D8007">
            <v>1.5</v>
          </cell>
          <cell r="H8007" t="str">
            <v>petroleum</v>
          </cell>
        </row>
        <row r="8008">
          <cell r="C8008" t="str">
            <v>IC</v>
          </cell>
          <cell r="D8008">
            <v>1.5</v>
          </cell>
          <cell r="H8008" t="str">
            <v>petroleum</v>
          </cell>
        </row>
        <row r="8009">
          <cell r="C8009" t="str">
            <v>IC</v>
          </cell>
          <cell r="D8009">
            <v>1.5</v>
          </cell>
          <cell r="H8009" t="str">
            <v>petroleum</v>
          </cell>
        </row>
        <row r="8010">
          <cell r="C8010" t="str">
            <v>GT</v>
          </cell>
          <cell r="D8010">
            <v>48.5</v>
          </cell>
          <cell r="H8010" t="str">
            <v>natural gas peaker</v>
          </cell>
        </row>
        <row r="8011">
          <cell r="C8011" t="str">
            <v>GT</v>
          </cell>
          <cell r="D8011">
            <v>48.5</v>
          </cell>
          <cell r="H8011" t="str">
            <v>natural gas peaker</v>
          </cell>
        </row>
        <row r="8012">
          <cell r="C8012" t="str">
            <v>GT</v>
          </cell>
          <cell r="D8012">
            <v>3</v>
          </cell>
          <cell r="H8012" t="str">
            <v>natural gas peaker</v>
          </cell>
        </row>
        <row r="8013">
          <cell r="C8013" t="str">
            <v>WT</v>
          </cell>
          <cell r="D8013">
            <v>1.5</v>
          </cell>
          <cell r="H8013" t="str">
            <v>onshore wind</v>
          </cell>
        </row>
        <row r="8014">
          <cell r="C8014" t="str">
            <v>WT</v>
          </cell>
          <cell r="D8014">
            <v>1.5</v>
          </cell>
          <cell r="H8014" t="str">
            <v>onshore wind</v>
          </cell>
        </row>
        <row r="8015">
          <cell r="C8015" t="str">
            <v>IC</v>
          </cell>
          <cell r="D8015">
            <v>1.8</v>
          </cell>
          <cell r="H8015" t="str">
            <v>petroleum</v>
          </cell>
        </row>
        <row r="8016">
          <cell r="C8016" t="str">
            <v>IC</v>
          </cell>
          <cell r="D8016">
            <v>1.8</v>
          </cell>
          <cell r="H8016" t="str">
            <v>petroleum</v>
          </cell>
        </row>
        <row r="8017">
          <cell r="C8017" t="str">
            <v>IC</v>
          </cell>
          <cell r="D8017">
            <v>1.8</v>
          </cell>
          <cell r="H8017" t="str">
            <v>petroleum</v>
          </cell>
        </row>
        <row r="8018">
          <cell r="C8018" t="str">
            <v>IC</v>
          </cell>
          <cell r="D8018">
            <v>1.8</v>
          </cell>
          <cell r="H8018" t="str">
            <v>petroleum</v>
          </cell>
        </row>
        <row r="8019">
          <cell r="C8019" t="str">
            <v>IC</v>
          </cell>
          <cell r="D8019">
            <v>1.8</v>
          </cell>
          <cell r="H8019" t="str">
            <v>petroleum</v>
          </cell>
        </row>
        <row r="8020">
          <cell r="C8020" t="str">
            <v>IC</v>
          </cell>
          <cell r="D8020">
            <v>1.8</v>
          </cell>
          <cell r="H8020" t="str">
            <v>petroleum</v>
          </cell>
        </row>
        <row r="8021">
          <cell r="C8021" t="str">
            <v>IC</v>
          </cell>
          <cell r="D8021">
            <v>1.8</v>
          </cell>
          <cell r="H8021" t="str">
            <v>petroleum</v>
          </cell>
        </row>
        <row r="8022">
          <cell r="C8022" t="str">
            <v>IC</v>
          </cell>
          <cell r="D8022">
            <v>1.8</v>
          </cell>
          <cell r="H8022" t="str">
            <v>petroleum</v>
          </cell>
        </row>
        <row r="8023">
          <cell r="C8023" t="str">
            <v>IC</v>
          </cell>
          <cell r="D8023">
            <v>1.8</v>
          </cell>
          <cell r="H8023" t="str">
            <v>petroleum</v>
          </cell>
        </row>
        <row r="8024">
          <cell r="C8024" t="str">
            <v>IC</v>
          </cell>
          <cell r="D8024">
            <v>1.8</v>
          </cell>
          <cell r="H8024" t="str">
            <v>petroleum</v>
          </cell>
        </row>
        <row r="8025">
          <cell r="C8025" t="str">
            <v>IC</v>
          </cell>
          <cell r="D8025">
            <v>1.8</v>
          </cell>
          <cell r="H8025" t="str">
            <v>petroleum</v>
          </cell>
        </row>
        <row r="8026">
          <cell r="C8026" t="str">
            <v>IC</v>
          </cell>
          <cell r="D8026">
            <v>1.8</v>
          </cell>
          <cell r="H8026" t="str">
            <v>petroleum</v>
          </cell>
        </row>
        <row r="8027">
          <cell r="C8027" t="str">
            <v>IC</v>
          </cell>
          <cell r="D8027">
            <v>1.8</v>
          </cell>
          <cell r="H8027" t="str">
            <v>petroleum</v>
          </cell>
        </row>
        <row r="8028">
          <cell r="C8028" t="str">
            <v>IC</v>
          </cell>
          <cell r="D8028">
            <v>1.8</v>
          </cell>
          <cell r="H8028" t="str">
            <v>petroleum</v>
          </cell>
        </row>
        <row r="8029">
          <cell r="C8029" t="str">
            <v>IC</v>
          </cell>
          <cell r="D8029">
            <v>1.8</v>
          </cell>
          <cell r="H8029" t="str">
            <v>petroleum</v>
          </cell>
        </row>
        <row r="8030">
          <cell r="C8030" t="str">
            <v>IC</v>
          </cell>
          <cell r="D8030">
            <v>1.8</v>
          </cell>
          <cell r="H8030" t="str">
            <v>petroleum</v>
          </cell>
        </row>
        <row r="8031">
          <cell r="C8031" t="str">
            <v>IC</v>
          </cell>
          <cell r="D8031">
            <v>1.8</v>
          </cell>
          <cell r="H8031" t="str">
            <v>petroleum</v>
          </cell>
        </row>
        <row r="8032">
          <cell r="C8032" t="str">
            <v>IC</v>
          </cell>
          <cell r="D8032">
            <v>1.8</v>
          </cell>
          <cell r="H8032" t="str">
            <v>petroleum</v>
          </cell>
        </row>
        <row r="8033">
          <cell r="C8033" t="str">
            <v>IC</v>
          </cell>
          <cell r="D8033">
            <v>1.8</v>
          </cell>
          <cell r="H8033" t="str">
            <v>petroleum</v>
          </cell>
        </row>
        <row r="8034">
          <cell r="C8034" t="str">
            <v>IC</v>
          </cell>
          <cell r="D8034">
            <v>1.8</v>
          </cell>
          <cell r="H8034" t="str">
            <v>petroleum</v>
          </cell>
        </row>
        <row r="8035">
          <cell r="C8035" t="str">
            <v>IC</v>
          </cell>
          <cell r="D8035">
            <v>1.8</v>
          </cell>
          <cell r="H8035" t="str">
            <v>petroleum</v>
          </cell>
        </row>
        <row r="8036">
          <cell r="C8036" t="str">
            <v>IC</v>
          </cell>
          <cell r="D8036">
            <v>1.8</v>
          </cell>
          <cell r="H8036" t="str">
            <v>petroleum</v>
          </cell>
        </row>
        <row r="8037">
          <cell r="C8037" t="str">
            <v>IC</v>
          </cell>
          <cell r="D8037">
            <v>1.8</v>
          </cell>
          <cell r="H8037" t="str">
            <v>petroleum</v>
          </cell>
        </row>
        <row r="8038">
          <cell r="C8038" t="str">
            <v>IC</v>
          </cell>
          <cell r="D8038">
            <v>1.8</v>
          </cell>
          <cell r="H8038" t="str">
            <v>petroleum</v>
          </cell>
        </row>
        <row r="8039">
          <cell r="C8039" t="str">
            <v>IC</v>
          </cell>
          <cell r="D8039">
            <v>1.8</v>
          </cell>
          <cell r="H8039" t="str">
            <v>petroleum</v>
          </cell>
        </row>
        <row r="8040">
          <cell r="C8040" t="str">
            <v>IC</v>
          </cell>
          <cell r="D8040">
            <v>1.8</v>
          </cell>
          <cell r="H8040" t="str">
            <v>petroleum</v>
          </cell>
        </row>
        <row r="8041">
          <cell r="C8041" t="str">
            <v>IC</v>
          </cell>
          <cell r="D8041">
            <v>1.8</v>
          </cell>
          <cell r="H8041" t="str">
            <v>petroleum</v>
          </cell>
        </row>
        <row r="8042">
          <cell r="C8042" t="str">
            <v>IC</v>
          </cell>
          <cell r="D8042">
            <v>1.8</v>
          </cell>
          <cell r="H8042" t="str">
            <v>petroleum</v>
          </cell>
        </row>
        <row r="8043">
          <cell r="C8043" t="str">
            <v>IC</v>
          </cell>
          <cell r="D8043">
            <v>1.8</v>
          </cell>
          <cell r="H8043" t="str">
            <v>petroleum</v>
          </cell>
        </row>
        <row r="8044">
          <cell r="C8044" t="str">
            <v>GT</v>
          </cell>
          <cell r="D8044">
            <v>29</v>
          </cell>
          <cell r="H8044" t="str">
            <v>natural gas peaker</v>
          </cell>
        </row>
        <row r="8045">
          <cell r="C8045" t="str">
            <v>GT</v>
          </cell>
          <cell r="D8045">
            <v>29</v>
          </cell>
          <cell r="H8045" t="str">
            <v>natural gas peaker</v>
          </cell>
        </row>
        <row r="8046">
          <cell r="C8046" t="str">
            <v>CT</v>
          </cell>
          <cell r="D8046">
            <v>40</v>
          </cell>
          <cell r="H8046" t="str">
            <v>natural gas nonpeaker</v>
          </cell>
        </row>
        <row r="8047">
          <cell r="C8047" t="str">
            <v>CA</v>
          </cell>
          <cell r="D8047">
            <v>20</v>
          </cell>
          <cell r="H8047" t="str">
            <v>natural gas nonpeaker</v>
          </cell>
        </row>
        <row r="8048">
          <cell r="C8048" t="str">
            <v>HY</v>
          </cell>
          <cell r="D8048">
            <v>6.9</v>
          </cell>
          <cell r="H8048" t="str">
            <v>hydro</v>
          </cell>
        </row>
        <row r="8049">
          <cell r="C8049" t="str">
            <v>HY</v>
          </cell>
          <cell r="D8049">
            <v>6.9</v>
          </cell>
          <cell r="H8049" t="str">
            <v>hydro</v>
          </cell>
        </row>
        <row r="8050">
          <cell r="C8050" t="str">
            <v>HY</v>
          </cell>
          <cell r="D8050">
            <v>3</v>
          </cell>
          <cell r="H8050" t="str">
            <v>hydro</v>
          </cell>
        </row>
        <row r="8051">
          <cell r="C8051" t="str">
            <v>ST</v>
          </cell>
          <cell r="D8051">
            <v>458</v>
          </cell>
          <cell r="H8051" t="str">
            <v>hard coal</v>
          </cell>
        </row>
        <row r="8052">
          <cell r="C8052" t="str">
            <v>IC</v>
          </cell>
          <cell r="D8052">
            <v>1.8</v>
          </cell>
          <cell r="H8052" t="str">
            <v>petroleum</v>
          </cell>
        </row>
        <row r="8053">
          <cell r="C8053" t="str">
            <v>IC</v>
          </cell>
          <cell r="D8053">
            <v>1.8</v>
          </cell>
          <cell r="H8053" t="str">
            <v>petroleum</v>
          </cell>
        </row>
        <row r="8054">
          <cell r="C8054" t="str">
            <v>IC</v>
          </cell>
          <cell r="D8054">
            <v>1.8</v>
          </cell>
          <cell r="H8054" t="str">
            <v>petroleum</v>
          </cell>
        </row>
        <row r="8055">
          <cell r="C8055" t="str">
            <v>IC</v>
          </cell>
          <cell r="D8055">
            <v>1.8</v>
          </cell>
          <cell r="H8055" t="str">
            <v>petroleum</v>
          </cell>
        </row>
        <row r="8056">
          <cell r="C8056" t="str">
            <v>IC</v>
          </cell>
          <cell r="D8056">
            <v>1.8</v>
          </cell>
          <cell r="H8056" t="str">
            <v>petroleum</v>
          </cell>
        </row>
        <row r="8057">
          <cell r="C8057" t="str">
            <v>IC</v>
          </cell>
          <cell r="D8057">
            <v>1.8</v>
          </cell>
          <cell r="H8057" t="str">
            <v>petroleum</v>
          </cell>
        </row>
        <row r="8058">
          <cell r="C8058" t="str">
            <v>GT</v>
          </cell>
          <cell r="D8058">
            <v>22</v>
          </cell>
          <cell r="H8058" t="str">
            <v>natural gas peaker</v>
          </cell>
        </row>
        <row r="8059">
          <cell r="C8059" t="str">
            <v>GT</v>
          </cell>
          <cell r="D8059">
            <v>9</v>
          </cell>
          <cell r="H8059" t="str">
            <v>petroleum</v>
          </cell>
        </row>
        <row r="8060">
          <cell r="C8060" t="str">
            <v>IC</v>
          </cell>
          <cell r="D8060">
            <v>1.7</v>
          </cell>
          <cell r="H8060" t="str">
            <v>petroleum</v>
          </cell>
        </row>
        <row r="8061">
          <cell r="C8061" t="str">
            <v>IC</v>
          </cell>
          <cell r="D8061">
            <v>1.7</v>
          </cell>
          <cell r="H8061" t="str">
            <v>petroleum</v>
          </cell>
        </row>
        <row r="8062">
          <cell r="C8062" t="str">
            <v>IC</v>
          </cell>
          <cell r="D8062">
            <v>1.7</v>
          </cell>
          <cell r="H8062" t="str">
            <v>petroleum</v>
          </cell>
        </row>
        <row r="8063">
          <cell r="C8063" t="str">
            <v>IC</v>
          </cell>
          <cell r="D8063">
            <v>1.7</v>
          </cell>
          <cell r="H8063" t="str">
            <v>petroleum</v>
          </cell>
        </row>
        <row r="8064">
          <cell r="C8064" t="str">
            <v>IC</v>
          </cell>
          <cell r="D8064">
            <v>1.7</v>
          </cell>
          <cell r="H8064" t="str">
            <v>petroleum</v>
          </cell>
        </row>
        <row r="8065">
          <cell r="C8065" t="str">
            <v>IC</v>
          </cell>
          <cell r="D8065">
            <v>1.7</v>
          </cell>
          <cell r="H8065" t="str">
            <v>petroleum</v>
          </cell>
        </row>
        <row r="8066">
          <cell r="C8066" t="str">
            <v>GT</v>
          </cell>
          <cell r="D8066">
            <v>71.599999999999994</v>
          </cell>
          <cell r="H8066" t="str">
            <v>natural gas peaker</v>
          </cell>
        </row>
        <row r="8067">
          <cell r="C8067" t="str">
            <v>GT</v>
          </cell>
          <cell r="D8067">
            <v>157</v>
          </cell>
          <cell r="H8067" t="str">
            <v>natural gas peaker</v>
          </cell>
        </row>
        <row r="8068">
          <cell r="C8068" t="str">
            <v>GT</v>
          </cell>
          <cell r="D8068">
            <v>156</v>
          </cell>
          <cell r="H8068" t="str">
            <v>natural gas peaker</v>
          </cell>
        </row>
        <row r="8069">
          <cell r="C8069" t="str">
            <v>GT</v>
          </cell>
          <cell r="D8069">
            <v>155</v>
          </cell>
          <cell r="H8069" t="str">
            <v>natural gas peaker</v>
          </cell>
        </row>
        <row r="8070">
          <cell r="C8070" t="str">
            <v>GT</v>
          </cell>
          <cell r="D8070">
            <v>159</v>
          </cell>
          <cell r="H8070" t="str">
            <v>natural gas peaker</v>
          </cell>
        </row>
        <row r="8071">
          <cell r="C8071" t="str">
            <v>CT</v>
          </cell>
          <cell r="D8071">
            <v>180</v>
          </cell>
          <cell r="H8071" t="str">
            <v>natural gas nonpeaker</v>
          </cell>
        </row>
        <row r="8072">
          <cell r="C8072" t="str">
            <v>GT</v>
          </cell>
          <cell r="D8072">
            <v>145</v>
          </cell>
          <cell r="H8072" t="str">
            <v>natural gas peaker</v>
          </cell>
        </row>
        <row r="8073">
          <cell r="C8073" t="str">
            <v>CT</v>
          </cell>
          <cell r="D8073">
            <v>154</v>
          </cell>
          <cell r="H8073" t="str">
            <v>natural gas nonpeaker</v>
          </cell>
        </row>
        <row r="8074">
          <cell r="C8074" t="str">
            <v>CT</v>
          </cell>
          <cell r="D8074">
            <v>154</v>
          </cell>
          <cell r="H8074" t="str">
            <v>natural gas nonpeaker</v>
          </cell>
        </row>
        <row r="8075">
          <cell r="C8075" t="str">
            <v>CT</v>
          </cell>
          <cell r="D8075">
            <v>180</v>
          </cell>
          <cell r="H8075" t="str">
            <v>natural gas nonpeaker</v>
          </cell>
        </row>
        <row r="8076">
          <cell r="C8076" t="str">
            <v>CA</v>
          </cell>
          <cell r="D8076">
            <v>169</v>
          </cell>
          <cell r="H8076" t="str">
            <v>natural gas nonpeaker</v>
          </cell>
        </row>
        <row r="8077">
          <cell r="C8077" t="str">
            <v>CA</v>
          </cell>
          <cell r="D8077">
            <v>248</v>
          </cell>
          <cell r="H8077" t="str">
            <v>natural gas nonpeaker</v>
          </cell>
        </row>
        <row r="8078">
          <cell r="C8078" t="str">
            <v>HY</v>
          </cell>
          <cell r="D8078">
            <v>1</v>
          </cell>
          <cell r="H8078" t="str">
            <v>hydro</v>
          </cell>
        </row>
        <row r="8079">
          <cell r="C8079" t="str">
            <v>HY</v>
          </cell>
          <cell r="D8079">
            <v>1</v>
          </cell>
          <cell r="H8079" t="str">
            <v>hydro</v>
          </cell>
        </row>
        <row r="8080">
          <cell r="C8080" t="str">
            <v>HY</v>
          </cell>
          <cell r="D8080">
            <v>0.1</v>
          </cell>
          <cell r="H8080" t="str">
            <v>hydro</v>
          </cell>
        </row>
        <row r="8081">
          <cell r="C8081" t="str">
            <v>IC</v>
          </cell>
          <cell r="D8081">
            <v>2</v>
          </cell>
          <cell r="H8081" t="str">
            <v>petroleum</v>
          </cell>
        </row>
        <row r="8082">
          <cell r="C8082" t="str">
            <v>GT</v>
          </cell>
          <cell r="D8082">
            <v>97.2</v>
          </cell>
          <cell r="H8082" t="str">
            <v>natural gas peaker</v>
          </cell>
        </row>
        <row r="8083">
          <cell r="C8083" t="str">
            <v>GT</v>
          </cell>
          <cell r="D8083">
            <v>92.8</v>
          </cell>
          <cell r="H8083" t="str">
            <v>natural gas peaker</v>
          </cell>
        </row>
        <row r="8084">
          <cell r="C8084" t="str">
            <v>GT</v>
          </cell>
          <cell r="D8084">
            <v>129.80000000000001</v>
          </cell>
          <cell r="H8084" t="str">
            <v>natural gas peaker</v>
          </cell>
        </row>
        <row r="8085">
          <cell r="C8085" t="str">
            <v>GT</v>
          </cell>
          <cell r="D8085">
            <v>131.30000000000001</v>
          </cell>
          <cell r="H8085" t="str">
            <v>natural gas peaker</v>
          </cell>
        </row>
        <row r="8086">
          <cell r="C8086" t="str">
            <v>IC</v>
          </cell>
          <cell r="D8086">
            <v>2.4</v>
          </cell>
          <cell r="H8086" t="str">
            <v>petroleum</v>
          </cell>
        </row>
        <row r="8087">
          <cell r="C8087" t="str">
            <v>IC</v>
          </cell>
          <cell r="D8087">
            <v>2.4</v>
          </cell>
          <cell r="H8087" t="str">
            <v>petroleum</v>
          </cell>
        </row>
        <row r="8088">
          <cell r="C8088" t="str">
            <v>GT</v>
          </cell>
          <cell r="D8088">
            <v>30</v>
          </cell>
          <cell r="H8088" t="str">
            <v>natural gas peaker</v>
          </cell>
        </row>
        <row r="8089">
          <cell r="C8089" t="str">
            <v>GT</v>
          </cell>
          <cell r="D8089">
            <v>30</v>
          </cell>
          <cell r="H8089" t="str">
            <v>natural gas peaker</v>
          </cell>
        </row>
        <row r="8090">
          <cell r="C8090" t="str">
            <v>GT</v>
          </cell>
          <cell r="D8090">
            <v>19.3</v>
          </cell>
          <cell r="H8090" t="str">
            <v>natural gas peaker</v>
          </cell>
        </row>
        <row r="8091">
          <cell r="C8091" t="str">
            <v>GT</v>
          </cell>
          <cell r="D8091">
            <v>18</v>
          </cell>
          <cell r="H8091" t="str">
            <v>natural gas peaker</v>
          </cell>
        </row>
        <row r="8092">
          <cell r="C8092" t="str">
            <v>GT</v>
          </cell>
          <cell r="D8092">
            <v>25</v>
          </cell>
          <cell r="H8092" t="str">
            <v>natural gas peaker</v>
          </cell>
        </row>
        <row r="8093">
          <cell r="C8093" t="str">
            <v>GT</v>
          </cell>
          <cell r="D8093">
            <v>42</v>
          </cell>
          <cell r="H8093" t="str">
            <v>natural gas peaker</v>
          </cell>
        </row>
        <row r="8094">
          <cell r="C8094" t="str">
            <v>HY</v>
          </cell>
          <cell r="D8094">
            <v>8</v>
          </cell>
          <cell r="H8094" t="str">
            <v>hydro</v>
          </cell>
        </row>
        <row r="8095">
          <cell r="C8095" t="str">
            <v>HY</v>
          </cell>
          <cell r="D8095">
            <v>8</v>
          </cell>
          <cell r="H8095" t="str">
            <v>hydro</v>
          </cell>
        </row>
        <row r="8096">
          <cell r="C8096" t="str">
            <v>HY</v>
          </cell>
          <cell r="D8096">
            <v>2.2000000000000002</v>
          </cell>
          <cell r="H8096" t="str">
            <v>hydro</v>
          </cell>
        </row>
        <row r="8097">
          <cell r="C8097" t="str">
            <v>HY</v>
          </cell>
          <cell r="D8097">
            <v>2.2000000000000002</v>
          </cell>
          <cell r="H8097" t="str">
            <v>hydro</v>
          </cell>
        </row>
        <row r="8098">
          <cell r="C8098" t="str">
            <v>HY</v>
          </cell>
          <cell r="D8098">
            <v>2.4</v>
          </cell>
          <cell r="H8098" t="str">
            <v>hydro</v>
          </cell>
        </row>
        <row r="8099">
          <cell r="C8099" t="str">
            <v>HY</v>
          </cell>
          <cell r="D8099">
            <v>2.4</v>
          </cell>
          <cell r="H8099" t="str">
            <v>hydro</v>
          </cell>
        </row>
        <row r="8100">
          <cell r="C8100" t="str">
            <v>GT</v>
          </cell>
          <cell r="D8100">
            <v>24.1</v>
          </cell>
          <cell r="H8100" t="str">
            <v>natural gas peaker</v>
          </cell>
        </row>
        <row r="8101">
          <cell r="C8101" t="str">
            <v>GT</v>
          </cell>
          <cell r="D8101">
            <v>21.4</v>
          </cell>
          <cell r="H8101" t="str">
            <v>petroleum</v>
          </cell>
        </row>
        <row r="8102">
          <cell r="C8102" t="str">
            <v>GT</v>
          </cell>
          <cell r="D8102">
            <v>153</v>
          </cell>
          <cell r="H8102" t="str">
            <v>natural gas peaker</v>
          </cell>
        </row>
        <row r="8103">
          <cell r="C8103" t="str">
            <v>GT</v>
          </cell>
          <cell r="D8103">
            <v>154</v>
          </cell>
          <cell r="H8103" t="str">
            <v>natural gas peaker</v>
          </cell>
        </row>
        <row r="8104">
          <cell r="C8104" t="str">
            <v>GT</v>
          </cell>
          <cell r="D8104">
            <v>154</v>
          </cell>
          <cell r="H8104" t="str">
            <v>natural gas peaker</v>
          </cell>
        </row>
        <row r="8105">
          <cell r="C8105" t="str">
            <v>GT</v>
          </cell>
          <cell r="D8105">
            <v>154</v>
          </cell>
          <cell r="H8105" t="str">
            <v>natural gas peaker</v>
          </cell>
        </row>
        <row r="8106">
          <cell r="C8106" t="str">
            <v>CT</v>
          </cell>
          <cell r="D8106">
            <v>155.5</v>
          </cell>
          <cell r="H8106" t="str">
            <v>natural gas nonpeaker</v>
          </cell>
        </row>
        <row r="8107">
          <cell r="C8107" t="str">
            <v>CT</v>
          </cell>
          <cell r="D8107">
            <v>155.5</v>
          </cell>
          <cell r="H8107" t="str">
            <v>natural gas nonpeaker</v>
          </cell>
        </row>
        <row r="8108">
          <cell r="C8108" t="str">
            <v>CA</v>
          </cell>
          <cell r="D8108">
            <v>188</v>
          </cell>
          <cell r="H8108" t="str">
            <v>natural gas nonpeaker</v>
          </cell>
        </row>
        <row r="8109">
          <cell r="C8109" t="str">
            <v>IC</v>
          </cell>
          <cell r="D8109">
            <v>1.8</v>
          </cell>
          <cell r="H8109" t="str">
            <v>petroleum</v>
          </cell>
        </row>
        <row r="8110">
          <cell r="C8110" t="str">
            <v>IC</v>
          </cell>
          <cell r="D8110">
            <v>1.8</v>
          </cell>
          <cell r="H8110" t="str">
            <v>petroleum</v>
          </cell>
        </row>
        <row r="8111">
          <cell r="C8111" t="str">
            <v>GT</v>
          </cell>
          <cell r="D8111">
            <v>96</v>
          </cell>
          <cell r="H8111" t="str">
            <v>natural gas peaker</v>
          </cell>
        </row>
        <row r="8112">
          <cell r="C8112" t="str">
            <v>GT</v>
          </cell>
          <cell r="D8112">
            <v>95.6</v>
          </cell>
          <cell r="H8112" t="str">
            <v>natural gas peaker</v>
          </cell>
        </row>
        <row r="8113">
          <cell r="C8113" t="str">
            <v>IC</v>
          </cell>
          <cell r="D8113">
            <v>1</v>
          </cell>
          <cell r="H8113" t="str">
            <v>petroleum</v>
          </cell>
        </row>
        <row r="8114">
          <cell r="C8114" t="str">
            <v>IC</v>
          </cell>
          <cell r="D8114">
            <v>1</v>
          </cell>
          <cell r="H8114" t="str">
            <v>petroleum</v>
          </cell>
        </row>
        <row r="8115">
          <cell r="C8115" t="str">
            <v>IC</v>
          </cell>
          <cell r="D8115">
            <v>0.8</v>
          </cell>
          <cell r="H8115" t="str">
            <v>petroleum</v>
          </cell>
        </row>
        <row r="8116">
          <cell r="C8116" t="str">
            <v>IC</v>
          </cell>
          <cell r="D8116">
            <v>2.1</v>
          </cell>
          <cell r="H8116" t="str">
            <v>biomass</v>
          </cell>
        </row>
        <row r="8117">
          <cell r="C8117" t="str">
            <v>IC</v>
          </cell>
          <cell r="D8117">
            <v>2.1</v>
          </cell>
          <cell r="H8117" t="str">
            <v>biomass</v>
          </cell>
        </row>
        <row r="8118">
          <cell r="C8118" t="str">
            <v>IC</v>
          </cell>
          <cell r="D8118">
            <v>2.1</v>
          </cell>
          <cell r="H8118" t="str">
            <v>biomass</v>
          </cell>
        </row>
        <row r="8119">
          <cell r="C8119" t="str">
            <v>IC</v>
          </cell>
          <cell r="D8119">
            <v>2.1</v>
          </cell>
          <cell r="H8119" t="str">
            <v>biomass</v>
          </cell>
        </row>
        <row r="8120">
          <cell r="C8120" t="str">
            <v>IC</v>
          </cell>
          <cell r="D8120">
            <v>2.1</v>
          </cell>
          <cell r="H8120" t="str">
            <v>biomass</v>
          </cell>
        </row>
        <row r="8121">
          <cell r="C8121" t="str">
            <v>CT</v>
          </cell>
          <cell r="D8121">
            <v>10</v>
          </cell>
          <cell r="H8121" t="str">
            <v>biomass</v>
          </cell>
        </row>
        <row r="8122">
          <cell r="C8122" t="str">
            <v>CT</v>
          </cell>
          <cell r="D8122">
            <v>10</v>
          </cell>
          <cell r="H8122" t="str">
            <v>biomass</v>
          </cell>
        </row>
        <row r="8123">
          <cell r="C8123" t="str">
            <v>CA</v>
          </cell>
          <cell r="D8123">
            <v>6</v>
          </cell>
          <cell r="H8123" t="str">
            <v>biomass</v>
          </cell>
        </row>
        <row r="8124">
          <cell r="C8124" t="str">
            <v>CT</v>
          </cell>
          <cell r="D8124">
            <v>150</v>
          </cell>
          <cell r="H8124" t="str">
            <v>natural gas nonpeaker</v>
          </cell>
        </row>
        <row r="8125">
          <cell r="C8125" t="str">
            <v>CT</v>
          </cell>
          <cell r="D8125">
            <v>150</v>
          </cell>
          <cell r="H8125" t="str">
            <v>natural gas nonpeaker</v>
          </cell>
        </row>
        <row r="8126">
          <cell r="C8126" t="str">
            <v>GT</v>
          </cell>
          <cell r="D8126">
            <v>146</v>
          </cell>
          <cell r="H8126" t="str">
            <v>natural gas peaker</v>
          </cell>
        </row>
        <row r="8127">
          <cell r="C8127" t="str">
            <v>GT</v>
          </cell>
          <cell r="D8127">
            <v>146</v>
          </cell>
          <cell r="H8127" t="str">
            <v>natural gas peaker</v>
          </cell>
        </row>
        <row r="8128">
          <cell r="C8128" t="str">
            <v>GT</v>
          </cell>
          <cell r="D8128">
            <v>75</v>
          </cell>
          <cell r="H8128" t="str">
            <v>natural gas peaker</v>
          </cell>
        </row>
        <row r="8129">
          <cell r="C8129" t="str">
            <v>GT</v>
          </cell>
          <cell r="D8129">
            <v>75</v>
          </cell>
          <cell r="H8129" t="str">
            <v>natural gas peaker</v>
          </cell>
        </row>
        <row r="8130">
          <cell r="C8130" t="str">
            <v>GT</v>
          </cell>
          <cell r="D8130">
            <v>75</v>
          </cell>
          <cell r="H8130" t="str">
            <v>natural gas peaker</v>
          </cell>
        </row>
        <row r="8131">
          <cell r="C8131" t="str">
            <v>CA</v>
          </cell>
          <cell r="D8131">
            <v>160</v>
          </cell>
          <cell r="H8131" t="str">
            <v>natural gas nonpeaker</v>
          </cell>
        </row>
        <row r="8132">
          <cell r="C8132" t="str">
            <v>GT</v>
          </cell>
          <cell r="D8132">
            <v>168</v>
          </cell>
          <cell r="H8132" t="str">
            <v>natural gas peaker</v>
          </cell>
        </row>
        <row r="8133">
          <cell r="C8133" t="str">
            <v>GT</v>
          </cell>
          <cell r="D8133">
            <v>164.3</v>
          </cell>
          <cell r="H8133" t="str">
            <v>natural gas peaker</v>
          </cell>
        </row>
        <row r="8134">
          <cell r="C8134" t="str">
            <v>GT</v>
          </cell>
          <cell r="D8134">
            <v>168.9</v>
          </cell>
          <cell r="H8134" t="str">
            <v>natural gas peaker</v>
          </cell>
        </row>
        <row r="8135">
          <cell r="C8135" t="str">
            <v>GT</v>
          </cell>
          <cell r="D8135">
            <v>169.7</v>
          </cell>
          <cell r="H8135" t="str">
            <v>natural gas peaker</v>
          </cell>
        </row>
        <row r="8136">
          <cell r="C8136" t="str">
            <v>GT</v>
          </cell>
          <cell r="D8136">
            <v>161</v>
          </cell>
          <cell r="H8136" t="str">
            <v>natural gas peaker</v>
          </cell>
        </row>
        <row r="8137">
          <cell r="C8137" t="str">
            <v>GT</v>
          </cell>
          <cell r="D8137">
            <v>159.30000000000001</v>
          </cell>
          <cell r="H8137" t="str">
            <v>natural gas peaker</v>
          </cell>
        </row>
        <row r="8138">
          <cell r="C8138" t="str">
            <v>GT</v>
          </cell>
          <cell r="D8138">
            <v>161</v>
          </cell>
          <cell r="H8138" t="str">
            <v>natural gas peaker</v>
          </cell>
        </row>
        <row r="8139">
          <cell r="C8139" t="str">
            <v>GT</v>
          </cell>
          <cell r="D8139">
            <v>76.5</v>
          </cell>
          <cell r="H8139" t="str">
            <v>natural gas peaker</v>
          </cell>
        </row>
        <row r="8140">
          <cell r="C8140" t="str">
            <v>GT</v>
          </cell>
          <cell r="D8140">
            <v>77</v>
          </cell>
          <cell r="H8140" t="str">
            <v>natural gas peaker</v>
          </cell>
        </row>
        <row r="8141">
          <cell r="C8141" t="str">
            <v>GT</v>
          </cell>
          <cell r="D8141">
            <v>77.3</v>
          </cell>
          <cell r="H8141" t="str">
            <v>natural gas peaker</v>
          </cell>
        </row>
        <row r="8142">
          <cell r="C8142" t="str">
            <v>GT</v>
          </cell>
          <cell r="D8142">
            <v>77.2</v>
          </cell>
          <cell r="H8142" t="str">
            <v>natural gas peaker</v>
          </cell>
        </row>
        <row r="8143">
          <cell r="C8143" t="str">
            <v>GT</v>
          </cell>
          <cell r="D8143">
            <v>158</v>
          </cell>
          <cell r="H8143" t="str">
            <v>natural gas peaker</v>
          </cell>
        </row>
        <row r="8144">
          <cell r="C8144" t="str">
            <v>GT</v>
          </cell>
          <cell r="D8144">
            <v>153</v>
          </cell>
          <cell r="H8144" t="str">
            <v>natural gas peaker</v>
          </cell>
        </row>
        <row r="8145">
          <cell r="C8145" t="str">
            <v>GT</v>
          </cell>
          <cell r="D8145">
            <v>151</v>
          </cell>
          <cell r="H8145" t="str">
            <v>natural gas peaker</v>
          </cell>
        </row>
        <row r="8146">
          <cell r="C8146" t="str">
            <v>GT</v>
          </cell>
          <cell r="D8146">
            <v>152</v>
          </cell>
          <cell r="H8146" t="str">
            <v>natural gas peaker</v>
          </cell>
        </row>
        <row r="8147">
          <cell r="C8147" t="str">
            <v>GT</v>
          </cell>
          <cell r="D8147">
            <v>152</v>
          </cell>
          <cell r="H8147" t="str">
            <v>natural gas peaker</v>
          </cell>
        </row>
        <row r="8148">
          <cell r="C8148" t="str">
            <v>GT</v>
          </cell>
          <cell r="D8148">
            <v>151</v>
          </cell>
          <cell r="H8148" t="str">
            <v>natural gas peaker</v>
          </cell>
        </row>
        <row r="8149">
          <cell r="C8149" t="str">
            <v>GT</v>
          </cell>
          <cell r="D8149">
            <v>151</v>
          </cell>
          <cell r="H8149" t="str">
            <v>natural gas peaker</v>
          </cell>
        </row>
        <row r="8150">
          <cell r="C8150" t="str">
            <v>GT</v>
          </cell>
          <cell r="D8150">
            <v>161</v>
          </cell>
          <cell r="H8150" t="str">
            <v>natural gas peaker</v>
          </cell>
        </row>
        <row r="8151">
          <cell r="C8151" t="str">
            <v>GT</v>
          </cell>
          <cell r="D8151">
            <v>160</v>
          </cell>
          <cell r="H8151" t="str">
            <v>natural gas peaker</v>
          </cell>
        </row>
        <row r="8152">
          <cell r="C8152" t="str">
            <v>GT</v>
          </cell>
          <cell r="D8152">
            <v>160</v>
          </cell>
          <cell r="H8152" t="str">
            <v>natural gas peaker</v>
          </cell>
        </row>
        <row r="8153">
          <cell r="C8153" t="str">
            <v>GT</v>
          </cell>
          <cell r="D8153">
            <v>5.0999999999999996</v>
          </cell>
          <cell r="H8153" t="str">
            <v>petroleum</v>
          </cell>
        </row>
        <row r="8154">
          <cell r="C8154" t="str">
            <v>GT</v>
          </cell>
          <cell r="D8154">
            <v>45</v>
          </cell>
          <cell r="H8154" t="str">
            <v>natural gas peaker</v>
          </cell>
        </row>
        <row r="8155">
          <cell r="C8155" t="str">
            <v>GT</v>
          </cell>
          <cell r="D8155">
            <v>151.19999999999999</v>
          </cell>
          <cell r="H8155" t="str">
            <v>natural gas peaker</v>
          </cell>
        </row>
        <row r="8156">
          <cell r="C8156" t="str">
            <v>GT</v>
          </cell>
          <cell r="D8156">
            <v>148.4</v>
          </cell>
          <cell r="H8156" t="str">
            <v>natural gas peaker</v>
          </cell>
        </row>
        <row r="8157">
          <cell r="C8157" t="str">
            <v>GT</v>
          </cell>
          <cell r="D8157">
            <v>113.3</v>
          </cell>
          <cell r="H8157" t="str">
            <v>natural gas peaker</v>
          </cell>
        </row>
        <row r="8158">
          <cell r="C8158" t="str">
            <v>GT</v>
          </cell>
          <cell r="D8158">
            <v>39</v>
          </cell>
          <cell r="H8158" t="str">
            <v>natural gas peaker</v>
          </cell>
        </row>
        <row r="8159">
          <cell r="C8159" t="str">
            <v>CT</v>
          </cell>
          <cell r="D8159">
            <v>160</v>
          </cell>
          <cell r="H8159" t="str">
            <v>natural gas nonpeaker</v>
          </cell>
        </row>
        <row r="8160">
          <cell r="C8160" t="str">
            <v>CT</v>
          </cell>
          <cell r="D8160">
            <v>160</v>
          </cell>
          <cell r="H8160" t="str">
            <v>natural gas nonpeaker</v>
          </cell>
        </row>
        <row r="8161">
          <cell r="C8161" t="str">
            <v>GT</v>
          </cell>
          <cell r="D8161">
            <v>73.900000000000006</v>
          </cell>
          <cell r="H8161" t="str">
            <v>natural gas peaker</v>
          </cell>
        </row>
        <row r="8162">
          <cell r="C8162" t="str">
            <v>GT</v>
          </cell>
          <cell r="D8162">
            <v>72.7</v>
          </cell>
          <cell r="H8162" t="str">
            <v>natural gas peaker</v>
          </cell>
        </row>
        <row r="8163">
          <cell r="C8163" t="str">
            <v>GT</v>
          </cell>
          <cell r="D8163">
            <v>72.7</v>
          </cell>
          <cell r="H8163" t="str">
            <v>natural gas peaker</v>
          </cell>
        </row>
        <row r="8164">
          <cell r="C8164" t="str">
            <v>GT</v>
          </cell>
          <cell r="D8164">
            <v>72.7</v>
          </cell>
          <cell r="H8164" t="str">
            <v>natural gas peaker</v>
          </cell>
        </row>
        <row r="8165">
          <cell r="C8165" t="str">
            <v>GT</v>
          </cell>
          <cell r="D8165">
            <v>73.900000000000006</v>
          </cell>
          <cell r="H8165" t="str">
            <v>natural gas peaker</v>
          </cell>
        </row>
        <row r="8166">
          <cell r="C8166" t="str">
            <v>GT</v>
          </cell>
          <cell r="D8166">
            <v>73.900000000000006</v>
          </cell>
          <cell r="H8166" t="str">
            <v>natural gas peaker</v>
          </cell>
        </row>
        <row r="8167">
          <cell r="C8167" t="str">
            <v>GT</v>
          </cell>
          <cell r="D8167">
            <v>73.900000000000006</v>
          </cell>
          <cell r="H8167" t="str">
            <v>natural gas peaker</v>
          </cell>
        </row>
        <row r="8168">
          <cell r="C8168" t="str">
            <v>GT</v>
          </cell>
          <cell r="D8168">
            <v>73.900000000000006</v>
          </cell>
          <cell r="H8168" t="str">
            <v>natural gas peaker</v>
          </cell>
        </row>
        <row r="8169">
          <cell r="C8169" t="str">
            <v>GT</v>
          </cell>
          <cell r="D8169">
            <v>73.900000000000006</v>
          </cell>
          <cell r="H8169" t="str">
            <v>natural gas peaker</v>
          </cell>
        </row>
        <row r="8170">
          <cell r="C8170" t="str">
            <v>GT</v>
          </cell>
          <cell r="D8170">
            <v>73.900000000000006</v>
          </cell>
          <cell r="H8170" t="str">
            <v>natural gas peaker</v>
          </cell>
        </row>
        <row r="8171">
          <cell r="C8171" t="str">
            <v>GT</v>
          </cell>
          <cell r="D8171">
            <v>73.900000000000006</v>
          </cell>
          <cell r="H8171" t="str">
            <v>natural gas peaker</v>
          </cell>
        </row>
        <row r="8172">
          <cell r="C8172" t="str">
            <v>GT</v>
          </cell>
          <cell r="D8172">
            <v>72.7</v>
          </cell>
          <cell r="H8172" t="str">
            <v>natural gas peaker</v>
          </cell>
        </row>
        <row r="8173">
          <cell r="C8173" t="str">
            <v>CA</v>
          </cell>
          <cell r="D8173">
            <v>205</v>
          </cell>
          <cell r="H8173" t="str">
            <v>natural gas nonpeaker</v>
          </cell>
        </row>
        <row r="8174">
          <cell r="C8174" t="str">
            <v>GT</v>
          </cell>
          <cell r="D8174">
            <v>178.6</v>
          </cell>
          <cell r="H8174" t="str">
            <v>natural gas peaker</v>
          </cell>
        </row>
        <row r="8175">
          <cell r="C8175" t="str">
            <v>CT</v>
          </cell>
          <cell r="D8175">
            <v>189.8</v>
          </cell>
          <cell r="H8175" t="str">
            <v>natural gas nonpeaker</v>
          </cell>
        </row>
        <row r="8176">
          <cell r="C8176" t="str">
            <v>CT</v>
          </cell>
          <cell r="D8176">
            <v>189.8</v>
          </cell>
          <cell r="H8176" t="str">
            <v>natural gas nonpeaker</v>
          </cell>
        </row>
        <row r="8177">
          <cell r="C8177" t="str">
            <v>CA</v>
          </cell>
          <cell r="D8177">
            <v>185</v>
          </cell>
          <cell r="H8177" t="str">
            <v>natural gas nonpeaker</v>
          </cell>
        </row>
        <row r="8178">
          <cell r="C8178" t="str">
            <v>IC</v>
          </cell>
          <cell r="D8178">
            <v>1.7</v>
          </cell>
          <cell r="H8178" t="str">
            <v>petroleum</v>
          </cell>
        </row>
        <row r="8179">
          <cell r="C8179" t="str">
            <v>IC</v>
          </cell>
          <cell r="D8179">
            <v>1.7</v>
          </cell>
          <cell r="H8179" t="str">
            <v>petroleum</v>
          </cell>
        </row>
        <row r="8180">
          <cell r="C8180" t="str">
            <v>IC</v>
          </cell>
          <cell r="D8180">
            <v>1.7</v>
          </cell>
          <cell r="H8180" t="str">
            <v>petroleum</v>
          </cell>
        </row>
        <row r="8181">
          <cell r="C8181" t="str">
            <v>GT</v>
          </cell>
          <cell r="D8181">
            <v>89</v>
          </cell>
          <cell r="H8181" t="str">
            <v>natural gas peaker</v>
          </cell>
        </row>
        <row r="8182">
          <cell r="C8182" t="str">
            <v>GT</v>
          </cell>
          <cell r="D8182">
            <v>83</v>
          </cell>
          <cell r="H8182" t="str">
            <v>natural gas peaker</v>
          </cell>
        </row>
        <row r="8183">
          <cell r="C8183" t="str">
            <v>GT</v>
          </cell>
          <cell r="D8183">
            <v>88</v>
          </cell>
          <cell r="H8183" t="str">
            <v>natural gas peaker</v>
          </cell>
        </row>
        <row r="8184">
          <cell r="C8184" t="str">
            <v>IC</v>
          </cell>
          <cell r="D8184">
            <v>2</v>
          </cell>
          <cell r="H8184" t="str">
            <v>petroleum</v>
          </cell>
        </row>
        <row r="8185">
          <cell r="C8185" t="str">
            <v>IC</v>
          </cell>
          <cell r="D8185">
            <v>2</v>
          </cell>
          <cell r="H8185" t="str">
            <v>petroleum</v>
          </cell>
        </row>
        <row r="8186">
          <cell r="C8186" t="str">
            <v>IC</v>
          </cell>
          <cell r="D8186">
            <v>2</v>
          </cell>
          <cell r="H8186" t="str">
            <v>petroleum</v>
          </cell>
        </row>
        <row r="8187">
          <cell r="C8187" t="str">
            <v>IC</v>
          </cell>
          <cell r="D8187">
            <v>2</v>
          </cell>
          <cell r="H8187" t="str">
            <v>petroleum</v>
          </cell>
        </row>
        <row r="8188">
          <cell r="C8188" t="str">
            <v>IC</v>
          </cell>
          <cell r="D8188">
            <v>2</v>
          </cell>
          <cell r="H8188" t="str">
            <v>petroleum</v>
          </cell>
        </row>
        <row r="8189">
          <cell r="C8189" t="str">
            <v>IC</v>
          </cell>
          <cell r="D8189">
            <v>2</v>
          </cell>
          <cell r="H8189" t="str">
            <v>petroleum</v>
          </cell>
        </row>
        <row r="8190">
          <cell r="C8190" t="str">
            <v>IC</v>
          </cell>
          <cell r="D8190">
            <v>2</v>
          </cell>
          <cell r="H8190" t="str">
            <v>petroleum</v>
          </cell>
        </row>
        <row r="8191">
          <cell r="C8191" t="str">
            <v>IC</v>
          </cell>
          <cell r="D8191">
            <v>2</v>
          </cell>
          <cell r="H8191" t="str">
            <v>petroleum</v>
          </cell>
        </row>
        <row r="8192">
          <cell r="C8192" t="str">
            <v>IC</v>
          </cell>
          <cell r="D8192">
            <v>2</v>
          </cell>
          <cell r="H8192" t="str">
            <v>petroleum</v>
          </cell>
        </row>
        <row r="8193">
          <cell r="C8193" t="str">
            <v>IC</v>
          </cell>
          <cell r="D8193">
            <v>2</v>
          </cell>
          <cell r="H8193" t="str">
            <v>petroleum</v>
          </cell>
        </row>
        <row r="8194">
          <cell r="C8194" t="str">
            <v>IC</v>
          </cell>
          <cell r="D8194">
            <v>2</v>
          </cell>
          <cell r="H8194" t="str">
            <v>petroleum</v>
          </cell>
        </row>
        <row r="8195">
          <cell r="C8195" t="str">
            <v>IC</v>
          </cell>
          <cell r="D8195">
            <v>2</v>
          </cell>
          <cell r="H8195" t="str">
            <v>petroleum</v>
          </cell>
        </row>
        <row r="8196">
          <cell r="C8196" t="str">
            <v>IC</v>
          </cell>
          <cell r="D8196">
            <v>2</v>
          </cell>
          <cell r="H8196" t="str">
            <v>petroleum</v>
          </cell>
        </row>
        <row r="8197">
          <cell r="C8197" t="str">
            <v>IC</v>
          </cell>
          <cell r="D8197">
            <v>2</v>
          </cell>
          <cell r="H8197" t="str">
            <v>petroleum</v>
          </cell>
        </row>
        <row r="8198">
          <cell r="C8198" t="str">
            <v>IC</v>
          </cell>
          <cell r="D8198">
            <v>2</v>
          </cell>
          <cell r="H8198" t="str">
            <v>petroleum</v>
          </cell>
        </row>
        <row r="8199">
          <cell r="C8199" t="str">
            <v>IC</v>
          </cell>
          <cell r="D8199">
            <v>2</v>
          </cell>
          <cell r="H8199" t="str">
            <v>petroleum</v>
          </cell>
        </row>
        <row r="8200">
          <cell r="C8200" t="str">
            <v>IC</v>
          </cell>
          <cell r="D8200">
            <v>2</v>
          </cell>
          <cell r="H8200" t="str">
            <v>petroleum</v>
          </cell>
        </row>
        <row r="8201">
          <cell r="C8201" t="str">
            <v>IC</v>
          </cell>
          <cell r="D8201">
            <v>2</v>
          </cell>
          <cell r="H8201" t="str">
            <v>petroleum</v>
          </cell>
        </row>
        <row r="8202">
          <cell r="C8202" t="str">
            <v>IC</v>
          </cell>
          <cell r="D8202">
            <v>2</v>
          </cell>
          <cell r="H8202" t="str">
            <v>petroleum</v>
          </cell>
        </row>
        <row r="8203">
          <cell r="C8203" t="str">
            <v>IC</v>
          </cell>
          <cell r="D8203">
            <v>2</v>
          </cell>
          <cell r="H8203" t="str">
            <v>petroleum</v>
          </cell>
        </row>
        <row r="8204">
          <cell r="C8204" t="str">
            <v>IC</v>
          </cell>
          <cell r="D8204">
            <v>2</v>
          </cell>
          <cell r="H8204" t="str">
            <v>petroleum</v>
          </cell>
        </row>
        <row r="8205">
          <cell r="C8205" t="str">
            <v>IC</v>
          </cell>
          <cell r="D8205">
            <v>2</v>
          </cell>
          <cell r="H8205" t="str">
            <v>petroleum</v>
          </cell>
        </row>
        <row r="8206">
          <cell r="C8206" t="str">
            <v>IC</v>
          </cell>
          <cell r="D8206">
            <v>2</v>
          </cell>
          <cell r="H8206" t="str">
            <v>petroleum</v>
          </cell>
        </row>
        <row r="8207">
          <cell r="C8207" t="str">
            <v>IC</v>
          </cell>
          <cell r="D8207">
            <v>2</v>
          </cell>
          <cell r="H8207" t="str">
            <v>petroleum</v>
          </cell>
        </row>
        <row r="8208">
          <cell r="C8208" t="str">
            <v>IC</v>
          </cell>
          <cell r="D8208">
            <v>2</v>
          </cell>
          <cell r="H8208" t="str">
            <v>petroleum</v>
          </cell>
        </row>
        <row r="8209">
          <cell r="C8209" t="str">
            <v>IC</v>
          </cell>
          <cell r="D8209">
            <v>2</v>
          </cell>
          <cell r="H8209" t="str">
            <v>petroleum</v>
          </cell>
        </row>
        <row r="8210">
          <cell r="C8210" t="str">
            <v>IC</v>
          </cell>
          <cell r="D8210">
            <v>2</v>
          </cell>
          <cell r="H8210" t="str">
            <v>petroleum</v>
          </cell>
        </row>
        <row r="8211">
          <cell r="C8211" t="str">
            <v>IC</v>
          </cell>
          <cell r="D8211">
            <v>1.8</v>
          </cell>
          <cell r="H8211" t="str">
            <v>petroleum</v>
          </cell>
        </row>
        <row r="8212">
          <cell r="C8212" t="str">
            <v>IC</v>
          </cell>
          <cell r="D8212">
            <v>1.8</v>
          </cell>
          <cell r="H8212" t="str">
            <v>petroleum</v>
          </cell>
        </row>
        <row r="8213">
          <cell r="C8213" t="str">
            <v>IC</v>
          </cell>
          <cell r="D8213">
            <v>1.8</v>
          </cell>
          <cell r="H8213" t="str">
            <v>petroleum</v>
          </cell>
        </row>
        <row r="8214">
          <cell r="C8214" t="str">
            <v>WT</v>
          </cell>
          <cell r="D8214">
            <v>0.7</v>
          </cell>
          <cell r="H8214" t="str">
            <v>onshore wind</v>
          </cell>
        </row>
        <row r="8215">
          <cell r="C8215" t="str">
            <v>WT</v>
          </cell>
          <cell r="D8215">
            <v>0.7</v>
          </cell>
          <cell r="H8215" t="str">
            <v>onshore wind</v>
          </cell>
        </row>
        <row r="8216">
          <cell r="C8216" t="str">
            <v>IC</v>
          </cell>
          <cell r="D8216">
            <v>1.8</v>
          </cell>
          <cell r="H8216" t="str">
            <v>petroleum</v>
          </cell>
        </row>
        <row r="8217">
          <cell r="C8217" t="str">
            <v>IC</v>
          </cell>
          <cell r="D8217">
            <v>1.8</v>
          </cell>
          <cell r="H8217" t="str">
            <v>petroleum</v>
          </cell>
        </row>
        <row r="8218">
          <cell r="C8218" t="str">
            <v>IC</v>
          </cell>
          <cell r="D8218">
            <v>2.2000000000000002</v>
          </cell>
          <cell r="H8218" t="str">
            <v>petroleum</v>
          </cell>
        </row>
        <row r="8219">
          <cell r="C8219" t="str">
            <v>IC</v>
          </cell>
          <cell r="D8219">
            <v>2.2000000000000002</v>
          </cell>
          <cell r="H8219" t="str">
            <v>petroleum</v>
          </cell>
        </row>
        <row r="8220">
          <cell r="C8220" t="str">
            <v>IC</v>
          </cell>
          <cell r="D8220">
            <v>1.7</v>
          </cell>
          <cell r="H8220" t="str">
            <v>petroleum</v>
          </cell>
        </row>
        <row r="8221">
          <cell r="C8221" t="str">
            <v>IC</v>
          </cell>
          <cell r="D8221">
            <v>2.2999999999999998</v>
          </cell>
          <cell r="H8221" t="str">
            <v>petroleum</v>
          </cell>
        </row>
        <row r="8222">
          <cell r="C8222" t="str">
            <v>GT</v>
          </cell>
          <cell r="D8222">
            <v>55</v>
          </cell>
          <cell r="H8222" t="str">
            <v>natural gas peaker</v>
          </cell>
        </row>
        <row r="8223">
          <cell r="C8223" t="str">
            <v>GT</v>
          </cell>
          <cell r="D8223">
            <v>55</v>
          </cell>
          <cell r="H8223" t="str">
            <v>natural gas peaker</v>
          </cell>
        </row>
        <row r="8224">
          <cell r="C8224" t="str">
            <v>GT</v>
          </cell>
          <cell r="D8224">
            <v>55</v>
          </cell>
          <cell r="H8224" t="str">
            <v>natural gas peaker</v>
          </cell>
        </row>
        <row r="8225">
          <cell r="C8225" t="str">
            <v>GT</v>
          </cell>
          <cell r="D8225">
            <v>37</v>
          </cell>
          <cell r="H8225" t="str">
            <v>natural gas peaker</v>
          </cell>
        </row>
        <row r="8226">
          <cell r="C8226" t="str">
            <v>GT</v>
          </cell>
          <cell r="D8226">
            <v>37</v>
          </cell>
          <cell r="H8226" t="str">
            <v>natural gas peaker</v>
          </cell>
        </row>
        <row r="8227">
          <cell r="C8227" t="str">
            <v>IC</v>
          </cell>
          <cell r="D8227">
            <v>1.8</v>
          </cell>
          <cell r="H8227" t="str">
            <v>petroleum</v>
          </cell>
        </row>
        <row r="8228">
          <cell r="C8228" t="str">
            <v>IC</v>
          </cell>
          <cell r="D8228">
            <v>1.8</v>
          </cell>
          <cell r="H8228" t="str">
            <v>petroleum</v>
          </cell>
        </row>
        <row r="8229">
          <cell r="C8229" t="str">
            <v>HY</v>
          </cell>
          <cell r="D8229">
            <v>2.8</v>
          </cell>
          <cell r="H8229" t="str">
            <v>hydro</v>
          </cell>
        </row>
        <row r="8230">
          <cell r="C8230" t="str">
            <v>HY</v>
          </cell>
          <cell r="D8230">
            <v>2.8</v>
          </cell>
          <cell r="H8230" t="str">
            <v>hydro</v>
          </cell>
        </row>
        <row r="8231">
          <cell r="C8231" t="str">
            <v>GT</v>
          </cell>
          <cell r="D8231">
            <v>30.7</v>
          </cell>
          <cell r="H8231" t="str">
            <v>natural gas peaker</v>
          </cell>
        </row>
        <row r="8232">
          <cell r="C8232" t="str">
            <v>GT</v>
          </cell>
          <cell r="D8232">
            <v>33.9</v>
          </cell>
          <cell r="H8232" t="str">
            <v>natural gas peaker</v>
          </cell>
        </row>
        <row r="8233">
          <cell r="C8233" t="str">
            <v>IC</v>
          </cell>
          <cell r="D8233">
            <v>1.8</v>
          </cell>
          <cell r="H8233" t="str">
            <v>petroleum</v>
          </cell>
        </row>
        <row r="8234">
          <cell r="C8234" t="str">
            <v>HY</v>
          </cell>
          <cell r="D8234">
            <v>12.6</v>
          </cell>
          <cell r="H8234" t="str">
            <v>hydro</v>
          </cell>
        </row>
        <row r="8235">
          <cell r="C8235" t="str">
            <v>HY</v>
          </cell>
          <cell r="D8235">
            <v>21</v>
          </cell>
          <cell r="H8235" t="str">
            <v>hydro</v>
          </cell>
        </row>
        <row r="8236">
          <cell r="C8236" t="str">
            <v>GT</v>
          </cell>
          <cell r="D8236">
            <v>12.6</v>
          </cell>
          <cell r="H8236" t="str">
            <v>petroleum</v>
          </cell>
        </row>
        <row r="8237">
          <cell r="C8237" t="str">
            <v>GT</v>
          </cell>
          <cell r="D8237">
            <v>42.6</v>
          </cell>
          <cell r="H8237" t="str">
            <v>natural gas peaker</v>
          </cell>
        </row>
        <row r="8238">
          <cell r="C8238" t="str">
            <v>GT</v>
          </cell>
          <cell r="D8238">
            <v>42.5</v>
          </cell>
          <cell r="H8238" t="str">
            <v>natural gas peaker</v>
          </cell>
        </row>
        <row r="8239">
          <cell r="C8239" t="str">
            <v>CT</v>
          </cell>
          <cell r="D8239">
            <v>34.5</v>
          </cell>
          <cell r="H8239" t="str">
            <v>natural gas nonpeaker</v>
          </cell>
        </row>
        <row r="8240">
          <cell r="C8240" t="str">
            <v>CT</v>
          </cell>
          <cell r="D8240">
            <v>34.5</v>
          </cell>
          <cell r="H8240" t="str">
            <v>natural gas nonpeaker</v>
          </cell>
        </row>
        <row r="8241">
          <cell r="C8241" t="str">
            <v>CT</v>
          </cell>
          <cell r="D8241">
            <v>34.5</v>
          </cell>
          <cell r="H8241" t="str">
            <v>natural gas nonpeaker</v>
          </cell>
        </row>
        <row r="8242">
          <cell r="C8242" t="str">
            <v>CA</v>
          </cell>
          <cell r="D8242">
            <v>55.9</v>
          </cell>
          <cell r="H8242" t="str">
            <v>natural gas nonpeaker</v>
          </cell>
        </row>
        <row r="8243">
          <cell r="C8243" t="str">
            <v>GT</v>
          </cell>
          <cell r="D8243">
            <v>145</v>
          </cell>
          <cell r="H8243" t="str">
            <v>natural gas peaker</v>
          </cell>
        </row>
        <row r="8244">
          <cell r="C8244" t="str">
            <v>GT</v>
          </cell>
          <cell r="D8244">
            <v>145</v>
          </cell>
          <cell r="H8244" t="str">
            <v>natural gas peaker</v>
          </cell>
        </row>
        <row r="8245">
          <cell r="C8245" t="str">
            <v>GT</v>
          </cell>
          <cell r="D8245">
            <v>145</v>
          </cell>
          <cell r="H8245" t="str">
            <v>natural gas peaker</v>
          </cell>
        </row>
        <row r="8246">
          <cell r="C8246" t="str">
            <v>CT</v>
          </cell>
          <cell r="D8246">
            <v>156</v>
          </cell>
          <cell r="H8246" t="str">
            <v>natural gas nonpeaker</v>
          </cell>
        </row>
        <row r="8247">
          <cell r="C8247" t="str">
            <v>CT</v>
          </cell>
          <cell r="D8247">
            <v>156</v>
          </cell>
          <cell r="H8247" t="str">
            <v>natural gas nonpeaker</v>
          </cell>
        </row>
        <row r="8248">
          <cell r="C8248" t="str">
            <v>CT</v>
          </cell>
          <cell r="D8248">
            <v>156</v>
          </cell>
          <cell r="H8248" t="str">
            <v>natural gas nonpeaker</v>
          </cell>
        </row>
        <row r="8249">
          <cell r="C8249" t="str">
            <v>CA</v>
          </cell>
          <cell r="D8249">
            <v>233</v>
          </cell>
          <cell r="H8249" t="str">
            <v>natural gas nonpeaker</v>
          </cell>
        </row>
        <row r="8250">
          <cell r="C8250" t="str">
            <v>CT</v>
          </cell>
          <cell r="D8250">
            <v>156</v>
          </cell>
          <cell r="H8250" t="str">
            <v>natural gas nonpeaker</v>
          </cell>
        </row>
        <row r="8251">
          <cell r="C8251" t="str">
            <v>CT</v>
          </cell>
          <cell r="D8251">
            <v>156</v>
          </cell>
          <cell r="H8251" t="str">
            <v>natural gas nonpeaker</v>
          </cell>
        </row>
        <row r="8252">
          <cell r="C8252" t="str">
            <v>CT</v>
          </cell>
          <cell r="D8252">
            <v>156</v>
          </cell>
          <cell r="H8252" t="str">
            <v>natural gas nonpeaker</v>
          </cell>
        </row>
        <row r="8253">
          <cell r="C8253" t="str">
            <v>CT</v>
          </cell>
          <cell r="D8253">
            <v>156</v>
          </cell>
          <cell r="H8253" t="str">
            <v>natural gas nonpeaker</v>
          </cell>
        </row>
        <row r="8254">
          <cell r="C8254" t="str">
            <v>CA</v>
          </cell>
          <cell r="D8254">
            <v>305</v>
          </cell>
          <cell r="H8254" t="str">
            <v>natural gas nonpeaker</v>
          </cell>
        </row>
        <row r="8255">
          <cell r="C8255" t="str">
            <v>GT</v>
          </cell>
          <cell r="D8255">
            <v>56</v>
          </cell>
          <cell r="H8255" t="str">
            <v>natural gas peaker</v>
          </cell>
        </row>
        <row r="8256">
          <cell r="C8256" t="str">
            <v>GT</v>
          </cell>
          <cell r="D8256">
            <v>56</v>
          </cell>
          <cell r="H8256" t="str">
            <v>natural gas peaker</v>
          </cell>
        </row>
        <row r="8257">
          <cell r="C8257" t="str">
            <v>GT</v>
          </cell>
          <cell r="D8257">
            <v>56</v>
          </cell>
          <cell r="H8257" t="str">
            <v>natural gas peaker</v>
          </cell>
        </row>
        <row r="8258">
          <cell r="C8258" t="str">
            <v>GT</v>
          </cell>
          <cell r="D8258">
            <v>56</v>
          </cell>
          <cell r="H8258" t="str">
            <v>natural gas peaker</v>
          </cell>
        </row>
        <row r="8259">
          <cell r="C8259" t="str">
            <v>IC</v>
          </cell>
          <cell r="D8259">
            <v>1.8</v>
          </cell>
          <cell r="H8259" t="str">
            <v>petroleum</v>
          </cell>
        </row>
        <row r="8260">
          <cell r="C8260" t="str">
            <v>IC</v>
          </cell>
          <cell r="D8260">
            <v>1.8</v>
          </cell>
          <cell r="H8260" t="str">
            <v>petroleum</v>
          </cell>
        </row>
        <row r="8261">
          <cell r="C8261" t="str">
            <v>IC</v>
          </cell>
          <cell r="D8261">
            <v>1</v>
          </cell>
          <cell r="H8261" t="str">
            <v>petroleum</v>
          </cell>
        </row>
        <row r="8262">
          <cell r="C8262" t="str">
            <v>IC</v>
          </cell>
          <cell r="D8262">
            <v>1.8</v>
          </cell>
          <cell r="H8262" t="str">
            <v>petroleum</v>
          </cell>
        </row>
        <row r="8263">
          <cell r="C8263" t="str">
            <v>IC</v>
          </cell>
          <cell r="D8263">
            <v>1.8</v>
          </cell>
          <cell r="H8263" t="str">
            <v>petroleum</v>
          </cell>
        </row>
        <row r="8264">
          <cell r="C8264" t="str">
            <v>IC</v>
          </cell>
          <cell r="D8264">
            <v>1.8</v>
          </cell>
          <cell r="H8264" t="str">
            <v>petroleum</v>
          </cell>
        </row>
        <row r="8265">
          <cell r="C8265" t="str">
            <v>IC</v>
          </cell>
          <cell r="D8265">
            <v>1.8</v>
          </cell>
          <cell r="H8265" t="str">
            <v>petroleum</v>
          </cell>
        </row>
        <row r="8266">
          <cell r="C8266" t="str">
            <v>IC</v>
          </cell>
          <cell r="D8266">
            <v>1.8</v>
          </cell>
          <cell r="H8266" t="str">
            <v>petroleum</v>
          </cell>
        </row>
        <row r="8267">
          <cell r="C8267" t="str">
            <v>IC</v>
          </cell>
          <cell r="D8267">
            <v>1.8</v>
          </cell>
          <cell r="H8267" t="str">
            <v>petroleum</v>
          </cell>
        </row>
        <row r="8268">
          <cell r="C8268" t="str">
            <v>IC</v>
          </cell>
          <cell r="D8268">
            <v>1.8</v>
          </cell>
          <cell r="H8268" t="str">
            <v>petroleum</v>
          </cell>
        </row>
        <row r="8269">
          <cell r="C8269" t="str">
            <v>IC</v>
          </cell>
          <cell r="D8269">
            <v>1.8</v>
          </cell>
          <cell r="H8269" t="str">
            <v>petroleum</v>
          </cell>
        </row>
        <row r="8270">
          <cell r="C8270" t="str">
            <v>IC</v>
          </cell>
          <cell r="D8270">
            <v>1.8</v>
          </cell>
          <cell r="H8270" t="str">
            <v>petroleum</v>
          </cell>
        </row>
        <row r="8271">
          <cell r="C8271" t="str">
            <v>IC</v>
          </cell>
          <cell r="D8271">
            <v>1.8</v>
          </cell>
          <cell r="H8271" t="str">
            <v>petroleum</v>
          </cell>
        </row>
        <row r="8272">
          <cell r="C8272" t="str">
            <v>IC</v>
          </cell>
          <cell r="D8272">
            <v>1.8</v>
          </cell>
          <cell r="H8272" t="str">
            <v>petroleum</v>
          </cell>
        </row>
        <row r="8273">
          <cell r="C8273" t="str">
            <v>IC</v>
          </cell>
          <cell r="D8273">
            <v>1.5</v>
          </cell>
          <cell r="H8273" t="str">
            <v>petroleum</v>
          </cell>
        </row>
        <row r="8274">
          <cell r="C8274" t="str">
            <v>WT</v>
          </cell>
          <cell r="D8274">
            <v>0.8</v>
          </cell>
          <cell r="H8274" t="str">
            <v>onshore wind</v>
          </cell>
        </row>
        <row r="8275">
          <cell r="C8275" t="str">
            <v>CA</v>
          </cell>
          <cell r="D8275">
            <v>27.3</v>
          </cell>
          <cell r="H8275" t="str">
            <v>natural gas nonpeaker</v>
          </cell>
        </row>
        <row r="8276">
          <cell r="C8276" t="str">
            <v>CT</v>
          </cell>
          <cell r="D8276">
            <v>46</v>
          </cell>
          <cell r="H8276" t="str">
            <v>natural gas nonpeaker</v>
          </cell>
        </row>
        <row r="8277">
          <cell r="C8277" t="str">
            <v>CT</v>
          </cell>
          <cell r="D8277">
            <v>44.9</v>
          </cell>
          <cell r="H8277" t="str">
            <v>natural gas nonpeaker</v>
          </cell>
        </row>
        <row r="8278">
          <cell r="C8278" t="str">
            <v>GT</v>
          </cell>
          <cell r="D8278">
            <v>45.5</v>
          </cell>
          <cell r="H8278" t="str">
            <v>natural gas peaker</v>
          </cell>
        </row>
        <row r="8279">
          <cell r="C8279" t="str">
            <v>IC</v>
          </cell>
          <cell r="D8279">
            <v>1.6</v>
          </cell>
          <cell r="H8279" t="str">
            <v>petroleum</v>
          </cell>
        </row>
        <row r="8280">
          <cell r="C8280" t="str">
            <v>IC</v>
          </cell>
          <cell r="D8280">
            <v>1.6</v>
          </cell>
          <cell r="H8280" t="str">
            <v>biomass</v>
          </cell>
        </row>
        <row r="8281">
          <cell r="C8281" t="str">
            <v>IC</v>
          </cell>
          <cell r="D8281">
            <v>1.6</v>
          </cell>
          <cell r="H8281" t="str">
            <v>biomass</v>
          </cell>
        </row>
        <row r="8282">
          <cell r="C8282" t="str">
            <v>IC</v>
          </cell>
          <cell r="D8282">
            <v>1.6</v>
          </cell>
          <cell r="H8282" t="str">
            <v>biomass</v>
          </cell>
        </row>
        <row r="8283">
          <cell r="C8283" t="str">
            <v>CT</v>
          </cell>
          <cell r="D8283">
            <v>182.6</v>
          </cell>
          <cell r="H8283" t="str">
            <v>natural gas nonpeaker</v>
          </cell>
        </row>
        <row r="8284">
          <cell r="C8284" t="str">
            <v>CT</v>
          </cell>
          <cell r="D8284">
            <v>182.6</v>
          </cell>
          <cell r="H8284" t="str">
            <v>natural gas nonpeaker</v>
          </cell>
        </row>
        <row r="8285">
          <cell r="C8285" t="str">
            <v>CT</v>
          </cell>
          <cell r="D8285">
            <v>178.3</v>
          </cell>
          <cell r="H8285" t="str">
            <v>natural gas nonpeaker</v>
          </cell>
        </row>
        <row r="8286">
          <cell r="C8286" t="str">
            <v>CT</v>
          </cell>
          <cell r="D8286">
            <v>178.3</v>
          </cell>
          <cell r="H8286" t="str">
            <v>natural gas nonpeaker</v>
          </cell>
        </row>
        <row r="8287">
          <cell r="C8287" t="str">
            <v>CA</v>
          </cell>
          <cell r="D8287">
            <v>293</v>
          </cell>
          <cell r="H8287" t="str">
            <v>natural gas nonpeaker</v>
          </cell>
        </row>
        <row r="8288">
          <cell r="C8288" t="str">
            <v>CA</v>
          </cell>
          <cell r="D8288">
            <v>300</v>
          </cell>
          <cell r="H8288" t="str">
            <v>natural gas nonpeaker</v>
          </cell>
        </row>
        <row r="8289">
          <cell r="C8289" t="str">
            <v>IC</v>
          </cell>
          <cell r="D8289">
            <v>1</v>
          </cell>
          <cell r="H8289" t="str">
            <v>petroleum</v>
          </cell>
        </row>
        <row r="8290">
          <cell r="C8290" t="str">
            <v>CT</v>
          </cell>
          <cell r="D8290">
            <v>161</v>
          </cell>
          <cell r="H8290" t="str">
            <v>natural gas nonpeaker</v>
          </cell>
        </row>
        <row r="8291">
          <cell r="C8291" t="str">
            <v>CA</v>
          </cell>
          <cell r="D8291">
            <v>151</v>
          </cell>
          <cell r="H8291" t="str">
            <v>natural gas nonpeaker</v>
          </cell>
        </row>
        <row r="8292">
          <cell r="C8292" t="str">
            <v>GT</v>
          </cell>
          <cell r="D8292">
            <v>47.3</v>
          </cell>
          <cell r="H8292" t="str">
            <v>natural gas peaker</v>
          </cell>
        </row>
        <row r="8293">
          <cell r="C8293" t="str">
            <v>GT</v>
          </cell>
          <cell r="D8293">
            <v>47.3</v>
          </cell>
          <cell r="H8293" t="str">
            <v>natural gas peaker</v>
          </cell>
        </row>
        <row r="8294">
          <cell r="C8294" t="str">
            <v>GT</v>
          </cell>
          <cell r="D8294">
            <v>47.3</v>
          </cell>
          <cell r="H8294" t="str">
            <v>natural gas peaker</v>
          </cell>
        </row>
        <row r="8295">
          <cell r="C8295" t="str">
            <v>GT</v>
          </cell>
          <cell r="D8295">
            <v>47.3</v>
          </cell>
          <cell r="H8295" t="str">
            <v>natural gas peaker</v>
          </cell>
        </row>
        <row r="8296">
          <cell r="C8296" t="str">
            <v>GT</v>
          </cell>
          <cell r="D8296">
            <v>47.3</v>
          </cell>
          <cell r="H8296" t="str">
            <v>natural gas peaker</v>
          </cell>
        </row>
        <row r="8297">
          <cell r="C8297" t="str">
            <v>GT</v>
          </cell>
          <cell r="D8297">
            <v>47.3</v>
          </cell>
          <cell r="H8297" t="str">
            <v>natural gas peaker</v>
          </cell>
        </row>
        <row r="8298">
          <cell r="C8298" t="str">
            <v>ST</v>
          </cell>
          <cell r="D8298">
            <v>675</v>
          </cell>
          <cell r="H8298" t="str">
            <v>lignite</v>
          </cell>
        </row>
        <row r="8299">
          <cell r="C8299" t="str">
            <v>GT</v>
          </cell>
          <cell r="D8299">
            <v>50</v>
          </cell>
          <cell r="H8299" t="str">
            <v>natural gas peaker</v>
          </cell>
        </row>
        <row r="8300">
          <cell r="C8300" t="str">
            <v>GT</v>
          </cell>
          <cell r="D8300">
            <v>50</v>
          </cell>
          <cell r="H8300" t="str">
            <v>natural gas peaker</v>
          </cell>
        </row>
        <row r="8301">
          <cell r="C8301" t="str">
            <v>HY</v>
          </cell>
          <cell r="D8301">
            <v>55</v>
          </cell>
          <cell r="H8301" t="str">
            <v>hydro</v>
          </cell>
        </row>
        <row r="8302">
          <cell r="C8302" t="str">
            <v>HY</v>
          </cell>
          <cell r="D8302">
            <v>55</v>
          </cell>
          <cell r="H8302" t="str">
            <v>hydro</v>
          </cell>
        </row>
        <row r="8303">
          <cell r="C8303" t="str">
            <v>HY</v>
          </cell>
          <cell r="D8303">
            <v>55</v>
          </cell>
          <cell r="H8303" t="str">
            <v>hydro</v>
          </cell>
        </row>
        <row r="8304">
          <cell r="C8304" t="str">
            <v>GT</v>
          </cell>
          <cell r="D8304">
            <v>40</v>
          </cell>
          <cell r="H8304" t="str">
            <v>natural gas peaker</v>
          </cell>
        </row>
        <row r="8305">
          <cell r="C8305" t="str">
            <v>GT</v>
          </cell>
          <cell r="D8305">
            <v>39.9</v>
          </cell>
          <cell r="H8305" t="str">
            <v>natural gas peaker</v>
          </cell>
        </row>
        <row r="8306">
          <cell r="C8306" t="str">
            <v>GT</v>
          </cell>
          <cell r="D8306">
            <v>40</v>
          </cell>
          <cell r="H8306" t="str">
            <v>natural gas peaker</v>
          </cell>
        </row>
        <row r="8307">
          <cell r="C8307" t="str">
            <v>GT</v>
          </cell>
          <cell r="D8307">
            <v>39.9</v>
          </cell>
          <cell r="H8307" t="str">
            <v>natural gas peaker</v>
          </cell>
        </row>
        <row r="8308">
          <cell r="C8308" t="str">
            <v>HY</v>
          </cell>
          <cell r="D8308">
            <v>11.5</v>
          </cell>
          <cell r="H8308" t="str">
            <v>hydro</v>
          </cell>
        </row>
        <row r="8309">
          <cell r="C8309" t="str">
            <v>GT</v>
          </cell>
          <cell r="D8309">
            <v>43.8</v>
          </cell>
          <cell r="H8309" t="str">
            <v>natural gas peaker</v>
          </cell>
        </row>
        <row r="8310">
          <cell r="C8310" t="str">
            <v>GT</v>
          </cell>
          <cell r="D8310">
            <v>39.9</v>
          </cell>
          <cell r="H8310" t="str">
            <v>natural gas peaker</v>
          </cell>
        </row>
        <row r="8311">
          <cell r="C8311" t="str">
            <v>GT</v>
          </cell>
          <cell r="D8311">
            <v>40</v>
          </cell>
          <cell r="H8311" t="str">
            <v>natural gas peaker</v>
          </cell>
        </row>
        <row r="8312">
          <cell r="C8312" t="str">
            <v>GT</v>
          </cell>
          <cell r="D8312">
            <v>39.9</v>
          </cell>
          <cell r="H8312" t="str">
            <v>natural gas peaker</v>
          </cell>
        </row>
        <row r="8313">
          <cell r="C8313" t="str">
            <v>GT</v>
          </cell>
          <cell r="D8313">
            <v>40</v>
          </cell>
          <cell r="H8313" t="str">
            <v>natural gas peaker</v>
          </cell>
        </row>
        <row r="8314">
          <cell r="C8314" t="str">
            <v>GT</v>
          </cell>
          <cell r="D8314">
            <v>45.9</v>
          </cell>
          <cell r="H8314" t="str">
            <v>natural gas peaker</v>
          </cell>
        </row>
        <row r="8315">
          <cell r="C8315" t="str">
            <v>GT</v>
          </cell>
          <cell r="D8315">
            <v>97</v>
          </cell>
          <cell r="H8315" t="str">
            <v>natural gas peaker</v>
          </cell>
        </row>
        <row r="8316">
          <cell r="C8316" t="str">
            <v>GT</v>
          </cell>
          <cell r="D8316">
            <v>95.8</v>
          </cell>
          <cell r="H8316" t="str">
            <v>natural gas peaker</v>
          </cell>
        </row>
        <row r="8317">
          <cell r="C8317" t="str">
            <v>GT</v>
          </cell>
          <cell r="D8317">
            <v>96.2</v>
          </cell>
          <cell r="H8317" t="str">
            <v>natural gas peaker</v>
          </cell>
        </row>
        <row r="8318">
          <cell r="C8318" t="str">
            <v>GT</v>
          </cell>
          <cell r="D8318">
            <v>97.3</v>
          </cell>
          <cell r="H8318" t="str">
            <v>natural gas peaker</v>
          </cell>
        </row>
        <row r="8319">
          <cell r="C8319" t="str">
            <v>GT</v>
          </cell>
          <cell r="D8319">
            <v>96.5</v>
          </cell>
          <cell r="H8319" t="str">
            <v>natural gas peaker</v>
          </cell>
        </row>
        <row r="8320">
          <cell r="C8320" t="str">
            <v>GT</v>
          </cell>
          <cell r="D8320">
            <v>96.3</v>
          </cell>
          <cell r="H8320" t="str">
            <v>natural gas peaker</v>
          </cell>
        </row>
        <row r="8321">
          <cell r="C8321" t="str">
            <v>CT</v>
          </cell>
          <cell r="D8321">
            <v>142.80000000000001</v>
          </cell>
          <cell r="H8321" t="str">
            <v>natural gas nonpeaker</v>
          </cell>
        </row>
        <row r="8322">
          <cell r="C8322" t="str">
            <v>CT</v>
          </cell>
          <cell r="D8322">
            <v>149.1</v>
          </cell>
          <cell r="H8322" t="str">
            <v>natural gas nonpeaker</v>
          </cell>
        </row>
        <row r="8323">
          <cell r="C8323" t="str">
            <v>CA</v>
          </cell>
          <cell r="D8323">
            <v>166</v>
          </cell>
          <cell r="H8323" t="str">
            <v>natural gas nonpeaker</v>
          </cell>
        </row>
        <row r="8324">
          <cell r="C8324" t="str">
            <v>IC</v>
          </cell>
          <cell r="D8324">
            <v>1.8</v>
          </cell>
          <cell r="H8324" t="str">
            <v>petroleum</v>
          </cell>
        </row>
        <row r="8325">
          <cell r="C8325" t="str">
            <v>IC</v>
          </cell>
          <cell r="D8325">
            <v>1.8</v>
          </cell>
          <cell r="H8325" t="str">
            <v>petroleum</v>
          </cell>
        </row>
        <row r="8326">
          <cell r="C8326" t="str">
            <v>IC</v>
          </cell>
          <cell r="D8326">
            <v>1.8</v>
          </cell>
          <cell r="H8326" t="str">
            <v>petroleum</v>
          </cell>
        </row>
        <row r="8327">
          <cell r="C8327" t="str">
            <v>IC</v>
          </cell>
          <cell r="D8327">
            <v>1.8</v>
          </cell>
          <cell r="H8327" t="str">
            <v>petroleum</v>
          </cell>
        </row>
        <row r="8328">
          <cell r="C8328" t="str">
            <v>IC</v>
          </cell>
          <cell r="D8328">
            <v>1.8</v>
          </cell>
          <cell r="H8328" t="str">
            <v>petroleum</v>
          </cell>
        </row>
        <row r="8329">
          <cell r="C8329" t="str">
            <v>IC</v>
          </cell>
          <cell r="D8329">
            <v>1.8</v>
          </cell>
          <cell r="H8329" t="str">
            <v>petroleum</v>
          </cell>
        </row>
        <row r="8330">
          <cell r="C8330" t="str">
            <v>IC</v>
          </cell>
          <cell r="D8330">
            <v>1.8</v>
          </cell>
          <cell r="H8330" t="str">
            <v>petroleum</v>
          </cell>
        </row>
        <row r="8331">
          <cell r="C8331" t="str">
            <v>IC</v>
          </cell>
          <cell r="D8331">
            <v>1.2</v>
          </cell>
          <cell r="H8331" t="str">
            <v>petroleum</v>
          </cell>
        </row>
        <row r="8332">
          <cell r="C8332" t="str">
            <v>IC</v>
          </cell>
          <cell r="D8332">
            <v>1.3</v>
          </cell>
          <cell r="H8332" t="str">
            <v>petroleum</v>
          </cell>
        </row>
        <row r="8333">
          <cell r="C8333" t="str">
            <v>IC</v>
          </cell>
          <cell r="D8333">
            <v>1.3</v>
          </cell>
          <cell r="H8333" t="str">
            <v>petroleum</v>
          </cell>
        </row>
        <row r="8334">
          <cell r="C8334" t="str">
            <v>IC</v>
          </cell>
          <cell r="D8334">
            <v>1.3</v>
          </cell>
          <cell r="H8334" t="str">
            <v>petroleum</v>
          </cell>
        </row>
        <row r="8335">
          <cell r="C8335" t="str">
            <v>IC</v>
          </cell>
          <cell r="D8335">
            <v>0.9</v>
          </cell>
          <cell r="H8335" t="str">
            <v>petroleum</v>
          </cell>
        </row>
        <row r="8336">
          <cell r="C8336" t="str">
            <v>IC</v>
          </cell>
          <cell r="D8336">
            <v>0.9</v>
          </cell>
          <cell r="H8336" t="str">
            <v>petroleum</v>
          </cell>
        </row>
        <row r="8337">
          <cell r="C8337" t="str">
            <v>IC</v>
          </cell>
          <cell r="D8337">
            <v>0.9</v>
          </cell>
          <cell r="H8337" t="str">
            <v>petroleum</v>
          </cell>
        </row>
        <row r="8338">
          <cell r="C8338" t="str">
            <v>IC</v>
          </cell>
          <cell r="D8338">
            <v>0.9</v>
          </cell>
          <cell r="H8338" t="str">
            <v>petroleum</v>
          </cell>
        </row>
        <row r="8339">
          <cell r="C8339" t="str">
            <v>GT</v>
          </cell>
          <cell r="D8339">
            <v>76.900000000000006</v>
          </cell>
          <cell r="H8339" t="str">
            <v>natural gas peaker</v>
          </cell>
        </row>
        <row r="8340">
          <cell r="C8340" t="str">
            <v>GT</v>
          </cell>
          <cell r="D8340">
            <v>76.7</v>
          </cell>
          <cell r="H8340" t="str">
            <v>natural gas peaker</v>
          </cell>
        </row>
        <row r="8341">
          <cell r="C8341" t="str">
            <v>GT</v>
          </cell>
          <cell r="D8341">
            <v>76.5</v>
          </cell>
          <cell r="H8341" t="str">
            <v>natural gas peaker</v>
          </cell>
        </row>
        <row r="8342">
          <cell r="C8342" t="str">
            <v>GT</v>
          </cell>
          <cell r="D8342">
            <v>76.8</v>
          </cell>
          <cell r="H8342" t="str">
            <v>natural gas peaker</v>
          </cell>
        </row>
        <row r="8343">
          <cell r="C8343" t="str">
            <v>GT</v>
          </cell>
          <cell r="D8343">
            <v>77.400000000000006</v>
          </cell>
          <cell r="H8343" t="str">
            <v>natural gas peaker</v>
          </cell>
        </row>
        <row r="8344">
          <cell r="C8344" t="str">
            <v>GT</v>
          </cell>
          <cell r="D8344">
            <v>76.5</v>
          </cell>
          <cell r="H8344" t="str">
            <v>natural gas peaker</v>
          </cell>
        </row>
        <row r="8345">
          <cell r="C8345" t="str">
            <v>IC</v>
          </cell>
          <cell r="D8345">
            <v>2</v>
          </cell>
          <cell r="H8345" t="str">
            <v>petroleum</v>
          </cell>
        </row>
        <row r="8346">
          <cell r="C8346" t="str">
            <v>IC</v>
          </cell>
          <cell r="D8346">
            <v>1.8</v>
          </cell>
          <cell r="H8346" t="str">
            <v>petroleum</v>
          </cell>
        </row>
        <row r="8347">
          <cell r="C8347" t="str">
            <v>IC</v>
          </cell>
          <cell r="D8347">
            <v>1.8</v>
          </cell>
          <cell r="H8347" t="str">
            <v>petroleum</v>
          </cell>
        </row>
        <row r="8348">
          <cell r="C8348" t="str">
            <v>WT</v>
          </cell>
          <cell r="D8348">
            <v>0.7</v>
          </cell>
          <cell r="H8348" t="str">
            <v>onshore wind</v>
          </cell>
        </row>
        <row r="8349">
          <cell r="C8349" t="str">
            <v>WT</v>
          </cell>
          <cell r="D8349">
            <v>0.7</v>
          </cell>
          <cell r="H8349" t="str">
            <v>onshore wind</v>
          </cell>
        </row>
        <row r="8350">
          <cell r="C8350" t="str">
            <v>WT</v>
          </cell>
          <cell r="D8350">
            <v>0.7</v>
          </cell>
          <cell r="H8350" t="str">
            <v>onshore wind</v>
          </cell>
        </row>
        <row r="8351">
          <cell r="C8351" t="str">
            <v>GT</v>
          </cell>
          <cell r="D8351">
            <v>75.7</v>
          </cell>
          <cell r="H8351" t="str">
            <v>natural gas peaker</v>
          </cell>
        </row>
        <row r="8352">
          <cell r="C8352" t="str">
            <v>GT</v>
          </cell>
          <cell r="D8352">
            <v>79.5</v>
          </cell>
          <cell r="H8352" t="str">
            <v>natural gas peaker</v>
          </cell>
        </row>
        <row r="8353">
          <cell r="C8353" t="str">
            <v>GT</v>
          </cell>
          <cell r="D8353">
            <v>78.599999999999994</v>
          </cell>
          <cell r="H8353" t="str">
            <v>natural gas peaker</v>
          </cell>
        </row>
        <row r="8354">
          <cell r="C8354" t="str">
            <v>GT</v>
          </cell>
          <cell r="D8354">
            <v>77.3</v>
          </cell>
          <cell r="H8354" t="str">
            <v>natural gas peaker</v>
          </cell>
        </row>
        <row r="8355">
          <cell r="C8355" t="str">
            <v>GT</v>
          </cell>
          <cell r="D8355">
            <v>77.5</v>
          </cell>
          <cell r="H8355" t="str">
            <v>natural gas peaker</v>
          </cell>
        </row>
        <row r="8356">
          <cell r="C8356" t="str">
            <v>GT</v>
          </cell>
          <cell r="D8356">
            <v>6</v>
          </cell>
          <cell r="H8356" t="str">
            <v>natural gas peaker</v>
          </cell>
        </row>
        <row r="8357">
          <cell r="C8357" t="str">
            <v>GT</v>
          </cell>
          <cell r="D8357">
            <v>6</v>
          </cell>
          <cell r="H8357" t="str">
            <v>natural gas peaker</v>
          </cell>
        </row>
        <row r="8358">
          <cell r="C8358" t="str">
            <v>CT</v>
          </cell>
          <cell r="D8358">
            <v>173</v>
          </cell>
          <cell r="H8358" t="str">
            <v>natural gas nonpeaker</v>
          </cell>
        </row>
        <row r="8359">
          <cell r="C8359" t="str">
            <v>CA</v>
          </cell>
          <cell r="D8359">
            <v>117</v>
          </cell>
          <cell r="H8359" t="str">
            <v>natural gas nonpeaker</v>
          </cell>
        </row>
        <row r="8360">
          <cell r="C8360" t="str">
            <v>GT</v>
          </cell>
          <cell r="D8360">
            <v>20.2</v>
          </cell>
          <cell r="H8360" t="str">
            <v>natural gas peaker</v>
          </cell>
        </row>
        <row r="8361">
          <cell r="C8361" t="str">
            <v>GT</v>
          </cell>
          <cell r="D8361">
            <v>20.2</v>
          </cell>
          <cell r="H8361" t="str">
            <v>natural gas peaker</v>
          </cell>
        </row>
        <row r="8362">
          <cell r="C8362" t="str">
            <v>GT</v>
          </cell>
          <cell r="D8362">
            <v>20.2</v>
          </cell>
          <cell r="H8362" t="str">
            <v>natural gas peaker</v>
          </cell>
        </row>
        <row r="8363">
          <cell r="C8363" t="str">
            <v>IC</v>
          </cell>
          <cell r="D8363">
            <v>1.8</v>
          </cell>
          <cell r="H8363" t="str">
            <v>petroleum</v>
          </cell>
        </row>
        <row r="8364">
          <cell r="C8364" t="str">
            <v>IC</v>
          </cell>
          <cell r="D8364">
            <v>1.8</v>
          </cell>
          <cell r="H8364" t="str">
            <v>petroleum</v>
          </cell>
        </row>
        <row r="8365">
          <cell r="C8365" t="str">
            <v>IC</v>
          </cell>
          <cell r="D8365">
            <v>1.8</v>
          </cell>
          <cell r="H8365" t="str">
            <v>petroleum</v>
          </cell>
        </row>
        <row r="8366">
          <cell r="C8366" t="str">
            <v>IC</v>
          </cell>
          <cell r="D8366">
            <v>1.8</v>
          </cell>
          <cell r="H8366" t="str">
            <v>petroleum</v>
          </cell>
        </row>
        <row r="8367">
          <cell r="C8367" t="str">
            <v>IC</v>
          </cell>
          <cell r="D8367">
            <v>1.8</v>
          </cell>
          <cell r="H8367" t="str">
            <v>petroleum</v>
          </cell>
        </row>
        <row r="8368">
          <cell r="C8368" t="str">
            <v>IC</v>
          </cell>
          <cell r="D8368">
            <v>2.2000000000000002</v>
          </cell>
          <cell r="H8368" t="str">
            <v>petroleum</v>
          </cell>
        </row>
        <row r="8369">
          <cell r="C8369" t="str">
            <v>IC</v>
          </cell>
          <cell r="D8369">
            <v>2.2000000000000002</v>
          </cell>
          <cell r="H8369" t="str">
            <v>petroleum</v>
          </cell>
        </row>
        <row r="8370">
          <cell r="C8370" t="str">
            <v>IC</v>
          </cell>
          <cell r="D8370">
            <v>1.8</v>
          </cell>
          <cell r="H8370" t="str">
            <v>petroleum</v>
          </cell>
        </row>
        <row r="8371">
          <cell r="C8371" t="str">
            <v>IC</v>
          </cell>
          <cell r="D8371">
            <v>1.8</v>
          </cell>
          <cell r="H8371" t="str">
            <v>petroleum</v>
          </cell>
        </row>
        <row r="8372">
          <cell r="C8372" t="str">
            <v>IC</v>
          </cell>
          <cell r="D8372">
            <v>1.8</v>
          </cell>
          <cell r="H8372" t="str">
            <v>petroleum</v>
          </cell>
        </row>
        <row r="8373">
          <cell r="C8373" t="str">
            <v>IC</v>
          </cell>
          <cell r="D8373">
            <v>1.8</v>
          </cell>
          <cell r="H8373" t="str">
            <v>petroleum</v>
          </cell>
        </row>
        <row r="8374">
          <cell r="C8374" t="str">
            <v>IC</v>
          </cell>
          <cell r="D8374">
            <v>2</v>
          </cell>
          <cell r="H8374" t="str">
            <v>petroleum</v>
          </cell>
        </row>
        <row r="8375">
          <cell r="C8375" t="str">
            <v>IC</v>
          </cell>
          <cell r="D8375">
            <v>2</v>
          </cell>
          <cell r="H8375" t="str">
            <v>petroleum</v>
          </cell>
        </row>
        <row r="8376">
          <cell r="C8376" t="str">
            <v>IC</v>
          </cell>
          <cell r="D8376">
            <v>2</v>
          </cell>
          <cell r="H8376" t="str">
            <v>petroleum</v>
          </cell>
        </row>
        <row r="8377">
          <cell r="C8377" t="str">
            <v>WT</v>
          </cell>
          <cell r="D8377">
            <v>95</v>
          </cell>
          <cell r="H8377" t="str">
            <v>onshore wind</v>
          </cell>
        </row>
        <row r="8378">
          <cell r="C8378" t="str">
            <v>IC</v>
          </cell>
          <cell r="D8378">
            <v>2</v>
          </cell>
          <cell r="H8378" t="str">
            <v>petroleum</v>
          </cell>
        </row>
        <row r="8379">
          <cell r="C8379" t="str">
            <v>IC</v>
          </cell>
          <cell r="D8379">
            <v>2</v>
          </cell>
          <cell r="H8379" t="str">
            <v>petroleum</v>
          </cell>
        </row>
        <row r="8380">
          <cell r="C8380" t="str">
            <v>IC</v>
          </cell>
          <cell r="D8380">
            <v>2</v>
          </cell>
          <cell r="H8380" t="str">
            <v>petroleum</v>
          </cell>
        </row>
        <row r="8381">
          <cell r="C8381" t="str">
            <v>IC</v>
          </cell>
          <cell r="D8381">
            <v>2</v>
          </cell>
          <cell r="H8381" t="str">
            <v>petroleum</v>
          </cell>
        </row>
        <row r="8382">
          <cell r="C8382" t="str">
            <v>HY</v>
          </cell>
          <cell r="D8382">
            <v>3.3</v>
          </cell>
          <cell r="H8382" t="str">
            <v>hydro</v>
          </cell>
        </row>
        <row r="8383">
          <cell r="C8383" t="str">
            <v>HY</v>
          </cell>
          <cell r="D8383">
            <v>3.3</v>
          </cell>
          <cell r="H8383" t="str">
            <v>hydro</v>
          </cell>
        </row>
        <row r="8384">
          <cell r="C8384" t="str">
            <v>HY</v>
          </cell>
          <cell r="D8384">
            <v>3.3</v>
          </cell>
          <cell r="H8384" t="str">
            <v>hydro</v>
          </cell>
        </row>
        <row r="8385">
          <cell r="C8385" t="str">
            <v>HY</v>
          </cell>
          <cell r="D8385">
            <v>3.3</v>
          </cell>
          <cell r="H8385" t="str">
            <v>hydro</v>
          </cell>
        </row>
        <row r="8386">
          <cell r="C8386" t="str">
            <v>HY</v>
          </cell>
          <cell r="D8386">
            <v>3.3</v>
          </cell>
          <cell r="H8386" t="str">
            <v>hydro</v>
          </cell>
        </row>
        <row r="8387">
          <cell r="C8387" t="str">
            <v>HY</v>
          </cell>
          <cell r="D8387">
            <v>3.3</v>
          </cell>
          <cell r="H8387" t="str">
            <v>hydro</v>
          </cell>
        </row>
        <row r="8388">
          <cell r="C8388" t="str">
            <v>HY</v>
          </cell>
          <cell r="D8388">
            <v>3.3</v>
          </cell>
          <cell r="H8388" t="str">
            <v>hydro</v>
          </cell>
        </row>
        <row r="8389">
          <cell r="C8389" t="str">
            <v>HY</v>
          </cell>
          <cell r="D8389">
            <v>3.3</v>
          </cell>
          <cell r="H8389" t="str">
            <v>hydro</v>
          </cell>
        </row>
        <row r="8390">
          <cell r="C8390" t="str">
            <v>HY</v>
          </cell>
          <cell r="D8390">
            <v>3.3</v>
          </cell>
          <cell r="H8390" t="str">
            <v>hydro</v>
          </cell>
        </row>
        <row r="8391">
          <cell r="C8391" t="str">
            <v>CT</v>
          </cell>
          <cell r="D8391">
            <v>143</v>
          </cell>
          <cell r="H8391" t="str">
            <v>natural gas nonpeaker</v>
          </cell>
        </row>
        <row r="8392">
          <cell r="C8392" t="str">
            <v>CT</v>
          </cell>
          <cell r="D8392">
            <v>143.30000000000001</v>
          </cell>
          <cell r="H8392" t="str">
            <v>natural gas nonpeaker</v>
          </cell>
        </row>
        <row r="8393">
          <cell r="C8393" t="str">
            <v>CA</v>
          </cell>
          <cell r="D8393">
            <v>203.3</v>
          </cell>
          <cell r="H8393" t="str">
            <v>natural gas nonpeaker</v>
          </cell>
        </row>
        <row r="8394">
          <cell r="C8394" t="str">
            <v>GT</v>
          </cell>
          <cell r="D8394">
            <v>44</v>
          </cell>
          <cell r="H8394" t="str">
            <v>natural gas peaker</v>
          </cell>
        </row>
        <row r="8395">
          <cell r="C8395" t="str">
            <v>IC</v>
          </cell>
          <cell r="D8395">
            <v>1.3</v>
          </cell>
          <cell r="H8395" t="str">
            <v>petroleum</v>
          </cell>
        </row>
        <row r="8396">
          <cell r="C8396" t="str">
            <v>GT</v>
          </cell>
          <cell r="D8396">
            <v>43.8</v>
          </cell>
          <cell r="H8396" t="str">
            <v>natural gas peaker</v>
          </cell>
        </row>
        <row r="8397">
          <cell r="C8397" t="str">
            <v>GT</v>
          </cell>
          <cell r="D8397">
            <v>43.8</v>
          </cell>
          <cell r="H8397" t="str">
            <v>natural gas peaker</v>
          </cell>
        </row>
        <row r="8398">
          <cell r="C8398" t="str">
            <v>GT</v>
          </cell>
          <cell r="D8398">
            <v>43.8</v>
          </cell>
          <cell r="H8398" t="str">
            <v>natural gas peaker</v>
          </cell>
        </row>
        <row r="8399">
          <cell r="C8399" t="str">
            <v>GT</v>
          </cell>
          <cell r="D8399">
            <v>43.8</v>
          </cell>
          <cell r="H8399" t="str">
            <v>natural gas peaker</v>
          </cell>
        </row>
        <row r="8400">
          <cell r="C8400" t="str">
            <v>GT</v>
          </cell>
          <cell r="D8400">
            <v>43.8</v>
          </cell>
          <cell r="H8400" t="str">
            <v>natural gas peaker</v>
          </cell>
        </row>
        <row r="8401">
          <cell r="C8401" t="str">
            <v>GT</v>
          </cell>
          <cell r="D8401">
            <v>43.8</v>
          </cell>
          <cell r="H8401" t="str">
            <v>natural gas peaker</v>
          </cell>
        </row>
        <row r="8402">
          <cell r="C8402" t="str">
            <v>GT</v>
          </cell>
          <cell r="D8402">
            <v>171</v>
          </cell>
          <cell r="H8402" t="str">
            <v>natural gas peaker</v>
          </cell>
        </row>
        <row r="8403">
          <cell r="C8403" t="str">
            <v>GT</v>
          </cell>
          <cell r="D8403">
            <v>41.4</v>
          </cell>
          <cell r="H8403" t="str">
            <v>natural gas peaker</v>
          </cell>
        </row>
        <row r="8404">
          <cell r="C8404" t="str">
            <v>GT</v>
          </cell>
          <cell r="D8404">
            <v>39</v>
          </cell>
          <cell r="H8404" t="str">
            <v>natural gas peaker</v>
          </cell>
        </row>
        <row r="8405">
          <cell r="C8405" t="str">
            <v>GT</v>
          </cell>
          <cell r="D8405">
            <v>22</v>
          </cell>
          <cell r="H8405" t="str">
            <v>petroleum</v>
          </cell>
        </row>
        <row r="8406">
          <cell r="C8406" t="str">
            <v>GT</v>
          </cell>
          <cell r="D8406">
            <v>22</v>
          </cell>
          <cell r="H8406" t="str">
            <v>petroleum</v>
          </cell>
        </row>
        <row r="8407">
          <cell r="C8407" t="str">
            <v>IC</v>
          </cell>
          <cell r="D8407">
            <v>0.8</v>
          </cell>
          <cell r="H8407" t="str">
            <v>biomass</v>
          </cell>
        </row>
        <row r="8408">
          <cell r="C8408" t="str">
            <v>IC</v>
          </cell>
          <cell r="D8408">
            <v>0.8</v>
          </cell>
          <cell r="H8408" t="str">
            <v>biomass</v>
          </cell>
        </row>
        <row r="8409">
          <cell r="C8409" t="str">
            <v>IC</v>
          </cell>
          <cell r="D8409">
            <v>0.8</v>
          </cell>
          <cell r="H8409" t="str">
            <v>biomass</v>
          </cell>
        </row>
        <row r="8410">
          <cell r="C8410" t="str">
            <v>IC</v>
          </cell>
          <cell r="D8410">
            <v>0.8</v>
          </cell>
          <cell r="H8410" t="str">
            <v>biomass</v>
          </cell>
        </row>
        <row r="8411">
          <cell r="C8411" t="str">
            <v>IC</v>
          </cell>
          <cell r="D8411">
            <v>0.8</v>
          </cell>
          <cell r="H8411" t="str">
            <v>biomass</v>
          </cell>
        </row>
        <row r="8412">
          <cell r="C8412" t="str">
            <v>IC</v>
          </cell>
          <cell r="D8412">
            <v>0.8</v>
          </cell>
          <cell r="H8412" t="str">
            <v>biomass</v>
          </cell>
        </row>
        <row r="8413">
          <cell r="C8413" t="str">
            <v>IC</v>
          </cell>
          <cell r="D8413">
            <v>0.8</v>
          </cell>
          <cell r="H8413" t="str">
            <v>biomass</v>
          </cell>
        </row>
        <row r="8414">
          <cell r="C8414" t="str">
            <v>IC</v>
          </cell>
          <cell r="D8414">
            <v>0.8</v>
          </cell>
          <cell r="H8414" t="str">
            <v>biomass</v>
          </cell>
        </row>
        <row r="8415">
          <cell r="C8415" t="str">
            <v>IC</v>
          </cell>
          <cell r="D8415">
            <v>2.4</v>
          </cell>
          <cell r="H8415" t="str">
            <v>petroleum</v>
          </cell>
        </row>
        <row r="8416">
          <cell r="C8416" t="str">
            <v>IC</v>
          </cell>
          <cell r="D8416">
            <v>1.1000000000000001</v>
          </cell>
          <cell r="H8416" t="str">
            <v>biomass</v>
          </cell>
        </row>
        <row r="8417">
          <cell r="C8417" t="str">
            <v>IC</v>
          </cell>
          <cell r="D8417">
            <v>1.1000000000000001</v>
          </cell>
          <cell r="H8417" t="str">
            <v>biomass</v>
          </cell>
        </row>
        <row r="8418">
          <cell r="C8418" t="str">
            <v>IC</v>
          </cell>
          <cell r="D8418">
            <v>1.1000000000000001</v>
          </cell>
          <cell r="H8418" t="str">
            <v>biomass</v>
          </cell>
        </row>
        <row r="8419">
          <cell r="C8419" t="str">
            <v>GT</v>
          </cell>
          <cell r="D8419">
            <v>73.3</v>
          </cell>
          <cell r="H8419" t="str">
            <v>natural gas peaker</v>
          </cell>
        </row>
        <row r="8420">
          <cell r="C8420" t="str">
            <v>GT</v>
          </cell>
          <cell r="D8420">
            <v>73.3</v>
          </cell>
          <cell r="H8420" t="str">
            <v>natural gas peaker</v>
          </cell>
        </row>
        <row r="8421">
          <cell r="C8421" t="str">
            <v>GT</v>
          </cell>
          <cell r="D8421">
            <v>73.3</v>
          </cell>
          <cell r="H8421" t="str">
            <v>natural gas peaker</v>
          </cell>
        </row>
        <row r="8422">
          <cell r="C8422" t="str">
            <v>GT</v>
          </cell>
          <cell r="D8422">
            <v>73.3</v>
          </cell>
          <cell r="H8422" t="str">
            <v>natural gas peaker</v>
          </cell>
        </row>
        <row r="8423">
          <cell r="C8423" t="str">
            <v>GT</v>
          </cell>
          <cell r="D8423">
            <v>48</v>
          </cell>
          <cell r="H8423" t="str">
            <v>natural gas peaker</v>
          </cell>
        </row>
        <row r="8424">
          <cell r="C8424" t="str">
            <v>GT</v>
          </cell>
          <cell r="D8424">
            <v>50</v>
          </cell>
          <cell r="H8424" t="str">
            <v>natural gas peaker</v>
          </cell>
        </row>
        <row r="8425">
          <cell r="C8425" t="str">
            <v>GT</v>
          </cell>
          <cell r="D8425">
            <v>47</v>
          </cell>
          <cell r="H8425" t="str">
            <v>natural gas peaker</v>
          </cell>
        </row>
        <row r="8426">
          <cell r="C8426" t="str">
            <v>GT</v>
          </cell>
          <cell r="D8426">
            <v>47</v>
          </cell>
          <cell r="H8426" t="str">
            <v>natural gas peaker</v>
          </cell>
        </row>
        <row r="8427">
          <cell r="C8427" t="str">
            <v>GT</v>
          </cell>
          <cell r="D8427">
            <v>47</v>
          </cell>
          <cell r="H8427" t="str">
            <v>natural gas peaker</v>
          </cell>
        </row>
        <row r="8428">
          <cell r="C8428" t="str">
            <v>GT</v>
          </cell>
          <cell r="D8428">
            <v>47</v>
          </cell>
          <cell r="H8428" t="str">
            <v>natural gas peaker</v>
          </cell>
        </row>
        <row r="8429">
          <cell r="C8429" t="str">
            <v>WT</v>
          </cell>
          <cell r="D8429">
            <v>0.7</v>
          </cell>
          <cell r="H8429" t="str">
            <v>onshore wind</v>
          </cell>
        </row>
        <row r="8430">
          <cell r="C8430" t="str">
            <v>WT</v>
          </cell>
          <cell r="D8430">
            <v>0.7</v>
          </cell>
          <cell r="H8430" t="str">
            <v>onshore wind</v>
          </cell>
        </row>
        <row r="8431">
          <cell r="C8431" t="str">
            <v>WT</v>
          </cell>
          <cell r="D8431">
            <v>2.2999999999999998</v>
          </cell>
          <cell r="H8431" t="str">
            <v>onshore wind</v>
          </cell>
        </row>
        <row r="8432">
          <cell r="C8432" t="str">
            <v>GT</v>
          </cell>
          <cell r="D8432">
            <v>37</v>
          </cell>
          <cell r="H8432" t="str">
            <v>natural gas peaker</v>
          </cell>
        </row>
        <row r="8433">
          <cell r="C8433" t="str">
            <v>GT</v>
          </cell>
          <cell r="D8433">
            <v>37</v>
          </cell>
          <cell r="H8433" t="str">
            <v>natural gas peaker</v>
          </cell>
        </row>
        <row r="8434">
          <cell r="C8434" t="str">
            <v>IC</v>
          </cell>
          <cell r="D8434">
            <v>1.8</v>
          </cell>
          <cell r="H8434" t="str">
            <v>petroleum</v>
          </cell>
        </row>
        <row r="8435">
          <cell r="C8435" t="str">
            <v>IC</v>
          </cell>
          <cell r="D8435">
            <v>1.8</v>
          </cell>
          <cell r="H8435" t="str">
            <v>petroleum</v>
          </cell>
        </row>
        <row r="8436">
          <cell r="C8436" t="str">
            <v>IC</v>
          </cell>
          <cell r="D8436">
            <v>1.8</v>
          </cell>
          <cell r="H8436" t="str">
            <v>petroleum</v>
          </cell>
        </row>
        <row r="8437">
          <cell r="C8437" t="str">
            <v>IC</v>
          </cell>
          <cell r="D8437">
            <v>1.8</v>
          </cell>
          <cell r="H8437" t="str">
            <v>petroleum</v>
          </cell>
        </row>
        <row r="8438">
          <cell r="C8438" t="str">
            <v>IC</v>
          </cell>
          <cell r="D8438">
            <v>1.8</v>
          </cell>
          <cell r="H8438" t="str">
            <v>petroleum</v>
          </cell>
        </row>
        <row r="8439">
          <cell r="C8439" t="str">
            <v>IC</v>
          </cell>
          <cell r="D8439">
            <v>1.8</v>
          </cell>
          <cell r="H8439" t="str">
            <v>petroleum</v>
          </cell>
        </row>
        <row r="8440">
          <cell r="C8440" t="str">
            <v>IC</v>
          </cell>
          <cell r="D8440">
            <v>1.8</v>
          </cell>
          <cell r="H8440" t="str">
            <v>petroleum</v>
          </cell>
        </row>
        <row r="8441">
          <cell r="C8441" t="str">
            <v>IC</v>
          </cell>
          <cell r="D8441">
            <v>1.8</v>
          </cell>
          <cell r="H8441" t="str">
            <v>petroleum</v>
          </cell>
        </row>
        <row r="8442">
          <cell r="C8442" t="str">
            <v>IC</v>
          </cell>
          <cell r="D8442">
            <v>1.8</v>
          </cell>
          <cell r="H8442" t="str">
            <v>petroleum</v>
          </cell>
        </row>
        <row r="8443">
          <cell r="C8443" t="str">
            <v>IC</v>
          </cell>
          <cell r="D8443">
            <v>1.8</v>
          </cell>
          <cell r="H8443" t="str">
            <v>petroleum</v>
          </cell>
        </row>
        <row r="8444">
          <cell r="C8444" t="str">
            <v>IC</v>
          </cell>
          <cell r="D8444">
            <v>1.8</v>
          </cell>
          <cell r="H8444" t="str">
            <v>petroleum</v>
          </cell>
        </row>
        <row r="8445">
          <cell r="C8445" t="str">
            <v>IC</v>
          </cell>
          <cell r="D8445">
            <v>1.8</v>
          </cell>
          <cell r="H8445" t="str">
            <v>petroleum</v>
          </cell>
        </row>
        <row r="8446">
          <cell r="C8446" t="str">
            <v>IC</v>
          </cell>
          <cell r="D8446">
            <v>1.8</v>
          </cell>
          <cell r="H8446" t="str">
            <v>petroleum</v>
          </cell>
        </row>
        <row r="8447">
          <cell r="C8447" t="str">
            <v>IC</v>
          </cell>
          <cell r="D8447">
            <v>1.8</v>
          </cell>
          <cell r="H8447" t="str">
            <v>petroleum</v>
          </cell>
        </row>
        <row r="8448">
          <cell r="C8448" t="str">
            <v>GT</v>
          </cell>
          <cell r="D8448">
            <v>77</v>
          </cell>
          <cell r="H8448" t="str">
            <v>natural gas peaker</v>
          </cell>
        </row>
        <row r="8449">
          <cell r="C8449" t="str">
            <v>GT</v>
          </cell>
          <cell r="D8449">
            <v>77.5</v>
          </cell>
          <cell r="H8449" t="str">
            <v>natural gas peaker</v>
          </cell>
        </row>
        <row r="8450">
          <cell r="C8450" t="str">
            <v>GT</v>
          </cell>
          <cell r="D8450">
            <v>76.599999999999994</v>
          </cell>
          <cell r="H8450" t="str">
            <v>natural gas peaker</v>
          </cell>
        </row>
        <row r="8451">
          <cell r="C8451" t="str">
            <v>GT</v>
          </cell>
          <cell r="D8451">
            <v>77.3</v>
          </cell>
          <cell r="H8451" t="str">
            <v>natural gas peaker</v>
          </cell>
        </row>
        <row r="8452">
          <cell r="C8452" t="str">
            <v>IC</v>
          </cell>
          <cell r="D8452">
            <v>2</v>
          </cell>
          <cell r="H8452" t="str">
            <v>petroleum</v>
          </cell>
        </row>
        <row r="8453">
          <cell r="C8453" t="str">
            <v>IC</v>
          </cell>
          <cell r="D8453">
            <v>2</v>
          </cell>
          <cell r="H8453" t="str">
            <v>petroleum</v>
          </cell>
        </row>
        <row r="8454">
          <cell r="C8454" t="str">
            <v>IC</v>
          </cell>
          <cell r="D8454">
            <v>2</v>
          </cell>
          <cell r="H8454" t="str">
            <v>petroleum</v>
          </cell>
        </row>
        <row r="8455">
          <cell r="C8455" t="str">
            <v>IC</v>
          </cell>
          <cell r="D8455">
            <v>2</v>
          </cell>
          <cell r="H8455" t="str">
            <v>petroleum</v>
          </cell>
        </row>
        <row r="8456">
          <cell r="C8456" t="str">
            <v>IC</v>
          </cell>
          <cell r="D8456">
            <v>2</v>
          </cell>
          <cell r="H8456" t="str">
            <v>petroleum</v>
          </cell>
        </row>
        <row r="8457">
          <cell r="C8457" t="str">
            <v>IC</v>
          </cell>
          <cell r="D8457">
            <v>2</v>
          </cell>
          <cell r="H8457" t="str">
            <v>petroleum</v>
          </cell>
        </row>
        <row r="8458">
          <cell r="C8458" t="str">
            <v>IC</v>
          </cell>
          <cell r="D8458">
            <v>2</v>
          </cell>
          <cell r="H8458" t="str">
            <v>petroleum</v>
          </cell>
        </row>
        <row r="8459">
          <cell r="C8459" t="str">
            <v>IC</v>
          </cell>
          <cell r="D8459">
            <v>2</v>
          </cell>
          <cell r="H8459" t="str">
            <v>petroleum</v>
          </cell>
        </row>
        <row r="8460">
          <cell r="C8460" t="str">
            <v>IC</v>
          </cell>
          <cell r="D8460">
            <v>2</v>
          </cell>
          <cell r="H8460" t="str">
            <v>petroleum</v>
          </cell>
        </row>
        <row r="8461">
          <cell r="C8461" t="str">
            <v>IC</v>
          </cell>
          <cell r="D8461">
            <v>2</v>
          </cell>
          <cell r="H8461" t="str">
            <v>petroleum</v>
          </cell>
        </row>
        <row r="8462">
          <cell r="C8462" t="str">
            <v>WT</v>
          </cell>
          <cell r="D8462">
            <v>1.3</v>
          </cell>
          <cell r="H8462" t="str">
            <v>onshore wind</v>
          </cell>
        </row>
        <row r="8463">
          <cell r="C8463" t="str">
            <v>WT</v>
          </cell>
          <cell r="D8463">
            <v>1.3</v>
          </cell>
          <cell r="H8463" t="str">
            <v>onshore wind</v>
          </cell>
        </row>
        <row r="8464">
          <cell r="C8464" t="str">
            <v>GT</v>
          </cell>
          <cell r="D8464">
            <v>39.5</v>
          </cell>
          <cell r="H8464" t="str">
            <v>natural gas peaker</v>
          </cell>
        </row>
        <row r="8465">
          <cell r="C8465" t="str">
            <v>GT</v>
          </cell>
          <cell r="D8465">
            <v>39.5</v>
          </cell>
          <cell r="H8465" t="str">
            <v>natural gas peaker</v>
          </cell>
        </row>
        <row r="8466">
          <cell r="C8466" t="str">
            <v>GT</v>
          </cell>
          <cell r="D8466">
            <v>39.5</v>
          </cell>
          <cell r="H8466" t="str">
            <v>natural gas peaker</v>
          </cell>
        </row>
        <row r="8467">
          <cell r="C8467" t="str">
            <v>GT</v>
          </cell>
          <cell r="D8467">
            <v>39.5</v>
          </cell>
          <cell r="H8467" t="str">
            <v>natural gas peaker</v>
          </cell>
        </row>
        <row r="8468">
          <cell r="C8468" t="str">
            <v>IC</v>
          </cell>
          <cell r="D8468">
            <v>3.8</v>
          </cell>
          <cell r="H8468" t="str">
            <v>petroleum</v>
          </cell>
        </row>
        <row r="8469">
          <cell r="C8469" t="str">
            <v>IC</v>
          </cell>
          <cell r="D8469">
            <v>3.8</v>
          </cell>
          <cell r="H8469" t="str">
            <v>petroleum</v>
          </cell>
        </row>
        <row r="8470">
          <cell r="C8470" t="str">
            <v>IC</v>
          </cell>
          <cell r="D8470">
            <v>1</v>
          </cell>
          <cell r="H8470" t="str">
            <v>petroleum</v>
          </cell>
        </row>
        <row r="8471">
          <cell r="C8471" t="str">
            <v>IC</v>
          </cell>
          <cell r="D8471">
            <v>2</v>
          </cell>
          <cell r="H8471" t="str">
            <v>petroleum</v>
          </cell>
        </row>
        <row r="8472">
          <cell r="C8472" t="str">
            <v>IC</v>
          </cell>
          <cell r="D8472">
            <v>2</v>
          </cell>
          <cell r="H8472" t="str">
            <v>petroleum</v>
          </cell>
        </row>
        <row r="8473">
          <cell r="C8473" t="str">
            <v>IC</v>
          </cell>
          <cell r="D8473">
            <v>2</v>
          </cell>
          <cell r="H8473" t="str">
            <v>petroleum</v>
          </cell>
        </row>
        <row r="8474">
          <cell r="C8474" t="str">
            <v>GT</v>
          </cell>
          <cell r="D8474">
            <v>71</v>
          </cell>
          <cell r="H8474" t="str">
            <v>natural gas peaker</v>
          </cell>
        </row>
        <row r="8475">
          <cell r="C8475" t="str">
            <v>GT</v>
          </cell>
          <cell r="D8475">
            <v>70</v>
          </cell>
          <cell r="H8475" t="str">
            <v>natural gas peaker</v>
          </cell>
        </row>
        <row r="8476">
          <cell r="C8476" t="str">
            <v>GT</v>
          </cell>
          <cell r="D8476">
            <v>71</v>
          </cell>
          <cell r="H8476" t="str">
            <v>natural gas peaker</v>
          </cell>
        </row>
        <row r="8477">
          <cell r="C8477" t="str">
            <v>GT</v>
          </cell>
          <cell r="D8477">
            <v>70</v>
          </cell>
          <cell r="H8477" t="str">
            <v>natural gas peaker</v>
          </cell>
        </row>
        <row r="8478">
          <cell r="C8478" t="str">
            <v>GT</v>
          </cell>
          <cell r="D8478">
            <v>69</v>
          </cell>
          <cell r="H8478" t="str">
            <v>natural gas peaker</v>
          </cell>
        </row>
        <row r="8479">
          <cell r="C8479" t="str">
            <v>GT</v>
          </cell>
          <cell r="D8479">
            <v>71</v>
          </cell>
          <cell r="H8479" t="str">
            <v>natural gas peaker</v>
          </cell>
        </row>
        <row r="8480">
          <cell r="C8480" t="str">
            <v>GT</v>
          </cell>
          <cell r="D8480">
            <v>70</v>
          </cell>
          <cell r="H8480" t="str">
            <v>natural gas peaker</v>
          </cell>
        </row>
        <row r="8481">
          <cell r="C8481" t="str">
            <v>GT</v>
          </cell>
          <cell r="D8481">
            <v>71</v>
          </cell>
          <cell r="H8481" t="str">
            <v>natural gas peaker</v>
          </cell>
        </row>
        <row r="8482">
          <cell r="C8482" t="str">
            <v>IC</v>
          </cell>
          <cell r="D8482">
            <v>2</v>
          </cell>
          <cell r="H8482" t="str">
            <v>petroleum</v>
          </cell>
        </row>
        <row r="8483">
          <cell r="C8483" t="str">
            <v>IC</v>
          </cell>
          <cell r="D8483">
            <v>2</v>
          </cell>
          <cell r="H8483" t="str">
            <v>petroleum</v>
          </cell>
        </row>
        <row r="8484">
          <cell r="C8484" t="str">
            <v>IC</v>
          </cell>
          <cell r="D8484">
            <v>2.2000000000000002</v>
          </cell>
          <cell r="H8484" t="str">
            <v>petroleum</v>
          </cell>
        </row>
        <row r="8485">
          <cell r="C8485" t="str">
            <v>GT</v>
          </cell>
          <cell r="D8485">
            <v>48.8</v>
          </cell>
          <cell r="H8485" t="str">
            <v>natural gas peaker</v>
          </cell>
        </row>
        <row r="8486">
          <cell r="C8486" t="str">
            <v>CT</v>
          </cell>
          <cell r="D8486">
            <v>155.69999999999999</v>
          </cell>
          <cell r="H8486" t="str">
            <v>natural gas nonpeaker</v>
          </cell>
        </row>
        <row r="8487">
          <cell r="C8487" t="str">
            <v>CT</v>
          </cell>
          <cell r="D8487">
            <v>151.69999999999999</v>
          </cell>
          <cell r="H8487" t="str">
            <v>natural gas nonpeaker</v>
          </cell>
        </row>
        <row r="8488">
          <cell r="C8488" t="str">
            <v>CA</v>
          </cell>
          <cell r="D8488">
            <v>177</v>
          </cell>
          <cell r="H8488" t="str">
            <v>natural gas nonpeaker</v>
          </cell>
        </row>
        <row r="8489">
          <cell r="C8489" t="str">
            <v>GT</v>
          </cell>
          <cell r="D8489">
            <v>48</v>
          </cell>
          <cell r="H8489" t="str">
            <v>natural gas peaker</v>
          </cell>
        </row>
        <row r="8490">
          <cell r="C8490" t="str">
            <v>GT</v>
          </cell>
          <cell r="D8490">
            <v>75</v>
          </cell>
          <cell r="H8490" t="str">
            <v>natural gas peaker</v>
          </cell>
        </row>
        <row r="8491">
          <cell r="C8491" t="str">
            <v>GT</v>
          </cell>
          <cell r="D8491">
            <v>75</v>
          </cell>
          <cell r="H8491" t="str">
            <v>natural gas peaker</v>
          </cell>
        </row>
        <row r="8492">
          <cell r="C8492" t="str">
            <v>GT</v>
          </cell>
          <cell r="D8492">
            <v>75</v>
          </cell>
          <cell r="H8492" t="str">
            <v>natural gas peaker</v>
          </cell>
        </row>
        <row r="8493">
          <cell r="C8493" t="str">
            <v>GT</v>
          </cell>
          <cell r="D8493">
            <v>43</v>
          </cell>
          <cell r="H8493" t="str">
            <v>natural gas peaker</v>
          </cell>
        </row>
        <row r="8494">
          <cell r="C8494" t="str">
            <v>GT</v>
          </cell>
          <cell r="D8494">
            <v>43</v>
          </cell>
          <cell r="H8494" t="str">
            <v>natural gas peaker</v>
          </cell>
        </row>
        <row r="8495">
          <cell r="C8495" t="str">
            <v>GT</v>
          </cell>
          <cell r="D8495">
            <v>43</v>
          </cell>
          <cell r="H8495" t="str">
            <v>natural gas peaker</v>
          </cell>
        </row>
        <row r="8496">
          <cell r="C8496" t="str">
            <v>IC</v>
          </cell>
          <cell r="D8496">
            <v>1.8</v>
          </cell>
          <cell r="H8496" t="str">
            <v>petroleum</v>
          </cell>
        </row>
        <row r="8497">
          <cell r="C8497" t="str">
            <v>IC</v>
          </cell>
          <cell r="D8497">
            <v>1.8</v>
          </cell>
          <cell r="H8497" t="str">
            <v>petroleum</v>
          </cell>
        </row>
        <row r="8498">
          <cell r="C8498" t="str">
            <v>IC</v>
          </cell>
          <cell r="D8498">
            <v>1.8</v>
          </cell>
          <cell r="H8498" t="str">
            <v>petroleum</v>
          </cell>
        </row>
        <row r="8499">
          <cell r="C8499" t="str">
            <v>IC</v>
          </cell>
          <cell r="D8499">
            <v>1.8</v>
          </cell>
          <cell r="H8499" t="str">
            <v>petroleum</v>
          </cell>
        </row>
        <row r="8500">
          <cell r="C8500" t="str">
            <v>CT</v>
          </cell>
          <cell r="D8500">
            <v>30.9</v>
          </cell>
          <cell r="H8500" t="str">
            <v>natural gas nonpeaker</v>
          </cell>
        </row>
        <row r="8501">
          <cell r="C8501" t="str">
            <v>CT</v>
          </cell>
          <cell r="D8501">
            <v>31.4</v>
          </cell>
          <cell r="H8501" t="str">
            <v>natural gas nonpeaker</v>
          </cell>
        </row>
        <row r="8502">
          <cell r="C8502" t="str">
            <v>CA</v>
          </cell>
          <cell r="D8502">
            <v>63.5</v>
          </cell>
          <cell r="H8502" t="str">
            <v>natural gas nonpeaker</v>
          </cell>
        </row>
        <row r="8503">
          <cell r="C8503" t="str">
            <v>IC</v>
          </cell>
          <cell r="D8503">
            <v>2.5</v>
          </cell>
          <cell r="H8503" t="str">
            <v>petroleum</v>
          </cell>
        </row>
        <row r="8504">
          <cell r="C8504" t="str">
            <v>IC</v>
          </cell>
          <cell r="D8504">
            <v>2.5</v>
          </cell>
          <cell r="H8504" t="str">
            <v>petroleum</v>
          </cell>
        </row>
        <row r="8505">
          <cell r="C8505" t="str">
            <v>IC</v>
          </cell>
          <cell r="D8505">
            <v>2.5</v>
          </cell>
          <cell r="H8505" t="str">
            <v>petroleum</v>
          </cell>
        </row>
        <row r="8506">
          <cell r="C8506" t="str">
            <v>IC</v>
          </cell>
          <cell r="D8506">
            <v>2.5</v>
          </cell>
          <cell r="H8506" t="str">
            <v>petroleum</v>
          </cell>
        </row>
        <row r="8507">
          <cell r="C8507" t="str">
            <v>IC</v>
          </cell>
          <cell r="D8507">
            <v>2.5</v>
          </cell>
          <cell r="H8507" t="str">
            <v>petroleum</v>
          </cell>
        </row>
        <row r="8508">
          <cell r="C8508" t="str">
            <v>IC</v>
          </cell>
          <cell r="D8508">
            <v>2.5</v>
          </cell>
          <cell r="H8508" t="str">
            <v>petroleum</v>
          </cell>
        </row>
        <row r="8509">
          <cell r="C8509" t="str">
            <v>IC</v>
          </cell>
          <cell r="D8509">
            <v>2.5</v>
          </cell>
          <cell r="H8509" t="str">
            <v>petroleum</v>
          </cell>
        </row>
        <row r="8510">
          <cell r="C8510" t="str">
            <v>IC</v>
          </cell>
          <cell r="D8510">
            <v>2.5</v>
          </cell>
          <cell r="H8510" t="str">
            <v>petroleum</v>
          </cell>
        </row>
        <row r="8511">
          <cell r="C8511" t="str">
            <v>IC</v>
          </cell>
          <cell r="D8511">
            <v>2.5</v>
          </cell>
          <cell r="H8511" t="str">
            <v>petroleum</v>
          </cell>
        </row>
        <row r="8512">
          <cell r="C8512" t="str">
            <v>IC</v>
          </cell>
          <cell r="D8512">
            <v>2.5</v>
          </cell>
          <cell r="H8512" t="str">
            <v>petroleum</v>
          </cell>
        </row>
        <row r="8513">
          <cell r="C8513" t="str">
            <v>IC</v>
          </cell>
          <cell r="D8513">
            <v>2.5</v>
          </cell>
          <cell r="H8513" t="str">
            <v>petroleum</v>
          </cell>
        </row>
        <row r="8514">
          <cell r="C8514" t="str">
            <v>IC</v>
          </cell>
          <cell r="D8514">
            <v>2.5</v>
          </cell>
          <cell r="H8514" t="str">
            <v>petroleum</v>
          </cell>
        </row>
        <row r="8515">
          <cell r="C8515" t="str">
            <v>IC</v>
          </cell>
          <cell r="D8515">
            <v>2.5</v>
          </cell>
          <cell r="H8515" t="str">
            <v>petroleum</v>
          </cell>
        </row>
        <row r="8516">
          <cell r="C8516" t="str">
            <v>IC</v>
          </cell>
          <cell r="D8516">
            <v>2.5</v>
          </cell>
          <cell r="H8516" t="str">
            <v>petroleum</v>
          </cell>
        </row>
        <row r="8517">
          <cell r="C8517" t="str">
            <v>IC</v>
          </cell>
          <cell r="D8517">
            <v>2.5</v>
          </cell>
          <cell r="H8517" t="str">
            <v>petroleum</v>
          </cell>
        </row>
        <row r="8518">
          <cell r="C8518" t="str">
            <v>IC</v>
          </cell>
          <cell r="D8518">
            <v>2.5</v>
          </cell>
          <cell r="H8518" t="str">
            <v>petroleum</v>
          </cell>
        </row>
        <row r="8519">
          <cell r="C8519" t="str">
            <v>IC</v>
          </cell>
          <cell r="D8519">
            <v>2.5</v>
          </cell>
          <cell r="H8519" t="str">
            <v>petroleum</v>
          </cell>
        </row>
        <row r="8520">
          <cell r="C8520" t="str">
            <v>IC</v>
          </cell>
          <cell r="D8520">
            <v>2.5</v>
          </cell>
          <cell r="H8520" t="str">
            <v>petroleum</v>
          </cell>
        </row>
        <row r="8521">
          <cell r="C8521" t="str">
            <v>IC</v>
          </cell>
          <cell r="D8521">
            <v>2.5</v>
          </cell>
          <cell r="H8521" t="str">
            <v>petroleum</v>
          </cell>
        </row>
        <row r="8522">
          <cell r="C8522" t="str">
            <v>IC</v>
          </cell>
          <cell r="D8522">
            <v>2.5</v>
          </cell>
          <cell r="H8522" t="str">
            <v>petroleum</v>
          </cell>
        </row>
        <row r="8523">
          <cell r="C8523" t="str">
            <v>IC</v>
          </cell>
          <cell r="D8523">
            <v>2.5</v>
          </cell>
          <cell r="H8523" t="str">
            <v>petroleum</v>
          </cell>
        </row>
        <row r="8524">
          <cell r="C8524" t="str">
            <v>IC</v>
          </cell>
          <cell r="D8524">
            <v>2.5</v>
          </cell>
          <cell r="H8524" t="str">
            <v>petroleum</v>
          </cell>
        </row>
        <row r="8525">
          <cell r="C8525" t="str">
            <v>IC</v>
          </cell>
          <cell r="D8525">
            <v>2.5</v>
          </cell>
          <cell r="H8525" t="str">
            <v>petroleum</v>
          </cell>
        </row>
        <row r="8526">
          <cell r="C8526" t="str">
            <v>IC</v>
          </cell>
          <cell r="D8526">
            <v>2.5</v>
          </cell>
          <cell r="H8526" t="str">
            <v>petroleum</v>
          </cell>
        </row>
        <row r="8527">
          <cell r="C8527" t="str">
            <v>CT</v>
          </cell>
          <cell r="D8527">
            <v>151</v>
          </cell>
          <cell r="H8527" t="str">
            <v>natural gas nonpeaker</v>
          </cell>
        </row>
        <row r="8528">
          <cell r="C8528" t="str">
            <v>CT</v>
          </cell>
          <cell r="D8528">
            <v>153</v>
          </cell>
          <cell r="H8528" t="str">
            <v>natural gas nonpeaker</v>
          </cell>
        </row>
        <row r="8529">
          <cell r="C8529" t="str">
            <v>CA</v>
          </cell>
          <cell r="D8529">
            <v>300</v>
          </cell>
          <cell r="H8529" t="str">
            <v>natural gas nonpeaker</v>
          </cell>
        </row>
        <row r="8530">
          <cell r="C8530" t="str">
            <v>CT</v>
          </cell>
          <cell r="D8530">
            <v>69</v>
          </cell>
          <cell r="H8530" t="str">
            <v>natural gas nonpeaker</v>
          </cell>
        </row>
        <row r="8531">
          <cell r="C8531" t="str">
            <v>CT</v>
          </cell>
          <cell r="D8531">
            <v>68</v>
          </cell>
          <cell r="H8531" t="str">
            <v>natural gas nonpeaker</v>
          </cell>
        </row>
        <row r="8532">
          <cell r="C8532" t="str">
            <v>CA</v>
          </cell>
          <cell r="D8532">
            <v>83</v>
          </cell>
          <cell r="H8532" t="str">
            <v>natural gas nonpeaker</v>
          </cell>
        </row>
        <row r="8533">
          <cell r="C8533" t="str">
            <v>ST</v>
          </cell>
          <cell r="D8533">
            <v>400.2</v>
          </cell>
          <cell r="H8533" t="str">
            <v>natural gas peaker</v>
          </cell>
        </row>
        <row r="8534">
          <cell r="C8534" t="str">
            <v>HY</v>
          </cell>
          <cell r="D8534">
            <v>11.2</v>
          </cell>
          <cell r="H8534" t="str">
            <v>hydro</v>
          </cell>
        </row>
        <row r="8535">
          <cell r="C8535" t="str">
            <v>PS</v>
          </cell>
          <cell r="D8535">
            <v>300</v>
          </cell>
          <cell r="H8535" t="str">
            <v>other</v>
          </cell>
        </row>
        <row r="8536">
          <cell r="C8536" t="str">
            <v>PS</v>
          </cell>
          <cell r="D8536">
            <v>300</v>
          </cell>
          <cell r="H8536" t="str">
            <v>other</v>
          </cell>
        </row>
        <row r="8537">
          <cell r="C8537" t="str">
            <v>ST</v>
          </cell>
          <cell r="D8537">
            <v>592</v>
          </cell>
          <cell r="H8537" t="str">
            <v>natural gas peaker</v>
          </cell>
        </row>
        <row r="8538">
          <cell r="C8538" t="str">
            <v>ST</v>
          </cell>
          <cell r="D8538">
            <v>590.70000000000005</v>
          </cell>
          <cell r="H8538" t="str">
            <v>natural gas peaker</v>
          </cell>
        </row>
        <row r="8539">
          <cell r="C8539" t="str">
            <v>GT</v>
          </cell>
          <cell r="D8539">
            <v>55.5</v>
          </cell>
          <cell r="H8539" t="str">
            <v>other</v>
          </cell>
        </row>
        <row r="8540">
          <cell r="C8540" t="str">
            <v>GT</v>
          </cell>
          <cell r="D8540">
            <v>54.1</v>
          </cell>
          <cell r="H8540" t="str">
            <v>other</v>
          </cell>
        </row>
        <row r="8541">
          <cell r="C8541" t="str">
            <v>GT</v>
          </cell>
          <cell r="D8541">
            <v>55.6</v>
          </cell>
          <cell r="H8541" t="str">
            <v>other</v>
          </cell>
        </row>
        <row r="8542">
          <cell r="C8542" t="str">
            <v>GT</v>
          </cell>
          <cell r="D8542">
            <v>51</v>
          </cell>
          <cell r="H8542" t="str">
            <v>other</v>
          </cell>
        </row>
        <row r="8543">
          <cell r="C8543" t="str">
            <v>GT</v>
          </cell>
          <cell r="D8543">
            <v>52.4</v>
          </cell>
          <cell r="H8543" t="str">
            <v>other</v>
          </cell>
        </row>
        <row r="8544">
          <cell r="C8544" t="str">
            <v>GT</v>
          </cell>
          <cell r="D8544">
            <v>53.4</v>
          </cell>
          <cell r="H8544" t="str">
            <v>other</v>
          </cell>
        </row>
        <row r="8545">
          <cell r="C8545" t="str">
            <v>GT</v>
          </cell>
          <cell r="D8545">
            <v>50.4</v>
          </cell>
          <cell r="H8545" t="str">
            <v>other</v>
          </cell>
        </row>
        <row r="8546">
          <cell r="C8546" t="str">
            <v>GT</v>
          </cell>
          <cell r="D8546">
            <v>49.2</v>
          </cell>
          <cell r="H8546" t="str">
            <v>other</v>
          </cell>
        </row>
        <row r="8547">
          <cell r="C8547" t="str">
            <v>GT</v>
          </cell>
          <cell r="D8547">
            <v>55.4</v>
          </cell>
          <cell r="H8547" t="str">
            <v>other</v>
          </cell>
        </row>
        <row r="8548">
          <cell r="C8548" t="str">
            <v>GT</v>
          </cell>
          <cell r="D8548">
            <v>55.3</v>
          </cell>
          <cell r="H8548" t="str">
            <v>other</v>
          </cell>
        </row>
        <row r="8549">
          <cell r="C8549" t="str">
            <v>GT</v>
          </cell>
          <cell r="D8549">
            <v>63.7</v>
          </cell>
          <cell r="H8549" t="str">
            <v>natural gas peaker</v>
          </cell>
        </row>
        <row r="8550">
          <cell r="C8550" t="str">
            <v>GT</v>
          </cell>
          <cell r="D8550">
            <v>5.3</v>
          </cell>
          <cell r="H8550" t="str">
            <v>natural gas peaker</v>
          </cell>
        </row>
        <row r="8551">
          <cell r="C8551" t="str">
            <v>GT</v>
          </cell>
          <cell r="D8551">
            <v>12</v>
          </cell>
          <cell r="H8551" t="str">
            <v>natural gas peaker</v>
          </cell>
        </row>
        <row r="8552">
          <cell r="C8552" t="str">
            <v>GT</v>
          </cell>
          <cell r="D8552">
            <v>12</v>
          </cell>
          <cell r="H8552" t="str">
            <v>natural gas peaker</v>
          </cell>
        </row>
        <row r="8553">
          <cell r="C8553" t="str">
            <v>GT</v>
          </cell>
          <cell r="D8553">
            <v>12</v>
          </cell>
          <cell r="H8553" t="str">
            <v>natural gas peaker</v>
          </cell>
        </row>
        <row r="8554">
          <cell r="C8554" t="str">
            <v>GT</v>
          </cell>
          <cell r="D8554">
            <v>49</v>
          </cell>
          <cell r="H8554" t="str">
            <v>petroleum</v>
          </cell>
        </row>
        <row r="8555">
          <cell r="C8555" t="str">
            <v>GT</v>
          </cell>
          <cell r="D8555">
            <v>49</v>
          </cell>
          <cell r="H8555" t="str">
            <v>petroleum</v>
          </cell>
        </row>
        <row r="8556">
          <cell r="C8556" t="str">
            <v>GT</v>
          </cell>
          <cell r="D8556">
            <v>49</v>
          </cell>
          <cell r="H8556" t="str">
            <v>petroleum</v>
          </cell>
        </row>
        <row r="8557">
          <cell r="C8557" t="str">
            <v>GT</v>
          </cell>
          <cell r="D8557">
            <v>49</v>
          </cell>
          <cell r="H8557" t="str">
            <v>petroleum</v>
          </cell>
        </row>
        <row r="8558">
          <cell r="C8558" t="str">
            <v>GT</v>
          </cell>
          <cell r="D8558">
            <v>49</v>
          </cell>
          <cell r="H8558" t="str">
            <v>petroleum</v>
          </cell>
        </row>
        <row r="8559">
          <cell r="C8559" t="str">
            <v>GT</v>
          </cell>
          <cell r="D8559">
            <v>48</v>
          </cell>
          <cell r="H8559" t="str">
            <v>petroleum</v>
          </cell>
        </row>
        <row r="8560">
          <cell r="C8560" t="str">
            <v>GT</v>
          </cell>
          <cell r="D8560">
            <v>49</v>
          </cell>
          <cell r="H8560" t="str">
            <v>petroleum</v>
          </cell>
        </row>
        <row r="8561">
          <cell r="C8561" t="str">
            <v>GT</v>
          </cell>
          <cell r="D8561">
            <v>49</v>
          </cell>
          <cell r="H8561" t="str">
            <v>petroleum</v>
          </cell>
        </row>
        <row r="8562">
          <cell r="C8562" t="str">
            <v>IC</v>
          </cell>
          <cell r="D8562">
            <v>2.8</v>
          </cell>
          <cell r="H8562" t="str">
            <v>petroleum</v>
          </cell>
        </row>
        <row r="8563">
          <cell r="C8563" t="str">
            <v>IC</v>
          </cell>
          <cell r="D8563">
            <v>2.8</v>
          </cell>
          <cell r="H8563" t="str">
            <v>petroleum</v>
          </cell>
        </row>
        <row r="8564">
          <cell r="C8564" t="str">
            <v>IC</v>
          </cell>
          <cell r="D8564">
            <v>6</v>
          </cell>
          <cell r="H8564" t="str">
            <v>natural gas peaker</v>
          </cell>
        </row>
        <row r="8565">
          <cell r="C8565" t="str">
            <v>IC</v>
          </cell>
          <cell r="D8565">
            <v>6</v>
          </cell>
          <cell r="H8565" t="str">
            <v>natural gas peaker</v>
          </cell>
        </row>
        <row r="8566">
          <cell r="C8566" t="str">
            <v>IC</v>
          </cell>
          <cell r="D8566">
            <v>6</v>
          </cell>
          <cell r="H8566" t="str">
            <v>natural gas peaker</v>
          </cell>
        </row>
        <row r="8567">
          <cell r="C8567" t="str">
            <v>GT</v>
          </cell>
          <cell r="D8567">
            <v>17.600000000000001</v>
          </cell>
          <cell r="H8567" t="str">
            <v>petroleum</v>
          </cell>
        </row>
        <row r="8568">
          <cell r="C8568" t="str">
            <v>GT</v>
          </cell>
          <cell r="D8568">
            <v>17.399999999999999</v>
          </cell>
          <cell r="H8568" t="str">
            <v>petroleum</v>
          </cell>
        </row>
        <row r="8569">
          <cell r="C8569" t="str">
            <v>IC</v>
          </cell>
          <cell r="D8569">
            <v>3</v>
          </cell>
          <cell r="H8569" t="str">
            <v>petroleum</v>
          </cell>
        </row>
        <row r="8570">
          <cell r="C8570" t="str">
            <v>IC</v>
          </cell>
          <cell r="D8570">
            <v>3</v>
          </cell>
          <cell r="H8570" t="str">
            <v>petroleum</v>
          </cell>
        </row>
        <row r="8571">
          <cell r="C8571" t="str">
            <v>IC</v>
          </cell>
          <cell r="D8571">
            <v>4.0999999999999996</v>
          </cell>
          <cell r="H8571" t="str">
            <v>natural gas peaker</v>
          </cell>
        </row>
        <row r="8572">
          <cell r="C8572" t="str">
            <v>IC</v>
          </cell>
          <cell r="D8572">
            <v>4.0999999999999996</v>
          </cell>
          <cell r="H8572" t="str">
            <v>natural gas peaker</v>
          </cell>
        </row>
        <row r="8573">
          <cell r="C8573" t="str">
            <v>IC</v>
          </cell>
          <cell r="D8573">
            <v>4.0999999999999996</v>
          </cell>
          <cell r="H8573" t="str">
            <v>natural gas peaker</v>
          </cell>
        </row>
        <row r="8574">
          <cell r="C8574" t="str">
            <v>IC</v>
          </cell>
          <cell r="D8574">
            <v>4.0999999999999996</v>
          </cell>
          <cell r="H8574" t="str">
            <v>natural gas peaker</v>
          </cell>
        </row>
        <row r="8575">
          <cell r="C8575" t="str">
            <v>IC</v>
          </cell>
          <cell r="D8575">
            <v>4.0999999999999996</v>
          </cell>
          <cell r="H8575" t="str">
            <v>natural gas peaker</v>
          </cell>
        </row>
        <row r="8576">
          <cell r="C8576" t="str">
            <v>IC</v>
          </cell>
          <cell r="D8576">
            <v>4.0999999999999996</v>
          </cell>
          <cell r="H8576" t="str">
            <v>natural gas peaker</v>
          </cell>
        </row>
        <row r="8577">
          <cell r="C8577" t="str">
            <v>ST</v>
          </cell>
          <cell r="D8577">
            <v>568.1</v>
          </cell>
          <cell r="H8577" t="str">
            <v>hard coal</v>
          </cell>
        </row>
        <row r="8578">
          <cell r="C8578" t="str">
            <v>ST</v>
          </cell>
          <cell r="D8578">
            <v>569.29999999999995</v>
          </cell>
          <cell r="H8578" t="str">
            <v>hard coal</v>
          </cell>
        </row>
        <row r="8579">
          <cell r="C8579" t="str">
            <v>GT</v>
          </cell>
          <cell r="D8579">
            <v>5</v>
          </cell>
          <cell r="H8579" t="str">
            <v>natural gas peaker</v>
          </cell>
        </row>
        <row r="8580">
          <cell r="C8580" t="str">
            <v>GT</v>
          </cell>
          <cell r="D8580">
            <v>5</v>
          </cell>
          <cell r="H8580" t="str">
            <v>natural gas peaker</v>
          </cell>
        </row>
        <row r="8581">
          <cell r="C8581" t="str">
            <v>GT</v>
          </cell>
          <cell r="D8581">
            <v>5</v>
          </cell>
          <cell r="H8581" t="str">
            <v>natural gas peaker</v>
          </cell>
        </row>
        <row r="8582">
          <cell r="C8582" t="str">
            <v>GT</v>
          </cell>
          <cell r="D8582">
            <v>39</v>
          </cell>
          <cell r="H8582" t="str">
            <v>petroleum</v>
          </cell>
        </row>
        <row r="8583">
          <cell r="C8583" t="str">
            <v>GT</v>
          </cell>
          <cell r="D8583">
            <v>39</v>
          </cell>
          <cell r="H8583" t="str">
            <v>petroleum</v>
          </cell>
        </row>
        <row r="8584">
          <cell r="C8584" t="str">
            <v>GT</v>
          </cell>
          <cell r="D8584">
            <v>36</v>
          </cell>
          <cell r="H8584" t="str">
            <v>petroleum</v>
          </cell>
        </row>
        <row r="8585">
          <cell r="C8585" t="str">
            <v>GT</v>
          </cell>
          <cell r="D8585">
            <v>39</v>
          </cell>
          <cell r="H8585" t="str">
            <v>petroleum</v>
          </cell>
        </row>
        <row r="8586">
          <cell r="C8586" t="str">
            <v>GT</v>
          </cell>
          <cell r="D8586">
            <v>150</v>
          </cell>
          <cell r="H8586" t="str">
            <v>natural gas peaker</v>
          </cell>
        </row>
        <row r="8587">
          <cell r="C8587" t="str">
            <v>GT</v>
          </cell>
          <cell r="D8587">
            <v>150</v>
          </cell>
          <cell r="H8587" t="str">
            <v>natural gas peaker</v>
          </cell>
        </row>
        <row r="8588">
          <cell r="C8588" t="str">
            <v>GT</v>
          </cell>
          <cell r="D8588">
            <v>5</v>
          </cell>
          <cell r="H8588" t="str">
            <v>natural gas peaker</v>
          </cell>
        </row>
        <row r="8589">
          <cell r="C8589" t="str">
            <v>GT</v>
          </cell>
          <cell r="D8589">
            <v>5</v>
          </cell>
          <cell r="H8589" t="str">
            <v>natural gas peaker</v>
          </cell>
        </row>
        <row r="8590">
          <cell r="C8590" t="str">
            <v>GT</v>
          </cell>
          <cell r="D8590">
            <v>5</v>
          </cell>
          <cell r="H8590" t="str">
            <v>natural gas peaker</v>
          </cell>
        </row>
        <row r="8591">
          <cell r="C8591" t="str">
            <v>GT</v>
          </cell>
          <cell r="D8591">
            <v>73.099999999999994</v>
          </cell>
          <cell r="H8591" t="str">
            <v>natural gas peaker</v>
          </cell>
        </row>
        <row r="8592">
          <cell r="C8592" t="str">
            <v>GT</v>
          </cell>
          <cell r="D8592">
            <v>70.7</v>
          </cell>
          <cell r="H8592" t="str">
            <v>natural gas peaker</v>
          </cell>
        </row>
        <row r="8593">
          <cell r="C8593" t="str">
            <v>GT</v>
          </cell>
          <cell r="D8593">
            <v>5</v>
          </cell>
          <cell r="H8593" t="str">
            <v>natural gas peaker</v>
          </cell>
        </row>
        <row r="8594">
          <cell r="C8594" t="str">
            <v>GT</v>
          </cell>
          <cell r="D8594">
            <v>5</v>
          </cell>
          <cell r="H8594" t="str">
            <v>natural gas peaker</v>
          </cell>
        </row>
        <row r="8595">
          <cell r="C8595" t="str">
            <v>GT</v>
          </cell>
          <cell r="D8595">
            <v>5</v>
          </cell>
          <cell r="H8595" t="str">
            <v>natural gas peaker</v>
          </cell>
        </row>
        <row r="8596">
          <cell r="C8596" t="str">
            <v>CT</v>
          </cell>
          <cell r="D8596">
            <v>150.80000000000001</v>
          </cell>
          <cell r="H8596" t="str">
            <v>natural gas nonpeaker</v>
          </cell>
        </row>
        <row r="8597">
          <cell r="C8597" t="str">
            <v>CT</v>
          </cell>
          <cell r="D8597">
            <v>150.69999999999999</v>
          </cell>
          <cell r="H8597" t="str">
            <v>natural gas nonpeaker</v>
          </cell>
        </row>
        <row r="8598">
          <cell r="C8598" t="str">
            <v>CA</v>
          </cell>
          <cell r="D8598">
            <v>234.4</v>
          </cell>
          <cell r="H8598" t="str">
            <v>natural gas nonpeaker</v>
          </cell>
        </row>
        <row r="8599">
          <cell r="C8599" t="str">
            <v>IC</v>
          </cell>
          <cell r="D8599">
            <v>2.2000000000000002</v>
          </cell>
          <cell r="H8599" t="str">
            <v>natural gas peaker</v>
          </cell>
        </row>
        <row r="8600">
          <cell r="C8600" t="str">
            <v>IC</v>
          </cell>
          <cell r="D8600">
            <v>2.8</v>
          </cell>
          <cell r="H8600" t="str">
            <v>petroleum</v>
          </cell>
        </row>
        <row r="8601">
          <cell r="C8601" t="str">
            <v>IC</v>
          </cell>
          <cell r="D8601">
            <v>6.5</v>
          </cell>
          <cell r="H8601" t="str">
            <v>natural gas peaker</v>
          </cell>
        </row>
        <row r="8602">
          <cell r="C8602" t="str">
            <v>IC</v>
          </cell>
          <cell r="D8602">
            <v>2</v>
          </cell>
          <cell r="H8602" t="str">
            <v>petroleum</v>
          </cell>
        </row>
        <row r="8603">
          <cell r="C8603" t="str">
            <v>ST</v>
          </cell>
          <cell r="D8603">
            <v>770</v>
          </cell>
          <cell r="H8603" t="str">
            <v>nuclear</v>
          </cell>
        </row>
        <row r="8604">
          <cell r="C8604" t="str">
            <v>GT</v>
          </cell>
          <cell r="D8604">
            <v>68</v>
          </cell>
          <cell r="H8604" t="str">
            <v>natural gas peaker</v>
          </cell>
        </row>
        <row r="8605">
          <cell r="C8605" t="str">
            <v>IC</v>
          </cell>
          <cell r="D8605">
            <v>2.5</v>
          </cell>
          <cell r="H8605" t="str">
            <v>petroleum</v>
          </cell>
        </row>
        <row r="8606">
          <cell r="C8606" t="str">
            <v>ST</v>
          </cell>
          <cell r="D8606">
            <v>1110</v>
          </cell>
          <cell r="H8606" t="str">
            <v>hard coal</v>
          </cell>
        </row>
        <row r="8607">
          <cell r="C8607" t="str">
            <v>ST</v>
          </cell>
          <cell r="D8607">
            <v>1110</v>
          </cell>
          <cell r="H8607" t="str">
            <v>hard coal</v>
          </cell>
        </row>
        <row r="8608">
          <cell r="C8608" t="str">
            <v>ST</v>
          </cell>
          <cell r="D8608">
            <v>508</v>
          </cell>
          <cell r="H8608" t="str">
            <v>natural gas peaker</v>
          </cell>
        </row>
        <row r="8609">
          <cell r="C8609" t="str">
            <v>ST</v>
          </cell>
          <cell r="D8609">
            <v>505</v>
          </cell>
          <cell r="H8609" t="str">
            <v>natural gas peaker</v>
          </cell>
        </row>
        <row r="8610">
          <cell r="C8610" t="str">
            <v>GT</v>
          </cell>
          <cell r="D8610">
            <v>47</v>
          </cell>
          <cell r="H8610" t="str">
            <v>petroleum</v>
          </cell>
        </row>
        <row r="8611">
          <cell r="C8611" t="str">
            <v>GT</v>
          </cell>
          <cell r="D8611">
            <v>78</v>
          </cell>
          <cell r="H8611" t="str">
            <v>natural gas peaker</v>
          </cell>
        </row>
        <row r="8612">
          <cell r="C8612" t="str">
            <v>GT</v>
          </cell>
          <cell r="D8612">
            <v>140</v>
          </cell>
          <cell r="H8612" t="str">
            <v>petroleum</v>
          </cell>
        </row>
        <row r="8613">
          <cell r="C8613" t="str">
            <v>GT</v>
          </cell>
          <cell r="D8613">
            <v>73</v>
          </cell>
          <cell r="H8613" t="str">
            <v>natural gas peaker</v>
          </cell>
        </row>
        <row r="8614">
          <cell r="C8614" t="str">
            <v>GT</v>
          </cell>
          <cell r="D8614">
            <v>75</v>
          </cell>
          <cell r="H8614" t="str">
            <v>natural gas peaker</v>
          </cell>
        </row>
        <row r="8615">
          <cell r="C8615" t="str">
            <v>GT</v>
          </cell>
          <cell r="D8615">
            <v>72</v>
          </cell>
          <cell r="H8615" t="str">
            <v>natural gas peaker</v>
          </cell>
        </row>
        <row r="8616">
          <cell r="C8616" t="str">
            <v>GT</v>
          </cell>
          <cell r="D8616">
            <v>46</v>
          </cell>
          <cell r="H8616" t="str">
            <v>petroleum</v>
          </cell>
        </row>
        <row r="8617">
          <cell r="C8617" t="str">
            <v>GT</v>
          </cell>
          <cell r="D8617">
            <v>46</v>
          </cell>
          <cell r="H8617" t="str">
            <v>petroleum</v>
          </cell>
        </row>
        <row r="8618">
          <cell r="C8618" t="str">
            <v>GT</v>
          </cell>
          <cell r="D8618">
            <v>46</v>
          </cell>
          <cell r="H8618" t="str">
            <v>petroleum</v>
          </cell>
        </row>
        <row r="8619">
          <cell r="C8619" t="str">
            <v>GT</v>
          </cell>
          <cell r="D8619">
            <v>45</v>
          </cell>
          <cell r="H8619" t="str">
            <v>petroleum</v>
          </cell>
        </row>
        <row r="8620">
          <cell r="C8620" t="str">
            <v>GT</v>
          </cell>
          <cell r="D8620">
            <v>47</v>
          </cell>
          <cell r="H8620" t="str">
            <v>petroleum</v>
          </cell>
        </row>
        <row r="8621">
          <cell r="C8621" t="str">
            <v>GT</v>
          </cell>
          <cell r="D8621">
            <v>78</v>
          </cell>
          <cell r="H8621" t="str">
            <v>natural gas peaker</v>
          </cell>
        </row>
        <row r="8622">
          <cell r="C8622" t="str">
            <v>GT</v>
          </cell>
          <cell r="D8622">
            <v>79</v>
          </cell>
          <cell r="H8622" t="str">
            <v>natural gas peaker</v>
          </cell>
        </row>
        <row r="8623">
          <cell r="C8623" t="str">
            <v>GT</v>
          </cell>
          <cell r="D8623">
            <v>79</v>
          </cell>
          <cell r="H8623" t="str">
            <v>natural gas peaker</v>
          </cell>
        </row>
        <row r="8624">
          <cell r="C8624" t="str">
            <v>GT</v>
          </cell>
          <cell r="D8624">
            <v>45.6</v>
          </cell>
          <cell r="H8624" t="str">
            <v>natural gas peaker</v>
          </cell>
        </row>
        <row r="8625">
          <cell r="C8625" t="str">
            <v>ST</v>
          </cell>
          <cell r="D8625">
            <v>727.5</v>
          </cell>
          <cell r="H8625" t="str">
            <v>natural gas peaker</v>
          </cell>
        </row>
        <row r="8626">
          <cell r="C8626" t="str">
            <v>ST</v>
          </cell>
          <cell r="D8626">
            <v>833.3</v>
          </cell>
          <cell r="H8626" t="str">
            <v>nuclear</v>
          </cell>
        </row>
        <row r="8627">
          <cell r="C8627" t="str">
            <v>ST</v>
          </cell>
          <cell r="D8627">
            <v>984.5</v>
          </cell>
          <cell r="H8627" t="str">
            <v>nuclear</v>
          </cell>
        </row>
        <row r="8628">
          <cell r="C8628" t="str">
            <v>ST</v>
          </cell>
          <cell r="D8628">
            <v>411.2</v>
          </cell>
          <cell r="H8628" t="str">
            <v>natural gas peaker</v>
          </cell>
        </row>
        <row r="8629">
          <cell r="C8629" t="str">
            <v>ST</v>
          </cell>
          <cell r="D8629">
            <v>417.3</v>
          </cell>
          <cell r="H8629" t="str">
            <v>natural gas peaker</v>
          </cell>
        </row>
        <row r="8630">
          <cell r="C8630" t="str">
            <v>GT</v>
          </cell>
          <cell r="D8630">
            <v>32.6</v>
          </cell>
          <cell r="H8630" t="str">
            <v>petroleum</v>
          </cell>
        </row>
        <row r="8631">
          <cell r="C8631" t="str">
            <v>CT</v>
          </cell>
          <cell r="D8631">
            <v>78</v>
          </cell>
          <cell r="H8631" t="str">
            <v>natural gas nonpeaker</v>
          </cell>
        </row>
        <row r="8632">
          <cell r="C8632" t="str">
            <v>CT</v>
          </cell>
          <cell r="D8632">
            <v>78</v>
          </cell>
          <cell r="H8632" t="str">
            <v>natural gas nonpeaker</v>
          </cell>
        </row>
        <row r="8633">
          <cell r="C8633" t="str">
            <v>CA</v>
          </cell>
          <cell r="D8633">
            <v>104</v>
          </cell>
          <cell r="H8633" t="str">
            <v>natural gas nonpeaker</v>
          </cell>
        </row>
        <row r="8634">
          <cell r="C8634" t="str">
            <v>IC</v>
          </cell>
          <cell r="D8634">
            <v>4</v>
          </cell>
          <cell r="H8634" t="str">
            <v>petroleum</v>
          </cell>
        </row>
        <row r="8635">
          <cell r="C8635" t="str">
            <v>GT</v>
          </cell>
          <cell r="D8635">
            <v>71</v>
          </cell>
          <cell r="H8635" t="str">
            <v>natural gas peaker</v>
          </cell>
        </row>
        <row r="8636">
          <cell r="C8636" t="str">
            <v>GT</v>
          </cell>
          <cell r="D8636">
            <v>70</v>
          </cell>
          <cell r="H8636" t="str">
            <v>natural gas peaker</v>
          </cell>
        </row>
        <row r="8637">
          <cell r="C8637" t="str">
            <v>GT</v>
          </cell>
          <cell r="D8637">
            <v>70</v>
          </cell>
          <cell r="H8637" t="str">
            <v>natural gas peaker</v>
          </cell>
        </row>
        <row r="8638">
          <cell r="C8638" t="str">
            <v>GT</v>
          </cell>
          <cell r="D8638">
            <v>71</v>
          </cell>
          <cell r="H8638" t="str">
            <v>natural gas peaker</v>
          </cell>
        </row>
        <row r="8639">
          <cell r="C8639" t="str">
            <v>ST</v>
          </cell>
          <cell r="D8639">
            <v>531</v>
          </cell>
          <cell r="H8639" t="str">
            <v>hard coal</v>
          </cell>
        </row>
        <row r="8640">
          <cell r="C8640" t="str">
            <v>ST</v>
          </cell>
          <cell r="D8640">
            <v>539</v>
          </cell>
          <cell r="H8640" t="str">
            <v>hard coal</v>
          </cell>
        </row>
        <row r="8641">
          <cell r="C8641" t="str">
            <v>ST</v>
          </cell>
          <cell r="D8641">
            <v>523</v>
          </cell>
          <cell r="H8641" t="str">
            <v>hard coal</v>
          </cell>
        </row>
        <row r="8642">
          <cell r="C8642" t="str">
            <v>ST</v>
          </cell>
          <cell r="D8642">
            <v>530</v>
          </cell>
          <cell r="H8642" t="str">
            <v>hard coal</v>
          </cell>
        </row>
        <row r="8643">
          <cell r="C8643" t="str">
            <v>GT</v>
          </cell>
          <cell r="D8643">
            <v>44</v>
          </cell>
          <cell r="H8643" t="str">
            <v>natural gas peaker</v>
          </cell>
        </row>
        <row r="8644">
          <cell r="C8644" t="str">
            <v>GT</v>
          </cell>
          <cell r="D8644">
            <v>44</v>
          </cell>
          <cell r="H8644" t="str">
            <v>natural gas peaker</v>
          </cell>
        </row>
        <row r="8645">
          <cell r="C8645" t="str">
            <v>CS</v>
          </cell>
          <cell r="D8645">
            <v>92</v>
          </cell>
          <cell r="H8645" t="str">
            <v>natural gas nonpeaker</v>
          </cell>
        </row>
        <row r="8646">
          <cell r="C8646" t="str">
            <v>CS</v>
          </cell>
          <cell r="D8646">
            <v>92</v>
          </cell>
          <cell r="H8646" t="str">
            <v>natural gas nonpeaker</v>
          </cell>
        </row>
        <row r="8647">
          <cell r="C8647" t="str">
            <v>CS</v>
          </cell>
          <cell r="D8647">
            <v>92</v>
          </cell>
          <cell r="H8647" t="str">
            <v>natural gas nonpeaker</v>
          </cell>
        </row>
        <row r="8648">
          <cell r="C8648" t="str">
            <v>CS</v>
          </cell>
          <cell r="D8648">
            <v>92</v>
          </cell>
          <cell r="H8648" t="str">
            <v>natural gas nonpeaker</v>
          </cell>
        </row>
        <row r="8649">
          <cell r="C8649" t="str">
            <v>CT</v>
          </cell>
          <cell r="D8649">
            <v>151</v>
          </cell>
          <cell r="H8649" t="str">
            <v>natural gas nonpeaker</v>
          </cell>
        </row>
        <row r="8650">
          <cell r="C8650" t="str">
            <v>CT</v>
          </cell>
          <cell r="D8650">
            <v>151</v>
          </cell>
          <cell r="H8650" t="str">
            <v>natural gas nonpeaker</v>
          </cell>
        </row>
        <row r="8651">
          <cell r="C8651" t="str">
            <v>CA</v>
          </cell>
          <cell r="D8651">
            <v>280</v>
          </cell>
          <cell r="H8651" t="str">
            <v>natural gas nonpeaker</v>
          </cell>
        </row>
        <row r="8652">
          <cell r="C8652" t="str">
            <v>CT</v>
          </cell>
          <cell r="D8652">
            <v>151</v>
          </cell>
          <cell r="H8652" t="str">
            <v>natural gas nonpeaker</v>
          </cell>
        </row>
        <row r="8653">
          <cell r="C8653" t="str">
            <v>CA</v>
          </cell>
          <cell r="D8653">
            <v>126</v>
          </cell>
          <cell r="H8653" t="str">
            <v>natural gas nonpeaker</v>
          </cell>
        </row>
        <row r="8654">
          <cell r="C8654" t="str">
            <v>ST</v>
          </cell>
          <cell r="D8654">
            <v>459</v>
          </cell>
          <cell r="H8654" t="str">
            <v>hard coal</v>
          </cell>
        </row>
        <row r="8655">
          <cell r="C8655" t="str">
            <v>ST</v>
          </cell>
          <cell r="D8655">
            <v>450</v>
          </cell>
          <cell r="H8655" t="str">
            <v>hard coal</v>
          </cell>
        </row>
        <row r="8656">
          <cell r="C8656" t="str">
            <v>CT</v>
          </cell>
          <cell r="D8656">
            <v>55.3</v>
          </cell>
          <cell r="H8656" t="str">
            <v>natural gas nonpeaker</v>
          </cell>
        </row>
        <row r="8657">
          <cell r="C8657" t="str">
            <v>CT</v>
          </cell>
          <cell r="D8657">
            <v>55.3</v>
          </cell>
          <cell r="H8657" t="str">
            <v>natural gas nonpeaker</v>
          </cell>
        </row>
        <row r="8658">
          <cell r="C8658" t="str">
            <v>CT</v>
          </cell>
          <cell r="D8658">
            <v>55.3</v>
          </cell>
          <cell r="H8658" t="str">
            <v>natural gas nonpeaker</v>
          </cell>
        </row>
        <row r="8659">
          <cell r="C8659" t="str">
            <v>CT</v>
          </cell>
          <cell r="D8659">
            <v>55.3</v>
          </cell>
          <cell r="H8659" t="str">
            <v>natural gas nonpeaker</v>
          </cell>
        </row>
        <row r="8660">
          <cell r="C8660" t="str">
            <v>CT</v>
          </cell>
          <cell r="D8660">
            <v>55.3</v>
          </cell>
          <cell r="H8660" t="str">
            <v>natural gas nonpeaker</v>
          </cell>
        </row>
        <row r="8661">
          <cell r="C8661" t="str">
            <v>CT</v>
          </cell>
          <cell r="D8661">
            <v>55.3</v>
          </cell>
          <cell r="H8661" t="str">
            <v>natural gas nonpeaker</v>
          </cell>
        </row>
        <row r="8662">
          <cell r="C8662" t="str">
            <v>CA</v>
          </cell>
          <cell r="D8662">
            <v>137</v>
          </cell>
          <cell r="H8662" t="str">
            <v>natural gas nonpeaker</v>
          </cell>
        </row>
        <row r="8663">
          <cell r="C8663" t="str">
            <v>GT</v>
          </cell>
          <cell r="D8663">
            <v>24</v>
          </cell>
          <cell r="H8663" t="str">
            <v>natural gas peaker</v>
          </cell>
        </row>
        <row r="8664">
          <cell r="C8664" t="str">
            <v>GT</v>
          </cell>
          <cell r="D8664">
            <v>54</v>
          </cell>
          <cell r="H8664" t="str">
            <v>natural gas peaker</v>
          </cell>
        </row>
        <row r="8665">
          <cell r="C8665" t="str">
            <v>GT</v>
          </cell>
          <cell r="D8665">
            <v>15.9</v>
          </cell>
          <cell r="H8665" t="str">
            <v>petroleum</v>
          </cell>
        </row>
        <row r="8666">
          <cell r="C8666" t="str">
            <v>IC</v>
          </cell>
          <cell r="D8666">
            <v>2.5</v>
          </cell>
          <cell r="H8666" t="str">
            <v>petroleum</v>
          </cell>
        </row>
        <row r="8667">
          <cell r="C8667" t="str">
            <v>IC</v>
          </cell>
          <cell r="D8667">
            <v>2.5</v>
          </cell>
          <cell r="H8667" t="str">
            <v>petroleum</v>
          </cell>
        </row>
        <row r="8668">
          <cell r="C8668" t="str">
            <v>IC</v>
          </cell>
          <cell r="D8668">
            <v>2.5</v>
          </cell>
          <cell r="H8668" t="str">
            <v>petroleum</v>
          </cell>
        </row>
        <row r="8669">
          <cell r="C8669" t="str">
            <v>CA</v>
          </cell>
          <cell r="D8669">
            <v>16</v>
          </cell>
          <cell r="H8669" t="str">
            <v>petroleum</v>
          </cell>
        </row>
        <row r="8670">
          <cell r="C8670" t="str">
            <v>CT</v>
          </cell>
          <cell r="D8670">
            <v>19.8</v>
          </cell>
          <cell r="H8670" t="str">
            <v>petroleum</v>
          </cell>
        </row>
        <row r="8671">
          <cell r="C8671" t="str">
            <v>CT</v>
          </cell>
          <cell r="D8671">
            <v>19.8</v>
          </cell>
          <cell r="H8671" t="str">
            <v>petroleum</v>
          </cell>
        </row>
        <row r="8672">
          <cell r="C8672" t="str">
            <v>IC</v>
          </cell>
          <cell r="D8672">
            <v>1.2</v>
          </cell>
          <cell r="H8672" t="str">
            <v>petroleum</v>
          </cell>
        </row>
        <row r="8673">
          <cell r="C8673" t="str">
            <v>IC</v>
          </cell>
          <cell r="D8673">
            <v>0.2</v>
          </cell>
          <cell r="H8673" t="str">
            <v>petroleum</v>
          </cell>
        </row>
        <row r="8674">
          <cell r="C8674" t="str">
            <v>IC</v>
          </cell>
          <cell r="D8674">
            <v>0.5</v>
          </cell>
          <cell r="H8674" t="str">
            <v>petroleum</v>
          </cell>
        </row>
        <row r="8675">
          <cell r="C8675" t="str">
            <v>IC</v>
          </cell>
          <cell r="D8675">
            <v>0.8</v>
          </cell>
          <cell r="H8675" t="str">
            <v>petroleum</v>
          </cell>
        </row>
        <row r="8676">
          <cell r="C8676" t="str">
            <v>ST</v>
          </cell>
          <cell r="D8676">
            <v>1330</v>
          </cell>
          <cell r="H8676" t="str">
            <v>hard coal</v>
          </cell>
        </row>
        <row r="8677">
          <cell r="C8677" t="str">
            <v>ST</v>
          </cell>
          <cell r="D8677">
            <v>1350</v>
          </cell>
          <cell r="H8677" t="str">
            <v>hard coal</v>
          </cell>
        </row>
        <row r="8678">
          <cell r="C8678" t="str">
            <v>IC</v>
          </cell>
          <cell r="D8678">
            <v>1.9</v>
          </cell>
          <cell r="H8678" t="str">
            <v>petroleum</v>
          </cell>
        </row>
        <row r="8679">
          <cell r="C8679" t="str">
            <v>IC</v>
          </cell>
          <cell r="D8679">
            <v>1.9</v>
          </cell>
          <cell r="H8679" t="str">
            <v>petroleum</v>
          </cell>
        </row>
        <row r="8680">
          <cell r="C8680" t="str">
            <v>IC</v>
          </cell>
          <cell r="D8680">
            <v>2</v>
          </cell>
          <cell r="H8680" t="str">
            <v>natural gas peaker</v>
          </cell>
        </row>
        <row r="8681">
          <cell r="C8681" t="str">
            <v>IC</v>
          </cell>
          <cell r="D8681">
            <v>1.2</v>
          </cell>
          <cell r="H8681" t="str">
            <v>natural gas peaker</v>
          </cell>
        </row>
        <row r="8682">
          <cell r="C8682" t="str">
            <v>IC</v>
          </cell>
          <cell r="D8682">
            <v>1.2</v>
          </cell>
          <cell r="H8682" t="str">
            <v>natural gas peaker</v>
          </cell>
        </row>
        <row r="8683">
          <cell r="C8683" t="str">
            <v>IC</v>
          </cell>
          <cell r="D8683">
            <v>2</v>
          </cell>
          <cell r="H8683" t="str">
            <v>petroleum</v>
          </cell>
        </row>
        <row r="8684">
          <cell r="C8684" t="str">
            <v>IC</v>
          </cell>
          <cell r="D8684">
            <v>2</v>
          </cell>
          <cell r="H8684" t="str">
            <v>petroleum</v>
          </cell>
        </row>
        <row r="8685">
          <cell r="C8685" t="str">
            <v>IC</v>
          </cell>
          <cell r="D8685">
            <v>2</v>
          </cell>
          <cell r="H8685" t="str">
            <v>petroleum</v>
          </cell>
        </row>
        <row r="8686">
          <cell r="C8686" t="str">
            <v>IC</v>
          </cell>
          <cell r="D8686">
            <v>1.6</v>
          </cell>
          <cell r="H8686" t="str">
            <v>petroleum</v>
          </cell>
        </row>
        <row r="8687">
          <cell r="C8687" t="str">
            <v>IC</v>
          </cell>
          <cell r="D8687">
            <v>2.2000000000000002</v>
          </cell>
          <cell r="H8687" t="str">
            <v>petroleum</v>
          </cell>
        </row>
        <row r="8688">
          <cell r="C8688" t="str">
            <v>IC</v>
          </cell>
          <cell r="D8688">
            <v>1.1000000000000001</v>
          </cell>
          <cell r="H8688" t="str">
            <v>natural gas peaker</v>
          </cell>
        </row>
        <row r="8689">
          <cell r="C8689" t="str">
            <v>IC</v>
          </cell>
          <cell r="D8689">
            <v>1.1000000000000001</v>
          </cell>
          <cell r="H8689" t="str">
            <v>natural gas peaker</v>
          </cell>
        </row>
        <row r="8690">
          <cell r="C8690" t="str">
            <v>IC</v>
          </cell>
          <cell r="D8690">
            <v>0.3</v>
          </cell>
          <cell r="H8690" t="str">
            <v>petroleum</v>
          </cell>
        </row>
        <row r="8691">
          <cell r="C8691" t="str">
            <v>IC</v>
          </cell>
          <cell r="D8691">
            <v>1.8</v>
          </cell>
          <cell r="H8691" t="str">
            <v>natural gas peaker</v>
          </cell>
        </row>
        <row r="8692">
          <cell r="C8692" t="str">
            <v>ST</v>
          </cell>
          <cell r="D8692">
            <v>208</v>
          </cell>
          <cell r="H8692" t="str">
            <v>hard coal</v>
          </cell>
        </row>
        <row r="8693">
          <cell r="C8693" t="str">
            <v>GT</v>
          </cell>
          <cell r="D8693">
            <v>30</v>
          </cell>
          <cell r="H8693" t="str">
            <v>natural gas peaker</v>
          </cell>
        </row>
        <row r="8694">
          <cell r="C8694" t="str">
            <v>GT</v>
          </cell>
          <cell r="D8694">
            <v>30</v>
          </cell>
          <cell r="H8694" t="str">
            <v>natural gas peaker</v>
          </cell>
        </row>
        <row r="8695">
          <cell r="C8695" t="str">
            <v>ST</v>
          </cell>
          <cell r="D8695">
            <v>429</v>
          </cell>
          <cell r="H8695" t="str">
            <v>lignite</v>
          </cell>
        </row>
        <row r="8696">
          <cell r="C8696" t="str">
            <v>ST</v>
          </cell>
          <cell r="D8696">
            <v>387</v>
          </cell>
          <cell r="H8696" t="str">
            <v>hard coal</v>
          </cell>
        </row>
        <row r="8697">
          <cell r="C8697" t="str">
            <v>ST</v>
          </cell>
          <cell r="D8697">
            <v>406</v>
          </cell>
          <cell r="H8697" t="str">
            <v>hard coal</v>
          </cell>
        </row>
        <row r="8698">
          <cell r="C8698" t="str">
            <v>ST</v>
          </cell>
          <cell r="D8698">
            <v>417</v>
          </cell>
          <cell r="H8698" t="str">
            <v>hard coal</v>
          </cell>
        </row>
        <row r="8699">
          <cell r="C8699" t="str">
            <v>ST</v>
          </cell>
          <cell r="D8699">
            <v>415</v>
          </cell>
          <cell r="H8699" t="str">
            <v>hard coal</v>
          </cell>
        </row>
        <row r="8700">
          <cell r="C8700" t="str">
            <v>PV</v>
          </cell>
          <cell r="D8700">
            <v>3.7</v>
          </cell>
          <cell r="H8700" t="str">
            <v>solar PV</v>
          </cell>
        </row>
        <row r="8701">
          <cell r="C8701" t="str">
            <v>PV</v>
          </cell>
          <cell r="D8701">
            <v>1.4</v>
          </cell>
          <cell r="H8701" t="str">
            <v>solar PV</v>
          </cell>
        </row>
        <row r="8702">
          <cell r="C8702" t="str">
            <v>PV</v>
          </cell>
          <cell r="D8702">
            <v>8.3000000000000007</v>
          </cell>
          <cell r="H8702" t="str">
            <v>solar PV</v>
          </cell>
        </row>
        <row r="8703">
          <cell r="C8703" t="str">
            <v>ST</v>
          </cell>
          <cell r="D8703">
            <v>254</v>
          </cell>
          <cell r="H8703" t="str">
            <v>hard coal</v>
          </cell>
        </row>
        <row r="8704">
          <cell r="C8704" t="str">
            <v>ST</v>
          </cell>
          <cell r="D8704">
            <v>268</v>
          </cell>
          <cell r="H8704" t="str">
            <v>hard coal</v>
          </cell>
        </row>
        <row r="8705">
          <cell r="C8705" t="str">
            <v>PS</v>
          </cell>
          <cell r="D8705">
            <v>234</v>
          </cell>
          <cell r="H8705" t="str">
            <v>other</v>
          </cell>
        </row>
        <row r="8706">
          <cell r="C8706" t="str">
            <v>PS</v>
          </cell>
          <cell r="D8706">
            <v>218</v>
          </cell>
          <cell r="H8706" t="str">
            <v>other</v>
          </cell>
        </row>
        <row r="8707">
          <cell r="C8707" t="str">
            <v>PS</v>
          </cell>
          <cell r="D8707">
            <v>30</v>
          </cell>
          <cell r="H8707" t="str">
            <v>other</v>
          </cell>
        </row>
        <row r="8708">
          <cell r="C8708" t="str">
            <v>ST</v>
          </cell>
          <cell r="D8708">
            <v>565</v>
          </cell>
          <cell r="H8708" t="str">
            <v>hard coal</v>
          </cell>
        </row>
        <row r="8709">
          <cell r="C8709" t="str">
            <v>HY</v>
          </cell>
          <cell r="D8709">
            <v>2.7</v>
          </cell>
          <cell r="H8709" t="str">
            <v>hydro</v>
          </cell>
        </row>
        <row r="8710">
          <cell r="C8710" t="str">
            <v>HY</v>
          </cell>
          <cell r="D8710">
            <v>130</v>
          </cell>
          <cell r="H8710" t="str">
            <v>hydro</v>
          </cell>
        </row>
        <row r="8711">
          <cell r="C8711" t="str">
            <v>HY</v>
          </cell>
          <cell r="D8711">
            <v>130</v>
          </cell>
          <cell r="H8711" t="str">
            <v>hydro</v>
          </cell>
        </row>
        <row r="8712">
          <cell r="C8712" t="str">
            <v>HY</v>
          </cell>
          <cell r="D8712">
            <v>130</v>
          </cell>
          <cell r="H8712" t="str">
            <v>hydro</v>
          </cell>
        </row>
        <row r="8713">
          <cell r="C8713" t="str">
            <v>HY</v>
          </cell>
          <cell r="D8713">
            <v>130</v>
          </cell>
          <cell r="H8713" t="str">
            <v>hydro</v>
          </cell>
        </row>
        <row r="8714">
          <cell r="C8714" t="str">
            <v>HY</v>
          </cell>
          <cell r="D8714">
            <v>127</v>
          </cell>
          <cell r="H8714" t="str">
            <v>hydro</v>
          </cell>
        </row>
        <row r="8715">
          <cell r="C8715" t="str">
            <v>HY</v>
          </cell>
          <cell r="D8715">
            <v>130</v>
          </cell>
          <cell r="H8715" t="str">
            <v>hydro</v>
          </cell>
        </row>
        <row r="8716">
          <cell r="C8716" t="str">
            <v>HY</v>
          </cell>
          <cell r="D8716">
            <v>130</v>
          </cell>
          <cell r="H8716" t="str">
            <v>hydro</v>
          </cell>
        </row>
        <row r="8717">
          <cell r="C8717" t="str">
            <v>HY</v>
          </cell>
          <cell r="D8717">
            <v>61.5</v>
          </cell>
          <cell r="H8717" t="str">
            <v>hydro</v>
          </cell>
        </row>
        <row r="8718">
          <cell r="C8718" t="str">
            <v>HY</v>
          </cell>
          <cell r="D8718">
            <v>68.5</v>
          </cell>
          <cell r="H8718" t="str">
            <v>hydro</v>
          </cell>
        </row>
        <row r="8719">
          <cell r="C8719" t="str">
            <v>GT</v>
          </cell>
          <cell r="D8719">
            <v>14.2</v>
          </cell>
          <cell r="H8719" t="str">
            <v>natural gas peaker</v>
          </cell>
        </row>
        <row r="8720">
          <cell r="C8720" t="str">
            <v>ST</v>
          </cell>
          <cell r="D8720">
            <v>172.4</v>
          </cell>
          <cell r="H8720" t="str">
            <v>natural gas peaker</v>
          </cell>
        </row>
        <row r="8721">
          <cell r="C8721" t="str">
            <v>ST</v>
          </cell>
          <cell r="D8721">
            <v>370.2</v>
          </cell>
          <cell r="H8721" t="str">
            <v>natural gas peaker</v>
          </cell>
        </row>
        <row r="8722">
          <cell r="C8722" t="str">
            <v>ST</v>
          </cell>
          <cell r="D8722">
            <v>380</v>
          </cell>
          <cell r="H8722" t="str">
            <v>natural gas peaker</v>
          </cell>
        </row>
        <row r="8723">
          <cell r="C8723" t="str">
            <v>ST</v>
          </cell>
          <cell r="D8723">
            <v>376.9</v>
          </cell>
          <cell r="H8723" t="str">
            <v>natural gas peaker</v>
          </cell>
        </row>
        <row r="8724">
          <cell r="C8724" t="str">
            <v>ST</v>
          </cell>
          <cell r="D8724">
            <v>1037.9000000000001</v>
          </cell>
          <cell r="H8724" t="str">
            <v>nuclear</v>
          </cell>
        </row>
        <row r="8725">
          <cell r="C8725" t="str">
            <v>IC</v>
          </cell>
          <cell r="D8725">
            <v>1.9</v>
          </cell>
          <cell r="H8725" t="str">
            <v>petroleum</v>
          </cell>
        </row>
        <row r="8726">
          <cell r="C8726" t="str">
            <v>IC</v>
          </cell>
          <cell r="D8726">
            <v>1.9</v>
          </cell>
          <cell r="H8726" t="str">
            <v>petroleum</v>
          </cell>
        </row>
        <row r="8727">
          <cell r="C8727" t="str">
            <v>IC</v>
          </cell>
          <cell r="D8727">
            <v>4.9000000000000004</v>
          </cell>
          <cell r="H8727" t="str">
            <v>petroleum</v>
          </cell>
        </row>
        <row r="8728">
          <cell r="C8728" t="str">
            <v>IC</v>
          </cell>
          <cell r="D8728">
            <v>2.5</v>
          </cell>
          <cell r="H8728" t="str">
            <v>petroleum</v>
          </cell>
        </row>
        <row r="8729">
          <cell r="C8729" t="str">
            <v>IC</v>
          </cell>
          <cell r="D8729">
            <v>3.4</v>
          </cell>
          <cell r="H8729" t="str">
            <v>petroleum</v>
          </cell>
        </row>
        <row r="8730">
          <cell r="C8730" t="str">
            <v>HY</v>
          </cell>
          <cell r="D8730">
            <v>15</v>
          </cell>
          <cell r="H8730" t="str">
            <v>hydro</v>
          </cell>
        </row>
        <row r="8731">
          <cell r="C8731" t="str">
            <v>HY</v>
          </cell>
          <cell r="D8731">
            <v>10.199999999999999</v>
          </cell>
          <cell r="H8731" t="str">
            <v>hydro</v>
          </cell>
        </row>
        <row r="8732">
          <cell r="C8732" t="str">
            <v>GT</v>
          </cell>
          <cell r="D8732">
            <v>13.3</v>
          </cell>
          <cell r="H8732" t="str">
            <v>natural gas peaker</v>
          </cell>
        </row>
        <row r="8733">
          <cell r="C8733" t="str">
            <v>HY</v>
          </cell>
          <cell r="D8733">
            <v>2.2999999999999998</v>
          </cell>
          <cell r="H8733" t="str">
            <v>hydro</v>
          </cell>
        </row>
        <row r="8734">
          <cell r="C8734" t="str">
            <v>HY</v>
          </cell>
          <cell r="D8734">
            <v>0.6</v>
          </cell>
          <cell r="H8734" t="str">
            <v>hydro</v>
          </cell>
        </row>
        <row r="8735">
          <cell r="C8735" t="str">
            <v>HY</v>
          </cell>
          <cell r="D8735">
            <v>0.6</v>
          </cell>
          <cell r="H8735" t="str">
            <v>hydro</v>
          </cell>
        </row>
        <row r="8736">
          <cell r="C8736" t="str">
            <v>HY</v>
          </cell>
          <cell r="D8736">
            <v>0.4</v>
          </cell>
          <cell r="H8736" t="str">
            <v>hydro</v>
          </cell>
        </row>
        <row r="8737">
          <cell r="C8737" t="str">
            <v>HY</v>
          </cell>
          <cell r="D8737">
            <v>0.5</v>
          </cell>
          <cell r="H8737" t="str">
            <v>hydro</v>
          </cell>
        </row>
        <row r="8738">
          <cell r="C8738" t="str">
            <v>ST</v>
          </cell>
          <cell r="D8738">
            <v>10</v>
          </cell>
          <cell r="H8738" t="str">
            <v>natural gas peaker</v>
          </cell>
        </row>
        <row r="8739">
          <cell r="C8739" t="str">
            <v>ST</v>
          </cell>
          <cell r="D8739">
            <v>10</v>
          </cell>
          <cell r="H8739" t="str">
            <v>natural gas peaker</v>
          </cell>
        </row>
        <row r="8740">
          <cell r="C8740" t="str">
            <v>ST</v>
          </cell>
          <cell r="D8740">
            <v>20</v>
          </cell>
          <cell r="H8740" t="str">
            <v>natural gas peaker</v>
          </cell>
        </row>
        <row r="8741">
          <cell r="C8741" t="str">
            <v>ST</v>
          </cell>
          <cell r="D8741">
            <v>4</v>
          </cell>
          <cell r="H8741" t="str">
            <v>other</v>
          </cell>
        </row>
        <row r="8742">
          <cell r="C8742" t="str">
            <v>ST</v>
          </cell>
          <cell r="D8742">
            <v>33</v>
          </cell>
          <cell r="H8742" t="str">
            <v>other</v>
          </cell>
        </row>
        <row r="8743">
          <cell r="C8743" t="str">
            <v>WT</v>
          </cell>
          <cell r="D8743">
            <v>17</v>
          </cell>
          <cell r="H8743" t="str">
            <v>onshore wind</v>
          </cell>
        </row>
        <row r="8744">
          <cell r="C8744" t="str">
            <v>GT</v>
          </cell>
          <cell r="D8744">
            <v>2.2000000000000002</v>
          </cell>
          <cell r="H8744" t="str">
            <v>natural gas peaker</v>
          </cell>
        </row>
        <row r="8745">
          <cell r="C8745" t="str">
            <v>GT</v>
          </cell>
          <cell r="D8745">
            <v>2.7</v>
          </cell>
          <cell r="H8745" t="str">
            <v>natural gas peaker</v>
          </cell>
        </row>
        <row r="8746">
          <cell r="C8746" t="str">
            <v>GT</v>
          </cell>
          <cell r="D8746">
            <v>3.2</v>
          </cell>
          <cell r="H8746" t="str">
            <v>natural gas peaker</v>
          </cell>
        </row>
        <row r="8747">
          <cell r="C8747" t="str">
            <v>ST</v>
          </cell>
          <cell r="D8747">
            <v>33.700000000000003</v>
          </cell>
          <cell r="H8747" t="str">
            <v>municipal solid waste</v>
          </cell>
        </row>
        <row r="8748">
          <cell r="C8748" t="str">
            <v>HY</v>
          </cell>
          <cell r="D8748">
            <v>36.200000000000003</v>
          </cell>
          <cell r="H8748" t="str">
            <v>hydro</v>
          </cell>
        </row>
        <row r="8749">
          <cell r="C8749" t="str">
            <v>HY</v>
          </cell>
          <cell r="D8749">
            <v>36.200000000000003</v>
          </cell>
          <cell r="H8749" t="str">
            <v>hydro</v>
          </cell>
        </row>
        <row r="8750">
          <cell r="C8750" t="str">
            <v>HY</v>
          </cell>
          <cell r="D8750">
            <v>10.6</v>
          </cell>
          <cell r="H8750" t="str">
            <v>hydro</v>
          </cell>
        </row>
        <row r="8751">
          <cell r="C8751" t="str">
            <v>ST</v>
          </cell>
          <cell r="D8751">
            <v>5</v>
          </cell>
          <cell r="H8751" t="str">
            <v>biomass</v>
          </cell>
        </row>
        <row r="8752">
          <cell r="C8752" t="str">
            <v>ST</v>
          </cell>
          <cell r="D8752">
            <v>10</v>
          </cell>
          <cell r="H8752" t="str">
            <v>biomass</v>
          </cell>
        </row>
        <row r="8753">
          <cell r="C8753" t="str">
            <v>ST</v>
          </cell>
          <cell r="D8753">
            <v>25</v>
          </cell>
          <cell r="H8753" t="str">
            <v>biomass</v>
          </cell>
        </row>
        <row r="8754">
          <cell r="C8754" t="str">
            <v>ST</v>
          </cell>
          <cell r="D8754">
            <v>15</v>
          </cell>
          <cell r="H8754" t="str">
            <v>biomass</v>
          </cell>
        </row>
        <row r="8755">
          <cell r="C8755" t="str">
            <v>ST</v>
          </cell>
          <cell r="D8755">
            <v>46</v>
          </cell>
          <cell r="H8755" t="str">
            <v>biomass</v>
          </cell>
        </row>
        <row r="8756">
          <cell r="C8756" t="str">
            <v>BT</v>
          </cell>
          <cell r="D8756">
            <v>10</v>
          </cell>
          <cell r="H8756" t="str">
            <v>geothermal</v>
          </cell>
        </row>
        <row r="8757">
          <cell r="C8757" t="str">
            <v>BT</v>
          </cell>
          <cell r="D8757">
            <v>7.3</v>
          </cell>
          <cell r="H8757" t="str">
            <v>geothermal</v>
          </cell>
        </row>
        <row r="8758">
          <cell r="C8758" t="str">
            <v>GT</v>
          </cell>
          <cell r="D8758">
            <v>4.3</v>
          </cell>
          <cell r="H8758" t="str">
            <v>natural gas peaker</v>
          </cell>
        </row>
        <row r="8759">
          <cell r="C8759" t="str">
            <v>ST</v>
          </cell>
          <cell r="D8759">
            <v>15</v>
          </cell>
          <cell r="H8759" t="str">
            <v>hard coal</v>
          </cell>
        </row>
        <row r="8760">
          <cell r="C8760" t="str">
            <v>ST</v>
          </cell>
          <cell r="D8760">
            <v>12.5</v>
          </cell>
          <cell r="H8760" t="str">
            <v>hard coal</v>
          </cell>
        </row>
        <row r="8761">
          <cell r="C8761" t="str">
            <v>ST</v>
          </cell>
          <cell r="D8761">
            <v>25.6</v>
          </cell>
          <cell r="H8761" t="str">
            <v>hard coal</v>
          </cell>
        </row>
        <row r="8762">
          <cell r="C8762" t="str">
            <v>ST</v>
          </cell>
          <cell r="D8762">
            <v>25.6</v>
          </cell>
          <cell r="H8762" t="str">
            <v>hard coal</v>
          </cell>
        </row>
        <row r="8763">
          <cell r="C8763" t="str">
            <v>ST</v>
          </cell>
          <cell r="D8763">
            <v>25.6</v>
          </cell>
          <cell r="H8763" t="str">
            <v>hard coal</v>
          </cell>
        </row>
        <row r="8764">
          <cell r="C8764" t="str">
            <v>ST</v>
          </cell>
          <cell r="D8764">
            <v>25.6</v>
          </cell>
          <cell r="H8764" t="str">
            <v>hard coal</v>
          </cell>
        </row>
        <row r="8765">
          <cell r="C8765" t="str">
            <v>ST</v>
          </cell>
          <cell r="D8765">
            <v>2.2000000000000002</v>
          </cell>
          <cell r="H8765" t="str">
            <v>hard coal</v>
          </cell>
        </row>
        <row r="8766">
          <cell r="C8766" t="str">
            <v>HY</v>
          </cell>
          <cell r="D8766">
            <v>0.4</v>
          </cell>
          <cell r="H8766" t="str">
            <v>hydro</v>
          </cell>
        </row>
        <row r="8767">
          <cell r="C8767" t="str">
            <v>IC</v>
          </cell>
          <cell r="D8767">
            <v>0.8</v>
          </cell>
          <cell r="H8767" t="str">
            <v>biomass</v>
          </cell>
        </row>
        <row r="8768">
          <cell r="C8768" t="str">
            <v>IC</v>
          </cell>
          <cell r="D8768">
            <v>0.8</v>
          </cell>
          <cell r="H8768" t="str">
            <v>biomass</v>
          </cell>
        </row>
        <row r="8769">
          <cell r="C8769" t="str">
            <v>IC</v>
          </cell>
          <cell r="D8769">
            <v>0.8</v>
          </cell>
          <cell r="H8769" t="str">
            <v>biomass</v>
          </cell>
        </row>
        <row r="8770">
          <cell r="C8770" t="str">
            <v>IC</v>
          </cell>
          <cell r="D8770">
            <v>0.8</v>
          </cell>
          <cell r="H8770" t="str">
            <v>biomass</v>
          </cell>
        </row>
        <row r="8771">
          <cell r="C8771" t="str">
            <v>ST</v>
          </cell>
          <cell r="D8771">
            <v>8.5</v>
          </cell>
          <cell r="H8771" t="str">
            <v>natural gas peaker</v>
          </cell>
        </row>
        <row r="8772">
          <cell r="C8772" t="str">
            <v>ST</v>
          </cell>
          <cell r="D8772">
            <v>8.5</v>
          </cell>
          <cell r="H8772" t="str">
            <v>natural gas peaker</v>
          </cell>
        </row>
        <row r="8773">
          <cell r="C8773" t="str">
            <v>ST</v>
          </cell>
          <cell r="D8773">
            <v>6.8</v>
          </cell>
          <cell r="H8773" t="str">
            <v>natural gas peaker</v>
          </cell>
        </row>
        <row r="8774">
          <cell r="C8774" t="str">
            <v>PV</v>
          </cell>
          <cell r="D8774">
            <v>2.1</v>
          </cell>
          <cell r="H8774" t="str">
            <v>solar PV</v>
          </cell>
        </row>
        <row r="8775">
          <cell r="C8775" t="str">
            <v>CA</v>
          </cell>
          <cell r="D8775">
            <v>15</v>
          </cell>
          <cell r="H8775" t="str">
            <v>natural gas nonpeaker</v>
          </cell>
        </row>
        <row r="8776">
          <cell r="C8776" t="str">
            <v>CT</v>
          </cell>
          <cell r="D8776">
            <v>44</v>
          </cell>
          <cell r="H8776" t="str">
            <v>natural gas nonpeaker</v>
          </cell>
        </row>
        <row r="8777">
          <cell r="C8777" t="str">
            <v>GT</v>
          </cell>
          <cell r="D8777">
            <v>44</v>
          </cell>
          <cell r="H8777" t="str">
            <v>natural gas peaker</v>
          </cell>
        </row>
        <row r="8778">
          <cell r="C8778" t="str">
            <v>CT</v>
          </cell>
          <cell r="D8778">
            <v>85</v>
          </cell>
          <cell r="H8778" t="str">
            <v>natural gas nonpeaker</v>
          </cell>
        </row>
        <row r="8779">
          <cell r="C8779" t="str">
            <v>CA</v>
          </cell>
          <cell r="D8779">
            <v>30</v>
          </cell>
          <cell r="H8779" t="str">
            <v>natural gas nonpeaker</v>
          </cell>
        </row>
        <row r="8780">
          <cell r="C8780" t="str">
            <v>HY</v>
          </cell>
          <cell r="D8780">
            <v>0.6</v>
          </cell>
          <cell r="H8780" t="str">
            <v>hydro</v>
          </cell>
        </row>
        <row r="8781">
          <cell r="C8781" t="str">
            <v>HY</v>
          </cell>
          <cell r="D8781">
            <v>0.6</v>
          </cell>
          <cell r="H8781" t="str">
            <v>hydro</v>
          </cell>
        </row>
        <row r="8782">
          <cell r="C8782" t="str">
            <v>GT</v>
          </cell>
          <cell r="D8782">
            <v>3.5</v>
          </cell>
          <cell r="H8782" t="str">
            <v>natural gas peaker</v>
          </cell>
        </row>
        <row r="8783">
          <cell r="C8783" t="str">
            <v>ST</v>
          </cell>
          <cell r="D8783">
            <v>219</v>
          </cell>
          <cell r="H8783" t="str">
            <v>hard coal</v>
          </cell>
        </row>
        <row r="8784">
          <cell r="C8784" t="str">
            <v>HY</v>
          </cell>
          <cell r="D8784">
            <v>0.3</v>
          </cell>
          <cell r="H8784" t="str">
            <v>hydro</v>
          </cell>
        </row>
        <row r="8785">
          <cell r="C8785" t="str">
            <v>HY</v>
          </cell>
          <cell r="D8785">
            <v>0.4</v>
          </cell>
          <cell r="H8785" t="str">
            <v>hydro</v>
          </cell>
        </row>
        <row r="8786">
          <cell r="C8786" t="str">
            <v>HY</v>
          </cell>
          <cell r="D8786">
            <v>0.4</v>
          </cell>
          <cell r="H8786" t="str">
            <v>hydro</v>
          </cell>
        </row>
        <row r="8787">
          <cell r="C8787" t="str">
            <v>HY</v>
          </cell>
          <cell r="D8787">
            <v>0.4</v>
          </cell>
          <cell r="H8787" t="str">
            <v>hydro</v>
          </cell>
        </row>
        <row r="8788">
          <cell r="C8788" t="str">
            <v>IC</v>
          </cell>
          <cell r="D8788">
            <v>1.3</v>
          </cell>
          <cell r="H8788" t="str">
            <v>biomass</v>
          </cell>
        </row>
        <row r="8789">
          <cell r="C8789" t="str">
            <v>HY</v>
          </cell>
          <cell r="D8789">
            <v>0.6</v>
          </cell>
          <cell r="H8789" t="str">
            <v>hydro</v>
          </cell>
        </row>
        <row r="8790">
          <cell r="C8790" t="str">
            <v>HY</v>
          </cell>
          <cell r="D8790">
            <v>0.6</v>
          </cell>
          <cell r="H8790" t="str">
            <v>hydro</v>
          </cell>
        </row>
        <row r="8791">
          <cell r="C8791" t="str">
            <v>ST</v>
          </cell>
          <cell r="D8791">
            <v>16</v>
          </cell>
          <cell r="H8791" t="str">
            <v>biomass</v>
          </cell>
        </row>
        <row r="8792">
          <cell r="C8792" t="str">
            <v>IC</v>
          </cell>
          <cell r="D8792">
            <v>4.3</v>
          </cell>
          <cell r="H8792" t="str">
            <v>petroleum</v>
          </cell>
        </row>
        <row r="8793">
          <cell r="C8793" t="str">
            <v>HY</v>
          </cell>
          <cell r="D8793">
            <v>1.6</v>
          </cell>
          <cell r="H8793" t="str">
            <v>hydro</v>
          </cell>
        </row>
        <row r="8794">
          <cell r="C8794" t="str">
            <v>HY</v>
          </cell>
          <cell r="D8794">
            <v>0.5</v>
          </cell>
          <cell r="H8794" t="str">
            <v>hydro</v>
          </cell>
        </row>
        <row r="8795">
          <cell r="C8795" t="str">
            <v>CT</v>
          </cell>
          <cell r="D8795">
            <v>8.8000000000000007</v>
          </cell>
          <cell r="H8795" t="str">
            <v>natural gas nonpeaker</v>
          </cell>
        </row>
        <row r="8796">
          <cell r="C8796" t="str">
            <v>CA</v>
          </cell>
          <cell r="D8796">
            <v>0.7</v>
          </cell>
          <cell r="H8796" t="str">
            <v>natural gas nonpeaker</v>
          </cell>
        </row>
        <row r="8797">
          <cell r="C8797" t="str">
            <v>ST</v>
          </cell>
          <cell r="D8797">
            <v>35.799999999999997</v>
          </cell>
          <cell r="H8797" t="str">
            <v>municipal solid waste</v>
          </cell>
        </row>
        <row r="8798">
          <cell r="C8798" t="str">
            <v>ST</v>
          </cell>
          <cell r="D8798">
            <v>35.799999999999997</v>
          </cell>
          <cell r="H8798" t="str">
            <v>municipal solid waste</v>
          </cell>
        </row>
        <row r="8799">
          <cell r="C8799" t="str">
            <v>HY</v>
          </cell>
          <cell r="D8799">
            <v>4</v>
          </cell>
          <cell r="H8799" t="str">
            <v>hydro</v>
          </cell>
        </row>
        <row r="8800">
          <cell r="C8800" t="str">
            <v>HY</v>
          </cell>
          <cell r="D8800">
            <v>4</v>
          </cell>
          <cell r="H8800" t="str">
            <v>hydro</v>
          </cell>
        </row>
        <row r="8801">
          <cell r="C8801" t="str">
            <v>HY</v>
          </cell>
          <cell r="D8801">
            <v>0.3</v>
          </cell>
          <cell r="H8801" t="str">
            <v>hydro</v>
          </cell>
        </row>
        <row r="8802">
          <cell r="C8802" t="str">
            <v>HY</v>
          </cell>
          <cell r="D8802">
            <v>0.3</v>
          </cell>
          <cell r="H8802" t="str">
            <v>hydro</v>
          </cell>
        </row>
        <row r="8803">
          <cell r="C8803" t="str">
            <v>HY</v>
          </cell>
          <cell r="D8803">
            <v>0.7</v>
          </cell>
          <cell r="H8803" t="str">
            <v>hydro</v>
          </cell>
        </row>
        <row r="8804">
          <cell r="C8804" t="str">
            <v>HY</v>
          </cell>
          <cell r="D8804">
            <v>0.7</v>
          </cell>
          <cell r="H8804" t="str">
            <v>hydro</v>
          </cell>
        </row>
        <row r="8805">
          <cell r="C8805" t="str">
            <v>HY</v>
          </cell>
          <cell r="D8805">
            <v>0.7</v>
          </cell>
          <cell r="H8805" t="str">
            <v>hydro</v>
          </cell>
        </row>
        <row r="8806">
          <cell r="C8806" t="str">
            <v>HY</v>
          </cell>
          <cell r="D8806">
            <v>0.7</v>
          </cell>
          <cell r="H8806" t="str">
            <v>hydro</v>
          </cell>
        </row>
        <row r="8807">
          <cell r="C8807" t="str">
            <v>HY</v>
          </cell>
          <cell r="D8807">
            <v>0.7</v>
          </cell>
          <cell r="H8807" t="str">
            <v>hydro</v>
          </cell>
        </row>
        <row r="8808">
          <cell r="C8808" t="str">
            <v>HY</v>
          </cell>
          <cell r="D8808">
            <v>0.7</v>
          </cell>
          <cell r="H8808" t="str">
            <v>hydro</v>
          </cell>
        </row>
        <row r="8809">
          <cell r="C8809" t="str">
            <v>HY</v>
          </cell>
          <cell r="D8809">
            <v>2.2000000000000002</v>
          </cell>
          <cell r="H8809" t="str">
            <v>hydro</v>
          </cell>
        </row>
        <row r="8810">
          <cell r="C8810" t="str">
            <v>HY</v>
          </cell>
          <cell r="D8810">
            <v>3.1</v>
          </cell>
          <cell r="H8810" t="str">
            <v>hydro</v>
          </cell>
        </row>
        <row r="8811">
          <cell r="C8811" t="str">
            <v>ST</v>
          </cell>
          <cell r="D8811">
            <v>18.8</v>
          </cell>
          <cell r="H8811" t="str">
            <v>other</v>
          </cell>
        </row>
        <row r="8812">
          <cell r="C8812" t="str">
            <v>ST</v>
          </cell>
          <cell r="D8812">
            <v>79</v>
          </cell>
          <cell r="H8812" t="str">
            <v>hard coal</v>
          </cell>
        </row>
        <row r="8813">
          <cell r="C8813" t="str">
            <v>ST</v>
          </cell>
          <cell r="D8813">
            <v>75.900000000000006</v>
          </cell>
          <cell r="H8813" t="str">
            <v>hard coal</v>
          </cell>
        </row>
        <row r="8814">
          <cell r="C8814" t="str">
            <v>HY</v>
          </cell>
          <cell r="D8814">
            <v>1</v>
          </cell>
          <cell r="H8814" t="str">
            <v>hydro</v>
          </cell>
        </row>
        <row r="8815">
          <cell r="C8815" t="str">
            <v>CT</v>
          </cell>
          <cell r="D8815">
            <v>8</v>
          </cell>
          <cell r="H8815" t="str">
            <v>biomass</v>
          </cell>
        </row>
        <row r="8816">
          <cell r="C8816" t="str">
            <v>CT</v>
          </cell>
          <cell r="D8816">
            <v>8</v>
          </cell>
          <cell r="H8816" t="str">
            <v>biomass</v>
          </cell>
        </row>
        <row r="8817">
          <cell r="C8817" t="str">
            <v>CT</v>
          </cell>
          <cell r="D8817">
            <v>8</v>
          </cell>
          <cell r="H8817" t="str">
            <v>biomass</v>
          </cell>
        </row>
        <row r="8818">
          <cell r="C8818" t="str">
            <v>CA</v>
          </cell>
          <cell r="D8818">
            <v>7.4</v>
          </cell>
          <cell r="H8818" t="str">
            <v>biomass</v>
          </cell>
        </row>
        <row r="8819">
          <cell r="C8819" t="str">
            <v>GT</v>
          </cell>
          <cell r="D8819">
            <v>20</v>
          </cell>
          <cell r="H8819" t="str">
            <v>petroleum</v>
          </cell>
        </row>
        <row r="8820">
          <cell r="C8820" t="str">
            <v>CT</v>
          </cell>
          <cell r="D8820">
            <v>115.1</v>
          </cell>
          <cell r="H8820" t="str">
            <v>natural gas nonpeaker</v>
          </cell>
        </row>
        <row r="8821">
          <cell r="C8821" t="str">
            <v>CA</v>
          </cell>
          <cell r="D8821" t="str">
            <v xml:space="preserve"> </v>
          </cell>
          <cell r="H8821" t="str">
            <v>natural gas nonpeaker</v>
          </cell>
        </row>
        <row r="8822">
          <cell r="C8822" t="str">
            <v>GT</v>
          </cell>
          <cell r="D8822">
            <v>3.8</v>
          </cell>
          <cell r="H8822" t="str">
            <v>natural gas peaker</v>
          </cell>
        </row>
        <row r="8823">
          <cell r="C8823" t="str">
            <v>HY</v>
          </cell>
          <cell r="D8823">
            <v>0.2</v>
          </cell>
          <cell r="H8823" t="str">
            <v>hydro</v>
          </cell>
        </row>
        <row r="8824">
          <cell r="C8824" t="str">
            <v>HY</v>
          </cell>
          <cell r="D8824">
            <v>1.8</v>
          </cell>
          <cell r="H8824" t="str">
            <v>hydro</v>
          </cell>
        </row>
        <row r="8825">
          <cell r="C8825" t="str">
            <v>GT</v>
          </cell>
          <cell r="D8825">
            <v>5.5</v>
          </cell>
          <cell r="H8825" t="str">
            <v>natural gas peaker</v>
          </cell>
        </row>
        <row r="8826">
          <cell r="C8826" t="str">
            <v>ST</v>
          </cell>
          <cell r="D8826">
            <v>80</v>
          </cell>
          <cell r="H8826" t="str">
            <v>hard coal</v>
          </cell>
        </row>
        <row r="8827">
          <cell r="C8827" t="str">
            <v>GT</v>
          </cell>
          <cell r="D8827">
            <v>4.2</v>
          </cell>
          <cell r="H8827" t="str">
            <v>natural gas peaker</v>
          </cell>
        </row>
        <row r="8828">
          <cell r="C8828" t="str">
            <v>HY</v>
          </cell>
          <cell r="D8828">
            <v>1.8</v>
          </cell>
          <cell r="H8828" t="str">
            <v>hydro</v>
          </cell>
        </row>
        <row r="8829">
          <cell r="C8829" t="str">
            <v>ST</v>
          </cell>
          <cell r="D8829">
            <v>16.7</v>
          </cell>
          <cell r="H8829" t="str">
            <v>municipal solid waste</v>
          </cell>
        </row>
        <row r="8830">
          <cell r="C8830" t="str">
            <v>ST</v>
          </cell>
          <cell r="D8830">
            <v>7.1</v>
          </cell>
          <cell r="H8830" t="str">
            <v>biomass</v>
          </cell>
        </row>
        <row r="8831">
          <cell r="C8831" t="str">
            <v>HY</v>
          </cell>
          <cell r="D8831">
            <v>1.4</v>
          </cell>
          <cell r="H8831" t="str">
            <v>hydro</v>
          </cell>
        </row>
        <row r="8832">
          <cell r="C8832" t="str">
            <v>GT</v>
          </cell>
          <cell r="D8832">
            <v>4.0999999999999996</v>
          </cell>
          <cell r="H8832" t="str">
            <v>natural gas peaker</v>
          </cell>
        </row>
        <row r="8833">
          <cell r="C8833" t="str">
            <v>GT</v>
          </cell>
          <cell r="D8833">
            <v>4.0999999999999996</v>
          </cell>
          <cell r="H8833" t="str">
            <v>natural gas peaker</v>
          </cell>
        </row>
        <row r="8834">
          <cell r="C8834" t="str">
            <v>GT</v>
          </cell>
          <cell r="D8834">
            <v>4.0999999999999996</v>
          </cell>
          <cell r="H8834" t="str">
            <v>natural gas peaker</v>
          </cell>
        </row>
        <row r="8835">
          <cell r="C8835" t="str">
            <v>HY</v>
          </cell>
          <cell r="D8835">
            <v>0.3</v>
          </cell>
          <cell r="H8835" t="str">
            <v>hydro</v>
          </cell>
        </row>
        <row r="8836">
          <cell r="C8836" t="str">
            <v>HY</v>
          </cell>
          <cell r="D8836">
            <v>0.3</v>
          </cell>
          <cell r="H8836" t="str">
            <v>hydro</v>
          </cell>
        </row>
        <row r="8837">
          <cell r="C8837" t="str">
            <v>HY</v>
          </cell>
          <cell r="D8837">
            <v>0.2</v>
          </cell>
          <cell r="H8837" t="str">
            <v>hydro</v>
          </cell>
        </row>
        <row r="8838">
          <cell r="C8838" t="str">
            <v>HY</v>
          </cell>
          <cell r="D8838">
            <v>0.2</v>
          </cell>
          <cell r="H8838" t="str">
            <v>hydro</v>
          </cell>
        </row>
        <row r="8839">
          <cell r="C8839" t="str">
            <v>IC</v>
          </cell>
          <cell r="D8839">
            <v>6</v>
          </cell>
          <cell r="H8839" t="str">
            <v>natural gas peaker</v>
          </cell>
        </row>
        <row r="8840">
          <cell r="C8840" t="str">
            <v>IC</v>
          </cell>
          <cell r="D8840">
            <v>6</v>
          </cell>
          <cell r="H8840" t="str">
            <v>natural gas peaker</v>
          </cell>
        </row>
        <row r="8841">
          <cell r="C8841" t="str">
            <v>IC</v>
          </cell>
          <cell r="D8841">
            <v>6</v>
          </cell>
          <cell r="H8841" t="str">
            <v>natural gas peaker</v>
          </cell>
        </row>
        <row r="8842">
          <cell r="C8842" t="str">
            <v>IC</v>
          </cell>
          <cell r="D8842">
            <v>6</v>
          </cell>
          <cell r="H8842" t="str">
            <v>natural gas peaker</v>
          </cell>
        </row>
        <row r="8843">
          <cell r="C8843" t="str">
            <v>HY</v>
          </cell>
          <cell r="D8843">
            <v>2.4</v>
          </cell>
          <cell r="H8843" t="str">
            <v>hydro</v>
          </cell>
        </row>
        <row r="8844">
          <cell r="C8844" t="str">
            <v>HY</v>
          </cell>
          <cell r="D8844">
            <v>0.5</v>
          </cell>
          <cell r="H8844" t="str">
            <v>hydro</v>
          </cell>
        </row>
        <row r="8845">
          <cell r="C8845" t="str">
            <v>HY</v>
          </cell>
          <cell r="D8845">
            <v>2</v>
          </cell>
          <cell r="H8845" t="str">
            <v>hydro</v>
          </cell>
        </row>
        <row r="8846">
          <cell r="C8846" t="str">
            <v>HY</v>
          </cell>
          <cell r="D8846">
            <v>5.9</v>
          </cell>
          <cell r="H8846" t="str">
            <v>hydro</v>
          </cell>
        </row>
        <row r="8847">
          <cell r="C8847" t="str">
            <v>HY</v>
          </cell>
          <cell r="D8847">
            <v>5.9</v>
          </cell>
          <cell r="H8847" t="str">
            <v>hydro</v>
          </cell>
        </row>
        <row r="8848">
          <cell r="C8848" t="str">
            <v>HY</v>
          </cell>
          <cell r="D8848">
            <v>2.6</v>
          </cell>
          <cell r="H8848" t="str">
            <v>hydro</v>
          </cell>
        </row>
        <row r="8849">
          <cell r="C8849" t="str">
            <v>ST</v>
          </cell>
          <cell r="D8849">
            <v>110</v>
          </cell>
          <cell r="H8849" t="str">
            <v>hard coal</v>
          </cell>
        </row>
        <row r="8850">
          <cell r="C8850" t="str">
            <v>ST</v>
          </cell>
          <cell r="D8850">
            <v>17.5</v>
          </cell>
          <cell r="H8850" t="str">
            <v>biomass</v>
          </cell>
        </row>
        <row r="8851">
          <cell r="C8851" t="str">
            <v>ST</v>
          </cell>
          <cell r="D8851">
            <v>18</v>
          </cell>
          <cell r="H8851" t="str">
            <v>natural gas peaker</v>
          </cell>
        </row>
        <row r="8852">
          <cell r="C8852" t="str">
            <v>ST</v>
          </cell>
          <cell r="D8852">
            <v>7</v>
          </cell>
          <cell r="H8852" t="str">
            <v>natural gas peaker</v>
          </cell>
        </row>
        <row r="8853">
          <cell r="C8853" t="str">
            <v>ST</v>
          </cell>
          <cell r="D8853">
            <v>80</v>
          </cell>
          <cell r="H8853" t="str">
            <v>hard coal</v>
          </cell>
        </row>
        <row r="8854">
          <cell r="C8854" t="str">
            <v>HY</v>
          </cell>
          <cell r="D8854">
            <v>0.7</v>
          </cell>
          <cell r="H8854" t="str">
            <v>hydro</v>
          </cell>
        </row>
        <row r="8855">
          <cell r="C8855" t="str">
            <v>HY</v>
          </cell>
          <cell r="D8855">
            <v>0.7</v>
          </cell>
          <cell r="H8855" t="str">
            <v>hydro</v>
          </cell>
        </row>
        <row r="8856">
          <cell r="C8856" t="str">
            <v>HY</v>
          </cell>
          <cell r="D8856">
            <v>0.7</v>
          </cell>
          <cell r="H8856" t="str">
            <v>hydro</v>
          </cell>
        </row>
        <row r="8857">
          <cell r="C8857" t="str">
            <v>HY</v>
          </cell>
          <cell r="D8857">
            <v>0.7</v>
          </cell>
          <cell r="H8857" t="str">
            <v>hydro</v>
          </cell>
        </row>
        <row r="8858">
          <cell r="C8858" t="str">
            <v>GT</v>
          </cell>
          <cell r="D8858">
            <v>30</v>
          </cell>
          <cell r="H8858" t="str">
            <v>natural gas peaker</v>
          </cell>
        </row>
        <row r="8859">
          <cell r="C8859" t="str">
            <v>HY</v>
          </cell>
          <cell r="D8859">
            <v>2.9</v>
          </cell>
          <cell r="H8859" t="str">
            <v>hydro</v>
          </cell>
        </row>
        <row r="8860">
          <cell r="C8860" t="str">
            <v>CA</v>
          </cell>
          <cell r="D8860">
            <v>6</v>
          </cell>
          <cell r="H8860" t="str">
            <v>natural gas nonpeaker</v>
          </cell>
        </row>
        <row r="8861">
          <cell r="C8861" t="str">
            <v>GT</v>
          </cell>
          <cell r="D8861">
            <v>21.9</v>
          </cell>
          <cell r="H8861" t="str">
            <v>natural gas peaker</v>
          </cell>
        </row>
        <row r="8862">
          <cell r="C8862" t="str">
            <v>CT</v>
          </cell>
          <cell r="D8862">
            <v>45</v>
          </cell>
          <cell r="H8862" t="str">
            <v>natural gas nonpeaker</v>
          </cell>
        </row>
        <row r="8863">
          <cell r="C8863" t="str">
            <v>HY</v>
          </cell>
          <cell r="D8863">
            <v>1.3</v>
          </cell>
          <cell r="H8863" t="str">
            <v>hydro</v>
          </cell>
        </row>
        <row r="8864">
          <cell r="C8864" t="str">
            <v>ST</v>
          </cell>
          <cell r="D8864">
            <v>7.6</v>
          </cell>
          <cell r="H8864" t="str">
            <v>petroleum</v>
          </cell>
        </row>
        <row r="8865">
          <cell r="C8865" t="str">
            <v>CT</v>
          </cell>
          <cell r="D8865">
            <v>41.3</v>
          </cell>
          <cell r="H8865" t="str">
            <v>natural gas nonpeaker</v>
          </cell>
        </row>
        <row r="8866">
          <cell r="C8866" t="str">
            <v>CA</v>
          </cell>
          <cell r="D8866">
            <v>8</v>
          </cell>
          <cell r="H8866" t="str">
            <v>natural gas nonpeaker</v>
          </cell>
        </row>
        <row r="8867">
          <cell r="C8867" t="str">
            <v>HY</v>
          </cell>
          <cell r="D8867">
            <v>1</v>
          </cell>
          <cell r="H8867" t="str">
            <v>hydro</v>
          </cell>
        </row>
        <row r="8868">
          <cell r="C8868" t="str">
            <v>IC</v>
          </cell>
          <cell r="D8868">
            <v>2</v>
          </cell>
          <cell r="H8868" t="str">
            <v>petroleum</v>
          </cell>
        </row>
        <row r="8869">
          <cell r="C8869" t="str">
            <v>GT</v>
          </cell>
          <cell r="D8869">
            <v>4.8</v>
          </cell>
          <cell r="H8869" t="str">
            <v>natural gas peaker</v>
          </cell>
        </row>
        <row r="8870">
          <cell r="C8870" t="str">
            <v>IC</v>
          </cell>
          <cell r="D8870">
            <v>1.5</v>
          </cell>
          <cell r="H8870" t="str">
            <v>petroleum</v>
          </cell>
        </row>
        <row r="8871">
          <cell r="C8871" t="str">
            <v>IC</v>
          </cell>
          <cell r="D8871">
            <v>1.5</v>
          </cell>
          <cell r="H8871" t="str">
            <v>petroleum</v>
          </cell>
        </row>
        <row r="8872">
          <cell r="C8872" t="str">
            <v>IC</v>
          </cell>
          <cell r="D8872">
            <v>1.5</v>
          </cell>
          <cell r="H8872" t="str">
            <v>petroleum</v>
          </cell>
        </row>
        <row r="8873">
          <cell r="C8873" t="str">
            <v>GT</v>
          </cell>
          <cell r="D8873">
            <v>50</v>
          </cell>
          <cell r="H8873" t="str">
            <v>other</v>
          </cell>
        </row>
        <row r="8874">
          <cell r="C8874" t="str">
            <v>IC</v>
          </cell>
          <cell r="D8874">
            <v>1.2</v>
          </cell>
          <cell r="H8874" t="str">
            <v>biomass</v>
          </cell>
        </row>
        <row r="8875">
          <cell r="C8875" t="str">
            <v>IC</v>
          </cell>
          <cell r="D8875">
            <v>1.2</v>
          </cell>
          <cell r="H8875" t="str">
            <v>biomass</v>
          </cell>
        </row>
        <row r="8876">
          <cell r="C8876" t="str">
            <v>IC</v>
          </cell>
          <cell r="D8876">
            <v>1.2</v>
          </cell>
          <cell r="H8876" t="str">
            <v>biomass</v>
          </cell>
        </row>
        <row r="8877">
          <cell r="C8877" t="str">
            <v>IC</v>
          </cell>
          <cell r="D8877">
            <v>1.2</v>
          </cell>
          <cell r="H8877" t="str">
            <v>biomass</v>
          </cell>
        </row>
        <row r="8878">
          <cell r="C8878" t="str">
            <v>GT</v>
          </cell>
          <cell r="D8878">
            <v>2.5</v>
          </cell>
          <cell r="H8878" t="str">
            <v>biomass</v>
          </cell>
        </row>
        <row r="8879">
          <cell r="C8879" t="str">
            <v>GT</v>
          </cell>
          <cell r="D8879">
            <v>2.5</v>
          </cell>
          <cell r="H8879" t="str">
            <v>biomass</v>
          </cell>
        </row>
        <row r="8880">
          <cell r="C8880" t="str">
            <v>HY</v>
          </cell>
          <cell r="D8880">
            <v>0.8</v>
          </cell>
          <cell r="H8880" t="str">
            <v>hydro</v>
          </cell>
        </row>
        <row r="8881">
          <cell r="C8881" t="str">
            <v>HY</v>
          </cell>
          <cell r="D8881">
            <v>0.8</v>
          </cell>
          <cell r="H8881" t="str">
            <v>hydro</v>
          </cell>
        </row>
        <row r="8882">
          <cell r="C8882" t="str">
            <v>HY</v>
          </cell>
          <cell r="D8882">
            <v>0.8</v>
          </cell>
          <cell r="H8882" t="str">
            <v>hydro</v>
          </cell>
        </row>
        <row r="8883">
          <cell r="C8883" t="str">
            <v>HY</v>
          </cell>
          <cell r="D8883">
            <v>1.5</v>
          </cell>
          <cell r="H8883" t="str">
            <v>hydro</v>
          </cell>
        </row>
        <row r="8884">
          <cell r="C8884" t="str">
            <v>HY</v>
          </cell>
          <cell r="D8884">
            <v>1.7</v>
          </cell>
          <cell r="H8884" t="str">
            <v>hydro</v>
          </cell>
        </row>
        <row r="8885">
          <cell r="C8885" t="str">
            <v>IC</v>
          </cell>
          <cell r="D8885">
            <v>3.6</v>
          </cell>
          <cell r="H8885" t="str">
            <v>natural gas peaker</v>
          </cell>
        </row>
        <row r="8886">
          <cell r="C8886" t="str">
            <v>IC</v>
          </cell>
          <cell r="D8886">
            <v>2.5</v>
          </cell>
          <cell r="H8886" t="str">
            <v>natural gas peaker</v>
          </cell>
        </row>
        <row r="8887">
          <cell r="C8887" t="str">
            <v>ST</v>
          </cell>
          <cell r="D8887">
            <v>2.2000000000000002</v>
          </cell>
          <cell r="H8887" t="str">
            <v>natural gas peaker</v>
          </cell>
        </row>
        <row r="8888">
          <cell r="C8888" t="str">
            <v>HY</v>
          </cell>
          <cell r="D8888">
            <v>2.2000000000000002</v>
          </cell>
          <cell r="H8888" t="str">
            <v>hydro</v>
          </cell>
        </row>
        <row r="8889">
          <cell r="C8889" t="str">
            <v>HY</v>
          </cell>
          <cell r="D8889">
            <v>2.2000000000000002</v>
          </cell>
          <cell r="H8889" t="str">
            <v>hydro</v>
          </cell>
        </row>
        <row r="8890">
          <cell r="C8890" t="str">
            <v>HY</v>
          </cell>
          <cell r="D8890">
            <v>2.2000000000000002</v>
          </cell>
          <cell r="H8890" t="str">
            <v>hydro</v>
          </cell>
        </row>
        <row r="8891">
          <cell r="C8891" t="str">
            <v>HY</v>
          </cell>
          <cell r="D8891">
            <v>2.2000000000000002</v>
          </cell>
          <cell r="H8891" t="str">
            <v>hydro</v>
          </cell>
        </row>
        <row r="8892">
          <cell r="C8892" t="str">
            <v>HY</v>
          </cell>
          <cell r="D8892">
            <v>2.2000000000000002</v>
          </cell>
          <cell r="H8892" t="str">
            <v>hydro</v>
          </cell>
        </row>
        <row r="8893">
          <cell r="C8893" t="str">
            <v>HY</v>
          </cell>
          <cell r="D8893">
            <v>2.6</v>
          </cell>
          <cell r="H8893" t="str">
            <v>hydro</v>
          </cell>
        </row>
        <row r="8894">
          <cell r="C8894" t="str">
            <v>HY</v>
          </cell>
          <cell r="D8894">
            <v>2.2000000000000002</v>
          </cell>
          <cell r="H8894" t="str">
            <v>hydro</v>
          </cell>
        </row>
        <row r="8895">
          <cell r="C8895" t="str">
            <v>HY</v>
          </cell>
          <cell r="D8895">
            <v>0.3</v>
          </cell>
          <cell r="H8895" t="str">
            <v>hydro</v>
          </cell>
        </row>
        <row r="8896">
          <cell r="C8896" t="str">
            <v>HY</v>
          </cell>
          <cell r="D8896">
            <v>1.8</v>
          </cell>
          <cell r="H8896" t="str">
            <v>hydro</v>
          </cell>
        </row>
        <row r="8897">
          <cell r="C8897" t="str">
            <v>HY</v>
          </cell>
          <cell r="D8897">
            <v>1.8</v>
          </cell>
          <cell r="H8897" t="str">
            <v>hydro</v>
          </cell>
        </row>
        <row r="8898">
          <cell r="C8898" t="str">
            <v>HY</v>
          </cell>
          <cell r="D8898">
            <v>1.8</v>
          </cell>
          <cell r="H8898" t="str">
            <v>hydro</v>
          </cell>
        </row>
        <row r="8899">
          <cell r="C8899" t="str">
            <v>HY</v>
          </cell>
          <cell r="D8899">
            <v>1.8</v>
          </cell>
          <cell r="H8899" t="str">
            <v>hydro</v>
          </cell>
        </row>
        <row r="8900">
          <cell r="C8900" t="str">
            <v>HY</v>
          </cell>
          <cell r="D8900">
            <v>1.8</v>
          </cell>
          <cell r="H8900" t="str">
            <v>hydro</v>
          </cell>
        </row>
        <row r="8901">
          <cell r="C8901" t="str">
            <v>ST</v>
          </cell>
          <cell r="D8901">
            <v>8.9</v>
          </cell>
          <cell r="H8901" t="str">
            <v>other</v>
          </cell>
        </row>
        <row r="8902">
          <cell r="C8902" t="str">
            <v>GT</v>
          </cell>
          <cell r="D8902">
            <v>4.3</v>
          </cell>
          <cell r="H8902" t="str">
            <v>natural gas peaker</v>
          </cell>
        </row>
        <row r="8903">
          <cell r="C8903" t="str">
            <v>GT</v>
          </cell>
          <cell r="D8903">
            <v>4.3</v>
          </cell>
          <cell r="H8903" t="str">
            <v>natural gas peaker</v>
          </cell>
        </row>
        <row r="8904">
          <cell r="C8904" t="str">
            <v>CT</v>
          </cell>
          <cell r="D8904">
            <v>67.7</v>
          </cell>
          <cell r="H8904" t="str">
            <v>natural gas nonpeaker</v>
          </cell>
        </row>
        <row r="8905">
          <cell r="C8905" t="str">
            <v>CA</v>
          </cell>
          <cell r="D8905" t="str">
            <v xml:space="preserve"> </v>
          </cell>
          <cell r="H8905" t="str">
            <v>natural gas nonpeaker</v>
          </cell>
        </row>
        <row r="8906">
          <cell r="C8906" t="str">
            <v>WT</v>
          </cell>
          <cell r="D8906">
            <v>8.6999999999999993</v>
          </cell>
          <cell r="H8906" t="str">
            <v>onshore wind</v>
          </cell>
        </row>
        <row r="8907">
          <cell r="C8907" t="str">
            <v>GT</v>
          </cell>
          <cell r="D8907">
            <v>3.2</v>
          </cell>
          <cell r="H8907" t="str">
            <v>petroleum</v>
          </cell>
        </row>
        <row r="8908">
          <cell r="C8908" t="str">
            <v>GT</v>
          </cell>
          <cell r="D8908">
            <v>3.2</v>
          </cell>
          <cell r="H8908" t="str">
            <v>petroleum</v>
          </cell>
        </row>
        <row r="8909">
          <cell r="C8909" t="str">
            <v>GT</v>
          </cell>
          <cell r="D8909">
            <v>3.2</v>
          </cell>
          <cell r="H8909" t="str">
            <v>petroleum</v>
          </cell>
        </row>
        <row r="8910">
          <cell r="C8910" t="str">
            <v>GT</v>
          </cell>
          <cell r="D8910">
            <v>3.2</v>
          </cell>
          <cell r="H8910" t="str">
            <v>petroleum</v>
          </cell>
        </row>
        <row r="8911">
          <cell r="C8911" t="str">
            <v>GT</v>
          </cell>
          <cell r="D8911">
            <v>20</v>
          </cell>
          <cell r="H8911" t="str">
            <v>natural gas peaker</v>
          </cell>
        </row>
        <row r="8912">
          <cell r="C8912" t="str">
            <v>HY</v>
          </cell>
          <cell r="D8912">
            <v>12.3</v>
          </cell>
          <cell r="H8912" t="str">
            <v>hydro</v>
          </cell>
        </row>
        <row r="8913">
          <cell r="C8913" t="str">
            <v>HY</v>
          </cell>
          <cell r="D8913">
            <v>3.3</v>
          </cell>
          <cell r="H8913" t="str">
            <v>hydro</v>
          </cell>
        </row>
        <row r="8914">
          <cell r="C8914" t="str">
            <v>ST</v>
          </cell>
          <cell r="D8914">
            <v>11</v>
          </cell>
          <cell r="H8914" t="str">
            <v>other</v>
          </cell>
        </row>
        <row r="8915">
          <cell r="C8915" t="str">
            <v>ST</v>
          </cell>
          <cell r="D8915">
            <v>15</v>
          </cell>
          <cell r="H8915" t="str">
            <v>other</v>
          </cell>
        </row>
        <row r="8916">
          <cell r="C8916" t="str">
            <v>ST</v>
          </cell>
          <cell r="D8916">
            <v>30</v>
          </cell>
          <cell r="H8916" t="str">
            <v>biomass</v>
          </cell>
        </row>
        <row r="8917">
          <cell r="C8917" t="str">
            <v>ST</v>
          </cell>
          <cell r="D8917">
            <v>50</v>
          </cell>
          <cell r="H8917" t="str">
            <v>biomass</v>
          </cell>
        </row>
        <row r="8918">
          <cell r="C8918" t="str">
            <v>ST</v>
          </cell>
          <cell r="D8918">
            <v>34.4</v>
          </cell>
          <cell r="H8918" t="str">
            <v>other</v>
          </cell>
        </row>
        <row r="8919">
          <cell r="C8919" t="str">
            <v>ST</v>
          </cell>
          <cell r="D8919">
            <v>33.6</v>
          </cell>
          <cell r="H8919" t="str">
            <v>other</v>
          </cell>
        </row>
        <row r="8920">
          <cell r="C8920" t="str">
            <v>GT</v>
          </cell>
          <cell r="D8920">
            <v>4.8</v>
          </cell>
          <cell r="H8920" t="str">
            <v>natural gas peaker</v>
          </cell>
        </row>
        <row r="8921">
          <cell r="C8921" t="str">
            <v>GT</v>
          </cell>
          <cell r="D8921">
            <v>4.8</v>
          </cell>
          <cell r="H8921" t="str">
            <v>natural gas peaker</v>
          </cell>
        </row>
        <row r="8922">
          <cell r="C8922" t="str">
            <v>IC</v>
          </cell>
          <cell r="D8922">
            <v>1.7</v>
          </cell>
          <cell r="H8922" t="str">
            <v>petroleum</v>
          </cell>
        </row>
        <row r="8923">
          <cell r="C8923" t="str">
            <v>IC</v>
          </cell>
          <cell r="D8923">
            <v>1</v>
          </cell>
          <cell r="H8923" t="str">
            <v>petroleum</v>
          </cell>
        </row>
        <row r="8924">
          <cell r="C8924" t="str">
            <v>ST</v>
          </cell>
          <cell r="D8924">
            <v>32</v>
          </cell>
          <cell r="H8924" t="str">
            <v>biomass</v>
          </cell>
        </row>
        <row r="8925">
          <cell r="C8925" t="str">
            <v>ST</v>
          </cell>
          <cell r="D8925">
            <v>23</v>
          </cell>
          <cell r="H8925" t="str">
            <v>biomass</v>
          </cell>
        </row>
        <row r="8926">
          <cell r="C8926" t="str">
            <v>ST</v>
          </cell>
          <cell r="D8926">
            <v>45</v>
          </cell>
          <cell r="H8926" t="str">
            <v>biomass</v>
          </cell>
        </row>
        <row r="8927">
          <cell r="C8927" t="str">
            <v>CT</v>
          </cell>
          <cell r="D8927">
            <v>38.700000000000003</v>
          </cell>
          <cell r="H8927" t="str">
            <v>natural gas nonpeaker</v>
          </cell>
        </row>
        <row r="8928">
          <cell r="C8928" t="str">
            <v>CT</v>
          </cell>
          <cell r="D8928">
            <v>38.700000000000003</v>
          </cell>
          <cell r="H8928" t="str">
            <v>natural gas nonpeaker</v>
          </cell>
        </row>
        <row r="8929">
          <cell r="C8929" t="str">
            <v>CT</v>
          </cell>
          <cell r="D8929">
            <v>39.200000000000003</v>
          </cell>
          <cell r="H8929" t="str">
            <v>natural gas nonpeaker</v>
          </cell>
        </row>
        <row r="8930">
          <cell r="C8930" t="str">
            <v>CA</v>
          </cell>
          <cell r="D8930">
            <v>9.1</v>
          </cell>
          <cell r="H8930" t="str">
            <v>natural gas nonpeaker</v>
          </cell>
        </row>
        <row r="8931">
          <cell r="C8931" t="str">
            <v>CT</v>
          </cell>
          <cell r="D8931">
            <v>40.700000000000003</v>
          </cell>
          <cell r="H8931" t="str">
            <v>natural gas nonpeaker</v>
          </cell>
        </row>
        <row r="8932">
          <cell r="C8932" t="str">
            <v>CA</v>
          </cell>
          <cell r="D8932">
            <v>5.2</v>
          </cell>
          <cell r="H8932" t="str">
            <v>natural gas nonpeaker</v>
          </cell>
        </row>
        <row r="8933">
          <cell r="C8933" t="str">
            <v>HY</v>
          </cell>
          <cell r="D8933">
            <v>3</v>
          </cell>
          <cell r="H8933" t="str">
            <v>hydro</v>
          </cell>
        </row>
        <row r="8934">
          <cell r="C8934" t="str">
            <v>HY</v>
          </cell>
          <cell r="D8934">
            <v>3</v>
          </cell>
          <cell r="H8934" t="str">
            <v>hydro</v>
          </cell>
        </row>
        <row r="8935">
          <cell r="C8935" t="str">
            <v>HY</v>
          </cell>
          <cell r="D8935">
            <v>0.3</v>
          </cell>
          <cell r="H8935" t="str">
            <v>hydro</v>
          </cell>
        </row>
        <row r="8936">
          <cell r="C8936" t="str">
            <v>IC</v>
          </cell>
          <cell r="D8936">
            <v>0.6</v>
          </cell>
          <cell r="H8936" t="str">
            <v>natural gas peaker</v>
          </cell>
        </row>
        <row r="8937">
          <cell r="C8937" t="str">
            <v>IC</v>
          </cell>
          <cell r="D8937">
            <v>0.6</v>
          </cell>
          <cell r="H8937" t="str">
            <v>natural gas peaker</v>
          </cell>
        </row>
        <row r="8938">
          <cell r="C8938" t="str">
            <v>IC</v>
          </cell>
          <cell r="D8938">
            <v>0.6</v>
          </cell>
          <cell r="H8938" t="str">
            <v>natural gas peaker</v>
          </cell>
        </row>
        <row r="8939">
          <cell r="C8939" t="str">
            <v>ST</v>
          </cell>
          <cell r="D8939">
            <v>43.5</v>
          </cell>
          <cell r="H8939" t="str">
            <v>biomass</v>
          </cell>
        </row>
        <row r="8940">
          <cell r="C8940" t="str">
            <v>HY</v>
          </cell>
          <cell r="D8940">
            <v>2.9</v>
          </cell>
          <cell r="H8940" t="str">
            <v>hydro</v>
          </cell>
        </row>
        <row r="8941">
          <cell r="C8941" t="str">
            <v>HY</v>
          </cell>
          <cell r="D8941">
            <v>1.1000000000000001</v>
          </cell>
          <cell r="H8941" t="str">
            <v>hydro</v>
          </cell>
        </row>
        <row r="8942">
          <cell r="C8942" t="str">
            <v>HY</v>
          </cell>
          <cell r="D8942">
            <v>1.1000000000000001</v>
          </cell>
          <cell r="H8942" t="str">
            <v>hydro</v>
          </cell>
        </row>
        <row r="8943">
          <cell r="C8943" t="str">
            <v>HY</v>
          </cell>
          <cell r="D8943">
            <v>3</v>
          </cell>
          <cell r="H8943" t="str">
            <v>hydro</v>
          </cell>
        </row>
        <row r="8944">
          <cell r="C8944" t="str">
            <v>HY</v>
          </cell>
          <cell r="D8944">
            <v>5.7</v>
          </cell>
          <cell r="H8944" t="str">
            <v>hydro</v>
          </cell>
        </row>
        <row r="8945">
          <cell r="C8945" t="str">
            <v>HY</v>
          </cell>
          <cell r="D8945">
            <v>5.7</v>
          </cell>
          <cell r="H8945" t="str">
            <v>hydro</v>
          </cell>
        </row>
        <row r="8946">
          <cell r="C8946" t="str">
            <v>HY</v>
          </cell>
          <cell r="D8946">
            <v>1.4</v>
          </cell>
          <cell r="H8946" t="str">
            <v>hydro</v>
          </cell>
        </row>
        <row r="8947">
          <cell r="C8947" t="str">
            <v>ST</v>
          </cell>
          <cell r="D8947">
            <v>5</v>
          </cell>
          <cell r="H8947" t="str">
            <v>natural gas peaker</v>
          </cell>
        </row>
        <row r="8948">
          <cell r="C8948" t="str">
            <v>ST</v>
          </cell>
          <cell r="D8948">
            <v>10.8</v>
          </cell>
          <cell r="H8948" t="str">
            <v>natural gas peaker</v>
          </cell>
        </row>
        <row r="8949">
          <cell r="C8949" t="str">
            <v>ST</v>
          </cell>
          <cell r="D8949">
            <v>5.0999999999999996</v>
          </cell>
          <cell r="H8949" t="str">
            <v>natural gas peaker</v>
          </cell>
        </row>
        <row r="8950">
          <cell r="C8950" t="str">
            <v>PV</v>
          </cell>
          <cell r="D8950">
            <v>0.4</v>
          </cell>
          <cell r="H8950" t="str">
            <v>solar PV</v>
          </cell>
        </row>
        <row r="8951">
          <cell r="C8951" t="str">
            <v>ST</v>
          </cell>
          <cell r="D8951">
            <v>26.1</v>
          </cell>
          <cell r="H8951" t="str">
            <v>biomass</v>
          </cell>
        </row>
        <row r="8952">
          <cell r="C8952" t="str">
            <v>ST</v>
          </cell>
          <cell r="D8952">
            <v>26.1</v>
          </cell>
          <cell r="H8952" t="str">
            <v>biomass</v>
          </cell>
        </row>
        <row r="8953">
          <cell r="C8953" t="str">
            <v>ST</v>
          </cell>
          <cell r="D8953">
            <v>15.3</v>
          </cell>
          <cell r="H8953" t="str">
            <v>hard coal</v>
          </cell>
        </row>
        <row r="8954">
          <cell r="C8954" t="str">
            <v>ST</v>
          </cell>
          <cell r="D8954">
            <v>7.5</v>
          </cell>
          <cell r="H8954" t="str">
            <v>natural gas peaker</v>
          </cell>
        </row>
        <row r="8955">
          <cell r="C8955" t="str">
            <v>ST</v>
          </cell>
          <cell r="D8955">
            <v>12.5</v>
          </cell>
          <cell r="H8955" t="str">
            <v>natural gas peaker</v>
          </cell>
        </row>
        <row r="8956">
          <cell r="C8956" t="str">
            <v>ST</v>
          </cell>
          <cell r="D8956">
            <v>20</v>
          </cell>
          <cell r="H8956" t="str">
            <v>hard coal</v>
          </cell>
        </row>
        <row r="8957">
          <cell r="C8957" t="str">
            <v>HY</v>
          </cell>
          <cell r="D8957">
            <v>1.7</v>
          </cell>
          <cell r="H8957" t="str">
            <v>hydro</v>
          </cell>
        </row>
        <row r="8958">
          <cell r="C8958" t="str">
            <v>HY</v>
          </cell>
          <cell r="D8958" t="str">
            <v xml:space="preserve"> </v>
          </cell>
          <cell r="H8958" t="str">
            <v>hydro</v>
          </cell>
        </row>
        <row r="8959">
          <cell r="C8959" t="str">
            <v>GT</v>
          </cell>
          <cell r="D8959">
            <v>32.5</v>
          </cell>
          <cell r="H8959" t="str">
            <v>natural gas peaker</v>
          </cell>
        </row>
        <row r="8960">
          <cell r="C8960" t="str">
            <v>ST</v>
          </cell>
          <cell r="D8960">
            <v>7.3</v>
          </cell>
          <cell r="H8960" t="str">
            <v>biomass</v>
          </cell>
        </row>
        <row r="8961">
          <cell r="C8961" t="str">
            <v>ST</v>
          </cell>
          <cell r="D8961">
            <v>14.9</v>
          </cell>
          <cell r="H8961" t="str">
            <v>biomass</v>
          </cell>
        </row>
        <row r="8962">
          <cell r="C8962" t="str">
            <v>ST</v>
          </cell>
          <cell r="D8962">
            <v>14.6</v>
          </cell>
          <cell r="H8962" t="str">
            <v>biomass</v>
          </cell>
        </row>
        <row r="8963">
          <cell r="C8963" t="str">
            <v>ST</v>
          </cell>
          <cell r="D8963">
            <v>8.9</v>
          </cell>
          <cell r="H8963" t="str">
            <v>natural gas peaker</v>
          </cell>
        </row>
        <row r="8964">
          <cell r="C8964" t="str">
            <v>ST</v>
          </cell>
          <cell r="D8964">
            <v>60.5</v>
          </cell>
          <cell r="H8964" t="str">
            <v>other</v>
          </cell>
        </row>
        <row r="8965">
          <cell r="C8965" t="str">
            <v>ST</v>
          </cell>
          <cell r="D8965">
            <v>51</v>
          </cell>
          <cell r="H8965" t="str">
            <v>other</v>
          </cell>
        </row>
        <row r="8966">
          <cell r="C8966" t="str">
            <v>ST</v>
          </cell>
          <cell r="D8966">
            <v>63.2</v>
          </cell>
          <cell r="H8966" t="str">
            <v>other</v>
          </cell>
        </row>
        <row r="8967">
          <cell r="C8967" t="str">
            <v>ST</v>
          </cell>
          <cell r="D8967">
            <v>10</v>
          </cell>
          <cell r="H8967" t="str">
            <v>municipal solid waste</v>
          </cell>
        </row>
        <row r="8968">
          <cell r="C8968" t="str">
            <v>ST</v>
          </cell>
          <cell r="D8968">
            <v>46.5</v>
          </cell>
          <cell r="H8968" t="str">
            <v>biomass</v>
          </cell>
        </row>
        <row r="8969">
          <cell r="C8969" t="str">
            <v>HY</v>
          </cell>
          <cell r="D8969">
            <v>5</v>
          </cell>
          <cell r="H8969" t="str">
            <v>hydro</v>
          </cell>
        </row>
        <row r="8970">
          <cell r="C8970" t="str">
            <v>HY</v>
          </cell>
          <cell r="D8970">
            <v>5</v>
          </cell>
          <cell r="H8970" t="str">
            <v>hydro</v>
          </cell>
        </row>
        <row r="8971">
          <cell r="C8971" t="str">
            <v>HY</v>
          </cell>
          <cell r="D8971">
            <v>4.4000000000000004</v>
          </cell>
          <cell r="H8971" t="str">
            <v>hydro</v>
          </cell>
        </row>
        <row r="8972">
          <cell r="C8972" t="str">
            <v>HY</v>
          </cell>
          <cell r="D8972">
            <v>5.0999999999999996</v>
          </cell>
          <cell r="H8972" t="str">
            <v>hydro</v>
          </cell>
        </row>
        <row r="8973">
          <cell r="C8973" t="str">
            <v>HY</v>
          </cell>
          <cell r="D8973">
            <v>1</v>
          </cell>
          <cell r="H8973" t="str">
            <v>hydro</v>
          </cell>
        </row>
        <row r="8974">
          <cell r="C8974" t="str">
            <v>HY</v>
          </cell>
          <cell r="D8974">
            <v>0.5</v>
          </cell>
          <cell r="H8974" t="str">
            <v>hydro</v>
          </cell>
        </row>
        <row r="8975">
          <cell r="C8975" t="str">
            <v>GT</v>
          </cell>
          <cell r="D8975">
            <v>3</v>
          </cell>
          <cell r="H8975" t="str">
            <v>natural gas peaker</v>
          </cell>
        </row>
        <row r="8976">
          <cell r="C8976" t="str">
            <v>GT</v>
          </cell>
          <cell r="D8976">
            <v>3</v>
          </cell>
          <cell r="H8976" t="str">
            <v>natural gas peaker</v>
          </cell>
        </row>
        <row r="8977">
          <cell r="C8977" t="str">
            <v>GT</v>
          </cell>
          <cell r="D8977">
            <v>3</v>
          </cell>
          <cell r="H8977" t="str">
            <v>natural gas peaker</v>
          </cell>
        </row>
        <row r="8978">
          <cell r="C8978" t="str">
            <v>GT</v>
          </cell>
          <cell r="D8978">
            <v>3</v>
          </cell>
          <cell r="H8978" t="str">
            <v>natural gas peaker</v>
          </cell>
        </row>
        <row r="8979">
          <cell r="C8979" t="str">
            <v>GT</v>
          </cell>
          <cell r="D8979">
            <v>3</v>
          </cell>
          <cell r="H8979" t="str">
            <v>natural gas peaker</v>
          </cell>
        </row>
        <row r="8980">
          <cell r="C8980" t="str">
            <v>GT</v>
          </cell>
          <cell r="D8980">
            <v>3</v>
          </cell>
          <cell r="H8980" t="str">
            <v>natural gas peaker</v>
          </cell>
        </row>
        <row r="8981">
          <cell r="C8981" t="str">
            <v>CT</v>
          </cell>
          <cell r="D8981">
            <v>9</v>
          </cell>
          <cell r="H8981" t="str">
            <v>natural gas nonpeaker</v>
          </cell>
        </row>
        <row r="8982">
          <cell r="C8982" t="str">
            <v>CA</v>
          </cell>
          <cell r="D8982">
            <v>2.1</v>
          </cell>
          <cell r="H8982" t="str">
            <v>natural gas nonpeaker</v>
          </cell>
        </row>
        <row r="8983">
          <cell r="C8983" t="str">
            <v>GT</v>
          </cell>
          <cell r="D8983">
            <v>3.7</v>
          </cell>
          <cell r="H8983" t="str">
            <v>natural gas peaker</v>
          </cell>
        </row>
        <row r="8984">
          <cell r="C8984" t="str">
            <v>GT</v>
          </cell>
          <cell r="D8984">
            <v>4.5999999999999996</v>
          </cell>
          <cell r="H8984" t="str">
            <v>natural gas peaker</v>
          </cell>
        </row>
        <row r="8985">
          <cell r="C8985" t="str">
            <v>HY</v>
          </cell>
          <cell r="D8985">
            <v>2.2999999999999998</v>
          </cell>
          <cell r="H8985" t="str">
            <v>hydro</v>
          </cell>
        </row>
        <row r="8986">
          <cell r="C8986" t="str">
            <v>HY</v>
          </cell>
          <cell r="D8986">
            <v>0.3</v>
          </cell>
          <cell r="H8986" t="str">
            <v>hydro</v>
          </cell>
        </row>
        <row r="8987">
          <cell r="C8987" t="str">
            <v>HY</v>
          </cell>
          <cell r="D8987">
            <v>1.3</v>
          </cell>
          <cell r="H8987" t="str">
            <v>hydro</v>
          </cell>
        </row>
        <row r="8988">
          <cell r="C8988" t="str">
            <v>HY</v>
          </cell>
          <cell r="D8988">
            <v>1</v>
          </cell>
          <cell r="H8988" t="str">
            <v>hydro</v>
          </cell>
        </row>
        <row r="8989">
          <cell r="C8989" t="str">
            <v>HY</v>
          </cell>
          <cell r="D8989">
            <v>0.3</v>
          </cell>
          <cell r="H8989" t="str">
            <v>hydro</v>
          </cell>
        </row>
        <row r="8990">
          <cell r="C8990" t="str">
            <v>HY</v>
          </cell>
          <cell r="D8990">
            <v>0.3</v>
          </cell>
          <cell r="H8990" t="str">
            <v>hydro</v>
          </cell>
        </row>
        <row r="8991">
          <cell r="C8991" t="str">
            <v>HY</v>
          </cell>
          <cell r="D8991">
            <v>0.3</v>
          </cell>
          <cell r="H8991" t="str">
            <v>hydro</v>
          </cell>
        </row>
        <row r="8992">
          <cell r="C8992" t="str">
            <v>HY</v>
          </cell>
          <cell r="D8992">
            <v>0.4</v>
          </cell>
          <cell r="H8992" t="str">
            <v>hydro</v>
          </cell>
        </row>
        <row r="8993">
          <cell r="C8993" t="str">
            <v>HY</v>
          </cell>
          <cell r="D8993">
            <v>0.4</v>
          </cell>
          <cell r="H8993" t="str">
            <v>hydro</v>
          </cell>
        </row>
        <row r="8994">
          <cell r="C8994" t="str">
            <v>HY</v>
          </cell>
          <cell r="D8994">
            <v>0.4</v>
          </cell>
          <cell r="H8994" t="str">
            <v>hydro</v>
          </cell>
        </row>
        <row r="8995">
          <cell r="C8995" t="str">
            <v>HY</v>
          </cell>
          <cell r="D8995">
            <v>1</v>
          </cell>
          <cell r="H8995" t="str">
            <v>hydro</v>
          </cell>
        </row>
        <row r="8996">
          <cell r="C8996" t="str">
            <v>HY</v>
          </cell>
          <cell r="D8996">
            <v>1.3</v>
          </cell>
          <cell r="H8996" t="str">
            <v>hydro</v>
          </cell>
        </row>
        <row r="8997">
          <cell r="C8997" t="str">
            <v>IC</v>
          </cell>
          <cell r="D8997">
            <v>1.1000000000000001</v>
          </cell>
          <cell r="H8997" t="str">
            <v>petroleum</v>
          </cell>
        </row>
        <row r="8998">
          <cell r="C8998" t="str">
            <v>IC</v>
          </cell>
          <cell r="D8998">
            <v>1</v>
          </cell>
          <cell r="H8998" t="str">
            <v>petroleum</v>
          </cell>
        </row>
        <row r="8999">
          <cell r="C8999" t="str">
            <v>IC</v>
          </cell>
          <cell r="D8999">
            <v>1</v>
          </cell>
          <cell r="H8999" t="str">
            <v>petroleum</v>
          </cell>
        </row>
        <row r="9000">
          <cell r="C9000" t="str">
            <v>IC</v>
          </cell>
          <cell r="D9000">
            <v>1</v>
          </cell>
          <cell r="H9000" t="str">
            <v>petroleum</v>
          </cell>
        </row>
        <row r="9001">
          <cell r="C9001" t="str">
            <v>HY</v>
          </cell>
          <cell r="D9001">
            <v>4.8</v>
          </cell>
          <cell r="H9001" t="str">
            <v>hydro</v>
          </cell>
        </row>
        <row r="9002">
          <cell r="C9002" t="str">
            <v>HY</v>
          </cell>
          <cell r="D9002">
            <v>2.1</v>
          </cell>
          <cell r="H9002" t="str">
            <v>hydro</v>
          </cell>
        </row>
        <row r="9003">
          <cell r="C9003" t="str">
            <v>HY</v>
          </cell>
          <cell r="D9003">
            <v>2.1</v>
          </cell>
          <cell r="H9003" t="str">
            <v>hydro</v>
          </cell>
        </row>
        <row r="9004">
          <cell r="C9004" t="str">
            <v>HY</v>
          </cell>
          <cell r="D9004">
            <v>0.5</v>
          </cell>
          <cell r="H9004" t="str">
            <v>hydro</v>
          </cell>
        </row>
        <row r="9005">
          <cell r="C9005" t="str">
            <v>HY</v>
          </cell>
          <cell r="D9005">
            <v>1.1000000000000001</v>
          </cell>
          <cell r="H9005" t="str">
            <v>hydro</v>
          </cell>
        </row>
        <row r="9006">
          <cell r="C9006" t="str">
            <v>ST</v>
          </cell>
          <cell r="D9006">
            <v>12.8</v>
          </cell>
          <cell r="H9006" t="str">
            <v>geothermal</v>
          </cell>
        </row>
        <row r="9007">
          <cell r="C9007" t="str">
            <v>BT</v>
          </cell>
          <cell r="D9007">
            <v>1.3</v>
          </cell>
          <cell r="H9007" t="str">
            <v>geothermal</v>
          </cell>
        </row>
        <row r="9008">
          <cell r="C9008" t="str">
            <v>ST</v>
          </cell>
          <cell r="D9008">
            <v>8.6999999999999993</v>
          </cell>
          <cell r="H9008" t="str">
            <v>biomass</v>
          </cell>
        </row>
        <row r="9009">
          <cell r="C9009" t="str">
            <v>ST</v>
          </cell>
          <cell r="D9009">
            <v>16</v>
          </cell>
          <cell r="H9009" t="str">
            <v>biomass</v>
          </cell>
        </row>
        <row r="9010">
          <cell r="C9010" t="str">
            <v>CT</v>
          </cell>
          <cell r="D9010">
            <v>73</v>
          </cell>
          <cell r="H9010" t="str">
            <v>natural gas nonpeaker</v>
          </cell>
        </row>
        <row r="9011">
          <cell r="C9011" t="str">
            <v>CA</v>
          </cell>
          <cell r="D9011">
            <v>38</v>
          </cell>
          <cell r="H9011" t="str">
            <v>natural gas nonpeaker</v>
          </cell>
        </row>
        <row r="9012">
          <cell r="C9012" t="str">
            <v>HY</v>
          </cell>
          <cell r="D9012">
            <v>4</v>
          </cell>
          <cell r="H9012" t="str">
            <v>hydro</v>
          </cell>
        </row>
        <row r="9013">
          <cell r="C9013" t="str">
            <v>HY</v>
          </cell>
          <cell r="D9013">
            <v>4</v>
          </cell>
          <cell r="H9013" t="str">
            <v>hydro</v>
          </cell>
        </row>
        <row r="9014">
          <cell r="C9014" t="str">
            <v>GT</v>
          </cell>
          <cell r="D9014">
            <v>75</v>
          </cell>
          <cell r="H9014" t="str">
            <v>natural gas peaker</v>
          </cell>
        </row>
        <row r="9015">
          <cell r="C9015" t="str">
            <v>GT</v>
          </cell>
          <cell r="D9015">
            <v>75</v>
          </cell>
          <cell r="H9015" t="str">
            <v>natural gas peaker</v>
          </cell>
        </row>
        <row r="9016">
          <cell r="C9016" t="str">
            <v>GT</v>
          </cell>
          <cell r="D9016">
            <v>75</v>
          </cell>
          <cell r="H9016" t="str">
            <v>natural gas peaker</v>
          </cell>
        </row>
        <row r="9017">
          <cell r="C9017" t="str">
            <v>GT</v>
          </cell>
          <cell r="D9017">
            <v>75</v>
          </cell>
          <cell r="H9017" t="str">
            <v>natural gas peaker</v>
          </cell>
        </row>
        <row r="9018">
          <cell r="C9018" t="str">
            <v>ST</v>
          </cell>
          <cell r="D9018">
            <v>47</v>
          </cell>
          <cell r="H9018" t="str">
            <v>biomass</v>
          </cell>
        </row>
        <row r="9019">
          <cell r="C9019" t="str">
            <v>ST</v>
          </cell>
          <cell r="D9019">
            <v>1.7</v>
          </cell>
          <cell r="H9019" t="str">
            <v>natural gas peaker</v>
          </cell>
        </row>
        <row r="9020">
          <cell r="C9020" t="str">
            <v>ST</v>
          </cell>
          <cell r="D9020">
            <v>1.5</v>
          </cell>
          <cell r="H9020" t="str">
            <v>natural gas peaker</v>
          </cell>
        </row>
        <row r="9021">
          <cell r="C9021" t="str">
            <v>ST</v>
          </cell>
          <cell r="D9021">
            <v>2.1</v>
          </cell>
          <cell r="H9021" t="str">
            <v>natural gas peaker</v>
          </cell>
        </row>
        <row r="9022">
          <cell r="C9022" t="str">
            <v>GT</v>
          </cell>
          <cell r="D9022">
            <v>1.5</v>
          </cell>
          <cell r="H9022" t="str">
            <v>natural gas peaker</v>
          </cell>
        </row>
        <row r="9023">
          <cell r="C9023" t="str">
            <v>ST</v>
          </cell>
          <cell r="D9023">
            <v>7.2</v>
          </cell>
          <cell r="H9023" t="str">
            <v>municipal solid waste</v>
          </cell>
        </row>
        <row r="9024">
          <cell r="C9024" t="str">
            <v>CT</v>
          </cell>
          <cell r="D9024">
            <v>102</v>
          </cell>
          <cell r="H9024" t="str">
            <v>natural gas nonpeaker</v>
          </cell>
        </row>
        <row r="9025">
          <cell r="C9025" t="str">
            <v>CT</v>
          </cell>
          <cell r="D9025">
            <v>102</v>
          </cell>
          <cell r="H9025" t="str">
            <v>natural gas nonpeaker</v>
          </cell>
        </row>
        <row r="9026">
          <cell r="C9026" t="str">
            <v>CA</v>
          </cell>
          <cell r="D9026">
            <v>60</v>
          </cell>
          <cell r="H9026" t="str">
            <v>natural gas nonpeaker</v>
          </cell>
        </row>
        <row r="9027">
          <cell r="C9027" t="str">
            <v>CT</v>
          </cell>
          <cell r="D9027">
            <v>112</v>
          </cell>
          <cell r="H9027" t="str">
            <v>natural gas nonpeaker</v>
          </cell>
        </row>
        <row r="9028">
          <cell r="C9028" t="str">
            <v>CT</v>
          </cell>
          <cell r="D9028">
            <v>112</v>
          </cell>
          <cell r="H9028" t="str">
            <v>natural gas nonpeaker</v>
          </cell>
        </row>
        <row r="9029">
          <cell r="C9029" t="str">
            <v>CA</v>
          </cell>
          <cell r="D9029">
            <v>68</v>
          </cell>
          <cell r="H9029" t="str">
            <v>natural gas nonpeaker</v>
          </cell>
        </row>
        <row r="9030">
          <cell r="C9030" t="str">
            <v>GT</v>
          </cell>
          <cell r="D9030">
            <v>33.700000000000003</v>
          </cell>
          <cell r="H9030" t="str">
            <v>natural gas peaker</v>
          </cell>
        </row>
        <row r="9031">
          <cell r="C9031" t="str">
            <v>GT</v>
          </cell>
          <cell r="D9031">
            <v>39.200000000000003</v>
          </cell>
          <cell r="H9031" t="str">
            <v>natural gas peaker</v>
          </cell>
        </row>
        <row r="9032">
          <cell r="C9032" t="str">
            <v>ST</v>
          </cell>
          <cell r="D9032">
            <v>7.2</v>
          </cell>
          <cell r="H9032" t="str">
            <v>natural gas peaker</v>
          </cell>
        </row>
        <row r="9033">
          <cell r="C9033" t="str">
            <v>HY</v>
          </cell>
          <cell r="D9033">
            <v>1</v>
          </cell>
          <cell r="H9033" t="str">
            <v>hydro</v>
          </cell>
        </row>
        <row r="9034">
          <cell r="C9034" t="str">
            <v>HY</v>
          </cell>
          <cell r="D9034">
            <v>0.3</v>
          </cell>
          <cell r="H9034" t="str">
            <v>hydro</v>
          </cell>
        </row>
        <row r="9035">
          <cell r="C9035" t="str">
            <v>HY</v>
          </cell>
          <cell r="D9035">
            <v>2</v>
          </cell>
          <cell r="H9035" t="str">
            <v>hydro</v>
          </cell>
        </row>
        <row r="9036">
          <cell r="C9036" t="str">
            <v>ST</v>
          </cell>
          <cell r="D9036">
            <v>12.5</v>
          </cell>
          <cell r="H9036" t="str">
            <v>natural gas peaker</v>
          </cell>
        </row>
        <row r="9037">
          <cell r="C9037" t="str">
            <v>ST</v>
          </cell>
          <cell r="D9037">
            <v>12.5</v>
          </cell>
          <cell r="H9037" t="str">
            <v>natural gas peaker</v>
          </cell>
        </row>
        <row r="9038">
          <cell r="C9038" t="str">
            <v>ST</v>
          </cell>
          <cell r="D9038">
            <v>15</v>
          </cell>
          <cell r="H9038" t="str">
            <v>natural gas peaker</v>
          </cell>
        </row>
        <row r="9039">
          <cell r="C9039" t="str">
            <v>ST</v>
          </cell>
          <cell r="D9039">
            <v>21</v>
          </cell>
          <cell r="H9039" t="str">
            <v>natural gas peaker</v>
          </cell>
        </row>
        <row r="9040">
          <cell r="C9040" t="str">
            <v>ST</v>
          </cell>
          <cell r="D9040">
            <v>23.8</v>
          </cell>
          <cell r="H9040" t="str">
            <v>natural gas peaker</v>
          </cell>
        </row>
        <row r="9041">
          <cell r="C9041" t="str">
            <v>GT</v>
          </cell>
          <cell r="D9041">
            <v>12.6</v>
          </cell>
          <cell r="H9041" t="str">
            <v>natural gas peaker</v>
          </cell>
        </row>
        <row r="9042">
          <cell r="C9042" t="str">
            <v>ST</v>
          </cell>
          <cell r="D9042">
            <v>58</v>
          </cell>
          <cell r="H9042" t="str">
            <v>municipal solid waste</v>
          </cell>
        </row>
        <row r="9043">
          <cell r="C9043" t="str">
            <v>ST</v>
          </cell>
          <cell r="D9043">
            <v>28</v>
          </cell>
          <cell r="H9043" t="str">
            <v>municipal solid waste</v>
          </cell>
        </row>
        <row r="9044">
          <cell r="C9044" t="str">
            <v>IC</v>
          </cell>
          <cell r="D9044">
            <v>2.1</v>
          </cell>
          <cell r="H9044" t="str">
            <v>natural gas peaker</v>
          </cell>
        </row>
        <row r="9045">
          <cell r="C9045" t="str">
            <v>IC</v>
          </cell>
          <cell r="D9045">
            <v>2.1</v>
          </cell>
          <cell r="H9045" t="str">
            <v>natural gas peaker</v>
          </cell>
        </row>
        <row r="9046">
          <cell r="C9046" t="str">
            <v>IC</v>
          </cell>
          <cell r="D9046">
            <v>1.1000000000000001</v>
          </cell>
          <cell r="H9046" t="str">
            <v>biomass</v>
          </cell>
        </row>
        <row r="9047">
          <cell r="C9047" t="str">
            <v>IC</v>
          </cell>
          <cell r="D9047">
            <v>1.1000000000000001</v>
          </cell>
          <cell r="H9047" t="str">
            <v>biomass</v>
          </cell>
        </row>
        <row r="9048">
          <cell r="C9048" t="str">
            <v>CT</v>
          </cell>
          <cell r="D9048">
            <v>35</v>
          </cell>
          <cell r="H9048" t="str">
            <v>natural gas nonpeaker</v>
          </cell>
        </row>
        <row r="9049">
          <cell r="C9049" t="str">
            <v>CT</v>
          </cell>
          <cell r="D9049">
            <v>35</v>
          </cell>
          <cell r="H9049" t="str">
            <v>natural gas nonpeaker</v>
          </cell>
        </row>
        <row r="9050">
          <cell r="C9050" t="str">
            <v>CA</v>
          </cell>
          <cell r="D9050">
            <v>33.5</v>
          </cell>
          <cell r="H9050" t="str">
            <v>natural gas nonpeaker</v>
          </cell>
        </row>
        <row r="9051">
          <cell r="C9051" t="str">
            <v>ST</v>
          </cell>
          <cell r="D9051">
            <v>43</v>
          </cell>
          <cell r="H9051" t="str">
            <v>hard coal</v>
          </cell>
        </row>
        <row r="9052">
          <cell r="C9052" t="str">
            <v>ST</v>
          </cell>
          <cell r="D9052">
            <v>17.7</v>
          </cell>
          <cell r="H9052" t="str">
            <v>biomass</v>
          </cell>
        </row>
        <row r="9053">
          <cell r="C9053" t="str">
            <v>GT</v>
          </cell>
          <cell r="D9053">
            <v>49.5</v>
          </cell>
          <cell r="H9053" t="str">
            <v>natural gas peaker</v>
          </cell>
        </row>
        <row r="9054">
          <cell r="C9054" t="str">
            <v>ST</v>
          </cell>
          <cell r="D9054">
            <v>36</v>
          </cell>
          <cell r="H9054" t="str">
            <v>biomass</v>
          </cell>
        </row>
        <row r="9055">
          <cell r="C9055" t="str">
            <v>ST</v>
          </cell>
          <cell r="D9055">
            <v>18</v>
          </cell>
          <cell r="H9055" t="str">
            <v>natural gas peaker</v>
          </cell>
        </row>
        <row r="9056">
          <cell r="C9056" t="str">
            <v>ST</v>
          </cell>
          <cell r="D9056">
            <v>23</v>
          </cell>
          <cell r="H9056" t="str">
            <v>natural gas peaker</v>
          </cell>
        </row>
        <row r="9057">
          <cell r="C9057" t="str">
            <v>ST</v>
          </cell>
          <cell r="D9057">
            <v>38</v>
          </cell>
          <cell r="H9057" t="str">
            <v>natural gas peaker</v>
          </cell>
        </row>
        <row r="9058">
          <cell r="C9058" t="str">
            <v>GT</v>
          </cell>
          <cell r="D9058">
            <v>21.4</v>
          </cell>
          <cell r="H9058" t="str">
            <v>natural gas peaker</v>
          </cell>
        </row>
        <row r="9059">
          <cell r="C9059" t="str">
            <v>GT</v>
          </cell>
          <cell r="D9059">
            <v>21.4</v>
          </cell>
          <cell r="H9059" t="str">
            <v>natural gas peaker</v>
          </cell>
        </row>
        <row r="9060">
          <cell r="C9060" t="str">
            <v>ST</v>
          </cell>
          <cell r="D9060">
            <v>41.9</v>
          </cell>
          <cell r="H9060" t="str">
            <v>petroleum</v>
          </cell>
        </row>
        <row r="9061">
          <cell r="C9061" t="str">
            <v>ST</v>
          </cell>
          <cell r="D9061">
            <v>41.9</v>
          </cell>
          <cell r="H9061" t="str">
            <v>petroleum</v>
          </cell>
        </row>
        <row r="9062">
          <cell r="C9062" t="str">
            <v>ST</v>
          </cell>
          <cell r="D9062">
            <v>11.6</v>
          </cell>
          <cell r="H9062" t="str">
            <v>natural gas peaker</v>
          </cell>
        </row>
        <row r="9063">
          <cell r="C9063" t="str">
            <v>ST</v>
          </cell>
          <cell r="D9063">
            <v>21.6</v>
          </cell>
          <cell r="H9063" t="str">
            <v>natural gas peaker</v>
          </cell>
        </row>
        <row r="9064">
          <cell r="C9064" t="str">
            <v>ST</v>
          </cell>
          <cell r="D9064">
            <v>34.299999999999997</v>
          </cell>
          <cell r="H9064" t="str">
            <v>natural gas peaker</v>
          </cell>
        </row>
        <row r="9065">
          <cell r="C9065" t="str">
            <v>ST</v>
          </cell>
          <cell r="D9065">
            <v>48</v>
          </cell>
          <cell r="H9065" t="str">
            <v>biomass</v>
          </cell>
        </row>
        <row r="9066">
          <cell r="C9066" t="str">
            <v>ST</v>
          </cell>
          <cell r="D9066">
            <v>48</v>
          </cell>
          <cell r="H9066" t="str">
            <v>biomass</v>
          </cell>
        </row>
        <row r="9067">
          <cell r="C9067" t="str">
            <v>ST</v>
          </cell>
          <cell r="D9067">
            <v>47</v>
          </cell>
          <cell r="H9067" t="str">
            <v>biomass</v>
          </cell>
        </row>
        <row r="9068">
          <cell r="C9068" t="str">
            <v>ST</v>
          </cell>
          <cell r="D9068">
            <v>34.700000000000003</v>
          </cell>
          <cell r="H9068" t="str">
            <v>biomass</v>
          </cell>
        </row>
        <row r="9069">
          <cell r="C9069" t="str">
            <v>GT</v>
          </cell>
          <cell r="D9069">
            <v>1.2</v>
          </cell>
          <cell r="H9069" t="str">
            <v>biomass</v>
          </cell>
        </row>
        <row r="9070">
          <cell r="C9070" t="str">
            <v>GT</v>
          </cell>
          <cell r="D9070">
            <v>1.2</v>
          </cell>
          <cell r="H9070" t="str">
            <v>biomass</v>
          </cell>
        </row>
        <row r="9071">
          <cell r="C9071" t="str">
            <v>GT</v>
          </cell>
          <cell r="D9071">
            <v>2.8</v>
          </cell>
          <cell r="H9071" t="str">
            <v>biomass</v>
          </cell>
        </row>
        <row r="9072">
          <cell r="C9072" t="str">
            <v>ST</v>
          </cell>
          <cell r="D9072">
            <v>3.1</v>
          </cell>
          <cell r="H9072" t="str">
            <v>other</v>
          </cell>
        </row>
        <row r="9073">
          <cell r="C9073" t="str">
            <v>ST</v>
          </cell>
          <cell r="D9073">
            <v>3.1</v>
          </cell>
          <cell r="H9073" t="str">
            <v>other</v>
          </cell>
        </row>
        <row r="9074">
          <cell r="C9074" t="str">
            <v>ST</v>
          </cell>
          <cell r="D9074">
            <v>16</v>
          </cell>
          <cell r="H9074" t="str">
            <v>other</v>
          </cell>
        </row>
        <row r="9075">
          <cell r="C9075" t="str">
            <v>ST</v>
          </cell>
          <cell r="D9075">
            <v>24</v>
          </cell>
          <cell r="H9075" t="str">
            <v>other</v>
          </cell>
        </row>
        <row r="9076">
          <cell r="C9076" t="str">
            <v>ST</v>
          </cell>
          <cell r="D9076">
            <v>28</v>
          </cell>
          <cell r="H9076" t="str">
            <v>other</v>
          </cell>
        </row>
        <row r="9077">
          <cell r="C9077" t="str">
            <v>ST</v>
          </cell>
          <cell r="D9077">
            <v>10</v>
          </cell>
          <cell r="H9077" t="str">
            <v>other</v>
          </cell>
        </row>
        <row r="9078">
          <cell r="C9078" t="str">
            <v>ST</v>
          </cell>
          <cell r="D9078">
            <v>8</v>
          </cell>
          <cell r="H9078" t="str">
            <v>other</v>
          </cell>
        </row>
        <row r="9079">
          <cell r="C9079" t="str">
            <v>ST</v>
          </cell>
          <cell r="D9079">
            <v>12</v>
          </cell>
          <cell r="H9079" t="str">
            <v>other</v>
          </cell>
        </row>
        <row r="9080">
          <cell r="C9080" t="str">
            <v>ST</v>
          </cell>
          <cell r="D9080">
            <v>8</v>
          </cell>
          <cell r="H9080" t="str">
            <v>other</v>
          </cell>
        </row>
        <row r="9081">
          <cell r="C9081" t="str">
            <v>ST</v>
          </cell>
          <cell r="D9081">
            <v>22</v>
          </cell>
          <cell r="H9081" t="str">
            <v>other</v>
          </cell>
        </row>
        <row r="9082">
          <cell r="C9082" t="str">
            <v>CT</v>
          </cell>
          <cell r="D9082">
            <v>22</v>
          </cell>
          <cell r="H9082" t="str">
            <v>natural gas nonpeaker</v>
          </cell>
        </row>
        <row r="9083">
          <cell r="C9083" t="str">
            <v>CA</v>
          </cell>
          <cell r="D9083">
            <v>11.8</v>
          </cell>
          <cell r="H9083" t="str">
            <v>natural gas nonpeaker</v>
          </cell>
        </row>
        <row r="9084">
          <cell r="C9084" t="str">
            <v>IC</v>
          </cell>
          <cell r="D9084">
            <v>2</v>
          </cell>
          <cell r="H9084" t="str">
            <v>natural gas peaker</v>
          </cell>
        </row>
        <row r="9085">
          <cell r="C9085" t="str">
            <v>HY</v>
          </cell>
          <cell r="D9085">
            <v>2</v>
          </cell>
          <cell r="H9085" t="str">
            <v>hydro</v>
          </cell>
        </row>
        <row r="9086">
          <cell r="C9086" t="str">
            <v>HY</v>
          </cell>
          <cell r="D9086">
            <v>1.7</v>
          </cell>
          <cell r="H9086" t="str">
            <v>hydro</v>
          </cell>
        </row>
        <row r="9087">
          <cell r="C9087" t="str">
            <v>HY</v>
          </cell>
          <cell r="D9087">
            <v>1.7</v>
          </cell>
          <cell r="H9087" t="str">
            <v>hydro</v>
          </cell>
        </row>
        <row r="9088">
          <cell r="C9088" t="str">
            <v>ST</v>
          </cell>
          <cell r="D9088">
            <v>5</v>
          </cell>
          <cell r="H9088" t="str">
            <v>natural gas peaker</v>
          </cell>
        </row>
        <row r="9089">
          <cell r="C9089" t="str">
            <v>ST</v>
          </cell>
          <cell r="D9089">
            <v>5</v>
          </cell>
          <cell r="H9089" t="str">
            <v>natural gas peaker</v>
          </cell>
        </row>
        <row r="9090">
          <cell r="C9090" t="str">
            <v>ST</v>
          </cell>
          <cell r="D9090">
            <v>6</v>
          </cell>
          <cell r="H9090" t="str">
            <v>natural gas peaker</v>
          </cell>
        </row>
        <row r="9091">
          <cell r="C9091" t="str">
            <v>GT</v>
          </cell>
          <cell r="D9091">
            <v>82</v>
          </cell>
          <cell r="H9091" t="str">
            <v>natural gas peaker</v>
          </cell>
        </row>
        <row r="9092">
          <cell r="C9092" t="str">
            <v>ST</v>
          </cell>
          <cell r="D9092">
            <v>3</v>
          </cell>
          <cell r="H9092" t="str">
            <v>natural gas peaker</v>
          </cell>
        </row>
        <row r="9093">
          <cell r="C9093" t="str">
            <v>ST</v>
          </cell>
          <cell r="D9093">
            <v>5.2</v>
          </cell>
          <cell r="H9093" t="str">
            <v>other</v>
          </cell>
        </row>
        <row r="9094">
          <cell r="C9094" t="str">
            <v>ST</v>
          </cell>
          <cell r="D9094">
            <v>42.5</v>
          </cell>
          <cell r="H9094" t="str">
            <v>other</v>
          </cell>
        </row>
        <row r="9095">
          <cell r="C9095" t="str">
            <v>HY</v>
          </cell>
          <cell r="D9095">
            <v>1.8</v>
          </cell>
          <cell r="H9095" t="str">
            <v>hydro</v>
          </cell>
        </row>
        <row r="9096">
          <cell r="C9096" t="str">
            <v>HY</v>
          </cell>
          <cell r="D9096">
            <v>3</v>
          </cell>
          <cell r="H9096" t="str">
            <v>hydro</v>
          </cell>
        </row>
        <row r="9097">
          <cell r="C9097" t="str">
            <v>HY</v>
          </cell>
          <cell r="D9097">
            <v>0.5</v>
          </cell>
          <cell r="H9097" t="str">
            <v>hydro</v>
          </cell>
        </row>
        <row r="9098">
          <cell r="C9098" t="str">
            <v>HY</v>
          </cell>
          <cell r="D9098">
            <v>5.5</v>
          </cell>
          <cell r="H9098" t="str">
            <v>hydro</v>
          </cell>
        </row>
        <row r="9099">
          <cell r="C9099" t="str">
            <v>HY</v>
          </cell>
          <cell r="D9099">
            <v>7.8</v>
          </cell>
          <cell r="H9099" t="str">
            <v>hydro</v>
          </cell>
        </row>
        <row r="9100">
          <cell r="C9100" t="str">
            <v>ST</v>
          </cell>
          <cell r="D9100">
            <v>36.1</v>
          </cell>
          <cell r="H9100" t="str">
            <v>biomass</v>
          </cell>
        </row>
        <row r="9101">
          <cell r="C9101" t="str">
            <v>ST</v>
          </cell>
          <cell r="D9101">
            <v>5</v>
          </cell>
          <cell r="H9101" t="str">
            <v>biomass</v>
          </cell>
        </row>
        <row r="9102">
          <cell r="C9102" t="str">
            <v>ST</v>
          </cell>
          <cell r="D9102">
            <v>5</v>
          </cell>
          <cell r="H9102" t="str">
            <v>biomass</v>
          </cell>
        </row>
        <row r="9103">
          <cell r="C9103" t="str">
            <v>ST</v>
          </cell>
          <cell r="D9103">
            <v>20</v>
          </cell>
          <cell r="H9103" t="str">
            <v>biomass</v>
          </cell>
        </row>
        <row r="9104">
          <cell r="C9104" t="str">
            <v>ST</v>
          </cell>
          <cell r="D9104">
            <v>31</v>
          </cell>
          <cell r="H9104" t="str">
            <v>biomass</v>
          </cell>
        </row>
        <row r="9105">
          <cell r="C9105" t="str">
            <v>GT</v>
          </cell>
          <cell r="D9105">
            <v>14.7</v>
          </cell>
          <cell r="H9105" t="str">
            <v>natural gas peaker</v>
          </cell>
        </row>
        <row r="9106">
          <cell r="C9106" t="str">
            <v>GT</v>
          </cell>
          <cell r="D9106">
            <v>14.7</v>
          </cell>
          <cell r="H9106" t="str">
            <v>natural gas peaker</v>
          </cell>
        </row>
        <row r="9107">
          <cell r="C9107" t="str">
            <v>ST</v>
          </cell>
          <cell r="D9107">
            <v>11</v>
          </cell>
          <cell r="H9107" t="str">
            <v>natural gas peaker</v>
          </cell>
        </row>
        <row r="9108">
          <cell r="C9108" t="str">
            <v>ST</v>
          </cell>
          <cell r="D9108">
            <v>11</v>
          </cell>
          <cell r="H9108" t="str">
            <v>natural gas peaker</v>
          </cell>
        </row>
        <row r="9109">
          <cell r="C9109" t="str">
            <v>ST</v>
          </cell>
          <cell r="D9109">
            <v>4.0999999999999996</v>
          </cell>
          <cell r="H9109" t="str">
            <v>natural gas peaker</v>
          </cell>
        </row>
        <row r="9110">
          <cell r="C9110" t="str">
            <v>GT</v>
          </cell>
          <cell r="D9110">
            <v>8.6999999999999993</v>
          </cell>
          <cell r="H9110" t="str">
            <v>natural gas peaker</v>
          </cell>
        </row>
        <row r="9111">
          <cell r="C9111" t="str">
            <v>ST</v>
          </cell>
          <cell r="D9111">
            <v>8</v>
          </cell>
          <cell r="H9111" t="str">
            <v>other</v>
          </cell>
        </row>
        <row r="9112">
          <cell r="C9112" t="str">
            <v>ST</v>
          </cell>
          <cell r="D9112">
            <v>48</v>
          </cell>
          <cell r="H9112" t="str">
            <v>other</v>
          </cell>
        </row>
        <row r="9113">
          <cell r="C9113" t="str">
            <v>ST</v>
          </cell>
          <cell r="D9113">
            <v>32</v>
          </cell>
          <cell r="H9113" t="str">
            <v>other</v>
          </cell>
        </row>
        <row r="9114">
          <cell r="C9114" t="str">
            <v>ST</v>
          </cell>
          <cell r="D9114">
            <v>24</v>
          </cell>
          <cell r="H9114" t="str">
            <v>other</v>
          </cell>
        </row>
        <row r="9115">
          <cell r="C9115" t="str">
            <v>ST</v>
          </cell>
          <cell r="D9115">
            <v>16.5</v>
          </cell>
          <cell r="H9115" t="str">
            <v>municipal solid waste</v>
          </cell>
        </row>
        <row r="9116">
          <cell r="C9116" t="str">
            <v>ST</v>
          </cell>
          <cell r="D9116">
            <v>16.5</v>
          </cell>
          <cell r="H9116" t="str">
            <v>municipal solid waste</v>
          </cell>
        </row>
        <row r="9117">
          <cell r="C9117" t="str">
            <v>GT</v>
          </cell>
          <cell r="D9117">
            <v>28</v>
          </cell>
          <cell r="H9117" t="str">
            <v>natural gas peaker</v>
          </cell>
        </row>
        <row r="9118">
          <cell r="C9118" t="str">
            <v>GT</v>
          </cell>
          <cell r="D9118">
            <v>18</v>
          </cell>
          <cell r="H9118" t="str">
            <v>natural gas peaker</v>
          </cell>
        </row>
        <row r="9119">
          <cell r="C9119" t="str">
            <v>GT</v>
          </cell>
          <cell r="D9119">
            <v>18</v>
          </cell>
          <cell r="H9119" t="str">
            <v>natural gas peaker</v>
          </cell>
        </row>
        <row r="9120">
          <cell r="C9120" t="str">
            <v>GT</v>
          </cell>
          <cell r="D9120">
            <v>18</v>
          </cell>
          <cell r="H9120" t="str">
            <v>natural gas peaker</v>
          </cell>
        </row>
        <row r="9121">
          <cell r="C9121" t="str">
            <v>GT</v>
          </cell>
          <cell r="D9121">
            <v>18</v>
          </cell>
          <cell r="H9121" t="str">
            <v>natural gas peaker</v>
          </cell>
        </row>
        <row r="9122">
          <cell r="C9122" t="str">
            <v>GT</v>
          </cell>
          <cell r="D9122">
            <v>28</v>
          </cell>
          <cell r="H9122" t="str">
            <v>natural gas peaker</v>
          </cell>
        </row>
        <row r="9123">
          <cell r="C9123" t="str">
            <v>ST</v>
          </cell>
          <cell r="D9123">
            <v>7.5</v>
          </cell>
          <cell r="H9123" t="str">
            <v>other</v>
          </cell>
        </row>
        <row r="9124">
          <cell r="C9124" t="str">
            <v>PV</v>
          </cell>
          <cell r="D9124">
            <v>20</v>
          </cell>
          <cell r="H9124" t="str">
            <v>solar PV</v>
          </cell>
        </row>
        <row r="9125">
          <cell r="C9125" t="str">
            <v>PV</v>
          </cell>
          <cell r="D9125">
            <v>13.8</v>
          </cell>
          <cell r="H9125" t="str">
            <v>solar PV</v>
          </cell>
        </row>
        <row r="9126">
          <cell r="C9126" t="str">
            <v>ST</v>
          </cell>
          <cell r="D9126">
            <v>36</v>
          </cell>
          <cell r="H9126" t="str">
            <v>solar thermal</v>
          </cell>
        </row>
        <row r="9127">
          <cell r="C9127" t="str">
            <v>ST</v>
          </cell>
          <cell r="D9127">
            <v>36</v>
          </cell>
          <cell r="H9127" t="str">
            <v>solar thermal</v>
          </cell>
        </row>
        <row r="9128">
          <cell r="C9128" t="str">
            <v>ST</v>
          </cell>
          <cell r="D9128">
            <v>36</v>
          </cell>
          <cell r="H9128" t="str">
            <v>solar thermal</v>
          </cell>
        </row>
        <row r="9129">
          <cell r="C9129" t="str">
            <v>ST</v>
          </cell>
          <cell r="D9129">
            <v>36</v>
          </cell>
          <cell r="H9129" t="str">
            <v>solar thermal</v>
          </cell>
        </row>
        <row r="9130">
          <cell r="C9130" t="str">
            <v>ST</v>
          </cell>
          <cell r="D9130">
            <v>36</v>
          </cell>
          <cell r="H9130" t="str">
            <v>solar thermal</v>
          </cell>
        </row>
        <row r="9131">
          <cell r="C9131" t="str">
            <v>ST</v>
          </cell>
          <cell r="D9131">
            <v>88</v>
          </cell>
          <cell r="H9131" t="str">
            <v>solar thermal</v>
          </cell>
        </row>
        <row r="9132">
          <cell r="C9132" t="str">
            <v>ST</v>
          </cell>
          <cell r="D9132">
            <v>88</v>
          </cell>
          <cell r="H9132" t="str">
            <v>solar thermal</v>
          </cell>
        </row>
        <row r="9133">
          <cell r="C9133" t="str">
            <v>HY</v>
          </cell>
          <cell r="D9133">
            <v>0.2</v>
          </cell>
          <cell r="H9133" t="str">
            <v>hydro</v>
          </cell>
        </row>
        <row r="9134">
          <cell r="C9134" t="str">
            <v>HY</v>
          </cell>
          <cell r="D9134">
            <v>1.5</v>
          </cell>
          <cell r="H9134" t="str">
            <v>hydro</v>
          </cell>
        </row>
        <row r="9135">
          <cell r="C9135" t="str">
            <v>HY</v>
          </cell>
          <cell r="D9135">
            <v>1.5</v>
          </cell>
          <cell r="H9135" t="str">
            <v>hydro</v>
          </cell>
        </row>
        <row r="9136">
          <cell r="C9136" t="str">
            <v>HY</v>
          </cell>
          <cell r="D9136">
            <v>29.9</v>
          </cell>
          <cell r="H9136" t="str">
            <v>hydro</v>
          </cell>
        </row>
        <row r="9137">
          <cell r="C9137" t="str">
            <v>ST</v>
          </cell>
          <cell r="D9137">
            <v>55</v>
          </cell>
          <cell r="H9137" t="str">
            <v>biomass</v>
          </cell>
        </row>
        <row r="9138">
          <cell r="C9138" t="str">
            <v>ST</v>
          </cell>
          <cell r="D9138">
            <v>7.5</v>
          </cell>
          <cell r="H9138" t="str">
            <v>other</v>
          </cell>
        </row>
        <row r="9139">
          <cell r="C9139" t="str">
            <v>ST</v>
          </cell>
          <cell r="D9139">
            <v>8.6</v>
          </cell>
          <cell r="H9139" t="str">
            <v>other</v>
          </cell>
        </row>
        <row r="9140">
          <cell r="C9140" t="str">
            <v>ST</v>
          </cell>
          <cell r="D9140">
            <v>5</v>
          </cell>
          <cell r="H9140" t="str">
            <v>other</v>
          </cell>
        </row>
        <row r="9141">
          <cell r="C9141" t="str">
            <v>HY</v>
          </cell>
          <cell r="D9141">
            <v>3.3</v>
          </cell>
          <cell r="H9141" t="str">
            <v>hydro</v>
          </cell>
        </row>
        <row r="9142">
          <cell r="C9142" t="str">
            <v>ST</v>
          </cell>
          <cell r="D9142">
            <v>45</v>
          </cell>
          <cell r="H9142" t="str">
            <v>biomass</v>
          </cell>
        </row>
        <row r="9143">
          <cell r="C9143" t="str">
            <v>OT</v>
          </cell>
          <cell r="D9143">
            <v>18.8</v>
          </cell>
          <cell r="H9143" t="str">
            <v>other</v>
          </cell>
        </row>
        <row r="9144">
          <cell r="C9144" t="str">
            <v>ST</v>
          </cell>
          <cell r="D9144">
            <v>27.2</v>
          </cell>
          <cell r="H9144" t="str">
            <v>biomass</v>
          </cell>
        </row>
        <row r="9145">
          <cell r="C9145" t="str">
            <v>ST</v>
          </cell>
          <cell r="D9145">
            <v>37.5</v>
          </cell>
          <cell r="H9145" t="str">
            <v>biomass</v>
          </cell>
        </row>
        <row r="9146">
          <cell r="C9146" t="str">
            <v>BT</v>
          </cell>
          <cell r="D9146">
            <v>3.3</v>
          </cell>
          <cell r="H9146" t="str">
            <v>geothermal</v>
          </cell>
        </row>
        <row r="9147">
          <cell r="C9147" t="str">
            <v>BT</v>
          </cell>
          <cell r="D9147">
            <v>3.3</v>
          </cell>
          <cell r="H9147" t="str">
            <v>geothermal</v>
          </cell>
        </row>
        <row r="9148">
          <cell r="C9148" t="str">
            <v>BT</v>
          </cell>
          <cell r="D9148">
            <v>3.3</v>
          </cell>
          <cell r="H9148" t="str">
            <v>geothermal</v>
          </cell>
        </row>
        <row r="9149">
          <cell r="C9149" t="str">
            <v>BT</v>
          </cell>
          <cell r="D9149">
            <v>3.3</v>
          </cell>
          <cell r="H9149" t="str">
            <v>geothermal</v>
          </cell>
        </row>
        <row r="9150">
          <cell r="C9150" t="str">
            <v>BT</v>
          </cell>
          <cell r="D9150">
            <v>3.3</v>
          </cell>
          <cell r="H9150" t="str">
            <v>geothermal</v>
          </cell>
        </row>
        <row r="9151">
          <cell r="C9151" t="str">
            <v>BT</v>
          </cell>
          <cell r="D9151">
            <v>3.3</v>
          </cell>
          <cell r="H9151" t="str">
            <v>geothermal</v>
          </cell>
        </row>
        <row r="9152">
          <cell r="C9152" t="str">
            <v>BT</v>
          </cell>
          <cell r="D9152">
            <v>3.3</v>
          </cell>
          <cell r="H9152" t="str">
            <v>geothermal</v>
          </cell>
        </row>
        <row r="9153">
          <cell r="C9153" t="str">
            <v>BT</v>
          </cell>
          <cell r="D9153">
            <v>3.3</v>
          </cell>
          <cell r="H9153" t="str">
            <v>geothermal</v>
          </cell>
        </row>
        <row r="9154">
          <cell r="C9154" t="str">
            <v>ST</v>
          </cell>
          <cell r="D9154">
            <v>40</v>
          </cell>
          <cell r="H9154" t="str">
            <v>biomass</v>
          </cell>
        </row>
        <row r="9155">
          <cell r="C9155" t="str">
            <v>HY</v>
          </cell>
          <cell r="D9155">
            <v>2.2000000000000002</v>
          </cell>
          <cell r="H9155" t="str">
            <v>hydro</v>
          </cell>
        </row>
        <row r="9156">
          <cell r="C9156" t="str">
            <v>HY</v>
          </cell>
          <cell r="D9156">
            <v>2.2000000000000002</v>
          </cell>
          <cell r="H9156" t="str">
            <v>hydro</v>
          </cell>
        </row>
        <row r="9157">
          <cell r="C9157" t="str">
            <v>HY</v>
          </cell>
          <cell r="D9157">
            <v>2.2000000000000002</v>
          </cell>
          <cell r="H9157" t="str">
            <v>hydro</v>
          </cell>
        </row>
        <row r="9158">
          <cell r="C9158" t="str">
            <v>HY</v>
          </cell>
          <cell r="D9158">
            <v>2.2000000000000002</v>
          </cell>
          <cell r="H9158" t="str">
            <v>hydro</v>
          </cell>
        </row>
        <row r="9159">
          <cell r="C9159" t="str">
            <v>HY</v>
          </cell>
          <cell r="D9159">
            <v>2.2000000000000002</v>
          </cell>
          <cell r="H9159" t="str">
            <v>hydro</v>
          </cell>
        </row>
        <row r="9160">
          <cell r="C9160" t="str">
            <v>HY</v>
          </cell>
          <cell r="D9160">
            <v>1.6</v>
          </cell>
          <cell r="H9160" t="str">
            <v>hydro</v>
          </cell>
        </row>
        <row r="9161">
          <cell r="C9161" t="str">
            <v>HY</v>
          </cell>
          <cell r="D9161">
            <v>1.6</v>
          </cell>
          <cell r="H9161" t="str">
            <v>hydro</v>
          </cell>
        </row>
        <row r="9162">
          <cell r="C9162" t="str">
            <v>ST</v>
          </cell>
          <cell r="D9162">
            <v>61.5</v>
          </cell>
          <cell r="H9162" t="str">
            <v>biomass</v>
          </cell>
        </row>
        <row r="9163">
          <cell r="C9163" t="str">
            <v>HY</v>
          </cell>
          <cell r="D9163">
            <v>1.5</v>
          </cell>
          <cell r="H9163" t="str">
            <v>hydro</v>
          </cell>
        </row>
        <row r="9164">
          <cell r="C9164" t="str">
            <v>ST</v>
          </cell>
          <cell r="D9164">
            <v>12.5</v>
          </cell>
          <cell r="H9164" t="str">
            <v>natural gas peaker</v>
          </cell>
        </row>
        <row r="9165">
          <cell r="C9165" t="str">
            <v>HY</v>
          </cell>
          <cell r="D9165">
            <v>8.1</v>
          </cell>
          <cell r="H9165" t="str">
            <v>hydro</v>
          </cell>
        </row>
        <row r="9166">
          <cell r="C9166" t="str">
            <v>HY</v>
          </cell>
          <cell r="D9166">
            <v>8.1</v>
          </cell>
          <cell r="H9166" t="str">
            <v>hydro</v>
          </cell>
        </row>
        <row r="9167">
          <cell r="C9167" t="str">
            <v>HY</v>
          </cell>
          <cell r="D9167">
            <v>8.8000000000000007</v>
          </cell>
          <cell r="H9167" t="str">
            <v>hydro</v>
          </cell>
        </row>
        <row r="9168">
          <cell r="C9168" t="str">
            <v>HY</v>
          </cell>
          <cell r="D9168">
            <v>4.3</v>
          </cell>
          <cell r="H9168" t="str">
            <v>hydro</v>
          </cell>
        </row>
        <row r="9169">
          <cell r="C9169" t="str">
            <v>HY</v>
          </cell>
          <cell r="D9169">
            <v>7.6</v>
          </cell>
          <cell r="H9169" t="str">
            <v>hydro</v>
          </cell>
        </row>
        <row r="9170">
          <cell r="C9170" t="str">
            <v>HY</v>
          </cell>
          <cell r="D9170">
            <v>7.6</v>
          </cell>
          <cell r="H9170" t="str">
            <v>hydro</v>
          </cell>
        </row>
        <row r="9171">
          <cell r="C9171" t="str">
            <v>HY</v>
          </cell>
          <cell r="D9171">
            <v>1.7</v>
          </cell>
          <cell r="H9171" t="str">
            <v>hydro</v>
          </cell>
        </row>
        <row r="9172">
          <cell r="C9172" t="str">
            <v>HY</v>
          </cell>
          <cell r="D9172">
            <v>1.7</v>
          </cell>
          <cell r="H9172" t="str">
            <v>hydro</v>
          </cell>
        </row>
        <row r="9173">
          <cell r="C9173" t="str">
            <v>HY</v>
          </cell>
          <cell r="D9173">
            <v>0.2</v>
          </cell>
          <cell r="H9173" t="str">
            <v>hydro</v>
          </cell>
        </row>
        <row r="9174">
          <cell r="C9174" t="str">
            <v>HY</v>
          </cell>
          <cell r="D9174">
            <v>9.6999999999999993</v>
          </cell>
          <cell r="H9174" t="str">
            <v>hydro</v>
          </cell>
        </row>
        <row r="9175">
          <cell r="C9175" t="str">
            <v>HY</v>
          </cell>
          <cell r="D9175">
            <v>9.6999999999999993</v>
          </cell>
          <cell r="H9175" t="str">
            <v>hydro</v>
          </cell>
        </row>
        <row r="9176">
          <cell r="C9176" t="str">
            <v>HY</v>
          </cell>
          <cell r="D9176">
            <v>1</v>
          </cell>
          <cell r="H9176" t="str">
            <v>hydro</v>
          </cell>
        </row>
        <row r="9177">
          <cell r="C9177" t="str">
            <v>ST</v>
          </cell>
          <cell r="D9177">
            <v>85</v>
          </cell>
          <cell r="H9177" t="str">
            <v>biomass</v>
          </cell>
        </row>
        <row r="9178">
          <cell r="C9178" t="str">
            <v>GT</v>
          </cell>
          <cell r="D9178">
            <v>72</v>
          </cell>
          <cell r="H9178" t="str">
            <v>natural gas peaker</v>
          </cell>
        </row>
        <row r="9179">
          <cell r="C9179" t="str">
            <v>GT</v>
          </cell>
          <cell r="D9179">
            <v>72</v>
          </cell>
          <cell r="H9179" t="str">
            <v>natural gas peaker</v>
          </cell>
        </row>
        <row r="9180">
          <cell r="C9180" t="str">
            <v>GT</v>
          </cell>
          <cell r="D9180">
            <v>72</v>
          </cell>
          <cell r="H9180" t="str">
            <v>natural gas peaker</v>
          </cell>
        </row>
        <row r="9181">
          <cell r="C9181" t="str">
            <v>GT</v>
          </cell>
          <cell r="D9181">
            <v>72</v>
          </cell>
          <cell r="H9181" t="str">
            <v>natural gas peaker</v>
          </cell>
        </row>
        <row r="9182">
          <cell r="C9182" t="str">
            <v>GT</v>
          </cell>
          <cell r="D9182">
            <v>36</v>
          </cell>
          <cell r="H9182" t="str">
            <v>natural gas peaker</v>
          </cell>
        </row>
        <row r="9183">
          <cell r="C9183" t="str">
            <v>ST</v>
          </cell>
          <cell r="D9183">
            <v>11.5</v>
          </cell>
          <cell r="H9183" t="str">
            <v>municipal solid waste</v>
          </cell>
        </row>
        <row r="9184">
          <cell r="C9184" t="str">
            <v>ST</v>
          </cell>
          <cell r="D9184">
            <v>1.2</v>
          </cell>
          <cell r="H9184" t="str">
            <v>hard coal</v>
          </cell>
        </row>
        <row r="9185">
          <cell r="C9185" t="str">
            <v>ST</v>
          </cell>
          <cell r="D9185">
            <v>2.2999999999999998</v>
          </cell>
          <cell r="H9185" t="str">
            <v>hard coal</v>
          </cell>
        </row>
        <row r="9186">
          <cell r="C9186" t="str">
            <v>ST</v>
          </cell>
          <cell r="D9186">
            <v>5</v>
          </cell>
          <cell r="H9186" t="str">
            <v>hard coal</v>
          </cell>
        </row>
        <row r="9187">
          <cell r="C9187" t="str">
            <v>ST</v>
          </cell>
          <cell r="D9187">
            <v>23</v>
          </cell>
          <cell r="H9187" t="str">
            <v>biomass</v>
          </cell>
        </row>
        <row r="9188">
          <cell r="C9188" t="str">
            <v>HY</v>
          </cell>
          <cell r="D9188">
            <v>0.1</v>
          </cell>
          <cell r="H9188" t="str">
            <v>hydro</v>
          </cell>
        </row>
        <row r="9189">
          <cell r="C9189" t="str">
            <v>HY</v>
          </cell>
          <cell r="D9189">
            <v>0.2</v>
          </cell>
          <cell r="H9189" t="str">
            <v>hydro</v>
          </cell>
        </row>
        <row r="9190">
          <cell r="C9190" t="str">
            <v>HY</v>
          </cell>
          <cell r="D9190">
            <v>0.1</v>
          </cell>
          <cell r="H9190" t="str">
            <v>hydro</v>
          </cell>
        </row>
        <row r="9191">
          <cell r="C9191" t="str">
            <v>HY</v>
          </cell>
          <cell r="D9191">
            <v>0.3</v>
          </cell>
          <cell r="H9191" t="str">
            <v>hydro</v>
          </cell>
        </row>
        <row r="9192">
          <cell r="C9192" t="str">
            <v>HY</v>
          </cell>
          <cell r="D9192">
            <v>1.6</v>
          </cell>
          <cell r="H9192" t="str">
            <v>hydro</v>
          </cell>
        </row>
        <row r="9193">
          <cell r="C9193" t="str">
            <v>HY</v>
          </cell>
          <cell r="D9193">
            <v>1</v>
          </cell>
          <cell r="H9193" t="str">
            <v>hydro</v>
          </cell>
        </row>
        <row r="9194">
          <cell r="C9194" t="str">
            <v>HY</v>
          </cell>
          <cell r="D9194">
            <v>1</v>
          </cell>
          <cell r="H9194" t="str">
            <v>hydro</v>
          </cell>
        </row>
        <row r="9195">
          <cell r="C9195" t="str">
            <v>CA</v>
          </cell>
          <cell r="D9195">
            <v>1.5</v>
          </cell>
          <cell r="H9195" t="str">
            <v>natural gas nonpeaker</v>
          </cell>
        </row>
        <row r="9196">
          <cell r="C9196" t="str">
            <v>CT</v>
          </cell>
          <cell r="D9196">
            <v>8.3000000000000007</v>
          </cell>
          <cell r="H9196" t="str">
            <v>natural gas nonpeaker</v>
          </cell>
        </row>
        <row r="9197">
          <cell r="C9197" t="str">
            <v>CT</v>
          </cell>
          <cell r="D9197">
            <v>8.3000000000000007</v>
          </cell>
          <cell r="H9197" t="str">
            <v>natural gas nonpeaker</v>
          </cell>
        </row>
        <row r="9198">
          <cell r="C9198" t="str">
            <v>CA</v>
          </cell>
          <cell r="D9198">
            <v>2.2000000000000002</v>
          </cell>
          <cell r="H9198" t="str">
            <v>natural gas nonpeaker</v>
          </cell>
        </row>
        <row r="9199">
          <cell r="C9199" t="str">
            <v>CA</v>
          </cell>
          <cell r="D9199">
            <v>1.4</v>
          </cell>
          <cell r="H9199" t="str">
            <v>natural gas nonpeaker</v>
          </cell>
        </row>
        <row r="9200">
          <cell r="C9200" t="str">
            <v>HY</v>
          </cell>
          <cell r="D9200">
            <v>3.3</v>
          </cell>
          <cell r="H9200" t="str">
            <v>hydro</v>
          </cell>
        </row>
        <row r="9201">
          <cell r="C9201" t="str">
            <v>HY</v>
          </cell>
          <cell r="D9201">
            <v>0.7</v>
          </cell>
          <cell r="H9201" t="str">
            <v>hydro</v>
          </cell>
        </row>
        <row r="9202">
          <cell r="C9202" t="str">
            <v>ST</v>
          </cell>
          <cell r="D9202">
            <v>47</v>
          </cell>
          <cell r="H9202" t="str">
            <v>biomass</v>
          </cell>
        </row>
        <row r="9203">
          <cell r="C9203" t="str">
            <v>HY</v>
          </cell>
          <cell r="D9203">
            <v>5</v>
          </cell>
          <cell r="H9203" t="str">
            <v>hydro</v>
          </cell>
        </row>
        <row r="9204">
          <cell r="C9204" t="str">
            <v>HY</v>
          </cell>
          <cell r="D9204">
            <v>0.9</v>
          </cell>
          <cell r="H9204" t="str">
            <v>hydro</v>
          </cell>
        </row>
        <row r="9205">
          <cell r="C9205" t="str">
            <v>HY</v>
          </cell>
          <cell r="D9205">
            <v>0.9</v>
          </cell>
          <cell r="H9205" t="str">
            <v>hydro</v>
          </cell>
        </row>
        <row r="9206">
          <cell r="C9206" t="str">
            <v>HY</v>
          </cell>
          <cell r="D9206">
            <v>1</v>
          </cell>
          <cell r="H9206" t="str">
            <v>hydro</v>
          </cell>
        </row>
        <row r="9207">
          <cell r="C9207" t="str">
            <v>HY</v>
          </cell>
          <cell r="D9207">
            <v>0.9</v>
          </cell>
          <cell r="H9207" t="str">
            <v>hydro</v>
          </cell>
        </row>
        <row r="9208">
          <cell r="C9208" t="str">
            <v>HY</v>
          </cell>
          <cell r="D9208">
            <v>1</v>
          </cell>
          <cell r="H9208" t="str">
            <v>hydro</v>
          </cell>
        </row>
        <row r="9209">
          <cell r="C9209" t="str">
            <v>HY</v>
          </cell>
          <cell r="D9209">
            <v>4.3</v>
          </cell>
          <cell r="H9209" t="str">
            <v>hydro</v>
          </cell>
        </row>
        <row r="9210">
          <cell r="C9210" t="str">
            <v>HY</v>
          </cell>
          <cell r="D9210">
            <v>4.3</v>
          </cell>
          <cell r="H9210" t="str">
            <v>hydro</v>
          </cell>
        </row>
        <row r="9211">
          <cell r="C9211" t="str">
            <v>IC</v>
          </cell>
          <cell r="D9211">
            <v>0.8</v>
          </cell>
          <cell r="H9211" t="str">
            <v>biomass</v>
          </cell>
        </row>
        <row r="9212">
          <cell r="C9212" t="str">
            <v>IC</v>
          </cell>
          <cell r="D9212">
            <v>0.8</v>
          </cell>
          <cell r="H9212" t="str">
            <v>biomass</v>
          </cell>
        </row>
        <row r="9213">
          <cell r="C9213" t="str">
            <v>IC</v>
          </cell>
          <cell r="D9213">
            <v>0.8</v>
          </cell>
          <cell r="H9213" t="str">
            <v>biomass</v>
          </cell>
        </row>
        <row r="9214">
          <cell r="C9214" t="str">
            <v>IC</v>
          </cell>
          <cell r="D9214">
            <v>0.8</v>
          </cell>
          <cell r="H9214" t="str">
            <v>biomass</v>
          </cell>
        </row>
        <row r="9215">
          <cell r="C9215" t="str">
            <v>HY</v>
          </cell>
          <cell r="D9215">
            <v>0.5</v>
          </cell>
          <cell r="H9215" t="str">
            <v>hydro</v>
          </cell>
        </row>
        <row r="9216">
          <cell r="C9216" t="str">
            <v>HY</v>
          </cell>
          <cell r="D9216">
            <v>0.5</v>
          </cell>
          <cell r="H9216" t="str">
            <v>hydro</v>
          </cell>
        </row>
        <row r="9217">
          <cell r="C9217" t="str">
            <v>HY</v>
          </cell>
          <cell r="D9217">
            <v>0.2</v>
          </cell>
          <cell r="H9217" t="str">
            <v>hydro</v>
          </cell>
        </row>
        <row r="9218">
          <cell r="C9218" t="str">
            <v>HY</v>
          </cell>
          <cell r="D9218">
            <v>0.2</v>
          </cell>
          <cell r="H9218" t="str">
            <v>hydro</v>
          </cell>
        </row>
        <row r="9219">
          <cell r="C9219" t="str">
            <v>HY</v>
          </cell>
          <cell r="D9219">
            <v>0.2</v>
          </cell>
          <cell r="H9219" t="str">
            <v>hydro</v>
          </cell>
        </row>
        <row r="9220">
          <cell r="C9220" t="str">
            <v>HY</v>
          </cell>
          <cell r="D9220">
            <v>1.2</v>
          </cell>
          <cell r="H9220" t="str">
            <v>hydro</v>
          </cell>
        </row>
        <row r="9221">
          <cell r="C9221" t="str">
            <v>HY</v>
          </cell>
          <cell r="D9221">
            <v>1.2</v>
          </cell>
          <cell r="H9221" t="str">
            <v>hydro</v>
          </cell>
        </row>
        <row r="9222">
          <cell r="C9222" t="str">
            <v>HY</v>
          </cell>
          <cell r="D9222">
            <v>1</v>
          </cell>
          <cell r="H9222" t="str">
            <v>hydro</v>
          </cell>
        </row>
        <row r="9223">
          <cell r="C9223" t="str">
            <v>HY</v>
          </cell>
          <cell r="D9223">
            <v>0.3</v>
          </cell>
          <cell r="H9223" t="str">
            <v>hydro</v>
          </cell>
        </row>
        <row r="9224">
          <cell r="C9224" t="str">
            <v>HY</v>
          </cell>
          <cell r="D9224">
            <v>0.4</v>
          </cell>
          <cell r="H9224" t="str">
            <v>hydro</v>
          </cell>
        </row>
        <row r="9225">
          <cell r="C9225" t="str">
            <v>HY</v>
          </cell>
          <cell r="D9225">
            <v>0.4</v>
          </cell>
          <cell r="H9225" t="str">
            <v>hydro</v>
          </cell>
        </row>
        <row r="9226">
          <cell r="C9226" t="str">
            <v>HY</v>
          </cell>
          <cell r="D9226">
            <v>0.4</v>
          </cell>
          <cell r="H9226" t="str">
            <v>hydro</v>
          </cell>
        </row>
        <row r="9227">
          <cell r="C9227" t="str">
            <v>HY</v>
          </cell>
          <cell r="D9227">
            <v>0.8</v>
          </cell>
          <cell r="H9227" t="str">
            <v>hydro</v>
          </cell>
        </row>
        <row r="9228">
          <cell r="C9228" t="str">
            <v>HY</v>
          </cell>
          <cell r="D9228">
            <v>0.6</v>
          </cell>
          <cell r="H9228" t="str">
            <v>hydro</v>
          </cell>
        </row>
        <row r="9229">
          <cell r="C9229" t="str">
            <v>HY</v>
          </cell>
          <cell r="D9229">
            <v>1.4</v>
          </cell>
          <cell r="H9229" t="str">
            <v>hydro</v>
          </cell>
        </row>
        <row r="9230">
          <cell r="C9230" t="str">
            <v>HY</v>
          </cell>
          <cell r="D9230">
            <v>1.4</v>
          </cell>
          <cell r="H9230" t="str">
            <v>hydro</v>
          </cell>
        </row>
        <row r="9231">
          <cell r="C9231" t="str">
            <v>HY</v>
          </cell>
          <cell r="D9231">
            <v>0.3</v>
          </cell>
          <cell r="H9231" t="str">
            <v>hydro</v>
          </cell>
        </row>
        <row r="9232">
          <cell r="C9232" t="str">
            <v>HY</v>
          </cell>
          <cell r="D9232">
            <v>0.4</v>
          </cell>
          <cell r="H9232" t="str">
            <v>hydro</v>
          </cell>
        </row>
        <row r="9233">
          <cell r="C9233" t="str">
            <v>HY</v>
          </cell>
          <cell r="D9233">
            <v>0.4</v>
          </cell>
          <cell r="H9233" t="str">
            <v>hydro</v>
          </cell>
        </row>
        <row r="9234">
          <cell r="C9234" t="str">
            <v>HY</v>
          </cell>
          <cell r="D9234">
            <v>0.4</v>
          </cell>
          <cell r="H9234" t="str">
            <v>hydro</v>
          </cell>
        </row>
        <row r="9235">
          <cell r="C9235" t="str">
            <v>HY</v>
          </cell>
          <cell r="D9235">
            <v>1.1000000000000001</v>
          </cell>
          <cell r="H9235" t="str">
            <v>hydro</v>
          </cell>
        </row>
        <row r="9236">
          <cell r="C9236" t="str">
            <v>HY</v>
          </cell>
          <cell r="D9236">
            <v>3.3</v>
          </cell>
          <cell r="H9236" t="str">
            <v>hydro</v>
          </cell>
        </row>
        <row r="9237">
          <cell r="C9237" t="str">
            <v>HY</v>
          </cell>
          <cell r="D9237">
            <v>3.3</v>
          </cell>
          <cell r="H9237" t="str">
            <v>hydro</v>
          </cell>
        </row>
        <row r="9238">
          <cell r="C9238" t="str">
            <v>GT</v>
          </cell>
          <cell r="D9238">
            <v>5.6</v>
          </cell>
          <cell r="H9238" t="str">
            <v>natural gas peaker</v>
          </cell>
        </row>
        <row r="9239">
          <cell r="C9239" t="str">
            <v>IC</v>
          </cell>
          <cell r="D9239">
            <v>0.8</v>
          </cell>
          <cell r="H9239" t="str">
            <v>biomass</v>
          </cell>
        </row>
        <row r="9240">
          <cell r="C9240" t="str">
            <v>IC</v>
          </cell>
          <cell r="D9240">
            <v>0.8</v>
          </cell>
          <cell r="H9240" t="str">
            <v>biomass</v>
          </cell>
        </row>
        <row r="9241">
          <cell r="C9241" t="str">
            <v>IC</v>
          </cell>
          <cell r="D9241">
            <v>0.8</v>
          </cell>
          <cell r="H9241" t="str">
            <v>biomass</v>
          </cell>
        </row>
        <row r="9242">
          <cell r="C9242" t="str">
            <v>HY</v>
          </cell>
          <cell r="D9242">
            <v>1.8</v>
          </cell>
          <cell r="H9242" t="str">
            <v>hydro</v>
          </cell>
        </row>
        <row r="9243">
          <cell r="C9243" t="str">
            <v>IC</v>
          </cell>
          <cell r="D9243">
            <v>0.1</v>
          </cell>
          <cell r="H9243" t="str">
            <v>petroleum</v>
          </cell>
        </row>
        <row r="9244">
          <cell r="C9244" t="str">
            <v>IC</v>
          </cell>
          <cell r="D9244">
            <v>0.3</v>
          </cell>
          <cell r="H9244" t="str">
            <v>petroleum</v>
          </cell>
        </row>
        <row r="9245">
          <cell r="C9245" t="str">
            <v>IC</v>
          </cell>
          <cell r="D9245">
            <v>0.3</v>
          </cell>
          <cell r="H9245" t="str">
            <v>petroleum</v>
          </cell>
        </row>
        <row r="9246">
          <cell r="C9246" t="str">
            <v>IC</v>
          </cell>
          <cell r="D9246">
            <v>0.3</v>
          </cell>
          <cell r="H9246" t="str">
            <v>petroleum</v>
          </cell>
        </row>
        <row r="9247">
          <cell r="C9247" t="str">
            <v>CT</v>
          </cell>
          <cell r="D9247">
            <v>32</v>
          </cell>
          <cell r="H9247" t="str">
            <v>natural gas nonpeaker</v>
          </cell>
        </row>
        <row r="9248">
          <cell r="C9248" t="str">
            <v>CA</v>
          </cell>
          <cell r="D9248">
            <v>28.5</v>
          </cell>
          <cell r="H9248" t="str">
            <v>natural gas nonpeaker</v>
          </cell>
        </row>
        <row r="9249">
          <cell r="C9249" t="str">
            <v>CA</v>
          </cell>
          <cell r="D9249">
            <v>57.5</v>
          </cell>
          <cell r="H9249" t="str">
            <v>natural gas nonpeaker</v>
          </cell>
        </row>
        <row r="9250">
          <cell r="C9250" t="str">
            <v>CA</v>
          </cell>
          <cell r="D9250">
            <v>47.3</v>
          </cell>
          <cell r="H9250" t="str">
            <v>natural gas nonpeaker</v>
          </cell>
        </row>
        <row r="9251">
          <cell r="C9251" t="str">
            <v>CT</v>
          </cell>
          <cell r="D9251">
            <v>72</v>
          </cell>
          <cell r="H9251" t="str">
            <v>natural gas nonpeaker</v>
          </cell>
        </row>
        <row r="9252">
          <cell r="C9252" t="str">
            <v>CT</v>
          </cell>
          <cell r="D9252">
            <v>72</v>
          </cell>
          <cell r="H9252" t="str">
            <v>natural gas nonpeaker</v>
          </cell>
        </row>
        <row r="9253">
          <cell r="C9253" t="str">
            <v>CT</v>
          </cell>
          <cell r="D9253">
            <v>72</v>
          </cell>
          <cell r="H9253" t="str">
            <v>natural gas nonpeaker</v>
          </cell>
        </row>
        <row r="9254">
          <cell r="C9254" t="str">
            <v>CT</v>
          </cell>
          <cell r="D9254">
            <v>72</v>
          </cell>
          <cell r="H9254" t="str">
            <v>natural gas nonpeaker</v>
          </cell>
        </row>
        <row r="9255">
          <cell r="C9255" t="str">
            <v>CT</v>
          </cell>
          <cell r="D9255">
            <v>72</v>
          </cell>
          <cell r="H9255" t="str">
            <v>natural gas nonpeaker</v>
          </cell>
        </row>
        <row r="9256">
          <cell r="C9256" t="str">
            <v>CT</v>
          </cell>
          <cell r="D9256">
            <v>72</v>
          </cell>
          <cell r="H9256" t="str">
            <v>natural gas nonpeaker</v>
          </cell>
        </row>
        <row r="9257">
          <cell r="C9257" t="str">
            <v>HY</v>
          </cell>
          <cell r="D9257">
            <v>3.6</v>
          </cell>
          <cell r="H9257" t="str">
            <v>hydro</v>
          </cell>
        </row>
        <row r="9258">
          <cell r="C9258" t="str">
            <v>HY</v>
          </cell>
          <cell r="D9258">
            <v>7.1</v>
          </cell>
          <cell r="H9258" t="str">
            <v>hydro</v>
          </cell>
        </row>
        <row r="9259">
          <cell r="C9259" t="str">
            <v>HY</v>
          </cell>
          <cell r="D9259">
            <v>7.1</v>
          </cell>
          <cell r="H9259" t="str">
            <v>hydro</v>
          </cell>
        </row>
        <row r="9260">
          <cell r="C9260" t="str">
            <v>HY</v>
          </cell>
          <cell r="D9260">
            <v>7.5</v>
          </cell>
          <cell r="H9260" t="str">
            <v>hydro</v>
          </cell>
        </row>
        <row r="9261">
          <cell r="C9261" t="str">
            <v>ST</v>
          </cell>
          <cell r="D9261">
            <v>4.7</v>
          </cell>
          <cell r="H9261" t="str">
            <v>biomass</v>
          </cell>
        </row>
        <row r="9262">
          <cell r="C9262" t="str">
            <v>ST</v>
          </cell>
          <cell r="D9262">
            <v>7</v>
          </cell>
          <cell r="H9262" t="str">
            <v>biomass</v>
          </cell>
        </row>
        <row r="9263">
          <cell r="C9263" t="str">
            <v>ST</v>
          </cell>
          <cell r="D9263">
            <v>27.9</v>
          </cell>
          <cell r="H9263" t="str">
            <v>biomass</v>
          </cell>
        </row>
        <row r="9264">
          <cell r="C9264" t="str">
            <v>ST</v>
          </cell>
          <cell r="D9264">
            <v>25.1</v>
          </cell>
          <cell r="H9264" t="str">
            <v>biomass</v>
          </cell>
        </row>
        <row r="9265">
          <cell r="C9265" t="str">
            <v>ST</v>
          </cell>
          <cell r="D9265">
            <v>21</v>
          </cell>
          <cell r="H9265" t="str">
            <v>biomass</v>
          </cell>
        </row>
        <row r="9266">
          <cell r="C9266" t="str">
            <v>ST</v>
          </cell>
          <cell r="D9266">
            <v>21</v>
          </cell>
          <cell r="H9266" t="str">
            <v>biomass</v>
          </cell>
        </row>
        <row r="9267">
          <cell r="C9267" t="str">
            <v>ST</v>
          </cell>
          <cell r="D9267">
            <v>244</v>
          </cell>
          <cell r="H9267" t="str">
            <v>hard coal</v>
          </cell>
        </row>
        <row r="9268">
          <cell r="C9268" t="str">
            <v>CT</v>
          </cell>
          <cell r="D9268">
            <v>35</v>
          </cell>
          <cell r="H9268" t="str">
            <v>natural gas nonpeaker</v>
          </cell>
        </row>
        <row r="9269">
          <cell r="C9269" t="str">
            <v>CT</v>
          </cell>
          <cell r="D9269">
            <v>13</v>
          </cell>
          <cell r="H9269" t="str">
            <v>natural gas nonpeaker</v>
          </cell>
        </row>
        <row r="9270">
          <cell r="C9270" t="str">
            <v>CA</v>
          </cell>
          <cell r="D9270">
            <v>16</v>
          </cell>
          <cell r="H9270" t="str">
            <v>natural gas nonpeaker</v>
          </cell>
        </row>
        <row r="9271">
          <cell r="C9271" t="str">
            <v>GT</v>
          </cell>
          <cell r="D9271">
            <v>30.2</v>
          </cell>
          <cell r="H9271" t="str">
            <v>natural gas peaker</v>
          </cell>
        </row>
        <row r="9272">
          <cell r="C9272" t="str">
            <v>HY</v>
          </cell>
          <cell r="D9272">
            <v>3</v>
          </cell>
          <cell r="H9272" t="str">
            <v>hydro</v>
          </cell>
        </row>
        <row r="9273">
          <cell r="C9273" t="str">
            <v>WT</v>
          </cell>
          <cell r="D9273">
            <v>59.6</v>
          </cell>
          <cell r="H9273" t="str">
            <v>onshore wind</v>
          </cell>
        </row>
        <row r="9274">
          <cell r="C9274" t="str">
            <v>ST</v>
          </cell>
          <cell r="D9274">
            <v>11.1</v>
          </cell>
          <cell r="H9274" t="str">
            <v>biomass</v>
          </cell>
        </row>
        <row r="9275">
          <cell r="C9275" t="str">
            <v>WT</v>
          </cell>
          <cell r="D9275">
            <v>29</v>
          </cell>
          <cell r="H9275" t="str">
            <v>onshore wind</v>
          </cell>
        </row>
        <row r="9276">
          <cell r="C9276" t="str">
            <v>ST</v>
          </cell>
          <cell r="D9276">
            <v>30.7</v>
          </cell>
          <cell r="H9276" t="str">
            <v>other</v>
          </cell>
        </row>
        <row r="9277">
          <cell r="C9277" t="str">
            <v>ST</v>
          </cell>
          <cell r="D9277">
            <v>50</v>
          </cell>
          <cell r="H9277" t="str">
            <v>hard coal</v>
          </cell>
        </row>
        <row r="9278">
          <cell r="C9278" t="str">
            <v>ST</v>
          </cell>
          <cell r="D9278">
            <v>9.1999999999999993</v>
          </cell>
          <cell r="H9278" t="str">
            <v>biomass</v>
          </cell>
        </row>
        <row r="9279">
          <cell r="C9279" t="str">
            <v>ST</v>
          </cell>
          <cell r="D9279">
            <v>50</v>
          </cell>
          <cell r="H9279" t="str">
            <v>biomass</v>
          </cell>
        </row>
        <row r="9280">
          <cell r="C9280" t="str">
            <v>ST</v>
          </cell>
          <cell r="D9280">
            <v>13</v>
          </cell>
          <cell r="H9280" t="str">
            <v>biomass</v>
          </cell>
        </row>
        <row r="9281">
          <cell r="C9281" t="str">
            <v>ST</v>
          </cell>
          <cell r="D9281">
            <v>28</v>
          </cell>
          <cell r="H9281" t="str">
            <v>biomass</v>
          </cell>
        </row>
        <row r="9282">
          <cell r="C9282" t="str">
            <v>HY</v>
          </cell>
          <cell r="D9282">
            <v>2.1</v>
          </cell>
          <cell r="H9282" t="str">
            <v>hydro</v>
          </cell>
        </row>
        <row r="9283">
          <cell r="C9283" t="str">
            <v>HY</v>
          </cell>
          <cell r="D9283">
            <v>0.9</v>
          </cell>
          <cell r="H9283" t="str">
            <v>hydro</v>
          </cell>
        </row>
        <row r="9284">
          <cell r="C9284" t="str">
            <v>HY</v>
          </cell>
          <cell r="D9284">
            <v>0.7</v>
          </cell>
          <cell r="H9284" t="str">
            <v>hydro</v>
          </cell>
        </row>
        <row r="9285">
          <cell r="C9285" t="str">
            <v>HY</v>
          </cell>
          <cell r="D9285">
            <v>0.6</v>
          </cell>
          <cell r="H9285" t="str">
            <v>hydro</v>
          </cell>
        </row>
        <row r="9286">
          <cell r="C9286" t="str">
            <v>ST</v>
          </cell>
          <cell r="D9286">
            <v>49.3</v>
          </cell>
          <cell r="H9286" t="str">
            <v>biomass</v>
          </cell>
        </row>
        <row r="9287">
          <cell r="C9287" t="str">
            <v>ST</v>
          </cell>
          <cell r="D9287">
            <v>32.200000000000003</v>
          </cell>
          <cell r="H9287" t="str">
            <v>biomass</v>
          </cell>
        </row>
        <row r="9288">
          <cell r="C9288" t="str">
            <v>ST</v>
          </cell>
          <cell r="D9288">
            <v>44.6</v>
          </cell>
          <cell r="H9288" t="str">
            <v>biomass</v>
          </cell>
        </row>
        <row r="9289">
          <cell r="C9289" t="str">
            <v>ST</v>
          </cell>
          <cell r="D9289">
            <v>25.1</v>
          </cell>
          <cell r="H9289" t="str">
            <v>biomass</v>
          </cell>
        </row>
        <row r="9290">
          <cell r="C9290" t="str">
            <v>ST</v>
          </cell>
          <cell r="D9290">
            <v>60</v>
          </cell>
          <cell r="H9290" t="str">
            <v>natural gas peaker</v>
          </cell>
        </row>
        <row r="9291">
          <cell r="C9291" t="str">
            <v>HY</v>
          </cell>
          <cell r="D9291">
            <v>2.9</v>
          </cell>
          <cell r="H9291" t="str">
            <v>hydro</v>
          </cell>
        </row>
        <row r="9292">
          <cell r="C9292" t="str">
            <v>HY</v>
          </cell>
          <cell r="D9292">
            <v>1.1000000000000001</v>
          </cell>
          <cell r="H9292" t="str">
            <v>hydro</v>
          </cell>
        </row>
        <row r="9293">
          <cell r="C9293" t="str">
            <v>HY</v>
          </cell>
          <cell r="D9293">
            <v>2.9</v>
          </cell>
          <cell r="H9293" t="str">
            <v>hydro</v>
          </cell>
        </row>
        <row r="9294">
          <cell r="C9294" t="str">
            <v>HY</v>
          </cell>
          <cell r="D9294">
            <v>3.1</v>
          </cell>
          <cell r="H9294" t="str">
            <v>hydro</v>
          </cell>
        </row>
        <row r="9295">
          <cell r="C9295" t="str">
            <v>HY</v>
          </cell>
          <cell r="D9295">
            <v>0.8</v>
          </cell>
          <cell r="H9295" t="str">
            <v>hydro</v>
          </cell>
        </row>
        <row r="9296">
          <cell r="C9296" t="str">
            <v>HY</v>
          </cell>
          <cell r="D9296">
            <v>0.8</v>
          </cell>
          <cell r="H9296" t="str">
            <v>hydro</v>
          </cell>
        </row>
        <row r="9297">
          <cell r="C9297" t="str">
            <v>HY</v>
          </cell>
          <cell r="D9297">
            <v>0.8</v>
          </cell>
          <cell r="H9297" t="str">
            <v>hydro</v>
          </cell>
        </row>
        <row r="9298">
          <cell r="C9298" t="str">
            <v>HY</v>
          </cell>
          <cell r="D9298">
            <v>1.5</v>
          </cell>
          <cell r="H9298" t="str">
            <v>hydro</v>
          </cell>
        </row>
        <row r="9299">
          <cell r="C9299" t="str">
            <v>HY</v>
          </cell>
          <cell r="D9299">
            <v>1.9</v>
          </cell>
          <cell r="H9299" t="str">
            <v>hydro</v>
          </cell>
        </row>
        <row r="9300">
          <cell r="C9300" t="str">
            <v>HY</v>
          </cell>
          <cell r="D9300">
            <v>1.9</v>
          </cell>
          <cell r="H9300" t="str">
            <v>hydro</v>
          </cell>
        </row>
        <row r="9301">
          <cell r="C9301" t="str">
            <v>ST</v>
          </cell>
          <cell r="D9301">
            <v>26</v>
          </cell>
          <cell r="H9301" t="str">
            <v>biomass</v>
          </cell>
        </row>
        <row r="9302">
          <cell r="C9302" t="str">
            <v>ST</v>
          </cell>
          <cell r="D9302">
            <v>20</v>
          </cell>
          <cell r="H9302" t="str">
            <v>biomass</v>
          </cell>
        </row>
        <row r="9303">
          <cell r="C9303" t="str">
            <v>CT</v>
          </cell>
          <cell r="D9303">
            <v>49.8</v>
          </cell>
          <cell r="H9303" t="str">
            <v>natural gas nonpeaker</v>
          </cell>
        </row>
        <row r="9304">
          <cell r="C9304" t="str">
            <v>CA</v>
          </cell>
          <cell r="D9304">
            <v>30.6</v>
          </cell>
          <cell r="H9304" t="str">
            <v>natural gas nonpeaker</v>
          </cell>
        </row>
        <row r="9305">
          <cell r="C9305" t="str">
            <v>CT</v>
          </cell>
          <cell r="D9305">
            <v>40.1</v>
          </cell>
          <cell r="H9305" t="str">
            <v>natural gas nonpeaker</v>
          </cell>
        </row>
        <row r="9306">
          <cell r="C9306" t="str">
            <v>CA</v>
          </cell>
          <cell r="D9306">
            <v>21</v>
          </cell>
          <cell r="H9306" t="str">
            <v>natural gas nonpeaker</v>
          </cell>
        </row>
        <row r="9307">
          <cell r="C9307" t="str">
            <v>CT</v>
          </cell>
          <cell r="D9307">
            <v>56.5</v>
          </cell>
          <cell r="H9307" t="str">
            <v>natural gas nonpeaker</v>
          </cell>
        </row>
        <row r="9308">
          <cell r="C9308" t="str">
            <v>CA</v>
          </cell>
          <cell r="D9308">
            <v>28.8</v>
          </cell>
          <cell r="H9308" t="str">
            <v>natural gas nonpeaker</v>
          </cell>
        </row>
        <row r="9309">
          <cell r="C9309" t="str">
            <v>CT</v>
          </cell>
          <cell r="D9309">
            <v>22.1</v>
          </cell>
          <cell r="H9309" t="str">
            <v>natural gas nonpeaker</v>
          </cell>
        </row>
        <row r="9310">
          <cell r="C9310" t="str">
            <v>CA</v>
          </cell>
          <cell r="D9310">
            <v>1.5</v>
          </cell>
          <cell r="H9310" t="str">
            <v>natural gas nonpeaker</v>
          </cell>
        </row>
        <row r="9311">
          <cell r="C9311" t="str">
            <v>ST</v>
          </cell>
          <cell r="D9311">
            <v>32</v>
          </cell>
          <cell r="H9311" t="str">
            <v>biomass</v>
          </cell>
        </row>
        <row r="9312">
          <cell r="C9312" t="str">
            <v>ST</v>
          </cell>
          <cell r="D9312">
            <v>15.9</v>
          </cell>
          <cell r="H9312" t="str">
            <v>biomass</v>
          </cell>
        </row>
        <row r="9313">
          <cell r="C9313" t="str">
            <v>ST</v>
          </cell>
          <cell r="D9313">
            <v>13</v>
          </cell>
          <cell r="H9313" t="str">
            <v>biomass</v>
          </cell>
        </row>
        <row r="9314">
          <cell r="C9314" t="str">
            <v>ST</v>
          </cell>
          <cell r="D9314">
            <v>57</v>
          </cell>
          <cell r="H9314" t="str">
            <v>municipal solid waste</v>
          </cell>
        </row>
        <row r="9315">
          <cell r="C9315" t="str">
            <v>ST</v>
          </cell>
          <cell r="D9315">
            <v>4.3</v>
          </cell>
          <cell r="H9315" t="str">
            <v>municipal solid waste</v>
          </cell>
        </row>
        <row r="9316">
          <cell r="C9316" t="str">
            <v>ST</v>
          </cell>
          <cell r="D9316">
            <v>42</v>
          </cell>
          <cell r="H9316" t="str">
            <v>geothermal</v>
          </cell>
        </row>
        <row r="9317">
          <cell r="C9317" t="str">
            <v>ST</v>
          </cell>
          <cell r="D9317">
            <v>42</v>
          </cell>
          <cell r="H9317" t="str">
            <v>geothermal</v>
          </cell>
        </row>
        <row r="9318">
          <cell r="C9318" t="str">
            <v>CT</v>
          </cell>
          <cell r="D9318">
            <v>94.1</v>
          </cell>
          <cell r="H9318" t="str">
            <v>natural gas nonpeaker</v>
          </cell>
        </row>
        <row r="9319">
          <cell r="C9319" t="str">
            <v>CT</v>
          </cell>
          <cell r="D9319">
            <v>94.1</v>
          </cell>
          <cell r="H9319" t="str">
            <v>natural gas nonpeaker</v>
          </cell>
        </row>
        <row r="9320">
          <cell r="C9320" t="str">
            <v>CT</v>
          </cell>
          <cell r="D9320">
            <v>94.1</v>
          </cell>
          <cell r="H9320" t="str">
            <v>natural gas nonpeaker</v>
          </cell>
        </row>
        <row r="9321">
          <cell r="C9321" t="str">
            <v>CA</v>
          </cell>
          <cell r="D9321">
            <v>96</v>
          </cell>
          <cell r="H9321" t="str">
            <v>other</v>
          </cell>
        </row>
        <row r="9322">
          <cell r="C9322" t="str">
            <v>ST</v>
          </cell>
          <cell r="D9322">
            <v>49</v>
          </cell>
          <cell r="H9322" t="str">
            <v>geothermal</v>
          </cell>
        </row>
        <row r="9323">
          <cell r="C9323" t="str">
            <v>ST</v>
          </cell>
          <cell r="D9323">
            <v>71.8</v>
          </cell>
          <cell r="H9323" t="str">
            <v>municipal solid waste</v>
          </cell>
        </row>
        <row r="9324">
          <cell r="C9324" t="str">
            <v>ST</v>
          </cell>
          <cell r="D9324">
            <v>30</v>
          </cell>
          <cell r="H9324" t="str">
            <v>municipal solid waste</v>
          </cell>
        </row>
        <row r="9325">
          <cell r="C9325" t="str">
            <v>ST</v>
          </cell>
          <cell r="D9325">
            <v>30</v>
          </cell>
          <cell r="H9325" t="str">
            <v>municipal solid waste</v>
          </cell>
        </row>
        <row r="9326">
          <cell r="C9326" t="str">
            <v>ST</v>
          </cell>
          <cell r="D9326">
            <v>16.3</v>
          </cell>
          <cell r="H9326" t="str">
            <v>municipal solid waste</v>
          </cell>
        </row>
        <row r="9327">
          <cell r="C9327" t="str">
            <v>GT</v>
          </cell>
          <cell r="D9327">
            <v>46</v>
          </cell>
          <cell r="H9327" t="str">
            <v>natural gas peaker</v>
          </cell>
        </row>
        <row r="9328">
          <cell r="C9328" t="str">
            <v>GT</v>
          </cell>
          <cell r="D9328">
            <v>46</v>
          </cell>
          <cell r="H9328" t="str">
            <v>natural gas peaker</v>
          </cell>
        </row>
        <row r="9329">
          <cell r="C9329" t="str">
            <v>ST</v>
          </cell>
          <cell r="D9329">
            <v>31</v>
          </cell>
          <cell r="H9329" t="str">
            <v>biomass</v>
          </cell>
        </row>
        <row r="9330">
          <cell r="C9330" t="str">
            <v>HY</v>
          </cell>
          <cell r="D9330">
            <v>0.3</v>
          </cell>
          <cell r="H9330" t="str">
            <v>hydro</v>
          </cell>
        </row>
        <row r="9331">
          <cell r="C9331" t="str">
            <v>HY</v>
          </cell>
          <cell r="D9331">
            <v>0.4</v>
          </cell>
          <cell r="H9331" t="str">
            <v>hydro</v>
          </cell>
        </row>
        <row r="9332">
          <cell r="C9332" t="str">
            <v>HY</v>
          </cell>
          <cell r="D9332">
            <v>0.3</v>
          </cell>
          <cell r="H9332" t="str">
            <v>hydro</v>
          </cell>
        </row>
        <row r="9333">
          <cell r="C9333" t="str">
            <v>HY</v>
          </cell>
          <cell r="D9333">
            <v>0.2</v>
          </cell>
          <cell r="H9333" t="str">
            <v>hydro</v>
          </cell>
        </row>
        <row r="9334">
          <cell r="C9334" t="str">
            <v>ST</v>
          </cell>
          <cell r="D9334">
            <v>12</v>
          </cell>
          <cell r="H9334" t="str">
            <v>biomass</v>
          </cell>
        </row>
        <row r="9335">
          <cell r="C9335" t="str">
            <v>ST</v>
          </cell>
          <cell r="D9335">
            <v>160</v>
          </cell>
          <cell r="H9335" t="str">
            <v>hard coal</v>
          </cell>
        </row>
        <row r="9336">
          <cell r="C9336" t="str">
            <v>ST</v>
          </cell>
          <cell r="D9336">
            <v>160</v>
          </cell>
          <cell r="H9336" t="str">
            <v>hard coal</v>
          </cell>
        </row>
        <row r="9337">
          <cell r="C9337" t="str">
            <v>ST</v>
          </cell>
          <cell r="D9337">
            <v>180</v>
          </cell>
          <cell r="H9337" t="str">
            <v>hard coal</v>
          </cell>
        </row>
        <row r="9338">
          <cell r="C9338" t="str">
            <v>CT</v>
          </cell>
          <cell r="D9338">
            <v>46</v>
          </cell>
          <cell r="H9338" t="str">
            <v>natural gas nonpeaker</v>
          </cell>
        </row>
        <row r="9339">
          <cell r="C9339" t="str">
            <v>CA</v>
          </cell>
          <cell r="D9339">
            <v>23</v>
          </cell>
          <cell r="H9339" t="str">
            <v>natural gas nonpeaker</v>
          </cell>
        </row>
        <row r="9340">
          <cell r="C9340" t="str">
            <v>ST</v>
          </cell>
          <cell r="D9340">
            <v>180</v>
          </cell>
          <cell r="H9340" t="str">
            <v>hard coal</v>
          </cell>
        </row>
        <row r="9341">
          <cell r="C9341" t="str">
            <v>CT</v>
          </cell>
          <cell r="D9341">
            <v>25</v>
          </cell>
          <cell r="H9341" t="str">
            <v>natural gas nonpeaker</v>
          </cell>
        </row>
        <row r="9342">
          <cell r="C9342" t="str">
            <v>GT</v>
          </cell>
          <cell r="D9342">
            <v>25</v>
          </cell>
          <cell r="H9342" t="str">
            <v>natural gas peaker</v>
          </cell>
        </row>
        <row r="9343">
          <cell r="C9343" t="str">
            <v>CT</v>
          </cell>
          <cell r="D9343">
            <v>32</v>
          </cell>
          <cell r="H9343" t="str">
            <v>natural gas nonpeaker</v>
          </cell>
        </row>
        <row r="9344">
          <cell r="C9344" t="str">
            <v>CT</v>
          </cell>
          <cell r="D9344">
            <v>25</v>
          </cell>
          <cell r="H9344" t="str">
            <v>natural gas nonpeaker</v>
          </cell>
        </row>
        <row r="9345">
          <cell r="C9345" t="str">
            <v>CT</v>
          </cell>
          <cell r="D9345">
            <v>25</v>
          </cell>
          <cell r="H9345" t="str">
            <v>natural gas nonpeaker</v>
          </cell>
        </row>
        <row r="9346">
          <cell r="C9346" t="str">
            <v>CA</v>
          </cell>
          <cell r="D9346">
            <v>30</v>
          </cell>
          <cell r="H9346" t="str">
            <v>natural gas nonpeaker</v>
          </cell>
        </row>
        <row r="9347">
          <cell r="C9347" t="str">
            <v>CA</v>
          </cell>
          <cell r="D9347">
            <v>40</v>
          </cell>
          <cell r="H9347" t="str">
            <v>natural gas nonpeaker</v>
          </cell>
        </row>
        <row r="9348">
          <cell r="C9348" t="str">
            <v>CA</v>
          </cell>
          <cell r="D9348">
            <v>90</v>
          </cell>
          <cell r="H9348" t="str">
            <v>natural gas nonpeaker</v>
          </cell>
        </row>
        <row r="9349">
          <cell r="C9349" t="str">
            <v>ST</v>
          </cell>
          <cell r="D9349">
            <v>7</v>
          </cell>
          <cell r="H9349" t="str">
            <v>hard coal</v>
          </cell>
        </row>
        <row r="9350">
          <cell r="C9350" t="str">
            <v>ST</v>
          </cell>
          <cell r="D9350">
            <v>25</v>
          </cell>
          <cell r="H9350" t="str">
            <v>hard coal</v>
          </cell>
        </row>
        <row r="9351">
          <cell r="C9351" t="str">
            <v>ST</v>
          </cell>
          <cell r="D9351">
            <v>25</v>
          </cell>
          <cell r="H9351" t="str">
            <v>hard coal</v>
          </cell>
        </row>
        <row r="9352">
          <cell r="C9352" t="str">
            <v>GT</v>
          </cell>
          <cell r="D9352">
            <v>15</v>
          </cell>
          <cell r="H9352" t="str">
            <v>natural gas peaker</v>
          </cell>
        </row>
        <row r="9353">
          <cell r="C9353" t="str">
            <v>ST</v>
          </cell>
          <cell r="D9353">
            <v>13.1</v>
          </cell>
          <cell r="H9353" t="str">
            <v>hard coal</v>
          </cell>
        </row>
        <row r="9354">
          <cell r="C9354" t="str">
            <v>ST</v>
          </cell>
          <cell r="D9354">
            <v>9.5</v>
          </cell>
          <cell r="H9354" t="str">
            <v>hard coal</v>
          </cell>
        </row>
        <row r="9355">
          <cell r="C9355" t="str">
            <v>HY</v>
          </cell>
          <cell r="D9355">
            <v>0.8</v>
          </cell>
          <cell r="H9355" t="str">
            <v>hydro</v>
          </cell>
        </row>
        <row r="9356">
          <cell r="C9356" t="str">
            <v>HY</v>
          </cell>
          <cell r="D9356">
            <v>1.5</v>
          </cell>
          <cell r="H9356" t="str">
            <v>hydro</v>
          </cell>
        </row>
        <row r="9357">
          <cell r="C9357" t="str">
            <v>HY</v>
          </cell>
          <cell r="D9357">
            <v>2.1</v>
          </cell>
          <cell r="H9357" t="str">
            <v>hydro</v>
          </cell>
        </row>
        <row r="9358">
          <cell r="C9358" t="str">
            <v>HY</v>
          </cell>
          <cell r="D9358">
            <v>1.8</v>
          </cell>
          <cell r="H9358" t="str">
            <v>hydro</v>
          </cell>
        </row>
        <row r="9359">
          <cell r="C9359" t="str">
            <v>GT</v>
          </cell>
          <cell r="D9359">
            <v>78.900000000000006</v>
          </cell>
          <cell r="H9359" t="str">
            <v>natural gas peaker</v>
          </cell>
        </row>
        <row r="9360">
          <cell r="C9360" t="str">
            <v>GT</v>
          </cell>
          <cell r="D9360">
            <v>32</v>
          </cell>
          <cell r="H9360" t="str">
            <v>natural gas peaker</v>
          </cell>
        </row>
        <row r="9361">
          <cell r="C9361" t="str">
            <v>GT</v>
          </cell>
          <cell r="D9361">
            <v>32</v>
          </cell>
          <cell r="H9361" t="str">
            <v>natural gas peaker</v>
          </cell>
        </row>
        <row r="9362">
          <cell r="C9362" t="str">
            <v>GT</v>
          </cell>
          <cell r="D9362">
            <v>32</v>
          </cell>
          <cell r="H9362" t="str">
            <v>natural gas peaker</v>
          </cell>
        </row>
        <row r="9363">
          <cell r="C9363" t="str">
            <v>GT</v>
          </cell>
          <cell r="D9363">
            <v>90</v>
          </cell>
          <cell r="H9363" t="str">
            <v>natural gas peaker</v>
          </cell>
        </row>
        <row r="9364">
          <cell r="C9364" t="str">
            <v>GT</v>
          </cell>
          <cell r="D9364">
            <v>140</v>
          </cell>
          <cell r="H9364" t="str">
            <v>natural gas peaker</v>
          </cell>
        </row>
        <row r="9365">
          <cell r="C9365" t="str">
            <v>ST</v>
          </cell>
          <cell r="D9365">
            <v>1.3</v>
          </cell>
          <cell r="H9365" t="str">
            <v>biomass</v>
          </cell>
        </row>
        <row r="9366">
          <cell r="C9366" t="str">
            <v>ST</v>
          </cell>
          <cell r="D9366">
            <v>1.3</v>
          </cell>
          <cell r="H9366" t="str">
            <v>biomass</v>
          </cell>
        </row>
        <row r="9367">
          <cell r="C9367" t="str">
            <v>IC</v>
          </cell>
          <cell r="D9367">
            <v>1</v>
          </cell>
          <cell r="H9367" t="str">
            <v>petroleum</v>
          </cell>
        </row>
        <row r="9368">
          <cell r="C9368" t="str">
            <v>IC</v>
          </cell>
          <cell r="D9368">
            <v>1</v>
          </cell>
          <cell r="H9368" t="str">
            <v>petroleum</v>
          </cell>
        </row>
        <row r="9369">
          <cell r="C9369" t="str">
            <v>HY</v>
          </cell>
          <cell r="D9369">
            <v>0.8</v>
          </cell>
          <cell r="H9369" t="str">
            <v>hydro</v>
          </cell>
        </row>
        <row r="9370">
          <cell r="C9370" t="str">
            <v>HY</v>
          </cell>
          <cell r="D9370">
            <v>0.8</v>
          </cell>
          <cell r="H9370" t="str">
            <v>hydro</v>
          </cell>
        </row>
        <row r="9371">
          <cell r="C9371" t="str">
            <v>HY</v>
          </cell>
          <cell r="D9371">
            <v>0.6</v>
          </cell>
          <cell r="H9371" t="str">
            <v>hydro</v>
          </cell>
        </row>
        <row r="9372">
          <cell r="C9372" t="str">
            <v>ST</v>
          </cell>
          <cell r="D9372">
            <v>16</v>
          </cell>
          <cell r="H9372" t="str">
            <v>biomass</v>
          </cell>
        </row>
        <row r="9373">
          <cell r="C9373" t="str">
            <v>ST</v>
          </cell>
          <cell r="D9373">
            <v>1.5</v>
          </cell>
          <cell r="H9373" t="str">
            <v>natural gas peaker</v>
          </cell>
        </row>
        <row r="9374">
          <cell r="C9374" t="str">
            <v>ST</v>
          </cell>
          <cell r="D9374">
            <v>37.4</v>
          </cell>
          <cell r="H9374" t="str">
            <v>biomass</v>
          </cell>
        </row>
        <row r="9375">
          <cell r="C9375" t="str">
            <v>ST</v>
          </cell>
          <cell r="D9375">
            <v>29.4</v>
          </cell>
          <cell r="H9375" t="str">
            <v>biomass</v>
          </cell>
        </row>
        <row r="9376">
          <cell r="C9376" t="str">
            <v>ST</v>
          </cell>
          <cell r="D9376">
            <v>7.5</v>
          </cell>
          <cell r="H9376" t="str">
            <v>biomass</v>
          </cell>
        </row>
        <row r="9377">
          <cell r="C9377" t="str">
            <v>ST</v>
          </cell>
          <cell r="D9377">
            <v>14</v>
          </cell>
          <cell r="H9377" t="str">
            <v>biomass</v>
          </cell>
        </row>
        <row r="9378">
          <cell r="C9378" t="str">
            <v>HY</v>
          </cell>
          <cell r="D9378">
            <v>3</v>
          </cell>
          <cell r="H9378" t="str">
            <v>hydro</v>
          </cell>
        </row>
        <row r="9379">
          <cell r="C9379" t="str">
            <v>HY</v>
          </cell>
          <cell r="D9379">
            <v>5</v>
          </cell>
          <cell r="H9379" t="str">
            <v>hydro</v>
          </cell>
        </row>
        <row r="9380">
          <cell r="C9380" t="str">
            <v>HY</v>
          </cell>
          <cell r="D9380">
            <v>1.1000000000000001</v>
          </cell>
          <cell r="H9380" t="str">
            <v>hydro</v>
          </cell>
        </row>
        <row r="9381">
          <cell r="C9381" t="str">
            <v>HY</v>
          </cell>
          <cell r="D9381">
            <v>1.1000000000000001</v>
          </cell>
          <cell r="H9381" t="str">
            <v>hydro</v>
          </cell>
        </row>
        <row r="9382">
          <cell r="C9382" t="str">
            <v>WT</v>
          </cell>
          <cell r="D9382">
            <v>11.7</v>
          </cell>
          <cell r="H9382" t="str">
            <v>onshore wind</v>
          </cell>
        </row>
        <row r="9383">
          <cell r="C9383" t="str">
            <v>IC</v>
          </cell>
          <cell r="D9383">
            <v>1.7</v>
          </cell>
          <cell r="H9383" t="str">
            <v>natural gas peaker</v>
          </cell>
        </row>
        <row r="9384">
          <cell r="C9384" t="str">
            <v>IC</v>
          </cell>
          <cell r="D9384">
            <v>2.1</v>
          </cell>
          <cell r="H9384" t="str">
            <v>natural gas peaker</v>
          </cell>
        </row>
        <row r="9385">
          <cell r="C9385" t="str">
            <v>CT</v>
          </cell>
          <cell r="D9385">
            <v>76.900000000000006</v>
          </cell>
          <cell r="H9385" t="str">
            <v>natural gas nonpeaker</v>
          </cell>
        </row>
        <row r="9386">
          <cell r="C9386" t="str">
            <v>CA</v>
          </cell>
          <cell r="D9386" t="str">
            <v xml:space="preserve"> </v>
          </cell>
          <cell r="H9386" t="str">
            <v>natural gas nonpeaker</v>
          </cell>
        </row>
        <row r="9387">
          <cell r="C9387" t="str">
            <v>CT</v>
          </cell>
          <cell r="D9387">
            <v>272.3</v>
          </cell>
          <cell r="H9387" t="str">
            <v>natural gas nonpeaker</v>
          </cell>
        </row>
        <row r="9388">
          <cell r="C9388" t="str">
            <v>CT</v>
          </cell>
          <cell r="D9388" t="str">
            <v xml:space="preserve"> </v>
          </cell>
          <cell r="H9388" t="str">
            <v>natural gas nonpeaker</v>
          </cell>
        </row>
        <row r="9389">
          <cell r="C9389" t="str">
            <v>CA</v>
          </cell>
          <cell r="D9389" t="str">
            <v xml:space="preserve"> </v>
          </cell>
          <cell r="H9389" t="str">
            <v>natural gas nonpeaker</v>
          </cell>
        </row>
        <row r="9390">
          <cell r="C9390" t="str">
            <v>CT</v>
          </cell>
          <cell r="D9390">
            <v>83</v>
          </cell>
          <cell r="H9390" t="str">
            <v>natural gas nonpeaker</v>
          </cell>
        </row>
        <row r="9391">
          <cell r="C9391" t="str">
            <v>CT</v>
          </cell>
          <cell r="D9391">
            <v>83</v>
          </cell>
          <cell r="H9391" t="str">
            <v>natural gas nonpeaker</v>
          </cell>
        </row>
        <row r="9392">
          <cell r="C9392" t="str">
            <v>CA</v>
          </cell>
          <cell r="D9392">
            <v>79</v>
          </cell>
          <cell r="H9392" t="str">
            <v>natural gas nonpeaker</v>
          </cell>
        </row>
        <row r="9393">
          <cell r="C9393" t="str">
            <v>HY</v>
          </cell>
          <cell r="D9393">
            <v>1.5</v>
          </cell>
          <cell r="H9393" t="str">
            <v>hydro</v>
          </cell>
        </row>
        <row r="9394">
          <cell r="C9394" t="str">
            <v>HY</v>
          </cell>
          <cell r="D9394">
            <v>4</v>
          </cell>
          <cell r="H9394" t="str">
            <v>hydro</v>
          </cell>
        </row>
        <row r="9395">
          <cell r="C9395" t="str">
            <v>HY</v>
          </cell>
          <cell r="D9395">
            <v>1</v>
          </cell>
          <cell r="H9395" t="str">
            <v>hydro</v>
          </cell>
        </row>
        <row r="9396">
          <cell r="C9396" t="str">
            <v>HY</v>
          </cell>
          <cell r="D9396">
            <v>2.9</v>
          </cell>
          <cell r="H9396" t="str">
            <v>hydro</v>
          </cell>
        </row>
        <row r="9397">
          <cell r="C9397" t="str">
            <v>HY</v>
          </cell>
          <cell r="D9397">
            <v>2.9</v>
          </cell>
          <cell r="H9397" t="str">
            <v>hydro</v>
          </cell>
        </row>
        <row r="9398">
          <cell r="C9398" t="str">
            <v>HY</v>
          </cell>
          <cell r="D9398">
            <v>2.9</v>
          </cell>
          <cell r="H9398" t="str">
            <v>hydro</v>
          </cell>
        </row>
        <row r="9399">
          <cell r="C9399" t="str">
            <v>ST</v>
          </cell>
          <cell r="D9399">
            <v>50</v>
          </cell>
          <cell r="H9399" t="str">
            <v>hard coal</v>
          </cell>
        </row>
        <row r="9400">
          <cell r="C9400" t="str">
            <v>IC</v>
          </cell>
          <cell r="D9400">
            <v>5.2</v>
          </cell>
          <cell r="H9400" t="str">
            <v>petroleum</v>
          </cell>
        </row>
        <row r="9401">
          <cell r="C9401" t="str">
            <v>CA</v>
          </cell>
          <cell r="D9401">
            <v>13.4</v>
          </cell>
          <cell r="H9401" t="str">
            <v>natural gas nonpeaker</v>
          </cell>
        </row>
        <row r="9402">
          <cell r="C9402" t="str">
            <v>CT</v>
          </cell>
          <cell r="D9402">
            <v>88</v>
          </cell>
          <cell r="H9402" t="str">
            <v>natural gas nonpeaker</v>
          </cell>
        </row>
        <row r="9403">
          <cell r="C9403" t="str">
            <v>CT</v>
          </cell>
          <cell r="D9403">
            <v>88</v>
          </cell>
          <cell r="H9403" t="str">
            <v>natural gas nonpeaker</v>
          </cell>
        </row>
        <row r="9404">
          <cell r="C9404" t="str">
            <v>CT</v>
          </cell>
          <cell r="D9404">
            <v>88</v>
          </cell>
          <cell r="H9404" t="str">
            <v>natural gas nonpeaker</v>
          </cell>
        </row>
        <row r="9405">
          <cell r="C9405" t="str">
            <v>CT</v>
          </cell>
          <cell r="D9405">
            <v>88</v>
          </cell>
          <cell r="H9405" t="str">
            <v>natural gas nonpeaker</v>
          </cell>
        </row>
        <row r="9406">
          <cell r="C9406" t="str">
            <v>CT</v>
          </cell>
          <cell r="D9406">
            <v>88</v>
          </cell>
          <cell r="H9406" t="str">
            <v>natural gas nonpeaker</v>
          </cell>
        </row>
        <row r="9407">
          <cell r="C9407" t="str">
            <v>CT</v>
          </cell>
          <cell r="D9407">
            <v>88</v>
          </cell>
          <cell r="H9407" t="str">
            <v>natural gas nonpeaker</v>
          </cell>
        </row>
        <row r="9408">
          <cell r="C9408" t="str">
            <v>CT</v>
          </cell>
          <cell r="D9408">
            <v>88</v>
          </cell>
          <cell r="H9408" t="str">
            <v>natural gas nonpeaker</v>
          </cell>
        </row>
        <row r="9409">
          <cell r="C9409" t="str">
            <v>CT</v>
          </cell>
          <cell r="D9409">
            <v>88</v>
          </cell>
          <cell r="H9409" t="str">
            <v>natural gas nonpeaker</v>
          </cell>
        </row>
        <row r="9410">
          <cell r="C9410" t="str">
            <v>CT</v>
          </cell>
          <cell r="D9410">
            <v>88</v>
          </cell>
          <cell r="H9410" t="str">
            <v>natural gas nonpeaker</v>
          </cell>
        </row>
        <row r="9411">
          <cell r="C9411" t="str">
            <v>CT</v>
          </cell>
          <cell r="D9411">
            <v>88</v>
          </cell>
          <cell r="H9411" t="str">
            <v>natural gas nonpeaker</v>
          </cell>
        </row>
        <row r="9412">
          <cell r="C9412" t="str">
            <v>CT</v>
          </cell>
          <cell r="D9412">
            <v>88</v>
          </cell>
          <cell r="H9412" t="str">
            <v>natural gas nonpeaker</v>
          </cell>
        </row>
        <row r="9413">
          <cell r="C9413" t="str">
            <v>CT</v>
          </cell>
          <cell r="D9413">
            <v>88</v>
          </cell>
          <cell r="H9413" t="str">
            <v>natural gas nonpeaker</v>
          </cell>
        </row>
        <row r="9414">
          <cell r="C9414" t="str">
            <v>CA</v>
          </cell>
          <cell r="D9414">
            <v>410</v>
          </cell>
          <cell r="H9414" t="str">
            <v>natural gas nonpeaker</v>
          </cell>
        </row>
        <row r="9415">
          <cell r="C9415" t="str">
            <v>CA</v>
          </cell>
          <cell r="D9415">
            <v>380</v>
          </cell>
          <cell r="H9415" t="str">
            <v>natural gas nonpeaker</v>
          </cell>
        </row>
        <row r="9416">
          <cell r="C9416" t="str">
            <v>ST</v>
          </cell>
          <cell r="D9416">
            <v>75</v>
          </cell>
          <cell r="H9416" t="str">
            <v>municipal solid waste</v>
          </cell>
        </row>
        <row r="9417">
          <cell r="C9417" t="str">
            <v>IC</v>
          </cell>
          <cell r="D9417">
            <v>1.6</v>
          </cell>
          <cell r="H9417" t="str">
            <v>biomass</v>
          </cell>
        </row>
        <row r="9418">
          <cell r="C9418" t="str">
            <v>IC</v>
          </cell>
          <cell r="D9418">
            <v>1</v>
          </cell>
          <cell r="H9418" t="str">
            <v>biomass</v>
          </cell>
        </row>
        <row r="9419">
          <cell r="C9419" t="str">
            <v>IC</v>
          </cell>
          <cell r="D9419">
            <v>1</v>
          </cell>
          <cell r="H9419" t="str">
            <v>biomass</v>
          </cell>
        </row>
        <row r="9420">
          <cell r="C9420" t="str">
            <v>IC</v>
          </cell>
          <cell r="D9420">
            <v>1.2</v>
          </cell>
          <cell r="H9420" t="str">
            <v>biomass</v>
          </cell>
        </row>
        <row r="9421">
          <cell r="C9421" t="str">
            <v>CT</v>
          </cell>
          <cell r="D9421">
            <v>144.69999999999999</v>
          </cell>
          <cell r="H9421" t="str">
            <v>natural gas nonpeaker</v>
          </cell>
        </row>
        <row r="9422">
          <cell r="C9422" t="str">
            <v>CA</v>
          </cell>
          <cell r="D9422" t="str">
            <v xml:space="preserve"> </v>
          </cell>
          <cell r="H9422" t="str">
            <v>natural gas nonpeaker</v>
          </cell>
        </row>
        <row r="9423">
          <cell r="C9423" t="str">
            <v>HY</v>
          </cell>
          <cell r="D9423">
            <v>3.6</v>
          </cell>
          <cell r="H9423" t="str">
            <v>hydro</v>
          </cell>
        </row>
        <row r="9424">
          <cell r="C9424" t="str">
            <v>HY</v>
          </cell>
          <cell r="D9424">
            <v>4.9000000000000004</v>
          </cell>
          <cell r="H9424" t="str">
            <v>hydro</v>
          </cell>
        </row>
        <row r="9425">
          <cell r="C9425" t="str">
            <v>CT</v>
          </cell>
          <cell r="D9425">
            <v>13</v>
          </cell>
          <cell r="H9425" t="str">
            <v>natural gas nonpeaker</v>
          </cell>
        </row>
        <row r="9426">
          <cell r="C9426" t="str">
            <v>CT</v>
          </cell>
          <cell r="D9426">
            <v>13</v>
          </cell>
          <cell r="H9426" t="str">
            <v>natural gas nonpeaker</v>
          </cell>
        </row>
        <row r="9427">
          <cell r="C9427" t="str">
            <v>CT</v>
          </cell>
          <cell r="D9427">
            <v>13</v>
          </cell>
          <cell r="H9427" t="str">
            <v>natural gas nonpeaker</v>
          </cell>
        </row>
        <row r="9428">
          <cell r="C9428" t="str">
            <v>CA</v>
          </cell>
          <cell r="D9428">
            <v>34</v>
          </cell>
          <cell r="H9428" t="str">
            <v>natural gas nonpeaker</v>
          </cell>
        </row>
        <row r="9429">
          <cell r="C9429" t="str">
            <v>ST</v>
          </cell>
          <cell r="D9429">
            <v>50</v>
          </cell>
          <cell r="H9429" t="str">
            <v>geothermal</v>
          </cell>
        </row>
        <row r="9430">
          <cell r="C9430" t="str">
            <v>CT</v>
          </cell>
          <cell r="D9430">
            <v>41</v>
          </cell>
          <cell r="H9430" t="str">
            <v>natural gas nonpeaker</v>
          </cell>
        </row>
        <row r="9431">
          <cell r="C9431" t="str">
            <v>CA</v>
          </cell>
          <cell r="D9431">
            <v>9</v>
          </cell>
          <cell r="H9431" t="str">
            <v>natural gas nonpeaker</v>
          </cell>
        </row>
        <row r="9432">
          <cell r="C9432" t="str">
            <v>CT</v>
          </cell>
          <cell r="D9432">
            <v>45</v>
          </cell>
          <cell r="H9432" t="str">
            <v>natural gas nonpeaker</v>
          </cell>
        </row>
        <row r="9433">
          <cell r="C9433" t="str">
            <v>CT</v>
          </cell>
          <cell r="D9433">
            <v>45</v>
          </cell>
          <cell r="H9433" t="str">
            <v>natural gas nonpeaker</v>
          </cell>
        </row>
        <row r="9434">
          <cell r="C9434" t="str">
            <v>CT</v>
          </cell>
          <cell r="D9434">
            <v>45</v>
          </cell>
          <cell r="H9434" t="str">
            <v>natural gas nonpeaker</v>
          </cell>
        </row>
        <row r="9435">
          <cell r="C9435" t="str">
            <v>CT</v>
          </cell>
          <cell r="D9435">
            <v>45</v>
          </cell>
          <cell r="H9435" t="str">
            <v>natural gas nonpeaker</v>
          </cell>
        </row>
        <row r="9436">
          <cell r="C9436" t="str">
            <v>CA</v>
          </cell>
          <cell r="D9436">
            <v>26</v>
          </cell>
          <cell r="H9436" t="str">
            <v>natural gas nonpeaker</v>
          </cell>
        </row>
        <row r="9437">
          <cell r="C9437" t="str">
            <v>CA</v>
          </cell>
          <cell r="D9437">
            <v>26</v>
          </cell>
          <cell r="H9437" t="str">
            <v>natural gas nonpeaker</v>
          </cell>
        </row>
        <row r="9438">
          <cell r="C9438" t="str">
            <v>BT</v>
          </cell>
          <cell r="D9438">
            <v>5.3</v>
          </cell>
          <cell r="H9438" t="str">
            <v>geothermal</v>
          </cell>
        </row>
        <row r="9439">
          <cell r="C9439" t="str">
            <v>ST</v>
          </cell>
          <cell r="D9439">
            <v>14.4</v>
          </cell>
          <cell r="H9439" t="str">
            <v>geothermal</v>
          </cell>
        </row>
        <row r="9440">
          <cell r="C9440" t="str">
            <v>ST</v>
          </cell>
          <cell r="D9440">
            <v>11.5</v>
          </cell>
          <cell r="H9440" t="str">
            <v>biomass</v>
          </cell>
        </row>
        <row r="9441">
          <cell r="C9441" t="str">
            <v>ST</v>
          </cell>
          <cell r="D9441">
            <v>20.2</v>
          </cell>
          <cell r="H9441" t="str">
            <v>biomass</v>
          </cell>
        </row>
        <row r="9442">
          <cell r="C9442" t="str">
            <v>ST</v>
          </cell>
          <cell r="D9442">
            <v>20.399999999999999</v>
          </cell>
          <cell r="H9442" t="str">
            <v>biomass</v>
          </cell>
        </row>
        <row r="9443">
          <cell r="C9443" t="str">
            <v>ST</v>
          </cell>
          <cell r="D9443">
            <v>24.3</v>
          </cell>
          <cell r="H9443" t="str">
            <v>biomass</v>
          </cell>
        </row>
        <row r="9444">
          <cell r="C9444" t="str">
            <v>ST</v>
          </cell>
          <cell r="D9444">
            <v>51</v>
          </cell>
          <cell r="H9444" t="str">
            <v>biomass</v>
          </cell>
        </row>
        <row r="9445">
          <cell r="C9445" t="str">
            <v>ST</v>
          </cell>
          <cell r="D9445">
            <v>24.4</v>
          </cell>
          <cell r="H9445" t="str">
            <v>biomass</v>
          </cell>
        </row>
        <row r="9446">
          <cell r="C9446" t="str">
            <v>ST</v>
          </cell>
          <cell r="D9446">
            <v>51</v>
          </cell>
          <cell r="H9446" t="str">
            <v>biomass</v>
          </cell>
        </row>
        <row r="9447">
          <cell r="C9447" t="str">
            <v>ST</v>
          </cell>
          <cell r="D9447">
            <v>51</v>
          </cell>
          <cell r="H9447" t="str">
            <v>biomass</v>
          </cell>
        </row>
        <row r="9448">
          <cell r="C9448" t="str">
            <v>GT</v>
          </cell>
          <cell r="D9448">
            <v>48.5</v>
          </cell>
          <cell r="H9448" t="str">
            <v>natural gas peaker</v>
          </cell>
        </row>
        <row r="9449">
          <cell r="C9449" t="str">
            <v>ST</v>
          </cell>
          <cell r="D9449">
            <v>30</v>
          </cell>
          <cell r="H9449" t="str">
            <v>biomass</v>
          </cell>
        </row>
        <row r="9450">
          <cell r="C9450" t="str">
            <v>HY</v>
          </cell>
          <cell r="D9450">
            <v>0.2</v>
          </cell>
          <cell r="H9450" t="str">
            <v>hydro</v>
          </cell>
        </row>
        <row r="9451">
          <cell r="C9451" t="str">
            <v>HY</v>
          </cell>
          <cell r="D9451">
            <v>0.3</v>
          </cell>
          <cell r="H9451" t="str">
            <v>hydro</v>
          </cell>
        </row>
        <row r="9452">
          <cell r="C9452" t="str">
            <v>HY</v>
          </cell>
          <cell r="D9452">
            <v>0.8</v>
          </cell>
          <cell r="H9452" t="str">
            <v>hydro</v>
          </cell>
        </row>
        <row r="9453">
          <cell r="C9453" t="str">
            <v>ST</v>
          </cell>
          <cell r="D9453">
            <v>38</v>
          </cell>
          <cell r="H9453" t="str">
            <v>hard coal</v>
          </cell>
        </row>
        <row r="9454">
          <cell r="C9454" t="str">
            <v>HY</v>
          </cell>
          <cell r="D9454">
            <v>1</v>
          </cell>
          <cell r="H9454" t="str">
            <v>hydro</v>
          </cell>
        </row>
        <row r="9455">
          <cell r="C9455" t="str">
            <v>CT</v>
          </cell>
          <cell r="D9455">
            <v>82</v>
          </cell>
          <cell r="H9455" t="str">
            <v>natural gas nonpeaker</v>
          </cell>
        </row>
        <row r="9456">
          <cell r="C9456" t="str">
            <v>CA</v>
          </cell>
          <cell r="D9456">
            <v>5</v>
          </cell>
          <cell r="H9456" t="str">
            <v>natural gas nonpeaker</v>
          </cell>
        </row>
        <row r="9457">
          <cell r="C9457" t="str">
            <v>CT</v>
          </cell>
          <cell r="D9457">
            <v>160</v>
          </cell>
          <cell r="H9457" t="str">
            <v>natural gas nonpeaker</v>
          </cell>
        </row>
        <row r="9458">
          <cell r="C9458" t="str">
            <v>CT</v>
          </cell>
          <cell r="D9458">
            <v>160</v>
          </cell>
          <cell r="H9458" t="str">
            <v>natural gas nonpeaker</v>
          </cell>
        </row>
        <row r="9459">
          <cell r="C9459" t="str">
            <v>CA</v>
          </cell>
          <cell r="D9459">
            <v>100</v>
          </cell>
          <cell r="H9459" t="str">
            <v>natural gas nonpeaker</v>
          </cell>
        </row>
        <row r="9460">
          <cell r="C9460" t="str">
            <v>GT</v>
          </cell>
          <cell r="D9460">
            <v>75</v>
          </cell>
          <cell r="H9460" t="str">
            <v>natural gas peaker</v>
          </cell>
        </row>
        <row r="9461">
          <cell r="C9461" t="str">
            <v>ST</v>
          </cell>
          <cell r="D9461">
            <v>17.5</v>
          </cell>
          <cell r="H9461" t="str">
            <v>natural gas peaker</v>
          </cell>
        </row>
        <row r="9462">
          <cell r="C9462" t="str">
            <v>HY</v>
          </cell>
          <cell r="D9462">
            <v>2</v>
          </cell>
          <cell r="H9462" t="str">
            <v>hydro</v>
          </cell>
        </row>
        <row r="9463">
          <cell r="C9463" t="str">
            <v>HY</v>
          </cell>
          <cell r="D9463">
            <v>0.8</v>
          </cell>
          <cell r="H9463" t="str">
            <v>hydro</v>
          </cell>
        </row>
        <row r="9464">
          <cell r="C9464" t="str">
            <v>HY</v>
          </cell>
          <cell r="D9464">
            <v>0.2</v>
          </cell>
          <cell r="H9464" t="str">
            <v>hydro</v>
          </cell>
        </row>
        <row r="9465">
          <cell r="C9465" t="str">
            <v>HY</v>
          </cell>
          <cell r="D9465">
            <v>2</v>
          </cell>
          <cell r="H9465" t="str">
            <v>hydro</v>
          </cell>
        </row>
        <row r="9466">
          <cell r="C9466" t="str">
            <v>HY</v>
          </cell>
          <cell r="D9466">
            <v>1.9</v>
          </cell>
          <cell r="H9466" t="str">
            <v>hydro</v>
          </cell>
        </row>
        <row r="9467">
          <cell r="C9467" t="str">
            <v>HY</v>
          </cell>
          <cell r="D9467">
            <v>3.1</v>
          </cell>
          <cell r="H9467" t="str">
            <v>hydro</v>
          </cell>
        </row>
        <row r="9468">
          <cell r="C9468" t="str">
            <v>HY</v>
          </cell>
          <cell r="D9468">
            <v>3</v>
          </cell>
          <cell r="H9468" t="str">
            <v>hydro</v>
          </cell>
        </row>
        <row r="9469">
          <cell r="C9469" t="str">
            <v>HY</v>
          </cell>
          <cell r="D9469">
            <v>3</v>
          </cell>
          <cell r="H9469" t="str">
            <v>hydro</v>
          </cell>
        </row>
        <row r="9470">
          <cell r="C9470" t="str">
            <v>ST</v>
          </cell>
          <cell r="D9470">
            <v>23</v>
          </cell>
          <cell r="H9470" t="str">
            <v>natural gas peaker</v>
          </cell>
        </row>
        <row r="9471">
          <cell r="C9471" t="str">
            <v>CT</v>
          </cell>
          <cell r="D9471">
            <v>20</v>
          </cell>
          <cell r="H9471" t="str">
            <v>natural gas nonpeaker</v>
          </cell>
        </row>
        <row r="9472">
          <cell r="C9472" t="str">
            <v>CA</v>
          </cell>
          <cell r="D9472">
            <v>4.5</v>
          </cell>
          <cell r="H9472" t="str">
            <v>natural gas nonpeaker</v>
          </cell>
        </row>
        <row r="9473">
          <cell r="C9473" t="str">
            <v>HY</v>
          </cell>
          <cell r="D9473">
            <v>2</v>
          </cell>
          <cell r="H9473" t="str">
            <v>hydro</v>
          </cell>
        </row>
        <row r="9474">
          <cell r="C9474" t="str">
            <v>HY</v>
          </cell>
          <cell r="D9474">
            <v>4.8</v>
          </cell>
          <cell r="H9474" t="str">
            <v>hydro</v>
          </cell>
        </row>
        <row r="9475">
          <cell r="C9475" t="str">
            <v>HY</v>
          </cell>
          <cell r="D9475">
            <v>2.7</v>
          </cell>
          <cell r="H9475" t="str">
            <v>hydro</v>
          </cell>
        </row>
        <row r="9476">
          <cell r="C9476" t="str">
            <v>HY</v>
          </cell>
          <cell r="D9476">
            <v>1.8</v>
          </cell>
          <cell r="H9476" t="str">
            <v>hydro</v>
          </cell>
        </row>
        <row r="9477">
          <cell r="C9477" t="str">
            <v>HY</v>
          </cell>
          <cell r="D9477">
            <v>0.5</v>
          </cell>
          <cell r="H9477" t="str">
            <v>hydro</v>
          </cell>
        </row>
        <row r="9478">
          <cell r="C9478" t="str">
            <v>HY</v>
          </cell>
          <cell r="D9478">
            <v>0.5</v>
          </cell>
          <cell r="H9478" t="str">
            <v>hydro</v>
          </cell>
        </row>
        <row r="9479">
          <cell r="C9479" t="str">
            <v>CT</v>
          </cell>
          <cell r="D9479">
            <v>22</v>
          </cell>
          <cell r="H9479" t="str">
            <v>natural gas nonpeaker</v>
          </cell>
        </row>
        <row r="9480">
          <cell r="C9480" t="str">
            <v>CA</v>
          </cell>
          <cell r="D9480">
            <v>8</v>
          </cell>
          <cell r="H9480" t="str">
            <v>natural gas nonpeaker</v>
          </cell>
        </row>
        <row r="9481">
          <cell r="C9481" t="str">
            <v>ST</v>
          </cell>
          <cell r="D9481">
            <v>38</v>
          </cell>
          <cell r="H9481" t="str">
            <v>biomass</v>
          </cell>
        </row>
        <row r="9482">
          <cell r="C9482" t="str">
            <v>GT</v>
          </cell>
          <cell r="D9482">
            <v>22</v>
          </cell>
          <cell r="H9482" t="str">
            <v>petroleum</v>
          </cell>
        </row>
        <row r="9483">
          <cell r="C9483" t="str">
            <v>GT</v>
          </cell>
          <cell r="D9483">
            <v>22</v>
          </cell>
          <cell r="H9483" t="str">
            <v>petroleum</v>
          </cell>
        </row>
        <row r="9484">
          <cell r="C9484" t="str">
            <v>HY</v>
          </cell>
          <cell r="D9484">
            <v>1</v>
          </cell>
          <cell r="H9484" t="str">
            <v>hydro</v>
          </cell>
        </row>
        <row r="9485">
          <cell r="C9485" t="str">
            <v>HY</v>
          </cell>
          <cell r="D9485">
            <v>1</v>
          </cell>
          <cell r="H9485" t="str">
            <v>hydro</v>
          </cell>
        </row>
        <row r="9486">
          <cell r="C9486" t="str">
            <v>PV</v>
          </cell>
          <cell r="D9486">
            <v>0.1</v>
          </cell>
          <cell r="H9486" t="str">
            <v>solar PV</v>
          </cell>
        </row>
        <row r="9487">
          <cell r="C9487" t="str">
            <v>ST</v>
          </cell>
          <cell r="D9487">
            <v>9</v>
          </cell>
          <cell r="H9487" t="str">
            <v>biomass</v>
          </cell>
        </row>
        <row r="9488">
          <cell r="C9488" t="str">
            <v>WT</v>
          </cell>
          <cell r="D9488">
            <v>0.6</v>
          </cell>
          <cell r="H9488" t="str">
            <v>onshore wind</v>
          </cell>
        </row>
        <row r="9489">
          <cell r="C9489" t="str">
            <v>WT</v>
          </cell>
          <cell r="D9489">
            <v>0.6</v>
          </cell>
          <cell r="H9489" t="str">
            <v>onshore wind</v>
          </cell>
        </row>
        <row r="9490">
          <cell r="C9490" t="str">
            <v>HY</v>
          </cell>
          <cell r="D9490">
            <v>3</v>
          </cell>
          <cell r="H9490" t="str">
            <v>hydro</v>
          </cell>
        </row>
        <row r="9491">
          <cell r="C9491" t="str">
            <v>HY</v>
          </cell>
          <cell r="D9491">
            <v>1</v>
          </cell>
          <cell r="H9491" t="str">
            <v>hydro</v>
          </cell>
        </row>
        <row r="9492">
          <cell r="C9492" t="str">
            <v>HY</v>
          </cell>
          <cell r="D9492">
            <v>1</v>
          </cell>
          <cell r="H9492" t="str">
            <v>hydro</v>
          </cell>
        </row>
        <row r="9493">
          <cell r="C9493" t="str">
            <v>ST</v>
          </cell>
          <cell r="D9493">
            <v>25</v>
          </cell>
          <cell r="H9493" t="str">
            <v>biomass</v>
          </cell>
        </row>
        <row r="9494">
          <cell r="C9494" t="str">
            <v>ST</v>
          </cell>
          <cell r="D9494">
            <v>25</v>
          </cell>
          <cell r="H9494" t="str">
            <v>biomass</v>
          </cell>
        </row>
        <row r="9495">
          <cell r="C9495" t="str">
            <v>ST</v>
          </cell>
          <cell r="D9495">
            <v>16.100000000000001</v>
          </cell>
          <cell r="H9495" t="str">
            <v>biomass</v>
          </cell>
        </row>
        <row r="9496">
          <cell r="C9496" t="str">
            <v>ST</v>
          </cell>
          <cell r="D9496">
            <v>17</v>
          </cell>
          <cell r="H9496" t="str">
            <v>biomass</v>
          </cell>
        </row>
        <row r="9497">
          <cell r="C9497" t="str">
            <v>ST</v>
          </cell>
          <cell r="D9497">
            <v>27</v>
          </cell>
          <cell r="H9497" t="str">
            <v>biomass</v>
          </cell>
        </row>
        <row r="9498">
          <cell r="C9498" t="str">
            <v>ST</v>
          </cell>
          <cell r="D9498">
            <v>22</v>
          </cell>
          <cell r="H9498" t="str">
            <v>biomass</v>
          </cell>
        </row>
        <row r="9499">
          <cell r="C9499" t="str">
            <v>HY</v>
          </cell>
          <cell r="D9499">
            <v>1.1000000000000001</v>
          </cell>
          <cell r="H9499" t="str">
            <v>hydro</v>
          </cell>
        </row>
        <row r="9500">
          <cell r="C9500" t="str">
            <v>HY</v>
          </cell>
          <cell r="D9500">
            <v>0.8</v>
          </cell>
          <cell r="H9500" t="str">
            <v>hydro</v>
          </cell>
        </row>
        <row r="9501">
          <cell r="C9501" t="str">
            <v>HY</v>
          </cell>
          <cell r="D9501">
            <v>0.4</v>
          </cell>
          <cell r="H9501" t="str">
            <v>hydro</v>
          </cell>
        </row>
        <row r="9502">
          <cell r="C9502" t="str">
            <v>ST</v>
          </cell>
          <cell r="D9502">
            <v>36</v>
          </cell>
          <cell r="H9502" t="str">
            <v>hard coal</v>
          </cell>
        </row>
        <row r="9503">
          <cell r="C9503" t="str">
            <v>ST</v>
          </cell>
          <cell r="D9503">
            <v>69</v>
          </cell>
          <cell r="H9503" t="str">
            <v>hard coal</v>
          </cell>
        </row>
        <row r="9504">
          <cell r="C9504" t="str">
            <v>HY</v>
          </cell>
          <cell r="D9504">
            <v>0.3</v>
          </cell>
          <cell r="H9504" t="str">
            <v>hydro</v>
          </cell>
        </row>
        <row r="9505">
          <cell r="C9505" t="str">
            <v>HY</v>
          </cell>
          <cell r="D9505">
            <v>0.3</v>
          </cell>
          <cell r="H9505" t="str">
            <v>hydro</v>
          </cell>
        </row>
        <row r="9506">
          <cell r="C9506" t="str">
            <v>HY</v>
          </cell>
          <cell r="D9506">
            <v>0.2</v>
          </cell>
          <cell r="H9506" t="str">
            <v>hydro</v>
          </cell>
        </row>
        <row r="9507">
          <cell r="C9507" t="str">
            <v>ST</v>
          </cell>
          <cell r="D9507">
            <v>18.7</v>
          </cell>
          <cell r="H9507" t="str">
            <v>natural gas peaker</v>
          </cell>
        </row>
        <row r="9508">
          <cell r="C9508" t="str">
            <v>ST</v>
          </cell>
          <cell r="D9508">
            <v>18</v>
          </cell>
          <cell r="H9508" t="str">
            <v>natural gas peaker</v>
          </cell>
        </row>
        <row r="9509">
          <cell r="C9509" t="str">
            <v>ST</v>
          </cell>
          <cell r="D9509">
            <v>75</v>
          </cell>
          <cell r="H9509" t="str">
            <v>hard coal</v>
          </cell>
        </row>
        <row r="9510">
          <cell r="C9510" t="str">
            <v>ST</v>
          </cell>
          <cell r="D9510">
            <v>105</v>
          </cell>
          <cell r="H9510" t="str">
            <v>hard coal</v>
          </cell>
        </row>
        <row r="9511">
          <cell r="C9511" t="str">
            <v>ST</v>
          </cell>
          <cell r="D9511">
            <v>7.9</v>
          </cell>
          <cell r="H9511" t="str">
            <v>hard coal</v>
          </cell>
        </row>
        <row r="9512">
          <cell r="C9512" t="str">
            <v>ST</v>
          </cell>
          <cell r="D9512">
            <v>7.9</v>
          </cell>
          <cell r="H9512" t="str">
            <v>hard coal</v>
          </cell>
        </row>
        <row r="9513">
          <cell r="C9513" t="str">
            <v>ST</v>
          </cell>
          <cell r="D9513">
            <v>6.2</v>
          </cell>
          <cell r="H9513" t="str">
            <v>hard coal</v>
          </cell>
        </row>
        <row r="9514">
          <cell r="C9514" t="str">
            <v>ST</v>
          </cell>
          <cell r="D9514">
            <v>31</v>
          </cell>
          <cell r="H9514" t="str">
            <v>hard coal</v>
          </cell>
        </row>
        <row r="9515">
          <cell r="C9515" t="str">
            <v>ST</v>
          </cell>
          <cell r="D9515">
            <v>31</v>
          </cell>
          <cell r="H9515" t="str">
            <v>hard coal</v>
          </cell>
        </row>
        <row r="9516">
          <cell r="C9516" t="str">
            <v>ST</v>
          </cell>
          <cell r="D9516">
            <v>31</v>
          </cell>
          <cell r="H9516" t="str">
            <v>hard coal</v>
          </cell>
        </row>
        <row r="9517">
          <cell r="C9517" t="str">
            <v>ST</v>
          </cell>
          <cell r="D9517">
            <v>31</v>
          </cell>
          <cell r="H9517" t="str">
            <v>hard coal</v>
          </cell>
        </row>
        <row r="9518">
          <cell r="C9518" t="str">
            <v>ST</v>
          </cell>
          <cell r="D9518">
            <v>31</v>
          </cell>
          <cell r="H9518" t="str">
            <v>hard coal</v>
          </cell>
        </row>
        <row r="9519">
          <cell r="C9519" t="str">
            <v>ST</v>
          </cell>
          <cell r="D9519">
            <v>105</v>
          </cell>
          <cell r="H9519" t="str">
            <v>hard coal</v>
          </cell>
        </row>
        <row r="9520">
          <cell r="C9520" t="str">
            <v>GT</v>
          </cell>
          <cell r="D9520">
            <v>35</v>
          </cell>
          <cell r="H9520" t="str">
            <v>natural gas peaker</v>
          </cell>
        </row>
        <row r="9521">
          <cell r="C9521" t="str">
            <v>ST</v>
          </cell>
          <cell r="D9521">
            <v>31</v>
          </cell>
          <cell r="H9521" t="str">
            <v>hard coal</v>
          </cell>
        </row>
        <row r="9522">
          <cell r="C9522" t="str">
            <v>ST</v>
          </cell>
          <cell r="D9522">
            <v>31</v>
          </cell>
          <cell r="H9522" t="str">
            <v>hard coal</v>
          </cell>
        </row>
        <row r="9523">
          <cell r="C9523" t="str">
            <v>ST</v>
          </cell>
          <cell r="D9523">
            <v>31</v>
          </cell>
          <cell r="H9523" t="str">
            <v>hard coal</v>
          </cell>
        </row>
        <row r="9524">
          <cell r="C9524" t="str">
            <v>ST</v>
          </cell>
          <cell r="D9524">
            <v>31</v>
          </cell>
          <cell r="H9524" t="str">
            <v>hard coal</v>
          </cell>
        </row>
        <row r="9525">
          <cell r="C9525" t="str">
            <v>ST</v>
          </cell>
          <cell r="D9525">
            <v>31</v>
          </cell>
          <cell r="H9525" t="str">
            <v>hard coal</v>
          </cell>
        </row>
        <row r="9526">
          <cell r="C9526" t="str">
            <v>ST</v>
          </cell>
          <cell r="D9526">
            <v>75</v>
          </cell>
          <cell r="H9526" t="str">
            <v>hard coal</v>
          </cell>
        </row>
        <row r="9527">
          <cell r="C9527" t="str">
            <v>ST</v>
          </cell>
          <cell r="D9527">
            <v>105</v>
          </cell>
          <cell r="H9527" t="str">
            <v>hard coal</v>
          </cell>
        </row>
        <row r="9528">
          <cell r="C9528" t="str">
            <v>GT</v>
          </cell>
          <cell r="D9528">
            <v>15</v>
          </cell>
          <cell r="H9528" t="str">
            <v>natural gas peaker</v>
          </cell>
        </row>
        <row r="9529">
          <cell r="C9529" t="str">
            <v>GT</v>
          </cell>
          <cell r="D9529">
            <v>15</v>
          </cell>
          <cell r="H9529" t="str">
            <v>natural gas peaker</v>
          </cell>
        </row>
        <row r="9530">
          <cell r="C9530" t="str">
            <v>ST</v>
          </cell>
          <cell r="D9530">
            <v>62</v>
          </cell>
          <cell r="H9530" t="str">
            <v>hard coal</v>
          </cell>
        </row>
        <row r="9531">
          <cell r="C9531" t="str">
            <v>ST</v>
          </cell>
          <cell r="D9531">
            <v>8.5</v>
          </cell>
          <cell r="H9531" t="str">
            <v>biomass</v>
          </cell>
        </row>
        <row r="9532">
          <cell r="C9532" t="str">
            <v>ST</v>
          </cell>
          <cell r="D9532">
            <v>14</v>
          </cell>
          <cell r="H9532" t="str">
            <v>biomass</v>
          </cell>
        </row>
        <row r="9533">
          <cell r="C9533" t="str">
            <v>ST</v>
          </cell>
          <cell r="D9533">
            <v>14</v>
          </cell>
          <cell r="H9533" t="str">
            <v>biomass</v>
          </cell>
        </row>
        <row r="9534">
          <cell r="C9534" t="str">
            <v>GT</v>
          </cell>
          <cell r="D9534">
            <v>58.9</v>
          </cell>
          <cell r="H9534" t="str">
            <v>natural gas peaker</v>
          </cell>
        </row>
        <row r="9535">
          <cell r="C9535" t="str">
            <v>GT</v>
          </cell>
          <cell r="D9535">
            <v>28.3</v>
          </cell>
          <cell r="H9535" t="str">
            <v>natural gas peaker</v>
          </cell>
        </row>
        <row r="9536">
          <cell r="C9536" t="str">
            <v>GT</v>
          </cell>
          <cell r="D9536">
            <v>29.3</v>
          </cell>
          <cell r="H9536" t="str">
            <v>natural gas peaker</v>
          </cell>
        </row>
        <row r="9537">
          <cell r="C9537" t="str">
            <v>GT</v>
          </cell>
          <cell r="D9537">
            <v>29.1</v>
          </cell>
          <cell r="H9537" t="str">
            <v>natural gas peaker</v>
          </cell>
        </row>
        <row r="9538">
          <cell r="C9538" t="str">
            <v>HY</v>
          </cell>
          <cell r="D9538">
            <v>0.2</v>
          </cell>
          <cell r="H9538" t="str">
            <v>hydro</v>
          </cell>
        </row>
        <row r="9539">
          <cell r="C9539" t="str">
            <v>ST</v>
          </cell>
          <cell r="D9539">
            <v>27.5</v>
          </cell>
          <cell r="H9539" t="str">
            <v>geothermal</v>
          </cell>
        </row>
        <row r="9540">
          <cell r="C9540" t="str">
            <v>ST</v>
          </cell>
          <cell r="D9540">
            <v>27</v>
          </cell>
          <cell r="H9540" t="str">
            <v>geothermal</v>
          </cell>
        </row>
        <row r="9541">
          <cell r="C9541" t="str">
            <v>ST</v>
          </cell>
          <cell r="D9541">
            <v>26.7</v>
          </cell>
          <cell r="H9541" t="str">
            <v>geothermal</v>
          </cell>
        </row>
        <row r="9542">
          <cell r="C9542" t="str">
            <v>ST</v>
          </cell>
          <cell r="D9542">
            <v>30</v>
          </cell>
          <cell r="H9542" t="str">
            <v>geothermal</v>
          </cell>
        </row>
        <row r="9543">
          <cell r="C9543" t="str">
            <v>ST</v>
          </cell>
          <cell r="D9543">
            <v>23.4</v>
          </cell>
          <cell r="H9543" t="str">
            <v>geothermal</v>
          </cell>
        </row>
        <row r="9544">
          <cell r="C9544" t="str">
            <v>ST</v>
          </cell>
          <cell r="D9544">
            <v>26.9</v>
          </cell>
          <cell r="H9544" t="str">
            <v>geothermal</v>
          </cell>
        </row>
        <row r="9545">
          <cell r="C9545" t="str">
            <v>ST</v>
          </cell>
          <cell r="D9545">
            <v>21.8</v>
          </cell>
          <cell r="H9545" t="str">
            <v>geothermal</v>
          </cell>
        </row>
        <row r="9546">
          <cell r="C9546" t="str">
            <v>ST</v>
          </cell>
          <cell r="D9546">
            <v>22.5</v>
          </cell>
          <cell r="H9546" t="str">
            <v>geothermal</v>
          </cell>
        </row>
        <row r="9547">
          <cell r="C9547" t="str">
            <v>ST</v>
          </cell>
          <cell r="D9547">
            <v>23.5</v>
          </cell>
          <cell r="H9547" t="str">
            <v>geothermal</v>
          </cell>
        </row>
        <row r="9548">
          <cell r="C9548" t="str">
            <v>ST</v>
          </cell>
          <cell r="D9548">
            <v>10</v>
          </cell>
          <cell r="H9548" t="str">
            <v>geothermal</v>
          </cell>
        </row>
        <row r="9549">
          <cell r="C9549" t="str">
            <v>ST</v>
          </cell>
          <cell r="D9549">
            <v>17</v>
          </cell>
          <cell r="H9549" t="str">
            <v>geothermal</v>
          </cell>
        </row>
        <row r="9550">
          <cell r="C9550" t="str">
            <v>ST</v>
          </cell>
          <cell r="D9550">
            <v>4</v>
          </cell>
          <cell r="H9550" t="str">
            <v>geothermal</v>
          </cell>
        </row>
        <row r="9551">
          <cell r="C9551" t="str">
            <v>ST</v>
          </cell>
          <cell r="D9551">
            <v>2.1</v>
          </cell>
          <cell r="H9551" t="str">
            <v>geothermal</v>
          </cell>
        </row>
        <row r="9552">
          <cell r="C9552" t="str">
            <v>HY</v>
          </cell>
          <cell r="D9552">
            <v>1.8</v>
          </cell>
          <cell r="H9552" t="str">
            <v>hydro</v>
          </cell>
        </row>
        <row r="9553">
          <cell r="C9553" t="str">
            <v>HY</v>
          </cell>
          <cell r="D9553">
            <v>2</v>
          </cell>
          <cell r="H9553" t="str">
            <v>hydro</v>
          </cell>
        </row>
        <row r="9554">
          <cell r="C9554" t="str">
            <v>HY</v>
          </cell>
          <cell r="D9554">
            <v>6.8</v>
          </cell>
          <cell r="H9554" t="str">
            <v>hydro</v>
          </cell>
        </row>
        <row r="9555">
          <cell r="C9555" t="str">
            <v>GT</v>
          </cell>
          <cell r="D9555">
            <v>12.5</v>
          </cell>
          <cell r="H9555" t="str">
            <v>natural gas peaker</v>
          </cell>
        </row>
        <row r="9556">
          <cell r="C9556" t="str">
            <v>GT</v>
          </cell>
          <cell r="D9556">
            <v>12.5</v>
          </cell>
          <cell r="H9556" t="str">
            <v>natural gas peaker</v>
          </cell>
        </row>
        <row r="9557">
          <cell r="C9557" t="str">
            <v>GT</v>
          </cell>
          <cell r="D9557">
            <v>13.5</v>
          </cell>
          <cell r="H9557" t="str">
            <v>natural gas peaker</v>
          </cell>
        </row>
        <row r="9558">
          <cell r="C9558" t="str">
            <v>IC</v>
          </cell>
          <cell r="D9558">
            <v>6</v>
          </cell>
          <cell r="H9558" t="str">
            <v>petroleum</v>
          </cell>
        </row>
        <row r="9559">
          <cell r="C9559" t="str">
            <v>IC</v>
          </cell>
          <cell r="D9559">
            <v>6</v>
          </cell>
          <cell r="H9559" t="str">
            <v>petroleum</v>
          </cell>
        </row>
        <row r="9560">
          <cell r="C9560" t="str">
            <v>IC</v>
          </cell>
          <cell r="D9560">
            <v>6</v>
          </cell>
          <cell r="H9560" t="str">
            <v>petroleum</v>
          </cell>
        </row>
        <row r="9561">
          <cell r="C9561" t="str">
            <v>IC</v>
          </cell>
          <cell r="D9561">
            <v>6</v>
          </cell>
          <cell r="H9561" t="str">
            <v>petroleum</v>
          </cell>
        </row>
        <row r="9562">
          <cell r="C9562" t="str">
            <v>IC</v>
          </cell>
          <cell r="D9562">
            <v>6</v>
          </cell>
          <cell r="H9562" t="str">
            <v>petroleum</v>
          </cell>
        </row>
        <row r="9563">
          <cell r="C9563" t="str">
            <v>IC</v>
          </cell>
          <cell r="D9563">
            <v>6</v>
          </cell>
          <cell r="H9563" t="str">
            <v>petroleum</v>
          </cell>
        </row>
        <row r="9564">
          <cell r="C9564" t="str">
            <v>ST</v>
          </cell>
          <cell r="D9564">
            <v>11</v>
          </cell>
          <cell r="H9564" t="str">
            <v>natural gas peaker</v>
          </cell>
        </row>
        <row r="9565">
          <cell r="C9565" t="str">
            <v>ST</v>
          </cell>
          <cell r="D9565">
            <v>11</v>
          </cell>
          <cell r="H9565" t="str">
            <v>natural gas peaker</v>
          </cell>
        </row>
        <row r="9566">
          <cell r="C9566" t="str">
            <v>GT</v>
          </cell>
          <cell r="D9566">
            <v>2.7</v>
          </cell>
          <cell r="H9566" t="str">
            <v>natural gas peaker</v>
          </cell>
        </row>
        <row r="9567">
          <cell r="C9567" t="str">
            <v>GT</v>
          </cell>
          <cell r="D9567">
            <v>2.7</v>
          </cell>
          <cell r="H9567" t="str">
            <v>natural gas peaker</v>
          </cell>
        </row>
        <row r="9568">
          <cell r="C9568" t="str">
            <v>HY</v>
          </cell>
          <cell r="D9568">
            <v>1.6</v>
          </cell>
          <cell r="H9568" t="str">
            <v>hydro</v>
          </cell>
        </row>
        <row r="9569">
          <cell r="C9569" t="str">
            <v>HY</v>
          </cell>
          <cell r="D9569">
            <v>6</v>
          </cell>
          <cell r="H9569" t="str">
            <v>hydro</v>
          </cell>
        </row>
        <row r="9570">
          <cell r="C9570" t="str">
            <v>HY</v>
          </cell>
          <cell r="D9570">
            <v>6</v>
          </cell>
          <cell r="H9570" t="str">
            <v>hydro</v>
          </cell>
        </row>
        <row r="9571">
          <cell r="C9571" t="str">
            <v>CT</v>
          </cell>
          <cell r="D9571">
            <v>35.200000000000003</v>
          </cell>
          <cell r="H9571" t="str">
            <v>natural gas nonpeaker</v>
          </cell>
        </row>
        <row r="9572">
          <cell r="C9572" t="str">
            <v>CT</v>
          </cell>
          <cell r="D9572">
            <v>35.200000000000003</v>
          </cell>
          <cell r="H9572" t="str">
            <v>natural gas nonpeaker</v>
          </cell>
        </row>
        <row r="9573">
          <cell r="C9573" t="str">
            <v>CT</v>
          </cell>
          <cell r="D9573">
            <v>35.200000000000003</v>
          </cell>
          <cell r="H9573" t="str">
            <v>natural gas nonpeaker</v>
          </cell>
        </row>
        <row r="9574">
          <cell r="C9574" t="str">
            <v>CA</v>
          </cell>
          <cell r="D9574">
            <v>45.8</v>
          </cell>
          <cell r="H9574" t="str">
            <v>natural gas nonpeaker</v>
          </cell>
        </row>
        <row r="9575">
          <cell r="C9575" t="str">
            <v>GT</v>
          </cell>
          <cell r="D9575">
            <v>46</v>
          </cell>
          <cell r="H9575" t="str">
            <v>natural gas peaker</v>
          </cell>
        </row>
        <row r="9576">
          <cell r="C9576" t="str">
            <v>CT</v>
          </cell>
          <cell r="D9576">
            <v>98.9</v>
          </cell>
          <cell r="H9576" t="str">
            <v>natural gas nonpeaker</v>
          </cell>
        </row>
        <row r="9577">
          <cell r="C9577" t="str">
            <v>CT</v>
          </cell>
          <cell r="D9577">
            <v>98.9</v>
          </cell>
          <cell r="H9577" t="str">
            <v>natural gas nonpeaker</v>
          </cell>
        </row>
        <row r="9578">
          <cell r="C9578" t="str">
            <v>CT</v>
          </cell>
          <cell r="D9578">
            <v>98.9</v>
          </cell>
          <cell r="H9578" t="str">
            <v>natural gas nonpeaker</v>
          </cell>
        </row>
        <row r="9579">
          <cell r="C9579" t="str">
            <v>CT</v>
          </cell>
          <cell r="D9579">
            <v>98.9</v>
          </cell>
          <cell r="H9579" t="str">
            <v>natural gas nonpeaker</v>
          </cell>
        </row>
        <row r="9580">
          <cell r="C9580" t="str">
            <v>CT</v>
          </cell>
          <cell r="D9580">
            <v>98.9</v>
          </cell>
          <cell r="H9580" t="str">
            <v>natural gas nonpeaker</v>
          </cell>
        </row>
        <row r="9581">
          <cell r="C9581" t="str">
            <v>CT</v>
          </cell>
          <cell r="D9581">
            <v>161.5</v>
          </cell>
          <cell r="H9581" t="str">
            <v>natural gas nonpeaker</v>
          </cell>
        </row>
        <row r="9582">
          <cell r="C9582" t="str">
            <v>CA</v>
          </cell>
          <cell r="D9582">
            <v>98.9</v>
          </cell>
          <cell r="H9582" t="str">
            <v>natural gas nonpeaker</v>
          </cell>
        </row>
        <row r="9583">
          <cell r="C9583" t="str">
            <v>CA</v>
          </cell>
          <cell r="D9583">
            <v>98.9</v>
          </cell>
          <cell r="H9583" t="str">
            <v>natural gas nonpeaker</v>
          </cell>
        </row>
        <row r="9584">
          <cell r="C9584" t="str">
            <v>CA</v>
          </cell>
          <cell r="D9584">
            <v>98.5</v>
          </cell>
          <cell r="H9584" t="str">
            <v>natural gas nonpeaker</v>
          </cell>
        </row>
        <row r="9585">
          <cell r="C9585" t="str">
            <v>HY</v>
          </cell>
          <cell r="D9585">
            <v>0.4</v>
          </cell>
          <cell r="H9585" t="str">
            <v>hydro</v>
          </cell>
        </row>
        <row r="9586">
          <cell r="C9586" t="str">
            <v>HY</v>
          </cell>
          <cell r="D9586">
            <v>0.4</v>
          </cell>
          <cell r="H9586" t="str">
            <v>hydro</v>
          </cell>
        </row>
        <row r="9587">
          <cell r="C9587" t="str">
            <v>HY</v>
          </cell>
          <cell r="D9587">
            <v>0.4</v>
          </cell>
          <cell r="H9587" t="str">
            <v>hydro</v>
          </cell>
        </row>
        <row r="9588">
          <cell r="C9588" t="str">
            <v>HY</v>
          </cell>
          <cell r="D9588">
            <v>0.4</v>
          </cell>
          <cell r="H9588" t="str">
            <v>hydro</v>
          </cell>
        </row>
        <row r="9589">
          <cell r="C9589" t="str">
            <v>HY</v>
          </cell>
          <cell r="D9589">
            <v>0.4</v>
          </cell>
          <cell r="H9589" t="str">
            <v>hydro</v>
          </cell>
        </row>
        <row r="9590">
          <cell r="C9590" t="str">
            <v>HY</v>
          </cell>
          <cell r="D9590">
            <v>0.4</v>
          </cell>
          <cell r="H9590" t="str">
            <v>hydro</v>
          </cell>
        </row>
        <row r="9591">
          <cell r="C9591" t="str">
            <v>HY</v>
          </cell>
          <cell r="D9591">
            <v>1.9</v>
          </cell>
          <cell r="H9591" t="str">
            <v>hydro</v>
          </cell>
        </row>
        <row r="9592">
          <cell r="C9592" t="str">
            <v>HY</v>
          </cell>
          <cell r="D9592">
            <v>1.9</v>
          </cell>
          <cell r="H9592" t="str">
            <v>hydro</v>
          </cell>
        </row>
        <row r="9593">
          <cell r="C9593" t="str">
            <v>HY</v>
          </cell>
          <cell r="D9593">
            <v>24.2</v>
          </cell>
          <cell r="H9593" t="str">
            <v>hydro</v>
          </cell>
        </row>
        <row r="9594">
          <cell r="C9594" t="str">
            <v>HY</v>
          </cell>
          <cell r="D9594">
            <v>24.2</v>
          </cell>
          <cell r="H9594" t="str">
            <v>hydro</v>
          </cell>
        </row>
        <row r="9595">
          <cell r="C9595" t="str">
            <v>HY</v>
          </cell>
          <cell r="D9595">
            <v>24.2</v>
          </cell>
          <cell r="H9595" t="str">
            <v>hydro</v>
          </cell>
        </row>
        <row r="9596">
          <cell r="C9596" t="str">
            <v>HY</v>
          </cell>
          <cell r="D9596">
            <v>24.2</v>
          </cell>
          <cell r="H9596" t="str">
            <v>hydro</v>
          </cell>
        </row>
        <row r="9597">
          <cell r="C9597" t="str">
            <v>GT</v>
          </cell>
          <cell r="D9597">
            <v>32</v>
          </cell>
          <cell r="H9597" t="str">
            <v>natural gas peaker</v>
          </cell>
        </row>
        <row r="9598">
          <cell r="C9598" t="str">
            <v>ST</v>
          </cell>
          <cell r="D9598">
            <v>25</v>
          </cell>
          <cell r="H9598" t="str">
            <v>biomass</v>
          </cell>
        </row>
        <row r="9599">
          <cell r="C9599" t="str">
            <v>ST</v>
          </cell>
          <cell r="D9599">
            <v>20</v>
          </cell>
          <cell r="H9599" t="str">
            <v>biomass</v>
          </cell>
        </row>
        <row r="9600">
          <cell r="C9600" t="str">
            <v>GT</v>
          </cell>
          <cell r="D9600">
            <v>32</v>
          </cell>
          <cell r="H9600" t="str">
            <v>natural gas peaker</v>
          </cell>
        </row>
        <row r="9601">
          <cell r="C9601" t="str">
            <v>HY</v>
          </cell>
          <cell r="D9601">
            <v>1.5</v>
          </cell>
          <cell r="H9601" t="str">
            <v>hydro</v>
          </cell>
        </row>
        <row r="9602">
          <cell r="C9602" t="str">
            <v>HY</v>
          </cell>
          <cell r="D9602">
            <v>1.5</v>
          </cell>
          <cell r="H9602" t="str">
            <v>hydro</v>
          </cell>
        </row>
        <row r="9603">
          <cell r="C9603" t="str">
            <v>HY</v>
          </cell>
          <cell r="D9603">
            <v>2.5</v>
          </cell>
          <cell r="H9603" t="str">
            <v>hydro</v>
          </cell>
        </row>
        <row r="9604">
          <cell r="C9604" t="str">
            <v>ST</v>
          </cell>
          <cell r="D9604">
            <v>2.7</v>
          </cell>
          <cell r="H9604" t="str">
            <v>municipal solid waste</v>
          </cell>
        </row>
        <row r="9605">
          <cell r="C9605" t="str">
            <v>HY</v>
          </cell>
          <cell r="D9605">
            <v>9.5</v>
          </cell>
          <cell r="H9605" t="str">
            <v>hydro</v>
          </cell>
        </row>
        <row r="9606">
          <cell r="C9606" t="str">
            <v>HY</v>
          </cell>
          <cell r="D9606">
            <v>9.5</v>
          </cell>
          <cell r="H9606" t="str">
            <v>hydro</v>
          </cell>
        </row>
        <row r="9607">
          <cell r="C9607" t="str">
            <v>HY</v>
          </cell>
          <cell r="D9607">
            <v>6.7</v>
          </cell>
          <cell r="H9607" t="str">
            <v>hydro</v>
          </cell>
        </row>
        <row r="9608">
          <cell r="C9608" t="str">
            <v>HY</v>
          </cell>
          <cell r="D9608">
            <v>6.7</v>
          </cell>
          <cell r="H9608" t="str">
            <v>hydro</v>
          </cell>
        </row>
        <row r="9609">
          <cell r="C9609" t="str">
            <v>ST</v>
          </cell>
          <cell r="D9609">
            <v>2.5</v>
          </cell>
          <cell r="H9609" t="str">
            <v>natural gas peaker</v>
          </cell>
        </row>
        <row r="9610">
          <cell r="C9610" t="str">
            <v>ST</v>
          </cell>
          <cell r="D9610">
            <v>3.1</v>
          </cell>
          <cell r="H9610" t="str">
            <v>natural gas peaker</v>
          </cell>
        </row>
        <row r="9611">
          <cell r="C9611" t="str">
            <v>CT</v>
          </cell>
          <cell r="D9611">
            <v>66</v>
          </cell>
          <cell r="H9611" t="str">
            <v>natural gas nonpeaker</v>
          </cell>
        </row>
        <row r="9612">
          <cell r="C9612" t="str">
            <v>CT</v>
          </cell>
          <cell r="D9612">
            <v>66</v>
          </cell>
          <cell r="H9612" t="str">
            <v>natural gas nonpeaker</v>
          </cell>
        </row>
        <row r="9613">
          <cell r="C9613" t="str">
            <v>CT</v>
          </cell>
          <cell r="D9613">
            <v>69</v>
          </cell>
          <cell r="H9613" t="str">
            <v>natural gas nonpeaker</v>
          </cell>
        </row>
        <row r="9614">
          <cell r="C9614" t="str">
            <v>CA</v>
          </cell>
          <cell r="D9614">
            <v>62</v>
          </cell>
          <cell r="H9614" t="str">
            <v>natural gas nonpeaker</v>
          </cell>
        </row>
        <row r="9615">
          <cell r="C9615" t="str">
            <v>HY</v>
          </cell>
          <cell r="D9615">
            <v>0.5</v>
          </cell>
          <cell r="H9615" t="str">
            <v>hydro</v>
          </cell>
        </row>
        <row r="9616">
          <cell r="C9616" t="str">
            <v>HY</v>
          </cell>
          <cell r="D9616">
            <v>0.5</v>
          </cell>
          <cell r="H9616" t="str">
            <v>hydro</v>
          </cell>
        </row>
        <row r="9617">
          <cell r="C9617" t="str">
            <v>HY</v>
          </cell>
          <cell r="D9617">
            <v>0.5</v>
          </cell>
          <cell r="H9617" t="str">
            <v>hydro</v>
          </cell>
        </row>
        <row r="9618">
          <cell r="C9618" t="str">
            <v>HY</v>
          </cell>
          <cell r="D9618">
            <v>0.5</v>
          </cell>
          <cell r="H9618" t="str">
            <v>hydro</v>
          </cell>
        </row>
        <row r="9619">
          <cell r="C9619" t="str">
            <v>HY</v>
          </cell>
          <cell r="D9619">
            <v>0.5</v>
          </cell>
          <cell r="H9619" t="str">
            <v>hydro</v>
          </cell>
        </row>
        <row r="9620">
          <cell r="C9620" t="str">
            <v>HY</v>
          </cell>
          <cell r="D9620">
            <v>0.6</v>
          </cell>
          <cell r="H9620" t="str">
            <v>hydro</v>
          </cell>
        </row>
        <row r="9621">
          <cell r="C9621" t="str">
            <v>ST</v>
          </cell>
          <cell r="D9621">
            <v>13</v>
          </cell>
          <cell r="H9621" t="str">
            <v>biomass</v>
          </cell>
        </row>
        <row r="9622">
          <cell r="C9622" t="str">
            <v>ST</v>
          </cell>
          <cell r="D9622">
            <v>13</v>
          </cell>
          <cell r="H9622" t="str">
            <v>biomass</v>
          </cell>
        </row>
        <row r="9623">
          <cell r="C9623" t="str">
            <v>ST</v>
          </cell>
          <cell r="D9623">
            <v>7.5</v>
          </cell>
          <cell r="H9623" t="str">
            <v>biomass</v>
          </cell>
        </row>
        <row r="9624">
          <cell r="C9624" t="str">
            <v>ST</v>
          </cell>
          <cell r="D9624">
            <v>21.2</v>
          </cell>
          <cell r="H9624" t="str">
            <v>municipal solid waste</v>
          </cell>
        </row>
        <row r="9625">
          <cell r="C9625" t="str">
            <v>GT</v>
          </cell>
          <cell r="D9625">
            <v>3.1</v>
          </cell>
          <cell r="H9625" t="str">
            <v>natural gas peaker</v>
          </cell>
        </row>
        <row r="9626">
          <cell r="C9626" t="str">
            <v>GT</v>
          </cell>
          <cell r="D9626">
            <v>3.8</v>
          </cell>
          <cell r="H9626" t="str">
            <v>natural gas peaker</v>
          </cell>
        </row>
        <row r="9627">
          <cell r="C9627" t="str">
            <v>IC</v>
          </cell>
          <cell r="D9627">
            <v>0.8</v>
          </cell>
          <cell r="H9627" t="str">
            <v>biomass</v>
          </cell>
        </row>
        <row r="9628">
          <cell r="C9628" t="str">
            <v>IC</v>
          </cell>
          <cell r="D9628">
            <v>0.8</v>
          </cell>
          <cell r="H9628" t="str">
            <v>biomass</v>
          </cell>
        </row>
        <row r="9629">
          <cell r="C9629" t="str">
            <v>IC</v>
          </cell>
          <cell r="D9629">
            <v>0.8</v>
          </cell>
          <cell r="H9629" t="str">
            <v>biomass</v>
          </cell>
        </row>
        <row r="9630">
          <cell r="C9630" t="str">
            <v>CT</v>
          </cell>
          <cell r="D9630">
            <v>4.5999999999999996</v>
          </cell>
          <cell r="H9630" t="str">
            <v>natural gas nonpeaker</v>
          </cell>
        </row>
        <row r="9631">
          <cell r="C9631" t="str">
            <v>CT</v>
          </cell>
          <cell r="D9631">
            <v>4.5999999999999996</v>
          </cell>
          <cell r="H9631" t="str">
            <v>natural gas nonpeaker</v>
          </cell>
        </row>
        <row r="9632">
          <cell r="C9632" t="str">
            <v>CA</v>
          </cell>
          <cell r="D9632">
            <v>4.0999999999999996</v>
          </cell>
          <cell r="H9632" t="str">
            <v>natural gas nonpeaker</v>
          </cell>
        </row>
        <row r="9633">
          <cell r="C9633" t="str">
            <v>PV</v>
          </cell>
          <cell r="D9633">
            <v>0.1</v>
          </cell>
          <cell r="H9633" t="str">
            <v>solar PV</v>
          </cell>
        </row>
        <row r="9634">
          <cell r="C9634" t="str">
            <v>PV</v>
          </cell>
          <cell r="D9634">
            <v>0.3</v>
          </cell>
          <cell r="H9634" t="str">
            <v>solar PV</v>
          </cell>
        </row>
        <row r="9635">
          <cell r="C9635" t="str">
            <v>PV</v>
          </cell>
          <cell r="D9635">
            <v>0.3</v>
          </cell>
          <cell r="H9635" t="str">
            <v>solar PV</v>
          </cell>
        </row>
        <row r="9636">
          <cell r="C9636" t="str">
            <v>PV</v>
          </cell>
          <cell r="D9636">
            <v>0.1</v>
          </cell>
          <cell r="H9636" t="str">
            <v>solar PV</v>
          </cell>
        </row>
        <row r="9637">
          <cell r="C9637" t="str">
            <v>GT</v>
          </cell>
          <cell r="D9637">
            <v>4.4000000000000004</v>
          </cell>
          <cell r="H9637" t="str">
            <v>natural gas peaker</v>
          </cell>
        </row>
        <row r="9638">
          <cell r="C9638" t="str">
            <v>ST</v>
          </cell>
          <cell r="D9638">
            <v>50</v>
          </cell>
          <cell r="H9638" t="str">
            <v>geothermal</v>
          </cell>
        </row>
        <row r="9639">
          <cell r="C9639" t="str">
            <v>ST</v>
          </cell>
          <cell r="D9639">
            <v>50</v>
          </cell>
          <cell r="H9639" t="str">
            <v>geothermal</v>
          </cell>
        </row>
        <row r="9640">
          <cell r="C9640" t="str">
            <v>ST</v>
          </cell>
          <cell r="D9640">
            <v>27.5</v>
          </cell>
          <cell r="H9640" t="str">
            <v>other</v>
          </cell>
        </row>
        <row r="9641">
          <cell r="C9641" t="str">
            <v>ST</v>
          </cell>
          <cell r="D9641">
            <v>50</v>
          </cell>
          <cell r="H9641" t="str">
            <v>municipal solid waste</v>
          </cell>
        </row>
        <row r="9642">
          <cell r="C9642" t="str">
            <v>HY</v>
          </cell>
          <cell r="D9642">
            <v>0.2</v>
          </cell>
          <cell r="H9642" t="str">
            <v>hydro</v>
          </cell>
        </row>
        <row r="9643">
          <cell r="C9643" t="str">
            <v>HY</v>
          </cell>
          <cell r="D9643">
            <v>1.1000000000000001</v>
          </cell>
          <cell r="H9643" t="str">
            <v>hydro</v>
          </cell>
        </row>
        <row r="9644">
          <cell r="C9644" t="str">
            <v>HY</v>
          </cell>
          <cell r="D9644">
            <v>0.8</v>
          </cell>
          <cell r="H9644" t="str">
            <v>hydro</v>
          </cell>
        </row>
        <row r="9645">
          <cell r="C9645" t="str">
            <v>HY</v>
          </cell>
          <cell r="D9645">
            <v>0.6</v>
          </cell>
          <cell r="H9645" t="str">
            <v>hydro</v>
          </cell>
        </row>
        <row r="9646">
          <cell r="C9646" t="str">
            <v>HY</v>
          </cell>
          <cell r="D9646">
            <v>5.0999999999999996</v>
          </cell>
          <cell r="H9646" t="str">
            <v>hydro</v>
          </cell>
        </row>
        <row r="9647">
          <cell r="C9647" t="str">
            <v>HY</v>
          </cell>
          <cell r="D9647">
            <v>5.0999999999999996</v>
          </cell>
          <cell r="H9647" t="str">
            <v>hydro</v>
          </cell>
        </row>
        <row r="9648">
          <cell r="C9648" t="str">
            <v>HY</v>
          </cell>
          <cell r="D9648">
            <v>1.1000000000000001</v>
          </cell>
          <cell r="H9648" t="str">
            <v>hydro</v>
          </cell>
        </row>
        <row r="9649">
          <cell r="C9649" t="str">
            <v>HY</v>
          </cell>
          <cell r="D9649">
            <v>1.1000000000000001</v>
          </cell>
          <cell r="H9649" t="str">
            <v>hydro</v>
          </cell>
        </row>
        <row r="9650">
          <cell r="C9650" t="str">
            <v>HY</v>
          </cell>
          <cell r="D9650">
            <v>1.1000000000000001</v>
          </cell>
          <cell r="H9650" t="str">
            <v>hydro</v>
          </cell>
        </row>
        <row r="9651">
          <cell r="C9651" t="str">
            <v>HY</v>
          </cell>
          <cell r="D9651">
            <v>1.1000000000000001</v>
          </cell>
          <cell r="H9651" t="str">
            <v>hydro</v>
          </cell>
        </row>
        <row r="9652">
          <cell r="C9652" t="str">
            <v>HY</v>
          </cell>
          <cell r="D9652">
            <v>1.1000000000000001</v>
          </cell>
          <cell r="H9652" t="str">
            <v>hydro</v>
          </cell>
        </row>
        <row r="9653">
          <cell r="C9653" t="str">
            <v>HY</v>
          </cell>
          <cell r="D9653">
            <v>1.1000000000000001</v>
          </cell>
          <cell r="H9653" t="str">
            <v>hydro</v>
          </cell>
        </row>
        <row r="9654">
          <cell r="C9654" t="str">
            <v>HY</v>
          </cell>
          <cell r="D9654">
            <v>1.1000000000000001</v>
          </cell>
          <cell r="H9654" t="str">
            <v>hydro</v>
          </cell>
        </row>
        <row r="9655">
          <cell r="C9655" t="str">
            <v>HY</v>
          </cell>
          <cell r="D9655">
            <v>1.1000000000000001</v>
          </cell>
          <cell r="H9655" t="str">
            <v>hydro</v>
          </cell>
        </row>
        <row r="9656">
          <cell r="C9656" t="str">
            <v>HY</v>
          </cell>
          <cell r="D9656">
            <v>1.1000000000000001</v>
          </cell>
          <cell r="H9656" t="str">
            <v>hydro</v>
          </cell>
        </row>
        <row r="9657">
          <cell r="C9657" t="str">
            <v>HY</v>
          </cell>
          <cell r="D9657">
            <v>1.2</v>
          </cell>
          <cell r="H9657" t="str">
            <v>hydro</v>
          </cell>
        </row>
        <row r="9658">
          <cell r="C9658" t="str">
            <v>HY</v>
          </cell>
          <cell r="D9658">
            <v>1.1000000000000001</v>
          </cell>
          <cell r="H9658" t="str">
            <v>hydro</v>
          </cell>
        </row>
        <row r="9659">
          <cell r="C9659" t="str">
            <v>HY</v>
          </cell>
          <cell r="D9659">
            <v>0.7</v>
          </cell>
          <cell r="H9659" t="str">
            <v>hydro</v>
          </cell>
        </row>
        <row r="9660">
          <cell r="C9660" t="str">
            <v>HY</v>
          </cell>
          <cell r="D9660">
            <v>0.9</v>
          </cell>
          <cell r="H9660" t="str">
            <v>hydro</v>
          </cell>
        </row>
        <row r="9661">
          <cell r="C9661" t="str">
            <v>HY</v>
          </cell>
          <cell r="D9661">
            <v>1</v>
          </cell>
          <cell r="H9661" t="str">
            <v>hydro</v>
          </cell>
        </row>
        <row r="9662">
          <cell r="C9662" t="str">
            <v>HY</v>
          </cell>
          <cell r="D9662">
            <v>1</v>
          </cell>
          <cell r="H9662" t="str">
            <v>hydro</v>
          </cell>
        </row>
        <row r="9663">
          <cell r="C9663" t="str">
            <v>ST</v>
          </cell>
          <cell r="D9663">
            <v>1.5</v>
          </cell>
          <cell r="H9663" t="str">
            <v>natural gas peaker</v>
          </cell>
        </row>
        <row r="9664">
          <cell r="C9664" t="str">
            <v>ST</v>
          </cell>
          <cell r="D9664">
            <v>1.5</v>
          </cell>
          <cell r="H9664" t="str">
            <v>natural gas peaker</v>
          </cell>
        </row>
        <row r="9665">
          <cell r="C9665" t="str">
            <v>ST</v>
          </cell>
          <cell r="D9665">
            <v>3</v>
          </cell>
          <cell r="H9665" t="str">
            <v>natural gas peaker</v>
          </cell>
        </row>
        <row r="9666">
          <cell r="C9666" t="str">
            <v>GT</v>
          </cell>
          <cell r="D9666">
            <v>6</v>
          </cell>
          <cell r="H9666" t="str">
            <v>natural gas peaker</v>
          </cell>
        </row>
        <row r="9667">
          <cell r="C9667" t="str">
            <v>ST</v>
          </cell>
          <cell r="D9667">
            <v>7.5</v>
          </cell>
          <cell r="H9667" t="str">
            <v>natural gas peaker</v>
          </cell>
        </row>
        <row r="9668">
          <cell r="C9668" t="str">
            <v>IC</v>
          </cell>
          <cell r="D9668">
            <v>1.4</v>
          </cell>
          <cell r="H9668" t="str">
            <v>natural gas peaker</v>
          </cell>
        </row>
        <row r="9669">
          <cell r="C9669" t="str">
            <v>HY</v>
          </cell>
          <cell r="D9669">
            <v>1.3</v>
          </cell>
          <cell r="H9669" t="str">
            <v>hydro</v>
          </cell>
        </row>
        <row r="9670">
          <cell r="C9670" t="str">
            <v>HY</v>
          </cell>
          <cell r="D9670">
            <v>0.3</v>
          </cell>
          <cell r="H9670" t="str">
            <v>hydro</v>
          </cell>
        </row>
        <row r="9671">
          <cell r="C9671" t="str">
            <v>HY</v>
          </cell>
          <cell r="D9671">
            <v>1.6</v>
          </cell>
          <cell r="H9671" t="str">
            <v>hydro</v>
          </cell>
        </row>
        <row r="9672">
          <cell r="C9672" t="str">
            <v>IC</v>
          </cell>
          <cell r="D9672">
            <v>5.8</v>
          </cell>
          <cell r="H9672" t="str">
            <v>natural gas peaker</v>
          </cell>
        </row>
        <row r="9673">
          <cell r="C9673" t="str">
            <v>ST</v>
          </cell>
          <cell r="D9673">
            <v>5.8</v>
          </cell>
          <cell r="H9673" t="str">
            <v>biomass</v>
          </cell>
        </row>
        <row r="9674">
          <cell r="C9674" t="str">
            <v>ST</v>
          </cell>
          <cell r="D9674">
            <v>9.5</v>
          </cell>
          <cell r="H9674" t="str">
            <v>biomass</v>
          </cell>
        </row>
        <row r="9675">
          <cell r="C9675" t="str">
            <v>ST</v>
          </cell>
          <cell r="D9675">
            <v>32</v>
          </cell>
          <cell r="H9675" t="str">
            <v>biomass</v>
          </cell>
        </row>
        <row r="9676">
          <cell r="C9676" t="str">
            <v>ST</v>
          </cell>
          <cell r="D9676">
            <v>18</v>
          </cell>
          <cell r="H9676" t="str">
            <v>biomass</v>
          </cell>
        </row>
        <row r="9677">
          <cell r="C9677" t="str">
            <v>HY</v>
          </cell>
          <cell r="D9677">
            <v>1.7</v>
          </cell>
          <cell r="H9677" t="str">
            <v>hydro</v>
          </cell>
        </row>
        <row r="9678">
          <cell r="C9678" t="str">
            <v>CT</v>
          </cell>
          <cell r="D9678">
            <v>78</v>
          </cell>
          <cell r="H9678" t="str">
            <v>natural gas nonpeaker</v>
          </cell>
        </row>
        <row r="9679">
          <cell r="C9679" t="str">
            <v>CT</v>
          </cell>
          <cell r="D9679">
            <v>80</v>
          </cell>
          <cell r="H9679" t="str">
            <v>natural gas nonpeaker</v>
          </cell>
        </row>
        <row r="9680">
          <cell r="C9680" t="str">
            <v>CA</v>
          </cell>
          <cell r="D9680">
            <v>78</v>
          </cell>
          <cell r="H9680" t="str">
            <v>natural gas nonpeaker</v>
          </cell>
        </row>
        <row r="9681">
          <cell r="C9681" t="str">
            <v>ST</v>
          </cell>
          <cell r="D9681">
            <v>18.899999999999999</v>
          </cell>
          <cell r="H9681" t="str">
            <v>biomass</v>
          </cell>
        </row>
        <row r="9682">
          <cell r="C9682" t="str">
            <v>ST</v>
          </cell>
          <cell r="D9682">
            <v>11.8</v>
          </cell>
          <cell r="H9682" t="str">
            <v>biomass</v>
          </cell>
        </row>
        <row r="9683">
          <cell r="C9683" t="str">
            <v>ST</v>
          </cell>
          <cell r="D9683">
            <v>24</v>
          </cell>
          <cell r="H9683" t="str">
            <v>biomass</v>
          </cell>
        </row>
        <row r="9684">
          <cell r="C9684" t="str">
            <v>GT</v>
          </cell>
          <cell r="D9684">
            <v>39</v>
          </cell>
          <cell r="H9684" t="str">
            <v>natural gas peaker</v>
          </cell>
        </row>
        <row r="9685">
          <cell r="C9685" t="str">
            <v>CT</v>
          </cell>
          <cell r="D9685">
            <v>33</v>
          </cell>
          <cell r="H9685" t="str">
            <v>natural gas nonpeaker</v>
          </cell>
        </row>
        <row r="9686">
          <cell r="C9686" t="str">
            <v>CA</v>
          </cell>
          <cell r="D9686">
            <v>7.6</v>
          </cell>
          <cell r="H9686" t="str">
            <v>natural gas nonpeaker</v>
          </cell>
        </row>
        <row r="9687">
          <cell r="C9687" t="str">
            <v>CA</v>
          </cell>
          <cell r="D9687">
            <v>6</v>
          </cell>
          <cell r="H9687" t="str">
            <v>natural gas nonpeaker</v>
          </cell>
        </row>
        <row r="9688">
          <cell r="C9688" t="str">
            <v>CA</v>
          </cell>
          <cell r="D9688">
            <v>27.6</v>
          </cell>
          <cell r="H9688" t="str">
            <v>natural gas nonpeaker</v>
          </cell>
        </row>
        <row r="9689">
          <cell r="C9689" t="str">
            <v>CT</v>
          </cell>
          <cell r="D9689">
            <v>46.5</v>
          </cell>
          <cell r="H9689" t="str">
            <v>natural gas nonpeaker</v>
          </cell>
        </row>
        <row r="9690">
          <cell r="C9690" t="str">
            <v>CA</v>
          </cell>
          <cell r="D9690">
            <v>26.1</v>
          </cell>
          <cell r="H9690" t="str">
            <v>natural gas nonpeaker</v>
          </cell>
        </row>
        <row r="9691">
          <cell r="C9691" t="str">
            <v>GT</v>
          </cell>
          <cell r="D9691">
            <v>15.3</v>
          </cell>
          <cell r="H9691" t="str">
            <v>other</v>
          </cell>
        </row>
        <row r="9692">
          <cell r="C9692" t="str">
            <v>GT</v>
          </cell>
          <cell r="D9692">
            <v>15.4</v>
          </cell>
          <cell r="H9692" t="str">
            <v>other</v>
          </cell>
        </row>
        <row r="9693">
          <cell r="C9693" t="str">
            <v>GT</v>
          </cell>
          <cell r="D9693">
            <v>14.9</v>
          </cell>
          <cell r="H9693" t="str">
            <v>other</v>
          </cell>
        </row>
        <row r="9694">
          <cell r="C9694" t="str">
            <v>ST</v>
          </cell>
          <cell r="D9694">
            <v>12</v>
          </cell>
          <cell r="H9694" t="str">
            <v>other</v>
          </cell>
        </row>
        <row r="9695">
          <cell r="C9695" t="str">
            <v>ST</v>
          </cell>
          <cell r="D9695">
            <v>26.6</v>
          </cell>
          <cell r="H9695" t="str">
            <v>petroleum</v>
          </cell>
        </row>
        <row r="9696">
          <cell r="C9696" t="str">
            <v>ST</v>
          </cell>
          <cell r="D9696">
            <v>26.6</v>
          </cell>
          <cell r="H9696" t="str">
            <v>petroleum</v>
          </cell>
        </row>
        <row r="9697">
          <cell r="C9697" t="str">
            <v>HY</v>
          </cell>
          <cell r="D9697">
            <v>1.2</v>
          </cell>
          <cell r="H9697" t="str">
            <v>hydro</v>
          </cell>
        </row>
        <row r="9698">
          <cell r="C9698" t="str">
            <v>HY</v>
          </cell>
          <cell r="D9698">
            <v>1.1000000000000001</v>
          </cell>
          <cell r="H9698" t="str">
            <v>hydro</v>
          </cell>
        </row>
        <row r="9699">
          <cell r="C9699" t="str">
            <v>HY</v>
          </cell>
          <cell r="D9699">
            <v>0.6</v>
          </cell>
          <cell r="H9699" t="str">
            <v>hydro</v>
          </cell>
        </row>
        <row r="9700">
          <cell r="C9700" t="str">
            <v>CT</v>
          </cell>
          <cell r="D9700">
            <v>19.7</v>
          </cell>
          <cell r="H9700" t="str">
            <v>natural gas nonpeaker</v>
          </cell>
        </row>
        <row r="9701">
          <cell r="C9701" t="str">
            <v>CT</v>
          </cell>
          <cell r="D9701">
            <v>19.7</v>
          </cell>
          <cell r="H9701" t="str">
            <v>natural gas nonpeaker</v>
          </cell>
        </row>
        <row r="9702">
          <cell r="C9702" t="str">
            <v>CT</v>
          </cell>
          <cell r="D9702">
            <v>19.7</v>
          </cell>
          <cell r="H9702" t="str">
            <v>natural gas nonpeaker</v>
          </cell>
        </row>
        <row r="9703">
          <cell r="C9703" t="str">
            <v>CA</v>
          </cell>
          <cell r="D9703">
            <v>17</v>
          </cell>
          <cell r="H9703" t="str">
            <v>natural gas nonpeaker</v>
          </cell>
        </row>
        <row r="9704">
          <cell r="C9704" t="str">
            <v>HY</v>
          </cell>
          <cell r="D9704">
            <v>2.4</v>
          </cell>
          <cell r="H9704" t="str">
            <v>hydro</v>
          </cell>
        </row>
        <row r="9705">
          <cell r="C9705" t="str">
            <v>HY</v>
          </cell>
          <cell r="D9705">
            <v>1.3</v>
          </cell>
          <cell r="H9705" t="str">
            <v>hydro</v>
          </cell>
        </row>
        <row r="9706">
          <cell r="C9706" t="str">
            <v>HY</v>
          </cell>
          <cell r="D9706">
            <v>1.3</v>
          </cell>
          <cell r="H9706" t="str">
            <v>hydro</v>
          </cell>
        </row>
        <row r="9707">
          <cell r="C9707" t="str">
            <v>HY</v>
          </cell>
          <cell r="D9707">
            <v>0.1</v>
          </cell>
          <cell r="H9707" t="str">
            <v>hydro</v>
          </cell>
        </row>
        <row r="9708">
          <cell r="C9708" t="str">
            <v>GT</v>
          </cell>
          <cell r="D9708">
            <v>36</v>
          </cell>
          <cell r="H9708" t="str">
            <v>natural gas peaker</v>
          </cell>
        </row>
        <row r="9709">
          <cell r="C9709" t="str">
            <v>GT</v>
          </cell>
          <cell r="D9709">
            <v>75</v>
          </cell>
          <cell r="H9709" t="str">
            <v>natural gas peaker</v>
          </cell>
        </row>
        <row r="9710">
          <cell r="C9710" t="str">
            <v>GT</v>
          </cell>
          <cell r="D9710">
            <v>75</v>
          </cell>
          <cell r="H9710" t="str">
            <v>natural gas peaker</v>
          </cell>
        </row>
        <row r="9711">
          <cell r="C9711" t="str">
            <v>GT</v>
          </cell>
          <cell r="D9711">
            <v>75</v>
          </cell>
          <cell r="H9711" t="str">
            <v>natural gas peaker</v>
          </cell>
        </row>
        <row r="9712">
          <cell r="C9712" t="str">
            <v>GT</v>
          </cell>
          <cell r="D9712">
            <v>75</v>
          </cell>
          <cell r="H9712" t="str">
            <v>natural gas peaker</v>
          </cell>
        </row>
        <row r="9713">
          <cell r="C9713" t="str">
            <v>IC</v>
          </cell>
          <cell r="D9713">
            <v>0.1</v>
          </cell>
          <cell r="H9713" t="str">
            <v>natural gas peaker</v>
          </cell>
        </row>
        <row r="9714">
          <cell r="C9714" t="str">
            <v>IC</v>
          </cell>
          <cell r="D9714">
            <v>0.1</v>
          </cell>
          <cell r="H9714" t="str">
            <v>natural gas peaker</v>
          </cell>
        </row>
        <row r="9715">
          <cell r="C9715" t="str">
            <v>IC</v>
          </cell>
          <cell r="D9715">
            <v>0.1</v>
          </cell>
          <cell r="H9715" t="str">
            <v>natural gas peaker</v>
          </cell>
        </row>
        <row r="9716">
          <cell r="C9716" t="str">
            <v>IC</v>
          </cell>
          <cell r="D9716">
            <v>0.1</v>
          </cell>
          <cell r="H9716" t="str">
            <v>natural gas peaker</v>
          </cell>
        </row>
        <row r="9717">
          <cell r="C9717" t="str">
            <v>IC</v>
          </cell>
          <cell r="D9717">
            <v>0.1</v>
          </cell>
          <cell r="H9717" t="str">
            <v>natural gas peaker</v>
          </cell>
        </row>
        <row r="9718">
          <cell r="C9718" t="str">
            <v>GT</v>
          </cell>
          <cell r="D9718">
            <v>69</v>
          </cell>
          <cell r="H9718" t="str">
            <v>natural gas peaker</v>
          </cell>
        </row>
        <row r="9719">
          <cell r="C9719" t="str">
            <v>ST</v>
          </cell>
          <cell r="D9719">
            <v>5</v>
          </cell>
          <cell r="H9719" t="str">
            <v>biomass</v>
          </cell>
        </row>
        <row r="9720">
          <cell r="C9720" t="str">
            <v>ST</v>
          </cell>
          <cell r="D9720">
            <v>2.7</v>
          </cell>
          <cell r="H9720" t="str">
            <v>natural gas peaker</v>
          </cell>
        </row>
        <row r="9721">
          <cell r="C9721" t="str">
            <v>ST</v>
          </cell>
          <cell r="D9721">
            <v>3</v>
          </cell>
          <cell r="H9721" t="str">
            <v>natural gas peaker</v>
          </cell>
        </row>
        <row r="9722">
          <cell r="C9722" t="str">
            <v>ST</v>
          </cell>
          <cell r="D9722">
            <v>1</v>
          </cell>
          <cell r="H9722" t="str">
            <v>natural gas peaker</v>
          </cell>
        </row>
        <row r="9723">
          <cell r="C9723" t="str">
            <v>ST</v>
          </cell>
          <cell r="D9723">
            <v>4.5</v>
          </cell>
          <cell r="H9723" t="str">
            <v>natural gas peaker</v>
          </cell>
        </row>
        <row r="9724">
          <cell r="C9724" t="str">
            <v>HY</v>
          </cell>
          <cell r="D9724">
            <v>1</v>
          </cell>
          <cell r="H9724" t="str">
            <v>hydro</v>
          </cell>
        </row>
        <row r="9725">
          <cell r="C9725" t="str">
            <v>CT</v>
          </cell>
          <cell r="D9725">
            <v>21</v>
          </cell>
          <cell r="H9725" t="str">
            <v>natural gas nonpeaker</v>
          </cell>
        </row>
        <row r="9726">
          <cell r="C9726" t="str">
            <v>CA</v>
          </cell>
          <cell r="D9726">
            <v>6</v>
          </cell>
          <cell r="H9726" t="str">
            <v>natural gas nonpeaker</v>
          </cell>
        </row>
        <row r="9727">
          <cell r="C9727" t="str">
            <v>CA</v>
          </cell>
          <cell r="D9727">
            <v>15</v>
          </cell>
          <cell r="H9727" t="str">
            <v>natural gas nonpeaker</v>
          </cell>
        </row>
        <row r="9728">
          <cell r="C9728" t="str">
            <v>CT</v>
          </cell>
          <cell r="D9728">
            <v>30</v>
          </cell>
          <cell r="H9728" t="str">
            <v>natural gas nonpeaker</v>
          </cell>
        </row>
        <row r="9729">
          <cell r="C9729" t="str">
            <v>CA</v>
          </cell>
          <cell r="D9729">
            <v>15</v>
          </cell>
          <cell r="H9729" t="str">
            <v>natural gas nonpeaker</v>
          </cell>
        </row>
        <row r="9730">
          <cell r="C9730" t="str">
            <v>CT</v>
          </cell>
          <cell r="D9730">
            <v>30</v>
          </cell>
          <cell r="H9730" t="str">
            <v>natural gas nonpeaker</v>
          </cell>
        </row>
        <row r="9731">
          <cell r="C9731" t="str">
            <v>CA</v>
          </cell>
          <cell r="D9731">
            <v>6</v>
          </cell>
          <cell r="H9731" t="str">
            <v>natural gas nonpeaker</v>
          </cell>
        </row>
        <row r="9732">
          <cell r="C9732" t="str">
            <v>CT</v>
          </cell>
          <cell r="D9732">
            <v>30</v>
          </cell>
          <cell r="H9732" t="str">
            <v>natural gas nonpeaker</v>
          </cell>
        </row>
        <row r="9733">
          <cell r="C9733" t="str">
            <v>CA</v>
          </cell>
          <cell r="D9733">
            <v>15</v>
          </cell>
          <cell r="H9733" t="str">
            <v>natural gas nonpeaker</v>
          </cell>
        </row>
        <row r="9734">
          <cell r="C9734" t="str">
            <v>CT</v>
          </cell>
          <cell r="D9734">
            <v>12</v>
          </cell>
          <cell r="H9734" t="str">
            <v>natural gas nonpeaker</v>
          </cell>
        </row>
        <row r="9735">
          <cell r="C9735" t="str">
            <v>CT</v>
          </cell>
          <cell r="D9735">
            <v>100</v>
          </cell>
          <cell r="H9735" t="str">
            <v>natural gas nonpeaker</v>
          </cell>
        </row>
        <row r="9736">
          <cell r="C9736" t="str">
            <v>CT</v>
          </cell>
          <cell r="D9736">
            <v>100</v>
          </cell>
          <cell r="H9736" t="str">
            <v>natural gas nonpeaker</v>
          </cell>
        </row>
        <row r="9737">
          <cell r="C9737" t="str">
            <v>CA</v>
          </cell>
          <cell r="D9737">
            <v>50</v>
          </cell>
          <cell r="H9737" t="str">
            <v>natural gas nonpeaker</v>
          </cell>
        </row>
        <row r="9738">
          <cell r="C9738" t="str">
            <v>CA</v>
          </cell>
          <cell r="D9738">
            <v>20</v>
          </cell>
          <cell r="H9738" t="str">
            <v>natural gas nonpeaker</v>
          </cell>
        </row>
        <row r="9739">
          <cell r="C9739" t="str">
            <v>ST</v>
          </cell>
          <cell r="D9739">
            <v>38</v>
          </cell>
          <cell r="H9739" t="str">
            <v>other</v>
          </cell>
        </row>
        <row r="9740">
          <cell r="C9740" t="str">
            <v>HY</v>
          </cell>
          <cell r="D9740">
            <v>3</v>
          </cell>
          <cell r="H9740" t="str">
            <v>hydro</v>
          </cell>
        </row>
        <row r="9741">
          <cell r="C9741" t="str">
            <v>HY</v>
          </cell>
          <cell r="D9741">
            <v>1.2</v>
          </cell>
          <cell r="H9741" t="str">
            <v>hydro</v>
          </cell>
        </row>
        <row r="9742">
          <cell r="C9742" t="str">
            <v>HY</v>
          </cell>
          <cell r="D9742">
            <v>1.2</v>
          </cell>
          <cell r="H9742" t="str">
            <v>hydro</v>
          </cell>
        </row>
        <row r="9743">
          <cell r="C9743" t="str">
            <v>HY</v>
          </cell>
          <cell r="D9743">
            <v>1.2</v>
          </cell>
          <cell r="H9743" t="str">
            <v>hydro</v>
          </cell>
        </row>
        <row r="9744">
          <cell r="C9744" t="str">
            <v>HY</v>
          </cell>
          <cell r="D9744">
            <v>2.4</v>
          </cell>
          <cell r="H9744" t="str">
            <v>hydro</v>
          </cell>
        </row>
        <row r="9745">
          <cell r="C9745" t="str">
            <v>HY</v>
          </cell>
          <cell r="D9745">
            <v>2.4</v>
          </cell>
          <cell r="H9745" t="str">
            <v>hydro</v>
          </cell>
        </row>
        <row r="9746">
          <cell r="C9746" t="str">
            <v>HY</v>
          </cell>
          <cell r="D9746">
            <v>1.2</v>
          </cell>
          <cell r="H9746" t="str">
            <v>hydro</v>
          </cell>
        </row>
        <row r="9747">
          <cell r="C9747" t="str">
            <v>HY</v>
          </cell>
          <cell r="D9747">
            <v>1.2</v>
          </cell>
          <cell r="H9747" t="str">
            <v>hydro</v>
          </cell>
        </row>
        <row r="9748">
          <cell r="C9748" t="str">
            <v>HY</v>
          </cell>
          <cell r="D9748">
            <v>0.4</v>
          </cell>
          <cell r="H9748" t="str">
            <v>hydro</v>
          </cell>
        </row>
        <row r="9749">
          <cell r="C9749" t="str">
            <v>HY</v>
          </cell>
          <cell r="D9749">
            <v>1.7</v>
          </cell>
          <cell r="H9749" t="str">
            <v>hydro</v>
          </cell>
        </row>
        <row r="9750">
          <cell r="C9750" t="str">
            <v>HY</v>
          </cell>
          <cell r="D9750">
            <v>0.4</v>
          </cell>
          <cell r="H9750" t="str">
            <v>hydro</v>
          </cell>
        </row>
        <row r="9751">
          <cell r="C9751" t="str">
            <v>GT</v>
          </cell>
          <cell r="D9751">
            <v>27</v>
          </cell>
          <cell r="H9751" t="str">
            <v>natural gas peaker</v>
          </cell>
        </row>
        <row r="9752">
          <cell r="C9752" t="str">
            <v>GT</v>
          </cell>
          <cell r="D9752">
            <v>35</v>
          </cell>
          <cell r="H9752" t="str">
            <v>natural gas peaker</v>
          </cell>
        </row>
        <row r="9753">
          <cell r="C9753" t="str">
            <v>HY</v>
          </cell>
          <cell r="D9753">
            <v>2</v>
          </cell>
          <cell r="H9753" t="str">
            <v>hydro</v>
          </cell>
        </row>
        <row r="9754">
          <cell r="C9754" t="str">
            <v>HY</v>
          </cell>
          <cell r="D9754">
            <v>0.5</v>
          </cell>
          <cell r="H9754" t="str">
            <v>hydro</v>
          </cell>
        </row>
        <row r="9755">
          <cell r="C9755" t="str">
            <v>HY</v>
          </cell>
          <cell r="D9755">
            <v>1.3</v>
          </cell>
          <cell r="H9755" t="str">
            <v>hydro</v>
          </cell>
        </row>
        <row r="9756">
          <cell r="C9756" t="str">
            <v>HY</v>
          </cell>
          <cell r="D9756">
            <v>1.3</v>
          </cell>
          <cell r="H9756" t="str">
            <v>hydro</v>
          </cell>
        </row>
        <row r="9757">
          <cell r="C9757" t="str">
            <v>HY</v>
          </cell>
          <cell r="D9757">
            <v>0.4</v>
          </cell>
          <cell r="H9757" t="str">
            <v>hydro</v>
          </cell>
        </row>
        <row r="9758">
          <cell r="C9758" t="str">
            <v>HY</v>
          </cell>
          <cell r="D9758">
            <v>0.4</v>
          </cell>
          <cell r="H9758" t="str">
            <v>hydro</v>
          </cell>
        </row>
        <row r="9759">
          <cell r="C9759" t="str">
            <v>HY</v>
          </cell>
          <cell r="D9759">
            <v>0.4</v>
          </cell>
          <cell r="H9759" t="str">
            <v>hydro</v>
          </cell>
        </row>
        <row r="9760">
          <cell r="C9760" t="str">
            <v>HY</v>
          </cell>
          <cell r="D9760">
            <v>0.4</v>
          </cell>
          <cell r="H9760" t="str">
            <v>hydro</v>
          </cell>
        </row>
        <row r="9761">
          <cell r="C9761" t="str">
            <v>HY</v>
          </cell>
          <cell r="D9761">
            <v>0.8</v>
          </cell>
          <cell r="H9761" t="str">
            <v>hydro</v>
          </cell>
        </row>
        <row r="9762">
          <cell r="C9762" t="str">
            <v>HY</v>
          </cell>
          <cell r="D9762">
            <v>0.4</v>
          </cell>
          <cell r="H9762" t="str">
            <v>hydro</v>
          </cell>
        </row>
        <row r="9763">
          <cell r="C9763" t="str">
            <v>HY</v>
          </cell>
          <cell r="D9763">
            <v>0.4</v>
          </cell>
          <cell r="H9763" t="str">
            <v>hydro</v>
          </cell>
        </row>
        <row r="9764">
          <cell r="C9764" t="str">
            <v>HY</v>
          </cell>
          <cell r="D9764">
            <v>2.5</v>
          </cell>
          <cell r="H9764" t="str">
            <v>hydro</v>
          </cell>
        </row>
        <row r="9765">
          <cell r="C9765" t="str">
            <v>HY</v>
          </cell>
          <cell r="D9765">
            <v>2.5</v>
          </cell>
          <cell r="H9765" t="str">
            <v>hydro</v>
          </cell>
        </row>
        <row r="9766">
          <cell r="C9766" t="str">
            <v>HY</v>
          </cell>
          <cell r="D9766">
            <v>4.8</v>
          </cell>
          <cell r="H9766" t="str">
            <v>hydro</v>
          </cell>
        </row>
        <row r="9767">
          <cell r="C9767" t="str">
            <v>ST</v>
          </cell>
          <cell r="D9767">
            <v>64</v>
          </cell>
          <cell r="H9767" t="str">
            <v>biomass</v>
          </cell>
        </row>
        <row r="9768">
          <cell r="C9768" t="str">
            <v>ST</v>
          </cell>
          <cell r="D9768">
            <v>46</v>
          </cell>
          <cell r="H9768" t="str">
            <v>biomass</v>
          </cell>
        </row>
        <row r="9769">
          <cell r="C9769" t="str">
            <v>ST</v>
          </cell>
          <cell r="D9769">
            <v>14.6</v>
          </cell>
          <cell r="H9769" t="str">
            <v>biomass</v>
          </cell>
        </row>
        <row r="9770">
          <cell r="C9770" t="str">
            <v>ST</v>
          </cell>
          <cell r="D9770">
            <v>4</v>
          </cell>
          <cell r="H9770" t="str">
            <v>biomass</v>
          </cell>
        </row>
        <row r="9771">
          <cell r="C9771" t="str">
            <v>ST</v>
          </cell>
          <cell r="D9771">
            <v>8.5</v>
          </cell>
          <cell r="H9771" t="str">
            <v>biomass</v>
          </cell>
        </row>
        <row r="9772">
          <cell r="C9772" t="str">
            <v>ST</v>
          </cell>
          <cell r="D9772">
            <v>8.5</v>
          </cell>
          <cell r="H9772" t="str">
            <v>biomass</v>
          </cell>
        </row>
        <row r="9773">
          <cell r="C9773" t="str">
            <v>ST</v>
          </cell>
          <cell r="D9773">
            <v>7.4</v>
          </cell>
          <cell r="H9773" t="str">
            <v>biomass</v>
          </cell>
        </row>
        <row r="9774">
          <cell r="C9774" t="str">
            <v>ST</v>
          </cell>
          <cell r="D9774">
            <v>4.7</v>
          </cell>
          <cell r="H9774" t="str">
            <v>biomass</v>
          </cell>
        </row>
        <row r="9775">
          <cell r="C9775" t="str">
            <v>ST</v>
          </cell>
          <cell r="D9775">
            <v>16.7</v>
          </cell>
          <cell r="H9775" t="str">
            <v>biomass</v>
          </cell>
        </row>
        <row r="9776">
          <cell r="C9776" t="str">
            <v>ST</v>
          </cell>
          <cell r="D9776">
            <v>29.2</v>
          </cell>
          <cell r="H9776" t="str">
            <v>biomass</v>
          </cell>
        </row>
        <row r="9777">
          <cell r="C9777" t="str">
            <v>ST</v>
          </cell>
          <cell r="D9777">
            <v>29</v>
          </cell>
          <cell r="H9777" t="str">
            <v>biomass</v>
          </cell>
        </row>
        <row r="9778">
          <cell r="C9778" t="str">
            <v>ST</v>
          </cell>
          <cell r="D9778">
            <v>74</v>
          </cell>
          <cell r="H9778" t="str">
            <v>biomass</v>
          </cell>
        </row>
        <row r="9779">
          <cell r="C9779" t="str">
            <v>ST</v>
          </cell>
          <cell r="D9779">
            <v>7.5</v>
          </cell>
          <cell r="H9779" t="str">
            <v>biomass</v>
          </cell>
        </row>
        <row r="9780">
          <cell r="C9780" t="str">
            <v>ST</v>
          </cell>
          <cell r="D9780">
            <v>40.799999999999997</v>
          </cell>
          <cell r="H9780" t="str">
            <v>biomass</v>
          </cell>
        </row>
        <row r="9781">
          <cell r="C9781" t="str">
            <v>HY</v>
          </cell>
          <cell r="D9781">
            <v>0.6</v>
          </cell>
          <cell r="H9781" t="str">
            <v>hydro</v>
          </cell>
        </row>
        <row r="9782">
          <cell r="C9782" t="str">
            <v>HY</v>
          </cell>
          <cell r="D9782">
            <v>0.5</v>
          </cell>
          <cell r="H9782" t="str">
            <v>hydro</v>
          </cell>
        </row>
        <row r="9783">
          <cell r="C9783" t="str">
            <v>HY</v>
          </cell>
          <cell r="D9783">
            <v>0.6</v>
          </cell>
          <cell r="H9783" t="str">
            <v>hydro</v>
          </cell>
        </row>
        <row r="9784">
          <cell r="C9784" t="str">
            <v>HY</v>
          </cell>
          <cell r="D9784">
            <v>0.5</v>
          </cell>
          <cell r="H9784" t="str">
            <v>hydro</v>
          </cell>
        </row>
        <row r="9785">
          <cell r="C9785" t="str">
            <v>HY</v>
          </cell>
          <cell r="D9785">
            <v>1</v>
          </cell>
          <cell r="H9785" t="str">
            <v>hydro</v>
          </cell>
        </row>
        <row r="9786">
          <cell r="C9786" t="str">
            <v>HY</v>
          </cell>
          <cell r="D9786">
            <v>0.7</v>
          </cell>
          <cell r="H9786" t="str">
            <v>hydro</v>
          </cell>
        </row>
        <row r="9787">
          <cell r="C9787" t="str">
            <v>HY</v>
          </cell>
          <cell r="D9787">
            <v>0.5</v>
          </cell>
          <cell r="H9787" t="str">
            <v>hydro</v>
          </cell>
        </row>
        <row r="9788">
          <cell r="C9788" t="str">
            <v>ST</v>
          </cell>
          <cell r="D9788">
            <v>7.5</v>
          </cell>
          <cell r="H9788" t="str">
            <v>biomass</v>
          </cell>
        </row>
        <row r="9789">
          <cell r="C9789" t="str">
            <v>ST</v>
          </cell>
          <cell r="D9789">
            <v>5</v>
          </cell>
          <cell r="H9789" t="str">
            <v>biomass</v>
          </cell>
        </row>
        <row r="9790">
          <cell r="C9790" t="str">
            <v>ST</v>
          </cell>
          <cell r="D9790">
            <v>12.5</v>
          </cell>
          <cell r="H9790" t="str">
            <v>biomass</v>
          </cell>
        </row>
        <row r="9791">
          <cell r="C9791" t="str">
            <v>ST</v>
          </cell>
          <cell r="D9791">
            <v>33</v>
          </cell>
          <cell r="H9791" t="str">
            <v>biomass</v>
          </cell>
        </row>
        <row r="9792">
          <cell r="C9792" t="str">
            <v>ST</v>
          </cell>
          <cell r="D9792">
            <v>57.8</v>
          </cell>
          <cell r="H9792" t="str">
            <v>biomass</v>
          </cell>
        </row>
        <row r="9793">
          <cell r="C9793" t="str">
            <v>GT</v>
          </cell>
          <cell r="D9793">
            <v>2.7</v>
          </cell>
          <cell r="H9793" t="str">
            <v>natural gas peaker</v>
          </cell>
        </row>
        <row r="9794">
          <cell r="C9794" t="str">
            <v>GT</v>
          </cell>
          <cell r="D9794">
            <v>3</v>
          </cell>
          <cell r="H9794" t="str">
            <v>natural gas peaker</v>
          </cell>
        </row>
        <row r="9795">
          <cell r="C9795" t="str">
            <v>ST</v>
          </cell>
          <cell r="D9795">
            <v>18</v>
          </cell>
          <cell r="H9795" t="str">
            <v>biomass</v>
          </cell>
        </row>
        <row r="9796">
          <cell r="C9796" t="str">
            <v>GT</v>
          </cell>
          <cell r="D9796">
            <v>4.9000000000000004</v>
          </cell>
          <cell r="H9796" t="str">
            <v>natural gas peaker</v>
          </cell>
        </row>
        <row r="9797">
          <cell r="C9797" t="str">
            <v>ST</v>
          </cell>
          <cell r="D9797">
            <v>6.1</v>
          </cell>
          <cell r="H9797" t="str">
            <v>other</v>
          </cell>
        </row>
        <row r="9798">
          <cell r="C9798" t="str">
            <v>HY</v>
          </cell>
          <cell r="D9798">
            <v>0.8</v>
          </cell>
          <cell r="H9798" t="str">
            <v>hydro</v>
          </cell>
        </row>
        <row r="9799">
          <cell r="C9799" t="str">
            <v>HY</v>
          </cell>
          <cell r="D9799">
            <v>2.5</v>
          </cell>
          <cell r="H9799" t="str">
            <v>hydro</v>
          </cell>
        </row>
        <row r="9800">
          <cell r="C9800" t="str">
            <v>HY</v>
          </cell>
          <cell r="D9800">
            <v>2.5</v>
          </cell>
          <cell r="H9800" t="str">
            <v>hydro</v>
          </cell>
        </row>
        <row r="9801">
          <cell r="C9801" t="str">
            <v>ST</v>
          </cell>
          <cell r="D9801">
            <v>15</v>
          </cell>
          <cell r="H9801" t="str">
            <v>biomass</v>
          </cell>
        </row>
        <row r="9802">
          <cell r="C9802" t="str">
            <v>ST</v>
          </cell>
          <cell r="D9802">
            <v>29</v>
          </cell>
          <cell r="H9802" t="str">
            <v>geothermal</v>
          </cell>
        </row>
        <row r="9803">
          <cell r="C9803" t="str">
            <v>ST</v>
          </cell>
          <cell r="D9803">
            <v>9</v>
          </cell>
          <cell r="H9803" t="str">
            <v>geothermal</v>
          </cell>
        </row>
        <row r="9804">
          <cell r="C9804" t="str">
            <v>ST</v>
          </cell>
          <cell r="D9804">
            <v>28.9</v>
          </cell>
          <cell r="H9804" t="str">
            <v>municipal solid waste</v>
          </cell>
        </row>
        <row r="9805">
          <cell r="C9805" t="str">
            <v>CT</v>
          </cell>
          <cell r="D9805">
            <v>82</v>
          </cell>
          <cell r="H9805" t="str">
            <v>natural gas nonpeaker</v>
          </cell>
        </row>
        <row r="9806">
          <cell r="C9806" t="str">
            <v>CT</v>
          </cell>
          <cell r="D9806">
            <v>82</v>
          </cell>
          <cell r="H9806" t="str">
            <v>natural gas nonpeaker</v>
          </cell>
        </row>
        <row r="9807">
          <cell r="C9807" t="str">
            <v>CT</v>
          </cell>
          <cell r="D9807">
            <v>82</v>
          </cell>
          <cell r="H9807" t="str">
            <v>natural gas nonpeaker</v>
          </cell>
        </row>
        <row r="9808">
          <cell r="C9808" t="str">
            <v>CT</v>
          </cell>
          <cell r="D9808">
            <v>82</v>
          </cell>
          <cell r="H9808" t="str">
            <v>natural gas nonpeaker</v>
          </cell>
        </row>
        <row r="9809">
          <cell r="C9809" t="str">
            <v>CA</v>
          </cell>
          <cell r="D9809">
            <v>35</v>
          </cell>
          <cell r="H9809" t="str">
            <v>natural gas nonpeaker</v>
          </cell>
        </row>
        <row r="9810">
          <cell r="C9810" t="str">
            <v>CA</v>
          </cell>
          <cell r="D9810">
            <v>35</v>
          </cell>
          <cell r="H9810" t="str">
            <v>natural gas nonpeaker</v>
          </cell>
        </row>
        <row r="9811">
          <cell r="C9811" t="str">
            <v>HY</v>
          </cell>
          <cell r="D9811">
            <v>2.7</v>
          </cell>
          <cell r="H9811" t="str">
            <v>hydro</v>
          </cell>
        </row>
        <row r="9812">
          <cell r="C9812" t="str">
            <v>HY</v>
          </cell>
          <cell r="D9812">
            <v>4</v>
          </cell>
          <cell r="H9812" t="str">
            <v>hydro</v>
          </cell>
        </row>
        <row r="9813">
          <cell r="C9813" t="str">
            <v>HY</v>
          </cell>
          <cell r="D9813">
            <v>0.5</v>
          </cell>
          <cell r="H9813" t="str">
            <v>hydro</v>
          </cell>
        </row>
        <row r="9814">
          <cell r="C9814" t="str">
            <v>IC</v>
          </cell>
          <cell r="D9814">
            <v>0.4</v>
          </cell>
          <cell r="H9814" t="str">
            <v>biomass</v>
          </cell>
        </row>
        <row r="9815">
          <cell r="C9815" t="str">
            <v>IC</v>
          </cell>
          <cell r="D9815">
            <v>0.4</v>
          </cell>
          <cell r="H9815" t="str">
            <v>biomass</v>
          </cell>
        </row>
        <row r="9816">
          <cell r="C9816" t="str">
            <v>IC</v>
          </cell>
          <cell r="D9816">
            <v>0.4</v>
          </cell>
          <cell r="H9816" t="str">
            <v>biomass</v>
          </cell>
        </row>
        <row r="9817">
          <cell r="C9817" t="str">
            <v>ST</v>
          </cell>
          <cell r="D9817">
            <v>11.5</v>
          </cell>
          <cell r="H9817" t="str">
            <v>municipal solid waste</v>
          </cell>
        </row>
        <row r="9818">
          <cell r="C9818" t="str">
            <v>HY</v>
          </cell>
          <cell r="D9818">
            <v>0.1</v>
          </cell>
          <cell r="H9818" t="str">
            <v>hydro</v>
          </cell>
        </row>
        <row r="9819">
          <cell r="C9819" t="str">
            <v>ST</v>
          </cell>
          <cell r="D9819">
            <v>35</v>
          </cell>
          <cell r="H9819" t="str">
            <v>natural gas peaker</v>
          </cell>
        </row>
        <row r="9820">
          <cell r="C9820" t="str">
            <v>IC</v>
          </cell>
          <cell r="D9820">
            <v>1.8</v>
          </cell>
          <cell r="H9820" t="str">
            <v>petroleum</v>
          </cell>
        </row>
        <row r="9821">
          <cell r="C9821" t="str">
            <v>ST</v>
          </cell>
          <cell r="D9821">
            <v>1.1000000000000001</v>
          </cell>
          <cell r="H9821" t="str">
            <v>biomass</v>
          </cell>
        </row>
        <row r="9822">
          <cell r="C9822" t="str">
            <v>ST</v>
          </cell>
          <cell r="D9822">
            <v>5</v>
          </cell>
          <cell r="H9822" t="str">
            <v>biomass</v>
          </cell>
        </row>
        <row r="9823">
          <cell r="C9823" t="str">
            <v>ST</v>
          </cell>
          <cell r="D9823">
            <v>4.7</v>
          </cell>
          <cell r="H9823" t="str">
            <v>biomass</v>
          </cell>
        </row>
        <row r="9824">
          <cell r="C9824" t="str">
            <v>HY</v>
          </cell>
          <cell r="D9824">
            <v>1</v>
          </cell>
          <cell r="H9824" t="str">
            <v>hydro</v>
          </cell>
        </row>
        <row r="9825">
          <cell r="C9825" t="str">
            <v>IC</v>
          </cell>
          <cell r="D9825">
            <v>0.9</v>
          </cell>
          <cell r="H9825" t="str">
            <v>natural gas peaker</v>
          </cell>
        </row>
        <row r="9826">
          <cell r="C9826" t="str">
            <v>IC</v>
          </cell>
          <cell r="D9826">
            <v>0.9</v>
          </cell>
          <cell r="H9826" t="str">
            <v>natural gas peaker</v>
          </cell>
        </row>
        <row r="9827">
          <cell r="C9827" t="str">
            <v>IC</v>
          </cell>
          <cell r="D9827">
            <v>0.9</v>
          </cell>
          <cell r="H9827" t="str">
            <v>natural gas peaker</v>
          </cell>
        </row>
        <row r="9828">
          <cell r="C9828" t="str">
            <v>ST</v>
          </cell>
          <cell r="D9828">
            <v>30.8</v>
          </cell>
          <cell r="H9828" t="str">
            <v>natural gas peaker</v>
          </cell>
        </row>
        <row r="9829">
          <cell r="C9829" t="str">
            <v>ST</v>
          </cell>
          <cell r="D9829">
            <v>7</v>
          </cell>
          <cell r="H9829" t="str">
            <v>natural gas peaker</v>
          </cell>
        </row>
        <row r="9830">
          <cell r="C9830" t="str">
            <v>IC</v>
          </cell>
          <cell r="D9830">
            <v>1.8</v>
          </cell>
          <cell r="H9830" t="str">
            <v>petroleum</v>
          </cell>
        </row>
        <row r="9831">
          <cell r="C9831" t="str">
            <v>IC</v>
          </cell>
          <cell r="D9831">
            <v>2.1</v>
          </cell>
          <cell r="H9831" t="str">
            <v>petroleum</v>
          </cell>
        </row>
        <row r="9832">
          <cell r="C9832" t="str">
            <v>IC</v>
          </cell>
          <cell r="D9832">
            <v>2.1</v>
          </cell>
          <cell r="H9832" t="str">
            <v>natural gas peaker</v>
          </cell>
        </row>
        <row r="9833">
          <cell r="C9833" t="str">
            <v>GT</v>
          </cell>
          <cell r="D9833">
            <v>178</v>
          </cell>
          <cell r="H9833" t="str">
            <v>natural gas peaker</v>
          </cell>
        </row>
        <row r="9834">
          <cell r="C9834" t="str">
            <v>ST</v>
          </cell>
          <cell r="D9834">
            <v>7.5</v>
          </cell>
          <cell r="H9834" t="str">
            <v>hard coal</v>
          </cell>
        </row>
        <row r="9835">
          <cell r="C9835" t="str">
            <v>ST</v>
          </cell>
          <cell r="D9835">
            <v>7.5</v>
          </cell>
          <cell r="H9835" t="str">
            <v>hard coal</v>
          </cell>
        </row>
        <row r="9836">
          <cell r="C9836" t="str">
            <v>ST</v>
          </cell>
          <cell r="D9836">
            <v>7.5</v>
          </cell>
          <cell r="H9836" t="str">
            <v>hard coal</v>
          </cell>
        </row>
        <row r="9837">
          <cell r="C9837" t="str">
            <v>ST</v>
          </cell>
          <cell r="D9837">
            <v>7.5</v>
          </cell>
          <cell r="H9837" t="str">
            <v>hard coal</v>
          </cell>
        </row>
        <row r="9838">
          <cell r="C9838" t="str">
            <v>ST</v>
          </cell>
          <cell r="D9838">
            <v>10</v>
          </cell>
          <cell r="H9838" t="str">
            <v>hard coal</v>
          </cell>
        </row>
        <row r="9839">
          <cell r="C9839" t="str">
            <v>ST</v>
          </cell>
          <cell r="D9839">
            <v>12.5</v>
          </cell>
          <cell r="H9839" t="str">
            <v>hard coal</v>
          </cell>
        </row>
        <row r="9840">
          <cell r="C9840" t="str">
            <v>ST</v>
          </cell>
          <cell r="D9840">
            <v>36</v>
          </cell>
          <cell r="H9840" t="str">
            <v>biomass</v>
          </cell>
        </row>
        <row r="9841">
          <cell r="C9841" t="str">
            <v>ST</v>
          </cell>
          <cell r="D9841">
            <v>40</v>
          </cell>
          <cell r="H9841" t="str">
            <v>biomass</v>
          </cell>
        </row>
        <row r="9842">
          <cell r="C9842" t="str">
            <v>ST</v>
          </cell>
          <cell r="D9842">
            <v>28</v>
          </cell>
          <cell r="H9842" t="str">
            <v>biomass</v>
          </cell>
        </row>
        <row r="9843">
          <cell r="C9843" t="str">
            <v>ST</v>
          </cell>
          <cell r="D9843">
            <v>31</v>
          </cell>
          <cell r="H9843" t="str">
            <v>biomass</v>
          </cell>
        </row>
        <row r="9844">
          <cell r="C9844" t="str">
            <v>HY</v>
          </cell>
          <cell r="D9844">
            <v>0.9</v>
          </cell>
          <cell r="H9844" t="str">
            <v>hydro</v>
          </cell>
        </row>
        <row r="9845">
          <cell r="C9845" t="str">
            <v>HY</v>
          </cell>
          <cell r="D9845">
            <v>0.9</v>
          </cell>
          <cell r="H9845" t="str">
            <v>hydro</v>
          </cell>
        </row>
        <row r="9846">
          <cell r="C9846" t="str">
            <v>HY</v>
          </cell>
          <cell r="D9846">
            <v>0.9</v>
          </cell>
          <cell r="H9846" t="str">
            <v>hydro</v>
          </cell>
        </row>
        <row r="9847">
          <cell r="C9847" t="str">
            <v>HY</v>
          </cell>
          <cell r="D9847">
            <v>0.9</v>
          </cell>
          <cell r="H9847" t="str">
            <v>hydro</v>
          </cell>
        </row>
        <row r="9848">
          <cell r="C9848" t="str">
            <v>HY</v>
          </cell>
          <cell r="D9848">
            <v>0.9</v>
          </cell>
          <cell r="H9848" t="str">
            <v>hydro</v>
          </cell>
        </row>
        <row r="9849">
          <cell r="C9849" t="str">
            <v>HY</v>
          </cell>
          <cell r="D9849">
            <v>0.9</v>
          </cell>
          <cell r="H9849" t="str">
            <v>hydro</v>
          </cell>
        </row>
        <row r="9850">
          <cell r="C9850" t="str">
            <v>HY</v>
          </cell>
          <cell r="D9850">
            <v>0.9</v>
          </cell>
          <cell r="H9850" t="str">
            <v>hydro</v>
          </cell>
        </row>
        <row r="9851">
          <cell r="C9851" t="str">
            <v>HY</v>
          </cell>
          <cell r="D9851">
            <v>0.8</v>
          </cell>
          <cell r="H9851" t="str">
            <v>hydro</v>
          </cell>
        </row>
        <row r="9852">
          <cell r="C9852" t="str">
            <v>HY</v>
          </cell>
          <cell r="D9852">
            <v>0.8</v>
          </cell>
          <cell r="H9852" t="str">
            <v>hydro</v>
          </cell>
        </row>
        <row r="9853">
          <cell r="C9853" t="str">
            <v>HY</v>
          </cell>
          <cell r="D9853">
            <v>0.7</v>
          </cell>
          <cell r="H9853" t="str">
            <v>hydro</v>
          </cell>
        </row>
        <row r="9854">
          <cell r="C9854" t="str">
            <v>HY</v>
          </cell>
          <cell r="D9854">
            <v>0.7</v>
          </cell>
          <cell r="H9854" t="str">
            <v>hydro</v>
          </cell>
        </row>
        <row r="9855">
          <cell r="C9855" t="str">
            <v>ST</v>
          </cell>
          <cell r="D9855">
            <v>30</v>
          </cell>
          <cell r="H9855" t="str">
            <v>biomass</v>
          </cell>
        </row>
        <row r="9856">
          <cell r="C9856" t="str">
            <v>IC</v>
          </cell>
          <cell r="D9856">
            <v>2</v>
          </cell>
          <cell r="H9856" t="str">
            <v>petroleum</v>
          </cell>
        </row>
        <row r="9857">
          <cell r="C9857" t="str">
            <v>IC</v>
          </cell>
          <cell r="D9857">
            <v>2</v>
          </cell>
          <cell r="H9857" t="str">
            <v>petroleum</v>
          </cell>
        </row>
        <row r="9858">
          <cell r="C9858" t="str">
            <v>IC</v>
          </cell>
          <cell r="D9858">
            <v>0.5</v>
          </cell>
          <cell r="H9858" t="str">
            <v>petroleum</v>
          </cell>
        </row>
        <row r="9859">
          <cell r="C9859" t="str">
            <v>HY</v>
          </cell>
          <cell r="D9859">
            <v>3.8</v>
          </cell>
          <cell r="H9859" t="str">
            <v>hydro</v>
          </cell>
        </row>
        <row r="9860">
          <cell r="C9860" t="str">
            <v>HY</v>
          </cell>
          <cell r="D9860">
            <v>1.4</v>
          </cell>
          <cell r="H9860" t="str">
            <v>hydro</v>
          </cell>
        </row>
        <row r="9861">
          <cell r="C9861" t="str">
            <v>HY</v>
          </cell>
          <cell r="D9861">
            <v>2.2000000000000002</v>
          </cell>
          <cell r="H9861" t="str">
            <v>hydro</v>
          </cell>
        </row>
        <row r="9862">
          <cell r="C9862" t="str">
            <v>HY</v>
          </cell>
          <cell r="D9862">
            <v>2.2000000000000002</v>
          </cell>
          <cell r="H9862" t="str">
            <v>hydro</v>
          </cell>
        </row>
        <row r="9863">
          <cell r="C9863" t="str">
            <v>CT</v>
          </cell>
          <cell r="D9863">
            <v>40.200000000000003</v>
          </cell>
          <cell r="H9863" t="str">
            <v>natural gas nonpeaker</v>
          </cell>
        </row>
        <row r="9864">
          <cell r="C9864" t="str">
            <v>CA</v>
          </cell>
          <cell r="D9864">
            <v>8.9</v>
          </cell>
          <cell r="H9864" t="str">
            <v>natural gas nonpeaker</v>
          </cell>
        </row>
        <row r="9865">
          <cell r="C9865" t="str">
            <v>ST</v>
          </cell>
          <cell r="D9865">
            <v>7.5</v>
          </cell>
          <cell r="H9865" t="str">
            <v>municipal solid waste</v>
          </cell>
        </row>
        <row r="9866">
          <cell r="C9866" t="str">
            <v>ST</v>
          </cell>
          <cell r="D9866">
            <v>14.8</v>
          </cell>
          <cell r="H9866" t="str">
            <v>other</v>
          </cell>
        </row>
        <row r="9867">
          <cell r="C9867" t="str">
            <v>ST</v>
          </cell>
          <cell r="D9867">
            <v>10.5</v>
          </cell>
          <cell r="H9867" t="str">
            <v>natural gas peaker</v>
          </cell>
        </row>
        <row r="9868">
          <cell r="C9868" t="str">
            <v>WT</v>
          </cell>
          <cell r="D9868">
            <v>5.9</v>
          </cell>
          <cell r="H9868" t="str">
            <v>onshore wind</v>
          </cell>
        </row>
        <row r="9869">
          <cell r="C9869" t="str">
            <v>HY</v>
          </cell>
          <cell r="D9869">
            <v>4.5999999999999996</v>
          </cell>
          <cell r="H9869" t="str">
            <v>hydro</v>
          </cell>
        </row>
        <row r="9870">
          <cell r="C9870" t="str">
            <v>HY</v>
          </cell>
          <cell r="D9870">
            <v>4.5999999999999996</v>
          </cell>
          <cell r="H9870" t="str">
            <v>hydro</v>
          </cell>
        </row>
        <row r="9871">
          <cell r="C9871" t="str">
            <v>ST</v>
          </cell>
          <cell r="D9871">
            <v>20</v>
          </cell>
          <cell r="H9871" t="str">
            <v>biomass</v>
          </cell>
        </row>
        <row r="9872">
          <cell r="C9872" t="str">
            <v>GT</v>
          </cell>
          <cell r="D9872">
            <v>4</v>
          </cell>
          <cell r="H9872" t="str">
            <v>biomass</v>
          </cell>
        </row>
        <row r="9873">
          <cell r="C9873" t="str">
            <v>GT</v>
          </cell>
          <cell r="D9873">
            <v>4</v>
          </cell>
          <cell r="H9873" t="str">
            <v>biomass</v>
          </cell>
        </row>
        <row r="9874">
          <cell r="C9874" t="str">
            <v>GT</v>
          </cell>
          <cell r="D9874">
            <v>43.7</v>
          </cell>
          <cell r="H9874" t="str">
            <v>natural gas peaker</v>
          </cell>
        </row>
        <row r="9875">
          <cell r="C9875" t="str">
            <v>HY</v>
          </cell>
          <cell r="D9875">
            <v>1.5</v>
          </cell>
          <cell r="H9875" t="str">
            <v>hydro</v>
          </cell>
        </row>
        <row r="9876">
          <cell r="C9876" t="str">
            <v>WT</v>
          </cell>
          <cell r="D9876">
            <v>31</v>
          </cell>
          <cell r="H9876" t="str">
            <v>onshore wind</v>
          </cell>
        </row>
        <row r="9877">
          <cell r="C9877" t="str">
            <v>HY</v>
          </cell>
          <cell r="D9877">
            <v>0.6</v>
          </cell>
          <cell r="H9877" t="str">
            <v>hydro</v>
          </cell>
        </row>
        <row r="9878">
          <cell r="C9878" t="str">
            <v>HY</v>
          </cell>
          <cell r="D9878">
            <v>0.6</v>
          </cell>
          <cell r="H9878" t="str">
            <v>hydro</v>
          </cell>
        </row>
        <row r="9879">
          <cell r="C9879" t="str">
            <v>ST</v>
          </cell>
          <cell r="D9879">
            <v>53.3</v>
          </cell>
          <cell r="H9879" t="str">
            <v>municipal solid waste</v>
          </cell>
        </row>
        <row r="9880">
          <cell r="C9880" t="str">
            <v>ST</v>
          </cell>
          <cell r="D9880">
            <v>26.7</v>
          </cell>
          <cell r="H9880" t="str">
            <v>municipal solid waste</v>
          </cell>
        </row>
        <row r="9881">
          <cell r="C9881" t="str">
            <v>CT</v>
          </cell>
          <cell r="D9881">
            <v>22.2</v>
          </cell>
          <cell r="H9881" t="str">
            <v>natural gas nonpeaker</v>
          </cell>
        </row>
        <row r="9882">
          <cell r="C9882" t="str">
            <v>CT</v>
          </cell>
          <cell r="D9882">
            <v>22.2</v>
          </cell>
          <cell r="H9882" t="str">
            <v>natural gas nonpeaker</v>
          </cell>
        </row>
        <row r="9883">
          <cell r="C9883" t="str">
            <v>CA</v>
          </cell>
          <cell r="D9883">
            <v>10.6</v>
          </cell>
          <cell r="H9883" t="str">
            <v>natural gas nonpeaker</v>
          </cell>
        </row>
        <row r="9884">
          <cell r="C9884" t="str">
            <v>IC</v>
          </cell>
          <cell r="D9884">
            <v>0.4</v>
          </cell>
          <cell r="H9884" t="str">
            <v>petroleum</v>
          </cell>
        </row>
        <row r="9885">
          <cell r="C9885" t="str">
            <v>GT</v>
          </cell>
          <cell r="D9885">
            <v>47</v>
          </cell>
          <cell r="H9885" t="str">
            <v>natural gas peaker</v>
          </cell>
        </row>
        <row r="9886">
          <cell r="C9886" t="str">
            <v>CT</v>
          </cell>
          <cell r="D9886">
            <v>49</v>
          </cell>
          <cell r="H9886" t="str">
            <v>natural gas nonpeaker</v>
          </cell>
        </row>
        <row r="9887">
          <cell r="C9887" t="str">
            <v>CA</v>
          </cell>
          <cell r="D9887">
            <v>33</v>
          </cell>
          <cell r="H9887" t="str">
            <v>natural gas nonpeaker</v>
          </cell>
        </row>
        <row r="9888">
          <cell r="C9888" t="str">
            <v>ST</v>
          </cell>
          <cell r="D9888">
            <v>26.5</v>
          </cell>
          <cell r="H9888" t="str">
            <v>biomass</v>
          </cell>
        </row>
        <row r="9889">
          <cell r="C9889" t="str">
            <v>ST</v>
          </cell>
          <cell r="D9889">
            <v>50</v>
          </cell>
          <cell r="H9889" t="str">
            <v>biomass</v>
          </cell>
        </row>
        <row r="9890">
          <cell r="C9890" t="str">
            <v>ST</v>
          </cell>
          <cell r="D9890">
            <v>22.5</v>
          </cell>
          <cell r="H9890" t="str">
            <v>biomass</v>
          </cell>
        </row>
        <row r="9891">
          <cell r="C9891" t="str">
            <v>GT</v>
          </cell>
          <cell r="D9891">
            <v>46.1</v>
          </cell>
          <cell r="H9891" t="str">
            <v>natural gas peaker</v>
          </cell>
        </row>
        <row r="9892">
          <cell r="C9892" t="str">
            <v>BA</v>
          </cell>
          <cell r="D9892">
            <v>20</v>
          </cell>
          <cell r="H9892" t="str">
            <v>other</v>
          </cell>
        </row>
        <row r="9893">
          <cell r="C9893" t="str">
            <v>ST</v>
          </cell>
          <cell r="D9893">
            <v>45</v>
          </cell>
          <cell r="H9893" t="str">
            <v>other</v>
          </cell>
        </row>
        <row r="9894">
          <cell r="C9894" t="str">
            <v>ST</v>
          </cell>
          <cell r="D9894">
            <v>45</v>
          </cell>
          <cell r="H9894" t="str">
            <v>other</v>
          </cell>
        </row>
        <row r="9895">
          <cell r="C9895" t="str">
            <v>GT</v>
          </cell>
          <cell r="D9895">
            <v>75</v>
          </cell>
          <cell r="H9895" t="str">
            <v>other</v>
          </cell>
        </row>
        <row r="9896">
          <cell r="C9896" t="str">
            <v>GT</v>
          </cell>
          <cell r="D9896">
            <v>70</v>
          </cell>
          <cell r="H9896" t="str">
            <v>other</v>
          </cell>
        </row>
        <row r="9897">
          <cell r="C9897" t="str">
            <v>ST</v>
          </cell>
          <cell r="D9897">
            <v>3.2</v>
          </cell>
          <cell r="H9897" t="str">
            <v>petroleum</v>
          </cell>
        </row>
        <row r="9898">
          <cell r="C9898" t="str">
            <v>ST</v>
          </cell>
          <cell r="D9898">
            <v>12</v>
          </cell>
          <cell r="H9898" t="str">
            <v>petroleum</v>
          </cell>
        </row>
        <row r="9899">
          <cell r="C9899" t="str">
            <v>ST</v>
          </cell>
          <cell r="D9899">
            <v>10</v>
          </cell>
          <cell r="H9899" t="str">
            <v>petroleum</v>
          </cell>
        </row>
        <row r="9900">
          <cell r="C9900" t="str">
            <v>ST</v>
          </cell>
          <cell r="D9900">
            <v>11</v>
          </cell>
          <cell r="H9900" t="str">
            <v>petroleum</v>
          </cell>
        </row>
        <row r="9901">
          <cell r="C9901" t="str">
            <v>ST</v>
          </cell>
          <cell r="D9901">
            <v>11</v>
          </cell>
          <cell r="H9901" t="str">
            <v>petroleum</v>
          </cell>
        </row>
        <row r="9902">
          <cell r="C9902" t="str">
            <v>ST</v>
          </cell>
          <cell r="D9902">
            <v>7.5</v>
          </cell>
          <cell r="H9902" t="str">
            <v>natural gas peaker</v>
          </cell>
        </row>
        <row r="9903">
          <cell r="C9903" t="str">
            <v>ST</v>
          </cell>
          <cell r="D9903">
            <v>2.5</v>
          </cell>
          <cell r="H9903" t="str">
            <v>natural gas peaker</v>
          </cell>
        </row>
        <row r="9904">
          <cell r="C9904" t="str">
            <v>ST</v>
          </cell>
          <cell r="D9904">
            <v>2.5</v>
          </cell>
          <cell r="H9904" t="str">
            <v>natural gas peaker</v>
          </cell>
        </row>
        <row r="9905">
          <cell r="C9905" t="str">
            <v>ST</v>
          </cell>
          <cell r="D9905">
            <v>4.3</v>
          </cell>
          <cell r="H9905" t="str">
            <v>natural gas peaker</v>
          </cell>
        </row>
        <row r="9906">
          <cell r="C9906" t="str">
            <v>IC</v>
          </cell>
          <cell r="D9906">
            <v>1.8</v>
          </cell>
          <cell r="H9906" t="str">
            <v>petroleum</v>
          </cell>
        </row>
        <row r="9907">
          <cell r="C9907" t="str">
            <v>ST</v>
          </cell>
          <cell r="D9907">
            <v>3.5</v>
          </cell>
          <cell r="H9907" t="str">
            <v>hard coal</v>
          </cell>
        </row>
        <row r="9908">
          <cell r="C9908" t="str">
            <v>ST</v>
          </cell>
          <cell r="D9908">
            <v>6.2</v>
          </cell>
          <cell r="H9908" t="str">
            <v>hard coal</v>
          </cell>
        </row>
        <row r="9909">
          <cell r="C9909" t="str">
            <v>ST</v>
          </cell>
          <cell r="D9909">
            <v>6.2</v>
          </cell>
          <cell r="H9909" t="str">
            <v>hard coal</v>
          </cell>
        </row>
        <row r="9910">
          <cell r="C9910" t="str">
            <v>ST</v>
          </cell>
          <cell r="D9910">
            <v>6.2</v>
          </cell>
          <cell r="H9910" t="str">
            <v>hard coal</v>
          </cell>
        </row>
        <row r="9911">
          <cell r="C9911" t="str">
            <v>IC</v>
          </cell>
          <cell r="D9911">
            <v>1.1000000000000001</v>
          </cell>
          <cell r="H9911" t="str">
            <v>natural gas peaker</v>
          </cell>
        </row>
        <row r="9912">
          <cell r="C9912" t="str">
            <v>IC</v>
          </cell>
          <cell r="D9912">
            <v>1.3</v>
          </cell>
          <cell r="H9912" t="str">
            <v>natural gas peaker</v>
          </cell>
        </row>
        <row r="9913">
          <cell r="C9913" t="str">
            <v>IC</v>
          </cell>
          <cell r="D9913">
            <v>1.1000000000000001</v>
          </cell>
          <cell r="H9913" t="str">
            <v>natural gas peaker</v>
          </cell>
        </row>
        <row r="9914">
          <cell r="C9914" t="str">
            <v>IC</v>
          </cell>
          <cell r="D9914">
            <v>1.3</v>
          </cell>
          <cell r="H9914" t="str">
            <v>natural gas peaker</v>
          </cell>
        </row>
        <row r="9915">
          <cell r="C9915" t="str">
            <v>IC</v>
          </cell>
          <cell r="D9915">
            <v>1.1000000000000001</v>
          </cell>
          <cell r="H9915" t="str">
            <v>natural gas peaker</v>
          </cell>
        </row>
        <row r="9916">
          <cell r="C9916" t="str">
            <v>IC</v>
          </cell>
          <cell r="D9916">
            <v>1.3</v>
          </cell>
          <cell r="H9916" t="str">
            <v>natural gas peaker</v>
          </cell>
        </row>
        <row r="9917">
          <cell r="C9917" t="str">
            <v>IC</v>
          </cell>
          <cell r="D9917">
            <v>1.3</v>
          </cell>
          <cell r="H9917" t="str">
            <v>natural gas peaker</v>
          </cell>
        </row>
        <row r="9918">
          <cell r="C9918" t="str">
            <v>IC</v>
          </cell>
          <cell r="D9918">
            <v>1.3</v>
          </cell>
          <cell r="H9918" t="str">
            <v>natural gas peaker</v>
          </cell>
        </row>
        <row r="9919">
          <cell r="C9919" t="str">
            <v>IC</v>
          </cell>
          <cell r="D9919">
            <v>1.3</v>
          </cell>
          <cell r="H9919" t="str">
            <v>natural gas peaker</v>
          </cell>
        </row>
        <row r="9920">
          <cell r="C9920" t="str">
            <v>IC</v>
          </cell>
          <cell r="D9920">
            <v>1.3</v>
          </cell>
          <cell r="H9920" t="str">
            <v>natural gas peaker</v>
          </cell>
        </row>
        <row r="9921">
          <cell r="C9921" t="str">
            <v>IC</v>
          </cell>
          <cell r="D9921">
            <v>1.3</v>
          </cell>
          <cell r="H9921" t="str">
            <v>natural gas peaker</v>
          </cell>
        </row>
        <row r="9922">
          <cell r="C9922" t="str">
            <v>HY</v>
          </cell>
          <cell r="D9922">
            <v>0.6</v>
          </cell>
          <cell r="H9922" t="str">
            <v>hydro</v>
          </cell>
        </row>
        <row r="9923">
          <cell r="C9923" t="str">
            <v>HY</v>
          </cell>
          <cell r="D9923">
            <v>0.6</v>
          </cell>
          <cell r="H9923" t="str">
            <v>hydro</v>
          </cell>
        </row>
        <row r="9924">
          <cell r="C9924" t="str">
            <v>HY</v>
          </cell>
          <cell r="D9924">
            <v>0.6</v>
          </cell>
          <cell r="H9924" t="str">
            <v>hydro</v>
          </cell>
        </row>
        <row r="9925">
          <cell r="C9925" t="str">
            <v>HY</v>
          </cell>
          <cell r="D9925">
            <v>0.6</v>
          </cell>
          <cell r="H9925" t="str">
            <v>hydro</v>
          </cell>
        </row>
        <row r="9926">
          <cell r="C9926" t="str">
            <v>HY</v>
          </cell>
          <cell r="D9926">
            <v>0.6</v>
          </cell>
          <cell r="H9926" t="str">
            <v>hydro</v>
          </cell>
        </row>
        <row r="9927">
          <cell r="C9927" t="str">
            <v>HY</v>
          </cell>
          <cell r="D9927">
            <v>0.5</v>
          </cell>
          <cell r="H9927" t="str">
            <v>hydro</v>
          </cell>
        </row>
        <row r="9928">
          <cell r="C9928" t="str">
            <v>HY</v>
          </cell>
          <cell r="D9928">
            <v>0.5</v>
          </cell>
          <cell r="H9928" t="str">
            <v>hydro</v>
          </cell>
        </row>
        <row r="9929">
          <cell r="C9929" t="str">
            <v>ST</v>
          </cell>
          <cell r="D9929">
            <v>2.2000000000000002</v>
          </cell>
          <cell r="H9929" t="str">
            <v>natural gas peaker</v>
          </cell>
        </row>
        <row r="9930">
          <cell r="C9930" t="str">
            <v>GT</v>
          </cell>
          <cell r="D9930">
            <v>2.8</v>
          </cell>
          <cell r="H9930" t="str">
            <v>natural gas peaker</v>
          </cell>
        </row>
        <row r="9931">
          <cell r="C9931" t="str">
            <v>HY</v>
          </cell>
          <cell r="D9931">
            <v>2.1</v>
          </cell>
          <cell r="H9931" t="str">
            <v>hydro</v>
          </cell>
        </row>
        <row r="9932">
          <cell r="C9932" t="str">
            <v>HY</v>
          </cell>
          <cell r="D9932">
            <v>0.3</v>
          </cell>
          <cell r="H9932" t="str">
            <v>hydro</v>
          </cell>
        </row>
        <row r="9933">
          <cell r="C9933" t="str">
            <v>HY</v>
          </cell>
          <cell r="D9933">
            <v>0.3</v>
          </cell>
          <cell r="H9933" t="str">
            <v>hydro</v>
          </cell>
        </row>
        <row r="9934">
          <cell r="C9934" t="str">
            <v>HY</v>
          </cell>
          <cell r="D9934">
            <v>0.3</v>
          </cell>
          <cell r="H9934" t="str">
            <v>hydro</v>
          </cell>
        </row>
        <row r="9935">
          <cell r="C9935" t="str">
            <v>HY</v>
          </cell>
          <cell r="D9935">
            <v>0.3</v>
          </cell>
          <cell r="H9935" t="str">
            <v>hydro</v>
          </cell>
        </row>
        <row r="9936">
          <cell r="C9936" t="str">
            <v>HY</v>
          </cell>
          <cell r="D9936">
            <v>0.7</v>
          </cell>
          <cell r="H9936" t="str">
            <v>hydro</v>
          </cell>
        </row>
        <row r="9937">
          <cell r="C9937" t="str">
            <v>HY</v>
          </cell>
          <cell r="D9937">
            <v>0.7</v>
          </cell>
          <cell r="H9937" t="str">
            <v>hydro</v>
          </cell>
        </row>
        <row r="9938">
          <cell r="C9938" t="str">
            <v>CT</v>
          </cell>
          <cell r="D9938">
            <v>3</v>
          </cell>
          <cell r="H9938" t="str">
            <v>natural gas nonpeaker</v>
          </cell>
        </row>
        <row r="9939">
          <cell r="C9939" t="str">
            <v>CA</v>
          </cell>
          <cell r="D9939">
            <v>0.7</v>
          </cell>
          <cell r="H9939" t="str">
            <v>natural gas nonpeaker</v>
          </cell>
        </row>
        <row r="9940">
          <cell r="C9940" t="str">
            <v>HY</v>
          </cell>
          <cell r="D9940">
            <v>0.8</v>
          </cell>
          <cell r="H9940" t="str">
            <v>hydro</v>
          </cell>
        </row>
        <row r="9941">
          <cell r="C9941" t="str">
            <v>HY</v>
          </cell>
          <cell r="D9941">
            <v>0.8</v>
          </cell>
          <cell r="H9941" t="str">
            <v>hydro</v>
          </cell>
        </row>
        <row r="9942">
          <cell r="C9942" t="str">
            <v>HY</v>
          </cell>
          <cell r="D9942">
            <v>0.9</v>
          </cell>
          <cell r="H9942" t="str">
            <v>hydro</v>
          </cell>
        </row>
        <row r="9943">
          <cell r="C9943" t="str">
            <v>IC</v>
          </cell>
          <cell r="D9943">
            <v>2.2999999999999998</v>
          </cell>
          <cell r="H9943" t="str">
            <v>biomass</v>
          </cell>
        </row>
        <row r="9944">
          <cell r="C9944" t="str">
            <v>IC</v>
          </cell>
          <cell r="D9944">
            <v>2.2999999999999998</v>
          </cell>
          <cell r="H9944" t="str">
            <v>biomass</v>
          </cell>
        </row>
        <row r="9945">
          <cell r="C9945" t="str">
            <v>IC</v>
          </cell>
          <cell r="D9945">
            <v>0.5</v>
          </cell>
          <cell r="H9945" t="str">
            <v>petroleum</v>
          </cell>
        </row>
        <row r="9946">
          <cell r="C9946" t="str">
            <v>IC</v>
          </cell>
          <cell r="D9946">
            <v>0.5</v>
          </cell>
          <cell r="H9946" t="str">
            <v>petroleum</v>
          </cell>
        </row>
        <row r="9947">
          <cell r="C9947" t="str">
            <v>HY</v>
          </cell>
          <cell r="D9947">
            <v>0.8</v>
          </cell>
          <cell r="H9947" t="str">
            <v>hydro</v>
          </cell>
        </row>
        <row r="9948">
          <cell r="C9948" t="str">
            <v>HY</v>
          </cell>
          <cell r="D9948">
            <v>6.5</v>
          </cell>
          <cell r="H9948" t="str">
            <v>hydro</v>
          </cell>
        </row>
        <row r="9949">
          <cell r="C9949" t="str">
            <v>IC</v>
          </cell>
          <cell r="D9949">
            <v>0.5</v>
          </cell>
          <cell r="H9949" t="str">
            <v>natural gas peaker</v>
          </cell>
        </row>
        <row r="9950">
          <cell r="C9950" t="str">
            <v>IC</v>
          </cell>
          <cell r="D9950">
            <v>0.5</v>
          </cell>
          <cell r="H9950" t="str">
            <v>natural gas peaker</v>
          </cell>
        </row>
        <row r="9951">
          <cell r="C9951" t="str">
            <v>IC</v>
          </cell>
          <cell r="D9951">
            <v>0.3</v>
          </cell>
          <cell r="H9951" t="str">
            <v>natural gas peaker</v>
          </cell>
        </row>
        <row r="9952">
          <cell r="C9952" t="str">
            <v>IC</v>
          </cell>
          <cell r="D9952">
            <v>0.5</v>
          </cell>
          <cell r="H9952" t="str">
            <v>natural gas peaker</v>
          </cell>
        </row>
        <row r="9953">
          <cell r="C9953" t="str">
            <v>ST</v>
          </cell>
          <cell r="D9953">
            <v>8</v>
          </cell>
          <cell r="H9953" t="str">
            <v>other</v>
          </cell>
        </row>
        <row r="9954">
          <cell r="C9954" t="str">
            <v>IC</v>
          </cell>
          <cell r="D9954">
            <v>1.8</v>
          </cell>
          <cell r="H9954" t="str">
            <v>petroleum</v>
          </cell>
        </row>
        <row r="9955">
          <cell r="C9955" t="str">
            <v>IC</v>
          </cell>
          <cell r="D9955">
            <v>1.8</v>
          </cell>
          <cell r="H9955" t="str">
            <v>petroleum</v>
          </cell>
        </row>
        <row r="9956">
          <cell r="C9956" t="str">
            <v>HY</v>
          </cell>
          <cell r="D9956">
            <v>14.5</v>
          </cell>
          <cell r="H9956" t="str">
            <v>hydro</v>
          </cell>
        </row>
        <row r="9957">
          <cell r="C9957" t="str">
            <v>HY</v>
          </cell>
          <cell r="D9957">
            <v>4.3</v>
          </cell>
          <cell r="H9957" t="str">
            <v>hydro</v>
          </cell>
        </row>
        <row r="9958">
          <cell r="C9958" t="str">
            <v>HY</v>
          </cell>
          <cell r="D9958">
            <v>3.7</v>
          </cell>
          <cell r="H9958" t="str">
            <v>hydro</v>
          </cell>
        </row>
        <row r="9959">
          <cell r="C9959" t="str">
            <v>HY</v>
          </cell>
          <cell r="D9959">
            <v>0.3</v>
          </cell>
          <cell r="H9959" t="str">
            <v>hydro</v>
          </cell>
        </row>
        <row r="9960">
          <cell r="C9960" t="str">
            <v>HY</v>
          </cell>
          <cell r="D9960">
            <v>4.5999999999999996</v>
          </cell>
          <cell r="H9960" t="str">
            <v>hydro</v>
          </cell>
        </row>
        <row r="9961">
          <cell r="C9961" t="str">
            <v>HY</v>
          </cell>
          <cell r="D9961">
            <v>0.8</v>
          </cell>
          <cell r="H9961" t="str">
            <v>hydro</v>
          </cell>
        </row>
        <row r="9962">
          <cell r="C9962" t="str">
            <v>HY</v>
          </cell>
          <cell r="D9962">
            <v>0.8</v>
          </cell>
          <cell r="H9962" t="str">
            <v>hydro</v>
          </cell>
        </row>
        <row r="9963">
          <cell r="C9963" t="str">
            <v>HY</v>
          </cell>
          <cell r="D9963">
            <v>0.1</v>
          </cell>
          <cell r="H9963" t="str">
            <v>hydro</v>
          </cell>
        </row>
        <row r="9964">
          <cell r="C9964" t="str">
            <v>ST</v>
          </cell>
          <cell r="D9964">
            <v>8.5</v>
          </cell>
          <cell r="H9964" t="str">
            <v>other</v>
          </cell>
        </row>
        <row r="9965">
          <cell r="C9965" t="str">
            <v>ST</v>
          </cell>
          <cell r="D9965">
            <v>7.5</v>
          </cell>
          <cell r="H9965" t="str">
            <v>other</v>
          </cell>
        </row>
        <row r="9966">
          <cell r="C9966" t="str">
            <v>HY</v>
          </cell>
          <cell r="D9966">
            <v>1.8</v>
          </cell>
          <cell r="H9966" t="str">
            <v>hydro</v>
          </cell>
        </row>
        <row r="9967">
          <cell r="C9967" t="str">
            <v>HY</v>
          </cell>
          <cell r="D9967">
            <v>2.9</v>
          </cell>
          <cell r="H9967" t="str">
            <v>hydro</v>
          </cell>
        </row>
        <row r="9968">
          <cell r="C9968" t="str">
            <v>HY</v>
          </cell>
          <cell r="D9968">
            <v>6.7</v>
          </cell>
          <cell r="H9968" t="str">
            <v>hydro</v>
          </cell>
        </row>
        <row r="9969">
          <cell r="C9969" t="str">
            <v>ST</v>
          </cell>
          <cell r="D9969">
            <v>15.5</v>
          </cell>
          <cell r="H9969" t="str">
            <v>biomass</v>
          </cell>
        </row>
        <row r="9970">
          <cell r="C9970" t="str">
            <v>IC</v>
          </cell>
          <cell r="D9970">
            <v>1.5</v>
          </cell>
          <cell r="H9970" t="str">
            <v>biomass</v>
          </cell>
        </row>
        <row r="9971">
          <cell r="C9971" t="str">
            <v>IC</v>
          </cell>
          <cell r="D9971">
            <v>1.5</v>
          </cell>
          <cell r="H9971" t="str">
            <v>biomass</v>
          </cell>
        </row>
        <row r="9972">
          <cell r="C9972" t="str">
            <v>IC</v>
          </cell>
          <cell r="D9972">
            <v>1.5</v>
          </cell>
          <cell r="H9972" t="str">
            <v>biomass</v>
          </cell>
        </row>
        <row r="9973">
          <cell r="C9973" t="str">
            <v>IC</v>
          </cell>
          <cell r="D9973">
            <v>1.5</v>
          </cell>
          <cell r="H9973" t="str">
            <v>biomass</v>
          </cell>
        </row>
        <row r="9974">
          <cell r="C9974" t="str">
            <v>ST</v>
          </cell>
          <cell r="D9974">
            <v>3</v>
          </cell>
          <cell r="H9974" t="str">
            <v>natural gas peaker</v>
          </cell>
        </row>
        <row r="9975">
          <cell r="C9975" t="str">
            <v>ST</v>
          </cell>
          <cell r="D9975">
            <v>1.7</v>
          </cell>
          <cell r="H9975" t="str">
            <v>natural gas peaker</v>
          </cell>
        </row>
        <row r="9976">
          <cell r="C9976" t="str">
            <v>IC</v>
          </cell>
          <cell r="D9976">
            <v>1</v>
          </cell>
          <cell r="H9976" t="str">
            <v>petroleum</v>
          </cell>
        </row>
        <row r="9977">
          <cell r="C9977" t="str">
            <v>IC</v>
          </cell>
          <cell r="D9977">
            <v>1</v>
          </cell>
          <cell r="H9977" t="str">
            <v>petroleum</v>
          </cell>
        </row>
        <row r="9978">
          <cell r="C9978" t="str">
            <v>ST</v>
          </cell>
          <cell r="D9978">
            <v>2</v>
          </cell>
          <cell r="H9978" t="str">
            <v>hard coal</v>
          </cell>
        </row>
        <row r="9979">
          <cell r="C9979" t="str">
            <v>ST</v>
          </cell>
          <cell r="D9979">
            <v>5</v>
          </cell>
          <cell r="H9979" t="str">
            <v>hard coal</v>
          </cell>
        </row>
        <row r="9980">
          <cell r="C9980" t="str">
            <v>ST</v>
          </cell>
          <cell r="D9980">
            <v>9.4</v>
          </cell>
          <cell r="H9980" t="str">
            <v>hard coal</v>
          </cell>
        </row>
        <row r="9981">
          <cell r="C9981" t="str">
            <v>IC</v>
          </cell>
          <cell r="D9981">
            <v>1.7</v>
          </cell>
          <cell r="H9981" t="str">
            <v>petroleum</v>
          </cell>
        </row>
        <row r="9982">
          <cell r="C9982" t="str">
            <v>IC</v>
          </cell>
          <cell r="D9982">
            <v>1.7</v>
          </cell>
          <cell r="H9982" t="str">
            <v>petroleum</v>
          </cell>
        </row>
        <row r="9983">
          <cell r="C9983" t="str">
            <v>IC</v>
          </cell>
          <cell r="D9983">
            <v>1.7</v>
          </cell>
          <cell r="H9983" t="str">
            <v>petroleum</v>
          </cell>
        </row>
        <row r="9984">
          <cell r="C9984" t="str">
            <v>GT</v>
          </cell>
          <cell r="D9984">
            <v>5.6</v>
          </cell>
          <cell r="H9984" t="str">
            <v>natural gas peaker</v>
          </cell>
        </row>
        <row r="9985">
          <cell r="C9985" t="str">
            <v>GT</v>
          </cell>
          <cell r="D9985">
            <v>5.6</v>
          </cell>
          <cell r="H9985" t="str">
            <v>natural gas peaker</v>
          </cell>
        </row>
        <row r="9986">
          <cell r="C9986" t="str">
            <v>CT</v>
          </cell>
          <cell r="D9986">
            <v>12.3</v>
          </cell>
          <cell r="H9986" t="str">
            <v>natural gas nonpeaker</v>
          </cell>
        </row>
        <row r="9987">
          <cell r="C9987" t="str">
            <v>CT</v>
          </cell>
          <cell r="D9987">
            <v>12.3</v>
          </cell>
          <cell r="H9987" t="str">
            <v>natural gas nonpeaker</v>
          </cell>
        </row>
        <row r="9988">
          <cell r="C9988" t="str">
            <v>IC</v>
          </cell>
          <cell r="D9988">
            <v>0.9</v>
          </cell>
          <cell r="H9988" t="str">
            <v>petroleum</v>
          </cell>
        </row>
        <row r="9989">
          <cell r="C9989" t="str">
            <v>IC</v>
          </cell>
          <cell r="D9989">
            <v>0.9</v>
          </cell>
          <cell r="H9989" t="str">
            <v>petroleum</v>
          </cell>
        </row>
        <row r="9990">
          <cell r="C9990" t="str">
            <v>CA</v>
          </cell>
          <cell r="D9990">
            <v>1</v>
          </cell>
          <cell r="H9990" t="str">
            <v>natural gas nonpeaker</v>
          </cell>
        </row>
        <row r="9991">
          <cell r="C9991" t="str">
            <v>CA</v>
          </cell>
          <cell r="D9991">
            <v>5.3</v>
          </cell>
          <cell r="H9991" t="str">
            <v>natural gas nonpeaker</v>
          </cell>
        </row>
        <row r="9992">
          <cell r="C9992" t="str">
            <v>IC</v>
          </cell>
          <cell r="D9992">
            <v>6</v>
          </cell>
          <cell r="H9992" t="str">
            <v>natural gas peaker</v>
          </cell>
        </row>
        <row r="9993">
          <cell r="C9993" t="str">
            <v>IC</v>
          </cell>
          <cell r="D9993">
            <v>6</v>
          </cell>
          <cell r="H9993" t="str">
            <v>natural gas peaker</v>
          </cell>
        </row>
        <row r="9994">
          <cell r="C9994" t="str">
            <v>HY</v>
          </cell>
          <cell r="D9994">
            <v>1.2</v>
          </cell>
          <cell r="H9994" t="str">
            <v>hydro</v>
          </cell>
        </row>
        <row r="9995">
          <cell r="C9995" t="str">
            <v>HY</v>
          </cell>
          <cell r="D9995">
            <v>0.5</v>
          </cell>
          <cell r="H9995" t="str">
            <v>hydro</v>
          </cell>
        </row>
        <row r="9996">
          <cell r="C9996" t="str">
            <v>HY</v>
          </cell>
          <cell r="D9996">
            <v>0.5</v>
          </cell>
          <cell r="H9996" t="str">
            <v>hydro</v>
          </cell>
        </row>
        <row r="9997">
          <cell r="C9997" t="str">
            <v>HY</v>
          </cell>
          <cell r="D9997">
            <v>0.5</v>
          </cell>
          <cell r="H9997" t="str">
            <v>hydro</v>
          </cell>
        </row>
        <row r="9998">
          <cell r="C9998" t="str">
            <v>HY</v>
          </cell>
          <cell r="D9998">
            <v>1.5</v>
          </cell>
          <cell r="H9998" t="str">
            <v>hydro</v>
          </cell>
        </row>
        <row r="9999">
          <cell r="C9999" t="str">
            <v>HY</v>
          </cell>
          <cell r="D9999">
            <v>1.5</v>
          </cell>
          <cell r="H9999" t="str">
            <v>hydro</v>
          </cell>
        </row>
        <row r="10000">
          <cell r="C10000" t="str">
            <v>HY</v>
          </cell>
          <cell r="D10000">
            <v>1.8</v>
          </cell>
          <cell r="H10000" t="str">
            <v>hydro</v>
          </cell>
        </row>
        <row r="10001">
          <cell r="C10001" t="str">
            <v>HY</v>
          </cell>
          <cell r="D10001">
            <v>2.1</v>
          </cell>
          <cell r="H10001" t="str">
            <v>hydro</v>
          </cell>
        </row>
        <row r="10002">
          <cell r="C10002" t="str">
            <v>HY</v>
          </cell>
          <cell r="D10002">
            <v>1.3</v>
          </cell>
          <cell r="H10002" t="str">
            <v>hydro</v>
          </cell>
        </row>
        <row r="10003">
          <cell r="C10003" t="str">
            <v>CT</v>
          </cell>
          <cell r="D10003">
            <v>136.19999999999999</v>
          </cell>
          <cell r="H10003" t="str">
            <v>natural gas nonpeaker</v>
          </cell>
        </row>
        <row r="10004">
          <cell r="C10004" t="str">
            <v>CT</v>
          </cell>
          <cell r="D10004" t="str">
            <v xml:space="preserve"> </v>
          </cell>
          <cell r="H10004" t="str">
            <v>natural gas nonpeaker</v>
          </cell>
        </row>
        <row r="10005">
          <cell r="C10005" t="str">
            <v>CA</v>
          </cell>
          <cell r="D10005" t="str">
            <v xml:space="preserve"> </v>
          </cell>
          <cell r="H10005" t="str">
            <v>natural gas nonpeaker</v>
          </cell>
        </row>
        <row r="10006">
          <cell r="C10006" t="str">
            <v>WT</v>
          </cell>
          <cell r="D10006">
            <v>15.3</v>
          </cell>
          <cell r="H10006" t="str">
            <v>onshore wind</v>
          </cell>
        </row>
        <row r="10007">
          <cell r="C10007" t="str">
            <v>ST</v>
          </cell>
          <cell r="D10007">
            <v>20</v>
          </cell>
          <cell r="H10007" t="str">
            <v>petroleum</v>
          </cell>
        </row>
        <row r="10008">
          <cell r="C10008" t="str">
            <v>GT</v>
          </cell>
          <cell r="D10008">
            <v>3.5</v>
          </cell>
          <cell r="H10008" t="str">
            <v>natural gas peaker</v>
          </cell>
        </row>
        <row r="10009">
          <cell r="C10009" t="str">
            <v>GT</v>
          </cell>
          <cell r="D10009">
            <v>3.5</v>
          </cell>
          <cell r="H10009" t="str">
            <v>natural gas peaker</v>
          </cell>
        </row>
        <row r="10010">
          <cell r="C10010" t="str">
            <v>IC</v>
          </cell>
          <cell r="D10010">
            <v>1.4</v>
          </cell>
          <cell r="H10010" t="str">
            <v>petroleum</v>
          </cell>
        </row>
        <row r="10011">
          <cell r="C10011" t="str">
            <v>IC</v>
          </cell>
          <cell r="D10011">
            <v>1.4</v>
          </cell>
          <cell r="H10011" t="str">
            <v>petroleum</v>
          </cell>
        </row>
        <row r="10012">
          <cell r="C10012" t="str">
            <v>IC</v>
          </cell>
          <cell r="D10012">
            <v>1.4</v>
          </cell>
          <cell r="H10012" t="str">
            <v>petroleum</v>
          </cell>
        </row>
        <row r="10013">
          <cell r="C10013" t="str">
            <v>IC</v>
          </cell>
          <cell r="D10013">
            <v>1.4</v>
          </cell>
          <cell r="H10013" t="str">
            <v>petroleum</v>
          </cell>
        </row>
        <row r="10014">
          <cell r="C10014" t="str">
            <v>ST</v>
          </cell>
          <cell r="D10014">
            <v>0.5</v>
          </cell>
          <cell r="H10014" t="str">
            <v>hard coal</v>
          </cell>
        </row>
        <row r="10015">
          <cell r="C10015" t="str">
            <v>ST</v>
          </cell>
          <cell r="D10015">
            <v>0.5</v>
          </cell>
          <cell r="H10015" t="str">
            <v>hard coal</v>
          </cell>
        </row>
        <row r="10016">
          <cell r="C10016" t="str">
            <v>ST</v>
          </cell>
          <cell r="D10016">
            <v>5</v>
          </cell>
          <cell r="H10016" t="str">
            <v>hard coal</v>
          </cell>
        </row>
        <row r="10017">
          <cell r="C10017" t="str">
            <v>ST</v>
          </cell>
          <cell r="D10017">
            <v>5</v>
          </cell>
          <cell r="H10017" t="str">
            <v>hard coal</v>
          </cell>
        </row>
        <row r="10018">
          <cell r="C10018" t="str">
            <v>ST</v>
          </cell>
          <cell r="D10018">
            <v>9</v>
          </cell>
          <cell r="H10018" t="str">
            <v>hard coal</v>
          </cell>
        </row>
        <row r="10019">
          <cell r="C10019" t="str">
            <v>HY</v>
          </cell>
          <cell r="D10019">
            <v>20</v>
          </cell>
          <cell r="H10019" t="str">
            <v>hydro</v>
          </cell>
        </row>
        <row r="10020">
          <cell r="C10020" t="str">
            <v>HY</v>
          </cell>
          <cell r="D10020">
            <v>9.8000000000000007</v>
          </cell>
          <cell r="H10020" t="str">
            <v>hydro</v>
          </cell>
        </row>
        <row r="10021">
          <cell r="C10021" t="str">
            <v>HY</v>
          </cell>
          <cell r="D10021">
            <v>2.2999999999999998</v>
          </cell>
          <cell r="H10021" t="str">
            <v>hydro</v>
          </cell>
        </row>
        <row r="10022">
          <cell r="C10022" t="str">
            <v>HY</v>
          </cell>
          <cell r="D10022">
            <v>7.3</v>
          </cell>
          <cell r="H10022" t="str">
            <v>hydro</v>
          </cell>
        </row>
        <row r="10023">
          <cell r="C10023" t="str">
            <v>HY</v>
          </cell>
          <cell r="D10023">
            <v>0.8</v>
          </cell>
          <cell r="H10023" t="str">
            <v>hydro</v>
          </cell>
        </row>
        <row r="10024">
          <cell r="C10024" t="str">
            <v>HY</v>
          </cell>
          <cell r="D10024">
            <v>0.8</v>
          </cell>
          <cell r="H10024" t="str">
            <v>hydro</v>
          </cell>
        </row>
        <row r="10025">
          <cell r="C10025" t="str">
            <v>HY</v>
          </cell>
          <cell r="D10025">
            <v>0.8</v>
          </cell>
          <cell r="H10025" t="str">
            <v>hydro</v>
          </cell>
        </row>
        <row r="10026">
          <cell r="C10026" t="str">
            <v>HY</v>
          </cell>
          <cell r="D10026">
            <v>0.6</v>
          </cell>
          <cell r="H10026" t="str">
            <v>hydro</v>
          </cell>
        </row>
        <row r="10027">
          <cell r="C10027" t="str">
            <v>HY</v>
          </cell>
          <cell r="D10027">
            <v>0.7</v>
          </cell>
          <cell r="H10027" t="str">
            <v>hydro</v>
          </cell>
        </row>
        <row r="10028">
          <cell r="C10028" t="str">
            <v>HY</v>
          </cell>
          <cell r="D10028">
            <v>0.2</v>
          </cell>
          <cell r="H10028" t="str">
            <v>hydro</v>
          </cell>
        </row>
        <row r="10029">
          <cell r="C10029" t="str">
            <v>ST</v>
          </cell>
          <cell r="D10029">
            <v>12.5</v>
          </cell>
          <cell r="H10029" t="str">
            <v>biomass</v>
          </cell>
        </row>
        <row r="10030">
          <cell r="C10030" t="str">
            <v>ST</v>
          </cell>
          <cell r="D10030">
            <v>5.7</v>
          </cell>
          <cell r="H10030" t="str">
            <v>natural gas peaker</v>
          </cell>
        </row>
        <row r="10031">
          <cell r="C10031" t="str">
            <v>ST</v>
          </cell>
          <cell r="D10031">
            <v>13</v>
          </cell>
          <cell r="H10031" t="str">
            <v>natural gas peaker</v>
          </cell>
        </row>
        <row r="10032">
          <cell r="C10032" t="str">
            <v>ST</v>
          </cell>
          <cell r="D10032">
            <v>5</v>
          </cell>
          <cell r="H10032" t="str">
            <v>biomass</v>
          </cell>
        </row>
        <row r="10033">
          <cell r="C10033" t="str">
            <v>ST</v>
          </cell>
          <cell r="D10033">
            <v>5</v>
          </cell>
          <cell r="H10033" t="str">
            <v>biomass</v>
          </cell>
        </row>
        <row r="10034">
          <cell r="C10034" t="str">
            <v>ST</v>
          </cell>
          <cell r="D10034">
            <v>7</v>
          </cell>
          <cell r="H10034" t="str">
            <v>biomass</v>
          </cell>
        </row>
        <row r="10035">
          <cell r="C10035" t="str">
            <v>ST</v>
          </cell>
          <cell r="D10035">
            <v>11.5</v>
          </cell>
          <cell r="H10035" t="str">
            <v>biomass</v>
          </cell>
        </row>
        <row r="10036">
          <cell r="C10036" t="str">
            <v>ST</v>
          </cell>
          <cell r="D10036">
            <v>11.5</v>
          </cell>
          <cell r="H10036" t="str">
            <v>biomass</v>
          </cell>
        </row>
        <row r="10037">
          <cell r="C10037" t="str">
            <v>ST</v>
          </cell>
          <cell r="D10037">
            <v>11.5</v>
          </cell>
          <cell r="H10037" t="str">
            <v>biomass</v>
          </cell>
        </row>
        <row r="10038">
          <cell r="C10038" t="str">
            <v>ST</v>
          </cell>
          <cell r="D10038">
            <v>5</v>
          </cell>
          <cell r="H10038" t="str">
            <v>natural gas peaker</v>
          </cell>
        </row>
        <row r="10039">
          <cell r="C10039" t="str">
            <v>ST</v>
          </cell>
          <cell r="D10039">
            <v>4</v>
          </cell>
          <cell r="H10039" t="str">
            <v>natural gas peaker</v>
          </cell>
        </row>
        <row r="10040">
          <cell r="C10040" t="str">
            <v>ST</v>
          </cell>
          <cell r="D10040">
            <v>8.6999999999999993</v>
          </cell>
          <cell r="H10040" t="str">
            <v>natural gas peaker</v>
          </cell>
        </row>
        <row r="10041">
          <cell r="C10041" t="str">
            <v>ST</v>
          </cell>
          <cell r="D10041">
            <v>36.1</v>
          </cell>
          <cell r="H10041" t="str">
            <v>hard coal</v>
          </cell>
        </row>
        <row r="10042">
          <cell r="C10042" t="str">
            <v>ST</v>
          </cell>
          <cell r="D10042">
            <v>31.2</v>
          </cell>
          <cell r="H10042" t="str">
            <v>biomass</v>
          </cell>
        </row>
        <row r="10043">
          <cell r="C10043" t="str">
            <v>ST</v>
          </cell>
          <cell r="D10043">
            <v>82.7</v>
          </cell>
          <cell r="H10043" t="str">
            <v>biomass</v>
          </cell>
        </row>
        <row r="10044">
          <cell r="C10044" t="str">
            <v>ST</v>
          </cell>
          <cell r="D10044">
            <v>71.2</v>
          </cell>
          <cell r="H10044" t="str">
            <v>natural gas peaker</v>
          </cell>
        </row>
        <row r="10045">
          <cell r="C10045" t="str">
            <v>HY</v>
          </cell>
          <cell r="D10045">
            <v>15.6</v>
          </cell>
          <cell r="H10045" t="str">
            <v>hydro</v>
          </cell>
        </row>
        <row r="10046">
          <cell r="C10046" t="str">
            <v>ST</v>
          </cell>
          <cell r="D10046">
            <v>15</v>
          </cell>
          <cell r="H10046" t="str">
            <v>other</v>
          </cell>
        </row>
        <row r="10047">
          <cell r="C10047" t="str">
            <v>ST</v>
          </cell>
          <cell r="D10047">
            <v>23.8</v>
          </cell>
          <cell r="H10047" t="str">
            <v>other</v>
          </cell>
        </row>
        <row r="10048">
          <cell r="C10048" t="str">
            <v>ST</v>
          </cell>
          <cell r="D10048">
            <v>48.8</v>
          </cell>
          <cell r="H10048" t="str">
            <v>biomass</v>
          </cell>
        </row>
        <row r="10049">
          <cell r="C10049" t="str">
            <v>ST</v>
          </cell>
          <cell r="D10049">
            <v>51</v>
          </cell>
          <cell r="H10049" t="str">
            <v>biomass</v>
          </cell>
        </row>
        <row r="10050">
          <cell r="C10050" t="str">
            <v>HY</v>
          </cell>
          <cell r="D10050">
            <v>0.4</v>
          </cell>
          <cell r="H10050" t="str">
            <v>hydro</v>
          </cell>
        </row>
        <row r="10051">
          <cell r="C10051" t="str">
            <v>HY</v>
          </cell>
          <cell r="D10051">
            <v>0.3</v>
          </cell>
          <cell r="H10051" t="str">
            <v>hydro</v>
          </cell>
        </row>
        <row r="10052">
          <cell r="C10052" t="str">
            <v>HY</v>
          </cell>
          <cell r="D10052">
            <v>0.2</v>
          </cell>
          <cell r="H10052" t="str">
            <v>hydro</v>
          </cell>
        </row>
        <row r="10053">
          <cell r="C10053" t="str">
            <v>HY</v>
          </cell>
          <cell r="D10053">
            <v>0.4</v>
          </cell>
          <cell r="H10053" t="str">
            <v>hydro</v>
          </cell>
        </row>
        <row r="10054">
          <cell r="C10054" t="str">
            <v>HY</v>
          </cell>
          <cell r="D10054">
            <v>0.4</v>
          </cell>
          <cell r="H10054" t="str">
            <v>hydro</v>
          </cell>
        </row>
        <row r="10055">
          <cell r="C10055" t="str">
            <v>HY</v>
          </cell>
          <cell r="D10055">
            <v>0.4</v>
          </cell>
          <cell r="H10055" t="str">
            <v>hydro</v>
          </cell>
        </row>
        <row r="10056">
          <cell r="C10056" t="str">
            <v>HY</v>
          </cell>
          <cell r="D10056">
            <v>0.4</v>
          </cell>
          <cell r="H10056" t="str">
            <v>hydro</v>
          </cell>
        </row>
        <row r="10057">
          <cell r="C10057" t="str">
            <v>HY</v>
          </cell>
          <cell r="D10057">
            <v>0.4</v>
          </cell>
          <cell r="H10057" t="str">
            <v>hydro</v>
          </cell>
        </row>
        <row r="10058">
          <cell r="C10058" t="str">
            <v>HY</v>
          </cell>
          <cell r="D10058">
            <v>0.5</v>
          </cell>
          <cell r="H10058" t="str">
            <v>hydro</v>
          </cell>
        </row>
        <row r="10059">
          <cell r="C10059" t="str">
            <v>HY</v>
          </cell>
          <cell r="D10059">
            <v>0.5</v>
          </cell>
          <cell r="H10059" t="str">
            <v>hydro</v>
          </cell>
        </row>
        <row r="10060">
          <cell r="C10060" t="str">
            <v>GT</v>
          </cell>
          <cell r="D10060">
            <v>3.4</v>
          </cell>
          <cell r="H10060" t="str">
            <v>natural gas peaker</v>
          </cell>
        </row>
        <row r="10061">
          <cell r="C10061" t="str">
            <v>GT</v>
          </cell>
          <cell r="D10061">
            <v>3.4</v>
          </cell>
          <cell r="H10061" t="str">
            <v>natural gas peaker</v>
          </cell>
        </row>
        <row r="10062">
          <cell r="C10062" t="str">
            <v>GT</v>
          </cell>
          <cell r="D10062">
            <v>3.4</v>
          </cell>
          <cell r="H10062" t="str">
            <v>natural gas peaker</v>
          </cell>
        </row>
        <row r="10063">
          <cell r="C10063" t="str">
            <v>IC</v>
          </cell>
          <cell r="D10063">
            <v>1.3</v>
          </cell>
          <cell r="H10063" t="str">
            <v>petroleum</v>
          </cell>
        </row>
        <row r="10064">
          <cell r="C10064" t="str">
            <v>ST</v>
          </cell>
          <cell r="D10064">
            <v>1.3</v>
          </cell>
          <cell r="H10064" t="str">
            <v>municipal solid waste</v>
          </cell>
        </row>
        <row r="10065">
          <cell r="C10065" t="str">
            <v>ST</v>
          </cell>
          <cell r="D10065">
            <v>5</v>
          </cell>
          <cell r="H10065" t="str">
            <v>municipal solid waste</v>
          </cell>
        </row>
        <row r="10066">
          <cell r="C10066" t="str">
            <v>ST</v>
          </cell>
          <cell r="D10066">
            <v>1.4</v>
          </cell>
          <cell r="H10066" t="str">
            <v>municipal solid waste</v>
          </cell>
        </row>
        <row r="10067">
          <cell r="C10067" t="str">
            <v>HY</v>
          </cell>
          <cell r="D10067">
            <v>3.4</v>
          </cell>
          <cell r="H10067" t="str">
            <v>hydro</v>
          </cell>
        </row>
        <row r="10068">
          <cell r="C10068" t="str">
            <v>HY</v>
          </cell>
          <cell r="D10068">
            <v>0.2</v>
          </cell>
          <cell r="H10068" t="str">
            <v>hydro</v>
          </cell>
        </row>
        <row r="10069">
          <cell r="C10069" t="str">
            <v>HY</v>
          </cell>
          <cell r="D10069">
            <v>0.2</v>
          </cell>
          <cell r="H10069" t="str">
            <v>hydro</v>
          </cell>
        </row>
        <row r="10070">
          <cell r="C10070" t="str">
            <v>HY</v>
          </cell>
          <cell r="D10070">
            <v>0.2</v>
          </cell>
          <cell r="H10070" t="str">
            <v>hydro</v>
          </cell>
        </row>
        <row r="10071">
          <cell r="C10071" t="str">
            <v>HY</v>
          </cell>
          <cell r="D10071">
            <v>0.2</v>
          </cell>
          <cell r="H10071" t="str">
            <v>hydro</v>
          </cell>
        </row>
        <row r="10072">
          <cell r="C10072" t="str">
            <v>HY</v>
          </cell>
          <cell r="D10072">
            <v>0.2</v>
          </cell>
          <cell r="H10072" t="str">
            <v>hydro</v>
          </cell>
        </row>
        <row r="10073">
          <cell r="C10073" t="str">
            <v>HY</v>
          </cell>
          <cell r="D10073">
            <v>0.8</v>
          </cell>
          <cell r="H10073" t="str">
            <v>hydro</v>
          </cell>
        </row>
        <row r="10074">
          <cell r="C10074" t="str">
            <v>HY</v>
          </cell>
          <cell r="D10074">
            <v>0.8</v>
          </cell>
          <cell r="H10074" t="str">
            <v>hydro</v>
          </cell>
        </row>
        <row r="10075">
          <cell r="C10075" t="str">
            <v>HY</v>
          </cell>
          <cell r="D10075">
            <v>1.6</v>
          </cell>
          <cell r="H10075" t="str">
            <v>hydro</v>
          </cell>
        </row>
        <row r="10076">
          <cell r="C10076" t="str">
            <v>ST</v>
          </cell>
          <cell r="D10076">
            <v>10.6</v>
          </cell>
          <cell r="H10076" t="str">
            <v>other</v>
          </cell>
        </row>
        <row r="10077">
          <cell r="C10077" t="str">
            <v>IC</v>
          </cell>
          <cell r="D10077">
            <v>0.5</v>
          </cell>
          <cell r="H10077" t="str">
            <v>natural gas peaker</v>
          </cell>
        </row>
        <row r="10078">
          <cell r="C10078" t="str">
            <v>IC</v>
          </cell>
          <cell r="D10078">
            <v>0.5</v>
          </cell>
          <cell r="H10078" t="str">
            <v>natural gas peaker</v>
          </cell>
        </row>
        <row r="10079">
          <cell r="C10079" t="str">
            <v>IC</v>
          </cell>
          <cell r="D10079">
            <v>1.1000000000000001</v>
          </cell>
          <cell r="H10079" t="str">
            <v>natural gas peaker</v>
          </cell>
        </row>
        <row r="10080">
          <cell r="C10080" t="str">
            <v>IC</v>
          </cell>
          <cell r="D10080">
            <v>1.5</v>
          </cell>
          <cell r="H10080" t="str">
            <v>natural gas peaker</v>
          </cell>
        </row>
        <row r="10081">
          <cell r="C10081" t="str">
            <v>CA</v>
          </cell>
          <cell r="D10081">
            <v>11.5</v>
          </cell>
          <cell r="H10081" t="str">
            <v>natural gas nonpeaker</v>
          </cell>
        </row>
        <row r="10082">
          <cell r="C10082" t="str">
            <v>CT</v>
          </cell>
          <cell r="D10082">
            <v>3.5</v>
          </cell>
          <cell r="H10082" t="str">
            <v>natural gas nonpeaker</v>
          </cell>
        </row>
        <row r="10083">
          <cell r="C10083" t="str">
            <v>CA</v>
          </cell>
          <cell r="D10083">
            <v>11.5</v>
          </cell>
          <cell r="H10083" t="str">
            <v>natural gas nonpeaker</v>
          </cell>
        </row>
        <row r="10084">
          <cell r="C10084" t="str">
            <v>CA</v>
          </cell>
          <cell r="D10084">
            <v>11.5</v>
          </cell>
          <cell r="H10084" t="str">
            <v>natural gas nonpeaker</v>
          </cell>
        </row>
        <row r="10085">
          <cell r="C10085" t="str">
            <v>CT</v>
          </cell>
          <cell r="D10085">
            <v>3.5</v>
          </cell>
          <cell r="H10085" t="str">
            <v>natural gas nonpeaker</v>
          </cell>
        </row>
        <row r="10086">
          <cell r="C10086" t="str">
            <v>HY</v>
          </cell>
          <cell r="D10086">
            <v>1.4</v>
          </cell>
          <cell r="H10086" t="str">
            <v>hydro</v>
          </cell>
        </row>
        <row r="10087">
          <cell r="C10087" t="str">
            <v>HY</v>
          </cell>
          <cell r="D10087">
            <v>2.5</v>
          </cell>
          <cell r="H10087" t="str">
            <v>hydro</v>
          </cell>
        </row>
        <row r="10088">
          <cell r="C10088" t="str">
            <v>HY</v>
          </cell>
          <cell r="D10088">
            <v>1.6</v>
          </cell>
          <cell r="H10088" t="str">
            <v>hydro</v>
          </cell>
        </row>
        <row r="10089">
          <cell r="C10089" t="str">
            <v>HY</v>
          </cell>
          <cell r="D10089">
            <v>1.6</v>
          </cell>
          <cell r="H10089" t="str">
            <v>hydro</v>
          </cell>
        </row>
        <row r="10090">
          <cell r="C10090" t="str">
            <v>HY</v>
          </cell>
          <cell r="D10090">
            <v>0.3</v>
          </cell>
          <cell r="H10090" t="str">
            <v>hydro</v>
          </cell>
        </row>
        <row r="10091">
          <cell r="C10091" t="str">
            <v>HY</v>
          </cell>
          <cell r="D10091">
            <v>1.7</v>
          </cell>
          <cell r="H10091" t="str">
            <v>hydro</v>
          </cell>
        </row>
        <row r="10092">
          <cell r="C10092" t="str">
            <v>HY</v>
          </cell>
          <cell r="D10092">
            <v>0.6</v>
          </cell>
          <cell r="H10092" t="str">
            <v>hydro</v>
          </cell>
        </row>
        <row r="10093">
          <cell r="C10093" t="str">
            <v>HY</v>
          </cell>
          <cell r="D10093">
            <v>0.6</v>
          </cell>
          <cell r="H10093" t="str">
            <v>hydro</v>
          </cell>
        </row>
        <row r="10094">
          <cell r="C10094" t="str">
            <v>HY</v>
          </cell>
          <cell r="D10094">
            <v>0.6</v>
          </cell>
          <cell r="H10094" t="str">
            <v>hydro</v>
          </cell>
        </row>
        <row r="10095">
          <cell r="C10095" t="str">
            <v>HY</v>
          </cell>
          <cell r="D10095">
            <v>0.8</v>
          </cell>
          <cell r="H10095" t="str">
            <v>hydro</v>
          </cell>
        </row>
        <row r="10096">
          <cell r="C10096" t="str">
            <v>HY</v>
          </cell>
          <cell r="D10096">
            <v>0.8</v>
          </cell>
          <cell r="H10096" t="str">
            <v>hydro</v>
          </cell>
        </row>
        <row r="10097">
          <cell r="C10097" t="str">
            <v>HY</v>
          </cell>
          <cell r="D10097">
            <v>0.8</v>
          </cell>
          <cell r="H10097" t="str">
            <v>hydro</v>
          </cell>
        </row>
        <row r="10098">
          <cell r="C10098" t="str">
            <v>HY</v>
          </cell>
          <cell r="D10098">
            <v>0.6</v>
          </cell>
          <cell r="H10098" t="str">
            <v>hydro</v>
          </cell>
        </row>
        <row r="10099">
          <cell r="C10099" t="str">
            <v>ST</v>
          </cell>
          <cell r="D10099">
            <v>40.5</v>
          </cell>
          <cell r="H10099" t="str">
            <v>biomass</v>
          </cell>
        </row>
        <row r="10100">
          <cell r="C10100" t="str">
            <v>ST</v>
          </cell>
          <cell r="D10100">
            <v>15.8</v>
          </cell>
          <cell r="H10100" t="str">
            <v>biomass</v>
          </cell>
        </row>
        <row r="10101">
          <cell r="C10101" t="str">
            <v>HY</v>
          </cell>
          <cell r="D10101">
            <v>0.6</v>
          </cell>
          <cell r="H10101" t="str">
            <v>hydro</v>
          </cell>
        </row>
        <row r="10102">
          <cell r="C10102" t="str">
            <v>HY</v>
          </cell>
          <cell r="D10102">
            <v>0.2</v>
          </cell>
          <cell r="H10102" t="str">
            <v>hydro</v>
          </cell>
        </row>
        <row r="10103">
          <cell r="C10103" t="str">
            <v>HY</v>
          </cell>
          <cell r="D10103">
            <v>0.2</v>
          </cell>
          <cell r="H10103" t="str">
            <v>hydro</v>
          </cell>
        </row>
        <row r="10104">
          <cell r="C10104" t="str">
            <v>HY</v>
          </cell>
          <cell r="D10104">
            <v>0.2</v>
          </cell>
          <cell r="H10104" t="str">
            <v>hydro</v>
          </cell>
        </row>
        <row r="10105">
          <cell r="C10105" t="str">
            <v>HY</v>
          </cell>
          <cell r="D10105">
            <v>0.2</v>
          </cell>
          <cell r="H10105" t="str">
            <v>hydro</v>
          </cell>
        </row>
        <row r="10106">
          <cell r="C10106" t="str">
            <v>HY</v>
          </cell>
          <cell r="D10106">
            <v>0.5</v>
          </cell>
          <cell r="H10106" t="str">
            <v>hydro</v>
          </cell>
        </row>
        <row r="10107">
          <cell r="C10107" t="str">
            <v>HY</v>
          </cell>
          <cell r="D10107">
            <v>0.5</v>
          </cell>
          <cell r="H10107" t="str">
            <v>hydro</v>
          </cell>
        </row>
        <row r="10108">
          <cell r="C10108" t="str">
            <v>CT</v>
          </cell>
          <cell r="D10108">
            <v>34</v>
          </cell>
          <cell r="H10108" t="str">
            <v>natural gas nonpeaker</v>
          </cell>
        </row>
        <row r="10109">
          <cell r="C10109" t="str">
            <v>CA</v>
          </cell>
          <cell r="D10109">
            <v>15.8</v>
          </cell>
          <cell r="H10109" t="str">
            <v>natural gas nonpeaker</v>
          </cell>
        </row>
        <row r="10110">
          <cell r="C10110" t="str">
            <v>CT</v>
          </cell>
          <cell r="D10110">
            <v>49.8</v>
          </cell>
          <cell r="H10110" t="str">
            <v>natural gas nonpeaker</v>
          </cell>
        </row>
        <row r="10111">
          <cell r="C10111" t="str">
            <v>CA</v>
          </cell>
          <cell r="D10111" t="str">
            <v xml:space="preserve"> </v>
          </cell>
          <cell r="H10111" t="str">
            <v>natural gas nonpeaker</v>
          </cell>
        </row>
        <row r="10112">
          <cell r="C10112" t="str">
            <v>CT</v>
          </cell>
          <cell r="D10112">
            <v>48.7</v>
          </cell>
          <cell r="H10112" t="str">
            <v>natural gas nonpeaker</v>
          </cell>
        </row>
        <row r="10113">
          <cell r="C10113" t="str">
            <v>CA</v>
          </cell>
          <cell r="D10113" t="str">
            <v xml:space="preserve"> </v>
          </cell>
          <cell r="H10113" t="str">
            <v>natural gas nonpeaker</v>
          </cell>
        </row>
        <row r="10114">
          <cell r="C10114" t="str">
            <v>ST</v>
          </cell>
          <cell r="D10114">
            <v>11.7</v>
          </cell>
          <cell r="H10114" t="str">
            <v>natural gas peaker</v>
          </cell>
        </row>
        <row r="10115">
          <cell r="C10115" t="str">
            <v>CT</v>
          </cell>
          <cell r="D10115">
            <v>76.099999999999994</v>
          </cell>
          <cell r="H10115" t="str">
            <v>natural gas nonpeaker</v>
          </cell>
        </row>
        <row r="10116">
          <cell r="C10116" t="str">
            <v>CA</v>
          </cell>
          <cell r="D10116">
            <v>52.7</v>
          </cell>
          <cell r="H10116" t="str">
            <v>natural gas nonpeaker</v>
          </cell>
        </row>
        <row r="10117">
          <cell r="C10117" t="str">
            <v>HY</v>
          </cell>
          <cell r="D10117">
            <v>0.7</v>
          </cell>
          <cell r="H10117" t="str">
            <v>hydro</v>
          </cell>
        </row>
        <row r="10118">
          <cell r="C10118" t="str">
            <v>GT</v>
          </cell>
          <cell r="D10118">
            <v>40</v>
          </cell>
          <cell r="H10118" t="str">
            <v>natural gas peaker</v>
          </cell>
        </row>
        <row r="10119">
          <cell r="C10119" t="str">
            <v>ST</v>
          </cell>
          <cell r="D10119">
            <v>0.9</v>
          </cell>
          <cell r="H10119" t="str">
            <v>natural gas peaker</v>
          </cell>
        </row>
        <row r="10120">
          <cell r="C10120" t="str">
            <v>GT</v>
          </cell>
          <cell r="D10120">
            <v>64</v>
          </cell>
          <cell r="H10120" t="str">
            <v>natural gas peaker</v>
          </cell>
        </row>
        <row r="10121">
          <cell r="C10121" t="str">
            <v>GT</v>
          </cell>
          <cell r="D10121">
            <v>22.4</v>
          </cell>
          <cell r="H10121" t="str">
            <v>natural gas peaker</v>
          </cell>
        </row>
        <row r="10122">
          <cell r="C10122" t="str">
            <v>GT</v>
          </cell>
          <cell r="D10122">
            <v>48.5</v>
          </cell>
          <cell r="H10122" t="str">
            <v>natural gas peaker</v>
          </cell>
        </row>
        <row r="10123">
          <cell r="C10123" t="str">
            <v>ST</v>
          </cell>
          <cell r="D10123">
            <v>46.6</v>
          </cell>
          <cell r="H10123" t="str">
            <v>biomass</v>
          </cell>
        </row>
        <row r="10124">
          <cell r="C10124" t="str">
            <v>ST</v>
          </cell>
          <cell r="D10124">
            <v>30.5</v>
          </cell>
          <cell r="H10124" t="str">
            <v>biomass</v>
          </cell>
        </row>
        <row r="10125">
          <cell r="C10125" t="str">
            <v>ST</v>
          </cell>
          <cell r="D10125">
            <v>6.9</v>
          </cell>
          <cell r="H10125" t="str">
            <v>biomass</v>
          </cell>
        </row>
        <row r="10126">
          <cell r="C10126" t="str">
            <v>ST</v>
          </cell>
          <cell r="D10126">
            <v>9.3000000000000007</v>
          </cell>
          <cell r="H10126" t="str">
            <v>biomass</v>
          </cell>
        </row>
        <row r="10127">
          <cell r="C10127" t="str">
            <v>ST</v>
          </cell>
          <cell r="D10127">
            <v>9</v>
          </cell>
          <cell r="H10127" t="str">
            <v>biomass</v>
          </cell>
        </row>
        <row r="10128">
          <cell r="C10128" t="str">
            <v>ST</v>
          </cell>
          <cell r="D10128">
            <v>8.6999999999999993</v>
          </cell>
          <cell r="H10128" t="str">
            <v>biomass</v>
          </cell>
        </row>
        <row r="10129">
          <cell r="C10129" t="str">
            <v>ST</v>
          </cell>
          <cell r="D10129">
            <v>9.6</v>
          </cell>
          <cell r="H10129" t="str">
            <v>biomass</v>
          </cell>
        </row>
        <row r="10130">
          <cell r="C10130" t="str">
            <v>HY</v>
          </cell>
          <cell r="D10130">
            <v>0.5</v>
          </cell>
          <cell r="H10130" t="str">
            <v>hydro</v>
          </cell>
        </row>
        <row r="10131">
          <cell r="C10131" t="str">
            <v>HY</v>
          </cell>
          <cell r="D10131">
            <v>0.4</v>
          </cell>
          <cell r="H10131" t="str">
            <v>hydro</v>
          </cell>
        </row>
        <row r="10132">
          <cell r="C10132" t="str">
            <v>HY</v>
          </cell>
          <cell r="D10132">
            <v>0.2</v>
          </cell>
          <cell r="H10132" t="str">
            <v>hydro</v>
          </cell>
        </row>
        <row r="10133">
          <cell r="C10133" t="str">
            <v>ST</v>
          </cell>
          <cell r="D10133">
            <v>18</v>
          </cell>
          <cell r="H10133" t="str">
            <v>municipal solid waste</v>
          </cell>
        </row>
        <row r="10134">
          <cell r="C10134" t="str">
            <v>ST</v>
          </cell>
          <cell r="D10134">
            <v>18</v>
          </cell>
          <cell r="H10134" t="str">
            <v>municipal solid waste</v>
          </cell>
        </row>
        <row r="10135">
          <cell r="C10135" t="str">
            <v>ST</v>
          </cell>
          <cell r="D10135">
            <v>15.9</v>
          </cell>
          <cell r="H10135" t="str">
            <v>other</v>
          </cell>
        </row>
        <row r="10136">
          <cell r="C10136" t="str">
            <v>GT</v>
          </cell>
          <cell r="D10136">
            <v>33</v>
          </cell>
          <cell r="H10136" t="str">
            <v>natural gas peaker</v>
          </cell>
        </row>
        <row r="10137">
          <cell r="C10137" t="str">
            <v>ST</v>
          </cell>
          <cell r="D10137">
            <v>5.4</v>
          </cell>
          <cell r="H10137" t="str">
            <v>natural gas peaker</v>
          </cell>
        </row>
        <row r="10138">
          <cell r="C10138" t="str">
            <v>ST</v>
          </cell>
          <cell r="D10138">
            <v>8.1999999999999993</v>
          </cell>
          <cell r="H10138" t="str">
            <v>natural gas peaker</v>
          </cell>
        </row>
        <row r="10139">
          <cell r="C10139" t="str">
            <v>HY</v>
          </cell>
          <cell r="D10139">
            <v>0.5</v>
          </cell>
          <cell r="H10139" t="str">
            <v>hydro</v>
          </cell>
        </row>
        <row r="10140">
          <cell r="C10140" t="str">
            <v>HY</v>
          </cell>
          <cell r="D10140">
            <v>0.3</v>
          </cell>
          <cell r="H10140" t="str">
            <v>hydro</v>
          </cell>
        </row>
        <row r="10141">
          <cell r="C10141" t="str">
            <v>HY</v>
          </cell>
          <cell r="D10141">
            <v>0.3</v>
          </cell>
          <cell r="H10141" t="str">
            <v>hydro</v>
          </cell>
        </row>
        <row r="10142">
          <cell r="C10142" t="str">
            <v>HY</v>
          </cell>
          <cell r="D10142">
            <v>0.2</v>
          </cell>
          <cell r="H10142" t="str">
            <v>hydro</v>
          </cell>
        </row>
        <row r="10143">
          <cell r="C10143" t="str">
            <v>HY</v>
          </cell>
          <cell r="D10143">
            <v>0.2</v>
          </cell>
          <cell r="H10143" t="str">
            <v>hydro</v>
          </cell>
        </row>
        <row r="10144">
          <cell r="C10144" t="str">
            <v>ST</v>
          </cell>
          <cell r="D10144">
            <v>7</v>
          </cell>
          <cell r="H10144" t="str">
            <v>biomass</v>
          </cell>
        </row>
        <row r="10145">
          <cell r="C10145" t="str">
            <v>ST</v>
          </cell>
          <cell r="D10145">
            <v>6</v>
          </cell>
          <cell r="H10145" t="str">
            <v>hard coal</v>
          </cell>
        </row>
        <row r="10146">
          <cell r="C10146" t="str">
            <v>ST</v>
          </cell>
          <cell r="D10146">
            <v>6</v>
          </cell>
          <cell r="H10146" t="str">
            <v>hard coal</v>
          </cell>
        </row>
        <row r="10147">
          <cell r="C10147" t="str">
            <v>ST</v>
          </cell>
          <cell r="D10147">
            <v>6</v>
          </cell>
          <cell r="H10147" t="str">
            <v>hard coal</v>
          </cell>
        </row>
        <row r="10148">
          <cell r="C10148" t="str">
            <v>ST</v>
          </cell>
          <cell r="D10148">
            <v>7</v>
          </cell>
          <cell r="H10148" t="str">
            <v>hard coal</v>
          </cell>
        </row>
        <row r="10149">
          <cell r="C10149" t="str">
            <v>ST</v>
          </cell>
          <cell r="D10149">
            <v>10</v>
          </cell>
          <cell r="H10149" t="str">
            <v>hard coal</v>
          </cell>
        </row>
        <row r="10150">
          <cell r="C10150" t="str">
            <v>ST</v>
          </cell>
          <cell r="D10150">
            <v>7.5</v>
          </cell>
          <cell r="H10150" t="str">
            <v>hard coal</v>
          </cell>
        </row>
        <row r="10151">
          <cell r="C10151" t="str">
            <v>ST</v>
          </cell>
          <cell r="D10151">
            <v>10.4</v>
          </cell>
          <cell r="H10151" t="str">
            <v>natural gas peaker</v>
          </cell>
        </row>
        <row r="10152">
          <cell r="C10152" t="str">
            <v>ST</v>
          </cell>
          <cell r="D10152">
            <v>10.4</v>
          </cell>
          <cell r="H10152" t="str">
            <v>hard coal</v>
          </cell>
        </row>
        <row r="10153">
          <cell r="C10153" t="str">
            <v>ST</v>
          </cell>
          <cell r="D10153">
            <v>10.4</v>
          </cell>
          <cell r="H10153" t="str">
            <v>natural gas peaker</v>
          </cell>
        </row>
        <row r="10154">
          <cell r="C10154" t="str">
            <v>ST</v>
          </cell>
          <cell r="D10154">
            <v>10.4</v>
          </cell>
          <cell r="H10154" t="str">
            <v>natural gas peaker</v>
          </cell>
        </row>
        <row r="10155">
          <cell r="C10155" t="str">
            <v>ST</v>
          </cell>
          <cell r="D10155">
            <v>10.4</v>
          </cell>
          <cell r="H10155" t="str">
            <v>hard coal</v>
          </cell>
        </row>
        <row r="10156">
          <cell r="C10156" t="str">
            <v>ST</v>
          </cell>
          <cell r="D10156">
            <v>15</v>
          </cell>
          <cell r="H10156" t="str">
            <v>natural gas peaker</v>
          </cell>
        </row>
        <row r="10157">
          <cell r="C10157" t="str">
            <v>ST</v>
          </cell>
          <cell r="D10157">
            <v>15.4</v>
          </cell>
          <cell r="H10157" t="str">
            <v>hard coal</v>
          </cell>
        </row>
        <row r="10158">
          <cell r="C10158" t="str">
            <v>ST</v>
          </cell>
          <cell r="D10158">
            <v>16.8</v>
          </cell>
          <cell r="H10158" t="str">
            <v>natural gas peaker</v>
          </cell>
        </row>
        <row r="10159">
          <cell r="C10159" t="str">
            <v>ST</v>
          </cell>
          <cell r="D10159">
            <v>18</v>
          </cell>
          <cell r="H10159" t="str">
            <v>hard coal</v>
          </cell>
        </row>
        <row r="10160">
          <cell r="C10160" t="str">
            <v>ST</v>
          </cell>
          <cell r="D10160">
            <v>16.600000000000001</v>
          </cell>
          <cell r="H10160" t="str">
            <v>hard coal</v>
          </cell>
        </row>
        <row r="10161">
          <cell r="C10161" t="str">
            <v>ST</v>
          </cell>
          <cell r="D10161">
            <v>6</v>
          </cell>
          <cell r="H10161" t="str">
            <v>hard coal</v>
          </cell>
        </row>
        <row r="10162">
          <cell r="C10162" t="str">
            <v>ST</v>
          </cell>
          <cell r="D10162">
            <v>6</v>
          </cell>
          <cell r="H10162" t="str">
            <v>hard coal</v>
          </cell>
        </row>
        <row r="10163">
          <cell r="C10163" t="str">
            <v>ST</v>
          </cell>
          <cell r="D10163">
            <v>6</v>
          </cell>
          <cell r="H10163" t="str">
            <v>hard coal</v>
          </cell>
        </row>
        <row r="10164">
          <cell r="C10164" t="str">
            <v>ST</v>
          </cell>
          <cell r="D10164">
            <v>14</v>
          </cell>
          <cell r="H10164" t="str">
            <v>biomass</v>
          </cell>
        </row>
        <row r="10165">
          <cell r="C10165" t="str">
            <v>ST</v>
          </cell>
          <cell r="D10165">
            <v>18.600000000000001</v>
          </cell>
          <cell r="H10165" t="str">
            <v>biomass</v>
          </cell>
        </row>
        <row r="10166">
          <cell r="C10166" t="str">
            <v>ST</v>
          </cell>
          <cell r="D10166">
            <v>12</v>
          </cell>
          <cell r="H10166" t="str">
            <v>biomass</v>
          </cell>
        </row>
        <row r="10167">
          <cell r="C10167" t="str">
            <v>WT</v>
          </cell>
          <cell r="D10167">
            <v>21.7</v>
          </cell>
          <cell r="H10167" t="str">
            <v>onshore wind</v>
          </cell>
        </row>
        <row r="10168">
          <cell r="C10168" t="str">
            <v>WT</v>
          </cell>
          <cell r="D10168">
            <v>3.4</v>
          </cell>
          <cell r="H10168" t="str">
            <v>onshore wind</v>
          </cell>
        </row>
        <row r="10169">
          <cell r="C10169" t="str">
            <v>ST</v>
          </cell>
          <cell r="D10169">
            <v>7.5</v>
          </cell>
          <cell r="H10169" t="str">
            <v>other</v>
          </cell>
        </row>
        <row r="10170">
          <cell r="C10170" t="str">
            <v>ST</v>
          </cell>
          <cell r="D10170">
            <v>7.5</v>
          </cell>
          <cell r="H10170" t="str">
            <v>other</v>
          </cell>
        </row>
        <row r="10171">
          <cell r="C10171" t="str">
            <v>ST</v>
          </cell>
          <cell r="D10171">
            <v>7.5</v>
          </cell>
          <cell r="H10171" t="str">
            <v>other</v>
          </cell>
        </row>
        <row r="10172">
          <cell r="C10172" t="str">
            <v>ST</v>
          </cell>
          <cell r="D10172">
            <v>10</v>
          </cell>
          <cell r="H10172" t="str">
            <v>other</v>
          </cell>
        </row>
        <row r="10173">
          <cell r="C10173" t="str">
            <v>ST</v>
          </cell>
          <cell r="D10173">
            <v>20</v>
          </cell>
          <cell r="H10173" t="str">
            <v>other</v>
          </cell>
        </row>
        <row r="10174">
          <cell r="C10174" t="str">
            <v>ST</v>
          </cell>
          <cell r="D10174">
            <v>35</v>
          </cell>
          <cell r="H10174" t="str">
            <v>other</v>
          </cell>
        </row>
        <row r="10175">
          <cell r="C10175" t="str">
            <v>ST</v>
          </cell>
          <cell r="D10175">
            <v>30</v>
          </cell>
          <cell r="H10175" t="str">
            <v>other</v>
          </cell>
        </row>
        <row r="10176">
          <cell r="C10176" t="str">
            <v>ST</v>
          </cell>
          <cell r="D10176">
            <v>38</v>
          </cell>
          <cell r="H10176" t="str">
            <v>other</v>
          </cell>
        </row>
        <row r="10177">
          <cell r="C10177" t="str">
            <v>GT</v>
          </cell>
          <cell r="D10177">
            <v>55</v>
          </cell>
          <cell r="H10177" t="str">
            <v>natural gas peaker</v>
          </cell>
        </row>
        <row r="10178">
          <cell r="C10178" t="str">
            <v>GT</v>
          </cell>
          <cell r="D10178">
            <v>55</v>
          </cell>
          <cell r="H10178" t="str">
            <v>natural gas peaker</v>
          </cell>
        </row>
        <row r="10179">
          <cell r="C10179" t="str">
            <v>ST</v>
          </cell>
          <cell r="D10179">
            <v>52</v>
          </cell>
          <cell r="H10179" t="str">
            <v>natural gas peaker</v>
          </cell>
        </row>
        <row r="10180">
          <cell r="C10180" t="str">
            <v>GT</v>
          </cell>
          <cell r="D10180">
            <v>70.599999999999994</v>
          </cell>
          <cell r="H10180" t="str">
            <v>natural gas peaker</v>
          </cell>
        </row>
        <row r="10181">
          <cell r="C10181" t="str">
            <v>GT</v>
          </cell>
          <cell r="D10181">
            <v>70.599999999999994</v>
          </cell>
          <cell r="H10181" t="str">
            <v>natural gas peaker</v>
          </cell>
        </row>
        <row r="10182">
          <cell r="C10182" t="str">
            <v>ST</v>
          </cell>
          <cell r="D10182">
            <v>2.7</v>
          </cell>
          <cell r="H10182" t="str">
            <v>natural gas peaker</v>
          </cell>
        </row>
        <row r="10183">
          <cell r="C10183" t="str">
            <v>ST</v>
          </cell>
          <cell r="D10183">
            <v>7.5</v>
          </cell>
          <cell r="H10183" t="str">
            <v>natural gas peaker</v>
          </cell>
        </row>
        <row r="10184">
          <cell r="C10184" t="str">
            <v>ST</v>
          </cell>
          <cell r="D10184">
            <v>26</v>
          </cell>
          <cell r="H10184" t="str">
            <v>natural gas peaker</v>
          </cell>
        </row>
        <row r="10185">
          <cell r="C10185" t="str">
            <v>ST</v>
          </cell>
          <cell r="D10185">
            <v>82</v>
          </cell>
          <cell r="H10185" t="str">
            <v>natural gas peaker</v>
          </cell>
        </row>
        <row r="10186">
          <cell r="C10186" t="str">
            <v>IC</v>
          </cell>
          <cell r="D10186">
            <v>2.2999999999999998</v>
          </cell>
          <cell r="H10186" t="str">
            <v>biomass</v>
          </cell>
        </row>
        <row r="10187">
          <cell r="C10187" t="str">
            <v>IC</v>
          </cell>
          <cell r="D10187">
            <v>2.2999999999999998</v>
          </cell>
          <cell r="H10187" t="str">
            <v>biomass</v>
          </cell>
        </row>
        <row r="10188">
          <cell r="C10188" t="str">
            <v>HY</v>
          </cell>
          <cell r="D10188">
            <v>1</v>
          </cell>
          <cell r="H10188" t="str">
            <v>hydro</v>
          </cell>
        </row>
        <row r="10189">
          <cell r="C10189" t="str">
            <v>GT</v>
          </cell>
          <cell r="D10189">
            <v>23</v>
          </cell>
          <cell r="H10189" t="str">
            <v>natural gas peaker</v>
          </cell>
        </row>
        <row r="10190">
          <cell r="C10190" t="str">
            <v>GT</v>
          </cell>
          <cell r="D10190">
            <v>23</v>
          </cell>
          <cell r="H10190" t="str">
            <v>natural gas peaker</v>
          </cell>
        </row>
        <row r="10191">
          <cell r="C10191" t="str">
            <v>GT</v>
          </cell>
          <cell r="D10191">
            <v>23</v>
          </cell>
          <cell r="H10191" t="str">
            <v>natural gas peaker</v>
          </cell>
        </row>
        <row r="10192">
          <cell r="C10192" t="str">
            <v>GT</v>
          </cell>
          <cell r="D10192">
            <v>23</v>
          </cell>
          <cell r="H10192" t="str">
            <v>natural gas peaker</v>
          </cell>
        </row>
        <row r="10193">
          <cell r="C10193" t="str">
            <v>GT</v>
          </cell>
          <cell r="D10193">
            <v>23</v>
          </cell>
          <cell r="H10193" t="str">
            <v>natural gas peaker</v>
          </cell>
        </row>
        <row r="10194">
          <cell r="C10194" t="str">
            <v>GT</v>
          </cell>
          <cell r="D10194">
            <v>23</v>
          </cell>
          <cell r="H10194" t="str">
            <v>natural gas peaker</v>
          </cell>
        </row>
        <row r="10195">
          <cell r="C10195" t="str">
            <v>CT</v>
          </cell>
          <cell r="D10195">
            <v>52.4</v>
          </cell>
          <cell r="H10195" t="str">
            <v>natural gas nonpeaker</v>
          </cell>
        </row>
        <row r="10196">
          <cell r="C10196" t="str">
            <v>CA</v>
          </cell>
          <cell r="D10196" t="str">
            <v xml:space="preserve"> </v>
          </cell>
          <cell r="H10196" t="str">
            <v>natural gas nonpeaker</v>
          </cell>
        </row>
        <row r="10197">
          <cell r="C10197" t="str">
            <v>ST</v>
          </cell>
          <cell r="D10197">
            <v>54</v>
          </cell>
          <cell r="H10197" t="str">
            <v>other</v>
          </cell>
        </row>
        <row r="10198">
          <cell r="C10198" t="str">
            <v>HY</v>
          </cell>
          <cell r="D10198">
            <v>14.5</v>
          </cell>
          <cell r="H10198" t="str">
            <v>hydro</v>
          </cell>
        </row>
        <row r="10199">
          <cell r="C10199" t="str">
            <v>HY</v>
          </cell>
          <cell r="D10199">
            <v>14.5</v>
          </cell>
          <cell r="H10199" t="str">
            <v>hydro</v>
          </cell>
        </row>
        <row r="10200">
          <cell r="C10200" t="str">
            <v>HY</v>
          </cell>
          <cell r="D10200">
            <v>3.6</v>
          </cell>
          <cell r="H10200" t="str">
            <v>hydro</v>
          </cell>
        </row>
        <row r="10201">
          <cell r="C10201" t="str">
            <v>HY</v>
          </cell>
          <cell r="D10201">
            <v>2.5</v>
          </cell>
          <cell r="H10201" t="str">
            <v>hydro</v>
          </cell>
        </row>
        <row r="10202">
          <cell r="C10202" t="str">
            <v>HY</v>
          </cell>
          <cell r="D10202">
            <v>2.5</v>
          </cell>
          <cell r="H10202" t="str">
            <v>hydro</v>
          </cell>
        </row>
        <row r="10203">
          <cell r="C10203" t="str">
            <v>HY</v>
          </cell>
          <cell r="D10203">
            <v>2.5</v>
          </cell>
          <cell r="H10203" t="str">
            <v>hydro</v>
          </cell>
        </row>
        <row r="10204">
          <cell r="C10204" t="str">
            <v>GT</v>
          </cell>
          <cell r="D10204">
            <v>25</v>
          </cell>
          <cell r="H10204" t="str">
            <v>other</v>
          </cell>
        </row>
        <row r="10205">
          <cell r="C10205" t="str">
            <v>GT</v>
          </cell>
          <cell r="D10205">
            <v>25</v>
          </cell>
          <cell r="H10205" t="str">
            <v>other</v>
          </cell>
        </row>
        <row r="10206">
          <cell r="C10206" t="str">
            <v>ST</v>
          </cell>
          <cell r="D10206">
            <v>15</v>
          </cell>
          <cell r="H10206" t="str">
            <v>other</v>
          </cell>
        </row>
        <row r="10207">
          <cell r="C10207" t="str">
            <v>WT</v>
          </cell>
          <cell r="D10207">
            <v>1.5</v>
          </cell>
          <cell r="H10207" t="str">
            <v>onshore wind</v>
          </cell>
        </row>
        <row r="10208">
          <cell r="C10208" t="str">
            <v>WT</v>
          </cell>
          <cell r="D10208">
            <v>17.3</v>
          </cell>
          <cell r="H10208" t="str">
            <v>onshore wind</v>
          </cell>
        </row>
        <row r="10209">
          <cell r="C10209" t="str">
            <v>WT</v>
          </cell>
          <cell r="D10209">
            <v>29.9</v>
          </cell>
          <cell r="H10209" t="str">
            <v>onshore wind</v>
          </cell>
        </row>
        <row r="10210">
          <cell r="C10210" t="str">
            <v>WT</v>
          </cell>
          <cell r="D10210">
            <v>76.900000000000006</v>
          </cell>
          <cell r="H10210" t="str">
            <v>onshore wind</v>
          </cell>
        </row>
        <row r="10211">
          <cell r="C10211" t="str">
            <v>GT</v>
          </cell>
          <cell r="D10211">
            <v>5.6</v>
          </cell>
          <cell r="H10211" t="str">
            <v>natural gas peaker</v>
          </cell>
        </row>
        <row r="10212">
          <cell r="C10212" t="str">
            <v>HY</v>
          </cell>
          <cell r="D10212">
            <v>0.5</v>
          </cell>
          <cell r="H10212" t="str">
            <v>hydro</v>
          </cell>
        </row>
        <row r="10213">
          <cell r="C10213" t="str">
            <v>HY</v>
          </cell>
          <cell r="D10213">
            <v>0.3</v>
          </cell>
          <cell r="H10213" t="str">
            <v>hydro</v>
          </cell>
        </row>
        <row r="10214">
          <cell r="C10214" t="str">
            <v>HY</v>
          </cell>
          <cell r="D10214">
            <v>0.3</v>
          </cell>
          <cell r="H10214" t="str">
            <v>hydro</v>
          </cell>
        </row>
        <row r="10215">
          <cell r="C10215" t="str">
            <v>OT</v>
          </cell>
          <cell r="D10215">
            <v>6.5</v>
          </cell>
          <cell r="H10215" t="str">
            <v>other</v>
          </cell>
        </row>
        <row r="10216">
          <cell r="C10216" t="str">
            <v>ST</v>
          </cell>
          <cell r="D10216">
            <v>1.5</v>
          </cell>
          <cell r="H10216" t="str">
            <v>natural gas peaker</v>
          </cell>
        </row>
        <row r="10217">
          <cell r="C10217" t="str">
            <v>CT</v>
          </cell>
          <cell r="D10217">
            <v>80.8</v>
          </cell>
          <cell r="H10217" t="str">
            <v>natural gas nonpeaker</v>
          </cell>
        </row>
        <row r="10218">
          <cell r="C10218" t="str">
            <v>CA</v>
          </cell>
          <cell r="D10218">
            <v>9.9</v>
          </cell>
          <cell r="H10218" t="str">
            <v>natural gas nonpeaker</v>
          </cell>
        </row>
        <row r="10219">
          <cell r="C10219" t="str">
            <v>CA</v>
          </cell>
          <cell r="D10219">
            <v>11</v>
          </cell>
          <cell r="H10219" t="str">
            <v>natural gas nonpeaker</v>
          </cell>
        </row>
        <row r="10220">
          <cell r="C10220" t="str">
            <v>ST</v>
          </cell>
          <cell r="D10220">
            <v>7.5</v>
          </cell>
          <cell r="H10220" t="str">
            <v>biomass</v>
          </cell>
        </row>
        <row r="10221">
          <cell r="C10221" t="str">
            <v>HY</v>
          </cell>
          <cell r="D10221">
            <v>0.3</v>
          </cell>
          <cell r="H10221" t="str">
            <v>hydro</v>
          </cell>
        </row>
        <row r="10222">
          <cell r="C10222" t="str">
            <v>HY</v>
          </cell>
          <cell r="D10222">
            <v>7</v>
          </cell>
          <cell r="H10222" t="str">
            <v>hydro</v>
          </cell>
        </row>
        <row r="10223">
          <cell r="C10223" t="str">
            <v>HY</v>
          </cell>
          <cell r="D10223">
            <v>7</v>
          </cell>
          <cell r="H10223" t="str">
            <v>hydro</v>
          </cell>
        </row>
        <row r="10224">
          <cell r="C10224" t="str">
            <v>HY</v>
          </cell>
          <cell r="D10224">
            <v>3.6</v>
          </cell>
          <cell r="H10224" t="str">
            <v>hydro</v>
          </cell>
        </row>
        <row r="10225">
          <cell r="C10225" t="str">
            <v>WT</v>
          </cell>
          <cell r="D10225">
            <v>38.9</v>
          </cell>
          <cell r="H10225" t="str">
            <v>onshore wind</v>
          </cell>
        </row>
        <row r="10226">
          <cell r="C10226" t="str">
            <v>WT</v>
          </cell>
          <cell r="D10226">
            <v>20</v>
          </cell>
          <cell r="H10226" t="str">
            <v>onshore wind</v>
          </cell>
        </row>
        <row r="10227">
          <cell r="C10227" t="str">
            <v>CT</v>
          </cell>
          <cell r="D10227">
            <v>75</v>
          </cell>
          <cell r="H10227" t="str">
            <v>petroleum</v>
          </cell>
        </row>
        <row r="10228">
          <cell r="C10228" t="str">
            <v>CT</v>
          </cell>
          <cell r="D10228">
            <v>36</v>
          </cell>
          <cell r="H10228" t="str">
            <v>petroleum</v>
          </cell>
        </row>
        <row r="10229">
          <cell r="C10229" t="str">
            <v>CA</v>
          </cell>
          <cell r="D10229">
            <v>54</v>
          </cell>
          <cell r="H10229" t="str">
            <v>petroleum</v>
          </cell>
        </row>
        <row r="10230">
          <cell r="C10230" t="str">
            <v>CT</v>
          </cell>
          <cell r="D10230">
            <v>67.3</v>
          </cell>
          <cell r="H10230" t="str">
            <v>natural gas nonpeaker</v>
          </cell>
        </row>
        <row r="10231">
          <cell r="C10231" t="str">
            <v>CA</v>
          </cell>
          <cell r="D10231">
            <v>44.1</v>
          </cell>
          <cell r="H10231" t="str">
            <v>natural gas nonpeaker</v>
          </cell>
        </row>
        <row r="10232">
          <cell r="C10232" t="str">
            <v>ST</v>
          </cell>
          <cell r="D10232">
            <v>18</v>
          </cell>
          <cell r="H10232" t="str">
            <v>biomass</v>
          </cell>
        </row>
        <row r="10233">
          <cell r="C10233" t="str">
            <v>CT</v>
          </cell>
          <cell r="D10233">
            <v>85</v>
          </cell>
          <cell r="H10233" t="str">
            <v>natural gas nonpeaker</v>
          </cell>
        </row>
        <row r="10234">
          <cell r="C10234" t="str">
            <v>CT</v>
          </cell>
          <cell r="D10234">
            <v>85</v>
          </cell>
          <cell r="H10234" t="str">
            <v>natural gas nonpeaker</v>
          </cell>
        </row>
        <row r="10235">
          <cell r="C10235" t="str">
            <v>CA</v>
          </cell>
          <cell r="D10235">
            <v>47</v>
          </cell>
          <cell r="H10235" t="str">
            <v>natural gas nonpeaker</v>
          </cell>
        </row>
        <row r="10236">
          <cell r="C10236" t="str">
            <v>CA</v>
          </cell>
          <cell r="D10236">
            <v>27</v>
          </cell>
          <cell r="H10236" t="str">
            <v>natural gas nonpeaker</v>
          </cell>
        </row>
        <row r="10237">
          <cell r="C10237" t="str">
            <v>GT</v>
          </cell>
          <cell r="D10237">
            <v>2.9</v>
          </cell>
          <cell r="H10237" t="str">
            <v>biomass</v>
          </cell>
        </row>
        <row r="10238">
          <cell r="C10238" t="str">
            <v>GT</v>
          </cell>
          <cell r="D10238">
            <v>2.9</v>
          </cell>
          <cell r="H10238" t="str">
            <v>biomass</v>
          </cell>
        </row>
        <row r="10239">
          <cell r="C10239" t="str">
            <v>IC</v>
          </cell>
          <cell r="D10239">
            <v>0.8</v>
          </cell>
          <cell r="H10239" t="str">
            <v>biomass</v>
          </cell>
        </row>
        <row r="10240">
          <cell r="C10240" t="str">
            <v>IC</v>
          </cell>
          <cell r="D10240">
            <v>0.8</v>
          </cell>
          <cell r="H10240" t="str">
            <v>biomass</v>
          </cell>
        </row>
        <row r="10241">
          <cell r="C10241" t="str">
            <v>IC</v>
          </cell>
          <cell r="D10241">
            <v>0.8</v>
          </cell>
          <cell r="H10241" t="str">
            <v>biomass</v>
          </cell>
        </row>
        <row r="10242">
          <cell r="C10242" t="str">
            <v>IC</v>
          </cell>
          <cell r="D10242">
            <v>0.8</v>
          </cell>
          <cell r="H10242" t="str">
            <v>natural gas peaker</v>
          </cell>
        </row>
        <row r="10243">
          <cell r="C10243" t="str">
            <v>IC</v>
          </cell>
          <cell r="D10243">
            <v>0.8</v>
          </cell>
          <cell r="H10243" t="str">
            <v>natural gas peaker</v>
          </cell>
        </row>
        <row r="10244">
          <cell r="C10244" t="str">
            <v>IC</v>
          </cell>
          <cell r="D10244">
            <v>0.8</v>
          </cell>
          <cell r="H10244" t="str">
            <v>natural gas peaker</v>
          </cell>
        </row>
        <row r="10245">
          <cell r="C10245" t="str">
            <v>IC</v>
          </cell>
          <cell r="D10245">
            <v>0.8</v>
          </cell>
          <cell r="H10245" t="str">
            <v>biomass</v>
          </cell>
        </row>
        <row r="10246">
          <cell r="C10246" t="str">
            <v>IC</v>
          </cell>
          <cell r="D10246">
            <v>0.8</v>
          </cell>
          <cell r="H10246" t="str">
            <v>biomass</v>
          </cell>
        </row>
        <row r="10247">
          <cell r="C10247" t="str">
            <v>IC</v>
          </cell>
          <cell r="D10247">
            <v>0.8</v>
          </cell>
          <cell r="H10247" t="str">
            <v>biomass</v>
          </cell>
        </row>
        <row r="10248">
          <cell r="C10248" t="str">
            <v>IC</v>
          </cell>
          <cell r="D10248">
            <v>0.8</v>
          </cell>
          <cell r="H10248" t="str">
            <v>biomass</v>
          </cell>
        </row>
        <row r="10249">
          <cell r="C10249" t="str">
            <v>IC</v>
          </cell>
          <cell r="D10249">
            <v>1.6</v>
          </cell>
          <cell r="H10249" t="str">
            <v>biomass</v>
          </cell>
        </row>
        <row r="10250">
          <cell r="C10250" t="str">
            <v>IC</v>
          </cell>
          <cell r="D10250">
            <v>1.6</v>
          </cell>
          <cell r="H10250" t="str">
            <v>biomass</v>
          </cell>
        </row>
        <row r="10251">
          <cell r="C10251" t="str">
            <v>IC</v>
          </cell>
          <cell r="D10251">
            <v>1.6</v>
          </cell>
          <cell r="H10251" t="str">
            <v>biomass</v>
          </cell>
        </row>
        <row r="10252">
          <cell r="C10252" t="str">
            <v>IC</v>
          </cell>
          <cell r="D10252">
            <v>1.6</v>
          </cell>
          <cell r="H10252" t="str">
            <v>biomass</v>
          </cell>
        </row>
        <row r="10253">
          <cell r="C10253" t="str">
            <v>GT</v>
          </cell>
          <cell r="D10253">
            <v>2.9</v>
          </cell>
          <cell r="H10253" t="str">
            <v>biomass</v>
          </cell>
        </row>
        <row r="10254">
          <cell r="C10254" t="str">
            <v>GT</v>
          </cell>
          <cell r="D10254">
            <v>2.9</v>
          </cell>
          <cell r="H10254" t="str">
            <v>biomass</v>
          </cell>
        </row>
        <row r="10255">
          <cell r="C10255" t="str">
            <v>IC</v>
          </cell>
          <cell r="D10255">
            <v>1.6</v>
          </cell>
          <cell r="H10255" t="str">
            <v>biomass</v>
          </cell>
        </row>
        <row r="10256">
          <cell r="C10256" t="str">
            <v>IC</v>
          </cell>
          <cell r="D10256">
            <v>1.6</v>
          </cell>
          <cell r="H10256" t="str">
            <v>biomass</v>
          </cell>
        </row>
        <row r="10257">
          <cell r="C10257" t="str">
            <v>IC</v>
          </cell>
          <cell r="D10257">
            <v>1.6</v>
          </cell>
          <cell r="H10257" t="str">
            <v>biomass</v>
          </cell>
        </row>
        <row r="10258">
          <cell r="C10258" t="str">
            <v>IC</v>
          </cell>
          <cell r="D10258">
            <v>1.6</v>
          </cell>
          <cell r="H10258" t="str">
            <v>biomass</v>
          </cell>
        </row>
        <row r="10259">
          <cell r="C10259" t="str">
            <v>IC</v>
          </cell>
          <cell r="D10259">
            <v>0.8</v>
          </cell>
          <cell r="H10259" t="str">
            <v>biomass</v>
          </cell>
        </row>
        <row r="10260">
          <cell r="C10260" t="str">
            <v>IC</v>
          </cell>
          <cell r="D10260">
            <v>0.8</v>
          </cell>
          <cell r="H10260" t="str">
            <v>biomass</v>
          </cell>
        </row>
        <row r="10261">
          <cell r="C10261" t="str">
            <v>IC</v>
          </cell>
          <cell r="D10261">
            <v>0.8</v>
          </cell>
          <cell r="H10261" t="str">
            <v>biomass</v>
          </cell>
        </row>
        <row r="10262">
          <cell r="C10262" t="str">
            <v>IC</v>
          </cell>
          <cell r="D10262">
            <v>0.8</v>
          </cell>
          <cell r="H10262" t="str">
            <v>biomass</v>
          </cell>
        </row>
        <row r="10263">
          <cell r="C10263" t="str">
            <v>IC</v>
          </cell>
          <cell r="D10263">
            <v>1.6</v>
          </cell>
          <cell r="H10263" t="str">
            <v>biomass</v>
          </cell>
        </row>
        <row r="10264">
          <cell r="C10264" t="str">
            <v>GT</v>
          </cell>
          <cell r="D10264">
            <v>2.9</v>
          </cell>
          <cell r="H10264" t="str">
            <v>biomass</v>
          </cell>
        </row>
        <row r="10265">
          <cell r="C10265" t="str">
            <v>GT</v>
          </cell>
          <cell r="D10265">
            <v>2.9</v>
          </cell>
          <cell r="H10265" t="str">
            <v>biomass</v>
          </cell>
        </row>
        <row r="10266">
          <cell r="C10266" t="str">
            <v>CT</v>
          </cell>
          <cell r="D10266">
            <v>2.9</v>
          </cell>
          <cell r="H10266" t="str">
            <v>biomass</v>
          </cell>
        </row>
        <row r="10267">
          <cell r="C10267" t="str">
            <v>CT</v>
          </cell>
          <cell r="D10267">
            <v>2.9</v>
          </cell>
          <cell r="H10267" t="str">
            <v>biomass</v>
          </cell>
        </row>
        <row r="10268">
          <cell r="C10268" t="str">
            <v>CT</v>
          </cell>
          <cell r="D10268">
            <v>2.9</v>
          </cell>
          <cell r="H10268" t="str">
            <v>biomass</v>
          </cell>
        </row>
        <row r="10269">
          <cell r="C10269" t="str">
            <v>CA</v>
          </cell>
          <cell r="D10269">
            <v>2.2000000000000002</v>
          </cell>
          <cell r="H10269" t="str">
            <v>biomass</v>
          </cell>
        </row>
        <row r="10270">
          <cell r="C10270" t="str">
            <v>GT</v>
          </cell>
          <cell r="D10270">
            <v>2.9</v>
          </cell>
          <cell r="H10270" t="str">
            <v>biomass</v>
          </cell>
        </row>
        <row r="10271">
          <cell r="C10271" t="str">
            <v>GT</v>
          </cell>
          <cell r="D10271">
            <v>2.9</v>
          </cell>
          <cell r="H10271" t="str">
            <v>biomass</v>
          </cell>
        </row>
        <row r="10272">
          <cell r="C10272" t="str">
            <v>GT</v>
          </cell>
          <cell r="D10272">
            <v>2.9</v>
          </cell>
          <cell r="H10272" t="str">
            <v>biomass</v>
          </cell>
        </row>
        <row r="10273">
          <cell r="C10273" t="str">
            <v>GT</v>
          </cell>
          <cell r="D10273">
            <v>2.9</v>
          </cell>
          <cell r="H10273" t="str">
            <v>biomass</v>
          </cell>
        </row>
        <row r="10274">
          <cell r="C10274" t="str">
            <v>GT</v>
          </cell>
          <cell r="D10274">
            <v>2.9</v>
          </cell>
          <cell r="H10274" t="str">
            <v>biomass</v>
          </cell>
        </row>
        <row r="10275">
          <cell r="C10275" t="str">
            <v>IC</v>
          </cell>
          <cell r="D10275">
            <v>0.8</v>
          </cell>
          <cell r="H10275" t="str">
            <v>biomass</v>
          </cell>
        </row>
        <row r="10276">
          <cell r="C10276" t="str">
            <v>IC</v>
          </cell>
          <cell r="D10276">
            <v>0.8</v>
          </cell>
          <cell r="H10276" t="str">
            <v>biomass</v>
          </cell>
        </row>
        <row r="10277">
          <cell r="C10277" t="str">
            <v>IC</v>
          </cell>
          <cell r="D10277">
            <v>0.8</v>
          </cell>
          <cell r="H10277" t="str">
            <v>biomass</v>
          </cell>
        </row>
        <row r="10278">
          <cell r="C10278" t="str">
            <v>IC</v>
          </cell>
          <cell r="D10278">
            <v>0.8</v>
          </cell>
          <cell r="H10278" t="str">
            <v>biomass</v>
          </cell>
        </row>
        <row r="10279">
          <cell r="C10279" t="str">
            <v>GT</v>
          </cell>
          <cell r="D10279">
            <v>2.9</v>
          </cell>
          <cell r="H10279" t="str">
            <v>biomass</v>
          </cell>
        </row>
        <row r="10280">
          <cell r="C10280" t="str">
            <v>GT</v>
          </cell>
          <cell r="D10280">
            <v>2.9</v>
          </cell>
          <cell r="H10280" t="str">
            <v>biomass</v>
          </cell>
        </row>
        <row r="10281">
          <cell r="C10281" t="str">
            <v>GT</v>
          </cell>
          <cell r="D10281">
            <v>3</v>
          </cell>
          <cell r="H10281" t="str">
            <v>biomass</v>
          </cell>
        </row>
        <row r="10282">
          <cell r="C10282" t="str">
            <v>GT</v>
          </cell>
          <cell r="D10282">
            <v>2.9</v>
          </cell>
          <cell r="H10282" t="str">
            <v>biomass</v>
          </cell>
        </row>
        <row r="10283">
          <cell r="C10283" t="str">
            <v>GT</v>
          </cell>
          <cell r="D10283">
            <v>1</v>
          </cell>
          <cell r="H10283" t="str">
            <v>natural gas peaker</v>
          </cell>
        </row>
        <row r="10284">
          <cell r="C10284" t="str">
            <v>ST</v>
          </cell>
          <cell r="D10284">
            <v>30</v>
          </cell>
          <cell r="H10284" t="str">
            <v>hard coal</v>
          </cell>
        </row>
        <row r="10285">
          <cell r="C10285" t="str">
            <v>GT</v>
          </cell>
          <cell r="D10285">
            <v>46</v>
          </cell>
          <cell r="H10285" t="str">
            <v>natural gas peaker</v>
          </cell>
        </row>
        <row r="10286">
          <cell r="C10286" t="str">
            <v>ST</v>
          </cell>
          <cell r="D10286">
            <v>13</v>
          </cell>
          <cell r="H10286" t="str">
            <v>biomass</v>
          </cell>
        </row>
        <row r="10287">
          <cell r="C10287" t="str">
            <v>HY</v>
          </cell>
          <cell r="D10287">
            <v>2</v>
          </cell>
          <cell r="H10287" t="str">
            <v>hydro</v>
          </cell>
        </row>
        <row r="10288">
          <cell r="C10288" t="str">
            <v>HY</v>
          </cell>
          <cell r="D10288">
            <v>0.7</v>
          </cell>
          <cell r="H10288" t="str">
            <v>hydro</v>
          </cell>
        </row>
        <row r="10289">
          <cell r="C10289" t="str">
            <v>HY</v>
          </cell>
          <cell r="D10289">
            <v>0.7</v>
          </cell>
          <cell r="H10289" t="str">
            <v>hydro</v>
          </cell>
        </row>
        <row r="10290">
          <cell r="C10290" t="str">
            <v>ST</v>
          </cell>
          <cell r="D10290">
            <v>5</v>
          </cell>
          <cell r="H10290" t="str">
            <v>biomass</v>
          </cell>
        </row>
        <row r="10291">
          <cell r="C10291" t="str">
            <v>ST</v>
          </cell>
          <cell r="D10291">
            <v>4.7</v>
          </cell>
          <cell r="H10291" t="str">
            <v>biomass</v>
          </cell>
        </row>
        <row r="10292">
          <cell r="C10292" t="str">
            <v>ST</v>
          </cell>
          <cell r="D10292">
            <v>0.5</v>
          </cell>
          <cell r="H10292" t="str">
            <v>natural gas peaker</v>
          </cell>
        </row>
        <row r="10293">
          <cell r="C10293" t="str">
            <v>GT</v>
          </cell>
          <cell r="D10293">
            <v>2.8</v>
          </cell>
          <cell r="H10293" t="str">
            <v>natural gas peaker</v>
          </cell>
        </row>
        <row r="10294">
          <cell r="C10294" t="str">
            <v>GT</v>
          </cell>
          <cell r="D10294">
            <v>2.8</v>
          </cell>
          <cell r="H10294" t="str">
            <v>natural gas peaker</v>
          </cell>
        </row>
        <row r="10295">
          <cell r="C10295" t="str">
            <v>IC</v>
          </cell>
          <cell r="D10295">
            <v>2</v>
          </cell>
          <cell r="H10295" t="str">
            <v>natural gas peaker</v>
          </cell>
        </row>
        <row r="10296">
          <cell r="C10296" t="str">
            <v>GT</v>
          </cell>
          <cell r="D10296">
            <v>7</v>
          </cell>
          <cell r="H10296" t="str">
            <v>natural gas peaker</v>
          </cell>
        </row>
        <row r="10297">
          <cell r="C10297" t="str">
            <v>GT</v>
          </cell>
          <cell r="D10297">
            <v>7</v>
          </cell>
          <cell r="H10297" t="str">
            <v>natural gas peaker</v>
          </cell>
        </row>
        <row r="10298">
          <cell r="C10298" t="str">
            <v>GT</v>
          </cell>
          <cell r="D10298">
            <v>3</v>
          </cell>
          <cell r="H10298" t="str">
            <v>natural gas peaker</v>
          </cell>
        </row>
        <row r="10299">
          <cell r="C10299" t="str">
            <v>GT</v>
          </cell>
          <cell r="D10299">
            <v>3</v>
          </cell>
          <cell r="H10299" t="str">
            <v>natural gas peaker</v>
          </cell>
        </row>
        <row r="10300">
          <cell r="C10300" t="str">
            <v>GT</v>
          </cell>
          <cell r="D10300">
            <v>3</v>
          </cell>
          <cell r="H10300" t="str">
            <v>natural gas peaker</v>
          </cell>
        </row>
        <row r="10301">
          <cell r="C10301" t="str">
            <v>GT</v>
          </cell>
          <cell r="D10301">
            <v>3</v>
          </cell>
          <cell r="H10301" t="str">
            <v>natural gas peaker</v>
          </cell>
        </row>
        <row r="10302">
          <cell r="C10302" t="str">
            <v>ST</v>
          </cell>
          <cell r="D10302">
            <v>7.5</v>
          </cell>
          <cell r="H10302" t="str">
            <v>other</v>
          </cell>
        </row>
        <row r="10303">
          <cell r="C10303" t="str">
            <v>GT</v>
          </cell>
          <cell r="D10303">
            <v>22.5</v>
          </cell>
          <cell r="H10303" t="str">
            <v>other</v>
          </cell>
        </row>
        <row r="10304">
          <cell r="C10304" t="str">
            <v>ST</v>
          </cell>
          <cell r="D10304">
            <v>19.3</v>
          </cell>
          <cell r="H10304" t="str">
            <v>other</v>
          </cell>
        </row>
        <row r="10305">
          <cell r="C10305" t="str">
            <v>OT</v>
          </cell>
          <cell r="D10305">
            <v>5</v>
          </cell>
          <cell r="H10305" t="str">
            <v>other</v>
          </cell>
        </row>
        <row r="10306">
          <cell r="C10306" t="str">
            <v>ST</v>
          </cell>
          <cell r="D10306">
            <v>25</v>
          </cell>
          <cell r="H10306" t="str">
            <v>natural gas peaker</v>
          </cell>
        </row>
        <row r="10307">
          <cell r="C10307" t="str">
            <v>ST</v>
          </cell>
          <cell r="D10307">
            <v>38.6</v>
          </cell>
          <cell r="H10307" t="str">
            <v>natural gas peaker</v>
          </cell>
        </row>
        <row r="10308">
          <cell r="C10308" t="str">
            <v>GT</v>
          </cell>
          <cell r="D10308">
            <v>32</v>
          </cell>
          <cell r="H10308" t="str">
            <v>natural gas peaker</v>
          </cell>
        </row>
        <row r="10309">
          <cell r="C10309" t="str">
            <v>ST</v>
          </cell>
          <cell r="D10309">
            <v>25</v>
          </cell>
          <cell r="H10309" t="str">
            <v>natural gas peaker</v>
          </cell>
        </row>
        <row r="10310">
          <cell r="C10310" t="str">
            <v>ST</v>
          </cell>
          <cell r="D10310">
            <v>20</v>
          </cell>
          <cell r="H10310" t="str">
            <v>natural gas peaker</v>
          </cell>
        </row>
        <row r="10311">
          <cell r="C10311" t="str">
            <v>ST</v>
          </cell>
          <cell r="D10311">
            <v>30</v>
          </cell>
          <cell r="H10311" t="str">
            <v>natural gas peaker</v>
          </cell>
        </row>
        <row r="10312">
          <cell r="C10312" t="str">
            <v>GT</v>
          </cell>
          <cell r="D10312">
            <v>145</v>
          </cell>
          <cell r="H10312" t="str">
            <v>natural gas peaker</v>
          </cell>
        </row>
        <row r="10313">
          <cell r="C10313" t="str">
            <v>GT</v>
          </cell>
          <cell r="D10313">
            <v>145</v>
          </cell>
          <cell r="H10313" t="str">
            <v>natural gas peaker</v>
          </cell>
        </row>
        <row r="10314">
          <cell r="C10314" t="str">
            <v>GT</v>
          </cell>
          <cell r="D10314">
            <v>145</v>
          </cell>
          <cell r="H10314" t="str">
            <v>natural gas peaker</v>
          </cell>
        </row>
        <row r="10315">
          <cell r="C10315" t="str">
            <v>OT</v>
          </cell>
          <cell r="D10315">
            <v>1.2</v>
          </cell>
          <cell r="H10315" t="str">
            <v>other</v>
          </cell>
        </row>
        <row r="10316">
          <cell r="C10316" t="str">
            <v>GT</v>
          </cell>
          <cell r="D10316">
            <v>22</v>
          </cell>
          <cell r="H10316" t="str">
            <v>other</v>
          </cell>
        </row>
        <row r="10317">
          <cell r="C10317" t="str">
            <v>ST</v>
          </cell>
          <cell r="D10317">
            <v>11.2</v>
          </cell>
          <cell r="H10317" t="str">
            <v>other</v>
          </cell>
        </row>
        <row r="10318">
          <cell r="C10318" t="str">
            <v>ST</v>
          </cell>
          <cell r="D10318">
            <v>3.3</v>
          </cell>
          <cell r="H10318" t="str">
            <v>other</v>
          </cell>
        </row>
        <row r="10319">
          <cell r="C10319" t="str">
            <v>GT</v>
          </cell>
          <cell r="D10319">
            <v>27</v>
          </cell>
          <cell r="H10319" t="str">
            <v>natural gas peaker</v>
          </cell>
        </row>
        <row r="10320">
          <cell r="C10320" t="str">
            <v>ST</v>
          </cell>
          <cell r="D10320">
            <v>14.5</v>
          </cell>
          <cell r="H10320" t="str">
            <v>other</v>
          </cell>
        </row>
        <row r="10321">
          <cell r="C10321" t="str">
            <v>ST</v>
          </cell>
          <cell r="D10321">
            <v>14.5</v>
          </cell>
          <cell r="H10321" t="str">
            <v>other</v>
          </cell>
        </row>
        <row r="10322">
          <cell r="C10322" t="str">
            <v>OT</v>
          </cell>
          <cell r="D10322">
            <v>11.6</v>
          </cell>
          <cell r="H10322" t="str">
            <v>petroleum</v>
          </cell>
        </row>
        <row r="10323">
          <cell r="C10323" t="str">
            <v>ST</v>
          </cell>
          <cell r="D10323">
            <v>12.5</v>
          </cell>
          <cell r="H10323" t="str">
            <v>municipal solid waste</v>
          </cell>
        </row>
        <row r="10324">
          <cell r="C10324" t="str">
            <v>ST</v>
          </cell>
          <cell r="D10324">
            <v>11.5</v>
          </cell>
          <cell r="H10324" t="str">
            <v>municipal solid waste</v>
          </cell>
        </row>
        <row r="10325">
          <cell r="C10325" t="str">
            <v>ST</v>
          </cell>
          <cell r="D10325">
            <v>19.899999999999999</v>
          </cell>
          <cell r="H10325" t="str">
            <v>municipal solid waste</v>
          </cell>
        </row>
        <row r="10326">
          <cell r="C10326" t="str">
            <v>ST</v>
          </cell>
          <cell r="D10326">
            <v>36</v>
          </cell>
          <cell r="H10326" t="str">
            <v>other</v>
          </cell>
        </row>
        <row r="10327">
          <cell r="C10327" t="str">
            <v>ST</v>
          </cell>
          <cell r="D10327">
            <v>44</v>
          </cell>
          <cell r="H10327" t="str">
            <v>other</v>
          </cell>
        </row>
        <row r="10328">
          <cell r="C10328" t="str">
            <v>HY</v>
          </cell>
          <cell r="D10328">
            <v>0.6</v>
          </cell>
          <cell r="H10328" t="str">
            <v>hydro</v>
          </cell>
        </row>
        <row r="10329">
          <cell r="C10329" t="str">
            <v>HY</v>
          </cell>
          <cell r="D10329">
            <v>0.6</v>
          </cell>
          <cell r="H10329" t="str">
            <v>hydro</v>
          </cell>
        </row>
        <row r="10330">
          <cell r="C10330" t="str">
            <v>HY</v>
          </cell>
          <cell r="D10330">
            <v>0.5</v>
          </cell>
          <cell r="H10330" t="str">
            <v>hydro</v>
          </cell>
        </row>
        <row r="10331">
          <cell r="C10331" t="str">
            <v>HY</v>
          </cell>
          <cell r="D10331">
            <v>0.6</v>
          </cell>
          <cell r="H10331" t="str">
            <v>hydro</v>
          </cell>
        </row>
        <row r="10332">
          <cell r="C10332" t="str">
            <v>HY</v>
          </cell>
          <cell r="D10332">
            <v>0.6</v>
          </cell>
          <cell r="H10332" t="str">
            <v>hydro</v>
          </cell>
        </row>
        <row r="10333">
          <cell r="C10333" t="str">
            <v>ST</v>
          </cell>
          <cell r="D10333">
            <v>2</v>
          </cell>
          <cell r="H10333" t="str">
            <v>biomass</v>
          </cell>
        </row>
        <row r="10334">
          <cell r="C10334" t="str">
            <v>ST</v>
          </cell>
          <cell r="D10334">
            <v>3.3</v>
          </cell>
          <cell r="H10334" t="str">
            <v>biomass</v>
          </cell>
        </row>
        <row r="10335">
          <cell r="C10335" t="str">
            <v>ST</v>
          </cell>
          <cell r="D10335">
            <v>25.2</v>
          </cell>
          <cell r="H10335" t="str">
            <v>biomass</v>
          </cell>
        </row>
        <row r="10336">
          <cell r="C10336" t="str">
            <v>ST</v>
          </cell>
          <cell r="D10336">
            <v>24</v>
          </cell>
          <cell r="H10336" t="str">
            <v>biomass</v>
          </cell>
        </row>
        <row r="10337">
          <cell r="C10337" t="str">
            <v>ST</v>
          </cell>
          <cell r="D10337">
            <v>28</v>
          </cell>
          <cell r="H10337" t="str">
            <v>biomass</v>
          </cell>
        </row>
        <row r="10338">
          <cell r="C10338" t="str">
            <v>ST</v>
          </cell>
          <cell r="D10338">
            <v>14.8</v>
          </cell>
          <cell r="H10338" t="str">
            <v>biomass</v>
          </cell>
        </row>
        <row r="10339">
          <cell r="C10339" t="str">
            <v>ST</v>
          </cell>
          <cell r="D10339">
            <v>41.5</v>
          </cell>
          <cell r="H10339" t="str">
            <v>biomass</v>
          </cell>
        </row>
        <row r="10340">
          <cell r="C10340" t="str">
            <v>ST</v>
          </cell>
          <cell r="D10340">
            <v>14</v>
          </cell>
          <cell r="H10340" t="str">
            <v>biomass</v>
          </cell>
        </row>
        <row r="10341">
          <cell r="C10341" t="str">
            <v>HY</v>
          </cell>
          <cell r="D10341">
            <v>1.6</v>
          </cell>
          <cell r="H10341" t="str">
            <v>hydro</v>
          </cell>
        </row>
        <row r="10342">
          <cell r="C10342" t="str">
            <v>HY</v>
          </cell>
          <cell r="D10342">
            <v>0.5</v>
          </cell>
          <cell r="H10342" t="str">
            <v>hydro</v>
          </cell>
        </row>
        <row r="10343">
          <cell r="C10343" t="str">
            <v>HY</v>
          </cell>
          <cell r="D10343">
            <v>0.5</v>
          </cell>
          <cell r="H10343" t="str">
            <v>hydro</v>
          </cell>
        </row>
        <row r="10344">
          <cell r="C10344" t="str">
            <v>HY</v>
          </cell>
          <cell r="D10344">
            <v>1</v>
          </cell>
          <cell r="H10344" t="str">
            <v>hydro</v>
          </cell>
        </row>
        <row r="10345">
          <cell r="C10345" t="str">
            <v>ST</v>
          </cell>
          <cell r="D10345">
            <v>5</v>
          </cell>
          <cell r="H10345" t="str">
            <v>municipal solid waste</v>
          </cell>
        </row>
        <row r="10346">
          <cell r="C10346" t="str">
            <v>ST</v>
          </cell>
          <cell r="D10346">
            <v>13.2</v>
          </cell>
          <cell r="H10346" t="str">
            <v>municipal solid waste</v>
          </cell>
        </row>
        <row r="10347">
          <cell r="C10347" t="str">
            <v>ST</v>
          </cell>
          <cell r="D10347">
            <v>14.4</v>
          </cell>
          <cell r="H10347" t="str">
            <v>municipal solid waste</v>
          </cell>
        </row>
        <row r="10348">
          <cell r="C10348" t="str">
            <v>ST</v>
          </cell>
          <cell r="D10348">
            <v>46.1</v>
          </cell>
          <cell r="H10348" t="str">
            <v>biomass</v>
          </cell>
        </row>
        <row r="10349">
          <cell r="C10349" t="str">
            <v>HY</v>
          </cell>
          <cell r="D10349">
            <v>1.5</v>
          </cell>
          <cell r="H10349" t="str">
            <v>hydro</v>
          </cell>
        </row>
        <row r="10350">
          <cell r="C10350" t="str">
            <v>HY</v>
          </cell>
          <cell r="D10350">
            <v>1.5</v>
          </cell>
          <cell r="H10350" t="str">
            <v>hydro</v>
          </cell>
        </row>
        <row r="10351">
          <cell r="C10351" t="str">
            <v>ST</v>
          </cell>
          <cell r="D10351">
            <v>10.9</v>
          </cell>
          <cell r="H10351" t="str">
            <v>geothermal</v>
          </cell>
        </row>
        <row r="10352">
          <cell r="C10352" t="str">
            <v>BT</v>
          </cell>
          <cell r="D10352">
            <v>3.7</v>
          </cell>
          <cell r="H10352" t="str">
            <v>geothermal</v>
          </cell>
        </row>
        <row r="10353">
          <cell r="C10353" t="str">
            <v>ST</v>
          </cell>
          <cell r="D10353">
            <v>24.5</v>
          </cell>
          <cell r="H10353" t="str">
            <v>municipal solid waste</v>
          </cell>
        </row>
        <row r="10354">
          <cell r="C10354" t="str">
            <v>ST</v>
          </cell>
          <cell r="D10354">
            <v>54</v>
          </cell>
          <cell r="H10354" t="str">
            <v>municipal solid waste</v>
          </cell>
        </row>
        <row r="10355">
          <cell r="C10355" t="str">
            <v>ST</v>
          </cell>
          <cell r="D10355">
            <v>49</v>
          </cell>
          <cell r="H10355" t="str">
            <v>municipal solid waste</v>
          </cell>
        </row>
        <row r="10356">
          <cell r="C10356" t="str">
            <v>ST</v>
          </cell>
          <cell r="D10356">
            <v>49</v>
          </cell>
          <cell r="H10356" t="str">
            <v>municipal solid waste</v>
          </cell>
        </row>
        <row r="10357">
          <cell r="C10357" t="str">
            <v>ST</v>
          </cell>
          <cell r="D10357">
            <v>15.6</v>
          </cell>
          <cell r="H10357" t="str">
            <v>municipal solid waste</v>
          </cell>
        </row>
        <row r="10358">
          <cell r="C10358" t="str">
            <v>ST</v>
          </cell>
          <cell r="D10358">
            <v>42.8</v>
          </cell>
          <cell r="H10358" t="str">
            <v>municipal solid waste</v>
          </cell>
        </row>
        <row r="10359">
          <cell r="C10359" t="str">
            <v>ST</v>
          </cell>
          <cell r="D10359">
            <v>30</v>
          </cell>
          <cell r="H10359" t="str">
            <v>municipal solid waste</v>
          </cell>
        </row>
        <row r="10360">
          <cell r="C10360" t="str">
            <v>ST</v>
          </cell>
          <cell r="D10360">
            <v>14.5</v>
          </cell>
          <cell r="H10360" t="str">
            <v>municipal solid waste</v>
          </cell>
        </row>
        <row r="10361">
          <cell r="C10361" t="str">
            <v>ST</v>
          </cell>
          <cell r="D10361">
            <v>14.5</v>
          </cell>
          <cell r="H10361" t="str">
            <v>municipal solid waste</v>
          </cell>
        </row>
        <row r="10362">
          <cell r="C10362" t="str">
            <v>ST</v>
          </cell>
          <cell r="D10362">
            <v>26</v>
          </cell>
          <cell r="H10362" t="str">
            <v>municipal solid waste</v>
          </cell>
        </row>
        <row r="10363">
          <cell r="C10363" t="str">
            <v>IC</v>
          </cell>
          <cell r="D10363">
            <v>1.2</v>
          </cell>
          <cell r="H10363" t="str">
            <v>natural gas peaker</v>
          </cell>
        </row>
        <row r="10364">
          <cell r="C10364" t="str">
            <v>HY</v>
          </cell>
          <cell r="D10364">
            <v>1</v>
          </cell>
          <cell r="H10364" t="str">
            <v>hydro</v>
          </cell>
        </row>
        <row r="10365">
          <cell r="C10365" t="str">
            <v>WT</v>
          </cell>
          <cell r="D10365">
            <v>43.4</v>
          </cell>
          <cell r="H10365" t="str">
            <v>onshore wind</v>
          </cell>
        </row>
        <row r="10366">
          <cell r="C10366" t="str">
            <v>IC</v>
          </cell>
          <cell r="D10366">
            <v>2.4</v>
          </cell>
          <cell r="H10366" t="str">
            <v>biomass</v>
          </cell>
        </row>
        <row r="10367">
          <cell r="C10367" t="str">
            <v>IC</v>
          </cell>
          <cell r="D10367">
            <v>2.4</v>
          </cell>
          <cell r="H10367" t="str">
            <v>biomass</v>
          </cell>
        </row>
        <row r="10368">
          <cell r="C10368" t="str">
            <v>IC</v>
          </cell>
          <cell r="D10368">
            <v>2.4</v>
          </cell>
          <cell r="H10368" t="str">
            <v>biomass</v>
          </cell>
        </row>
        <row r="10369">
          <cell r="C10369" t="str">
            <v>HY</v>
          </cell>
          <cell r="D10369">
            <v>1</v>
          </cell>
          <cell r="H10369" t="str">
            <v>hydro</v>
          </cell>
        </row>
        <row r="10370">
          <cell r="C10370" t="str">
            <v>HY</v>
          </cell>
          <cell r="D10370">
            <v>0.2</v>
          </cell>
          <cell r="H10370" t="str">
            <v>hydro</v>
          </cell>
        </row>
        <row r="10371">
          <cell r="C10371" t="str">
            <v>HY</v>
          </cell>
          <cell r="D10371">
            <v>0.2</v>
          </cell>
          <cell r="H10371" t="str">
            <v>hydro</v>
          </cell>
        </row>
        <row r="10372">
          <cell r="C10372" t="str">
            <v>HY</v>
          </cell>
          <cell r="D10372">
            <v>0.2</v>
          </cell>
          <cell r="H10372" t="str">
            <v>hydro</v>
          </cell>
        </row>
        <row r="10373">
          <cell r="C10373" t="str">
            <v>HY</v>
          </cell>
          <cell r="D10373">
            <v>0.2</v>
          </cell>
          <cell r="H10373" t="str">
            <v>hydro</v>
          </cell>
        </row>
        <row r="10374">
          <cell r="C10374" t="str">
            <v>HY</v>
          </cell>
          <cell r="D10374">
            <v>0.2</v>
          </cell>
          <cell r="H10374" t="str">
            <v>hydro</v>
          </cell>
        </row>
        <row r="10375">
          <cell r="C10375" t="str">
            <v>HY</v>
          </cell>
          <cell r="D10375">
            <v>0.2</v>
          </cell>
          <cell r="H10375" t="str">
            <v>hydro</v>
          </cell>
        </row>
        <row r="10376">
          <cell r="C10376" t="str">
            <v>HY</v>
          </cell>
          <cell r="D10376">
            <v>0.2</v>
          </cell>
          <cell r="H10376" t="str">
            <v>hydro</v>
          </cell>
        </row>
        <row r="10377">
          <cell r="C10377" t="str">
            <v>HY</v>
          </cell>
          <cell r="D10377">
            <v>0.4</v>
          </cell>
          <cell r="H10377" t="str">
            <v>hydro</v>
          </cell>
        </row>
        <row r="10378">
          <cell r="C10378" t="str">
            <v>HY</v>
          </cell>
          <cell r="D10378">
            <v>0.4</v>
          </cell>
          <cell r="H10378" t="str">
            <v>hydro</v>
          </cell>
        </row>
        <row r="10379">
          <cell r="C10379" t="str">
            <v>HY</v>
          </cell>
          <cell r="D10379">
            <v>0.4</v>
          </cell>
          <cell r="H10379" t="str">
            <v>hydro</v>
          </cell>
        </row>
        <row r="10380">
          <cell r="C10380" t="str">
            <v>HY</v>
          </cell>
          <cell r="D10380">
            <v>1.2</v>
          </cell>
          <cell r="H10380" t="str">
            <v>hydro</v>
          </cell>
        </row>
        <row r="10381">
          <cell r="C10381" t="str">
            <v>CT</v>
          </cell>
          <cell r="D10381">
            <v>272</v>
          </cell>
          <cell r="H10381" t="str">
            <v>natural gas nonpeaker</v>
          </cell>
        </row>
        <row r="10382">
          <cell r="C10382" t="str">
            <v>CT</v>
          </cell>
          <cell r="D10382" t="str">
            <v xml:space="preserve"> </v>
          </cell>
          <cell r="H10382" t="str">
            <v>natural gas nonpeaker</v>
          </cell>
        </row>
        <row r="10383">
          <cell r="C10383" t="str">
            <v>CT</v>
          </cell>
          <cell r="D10383" t="str">
            <v xml:space="preserve"> </v>
          </cell>
          <cell r="H10383" t="str">
            <v>natural gas nonpeaker</v>
          </cell>
        </row>
        <row r="10384">
          <cell r="C10384" t="str">
            <v>CT</v>
          </cell>
          <cell r="D10384" t="str">
            <v xml:space="preserve"> </v>
          </cell>
          <cell r="H10384" t="str">
            <v>natural gas nonpeaker</v>
          </cell>
        </row>
        <row r="10385">
          <cell r="C10385" t="str">
            <v>CT</v>
          </cell>
          <cell r="D10385" t="str">
            <v xml:space="preserve"> </v>
          </cell>
          <cell r="H10385" t="str">
            <v>natural gas nonpeaker</v>
          </cell>
        </row>
        <row r="10386">
          <cell r="C10386" t="str">
            <v>CA</v>
          </cell>
          <cell r="D10386" t="str">
            <v xml:space="preserve"> </v>
          </cell>
          <cell r="H10386" t="str">
            <v>natural gas nonpeaker</v>
          </cell>
        </row>
        <row r="10387">
          <cell r="C10387" t="str">
            <v>CA</v>
          </cell>
          <cell r="D10387" t="str">
            <v xml:space="preserve"> </v>
          </cell>
          <cell r="H10387" t="str">
            <v>natural gas nonpeaker</v>
          </cell>
        </row>
        <row r="10388">
          <cell r="C10388" t="str">
            <v>ST</v>
          </cell>
          <cell r="D10388">
            <v>0.5</v>
          </cell>
          <cell r="H10388" t="str">
            <v>hard coal</v>
          </cell>
        </row>
        <row r="10389">
          <cell r="C10389" t="str">
            <v>ST</v>
          </cell>
          <cell r="D10389">
            <v>0.5</v>
          </cell>
          <cell r="H10389" t="str">
            <v>hard coal</v>
          </cell>
        </row>
        <row r="10390">
          <cell r="C10390" t="str">
            <v>ST</v>
          </cell>
          <cell r="D10390">
            <v>8.1</v>
          </cell>
          <cell r="H10390" t="str">
            <v>hard coal</v>
          </cell>
        </row>
        <row r="10391">
          <cell r="C10391" t="str">
            <v>IC</v>
          </cell>
          <cell r="D10391">
            <v>9.6</v>
          </cell>
          <cell r="H10391" t="str">
            <v>petroleum</v>
          </cell>
        </row>
        <row r="10392">
          <cell r="C10392" t="str">
            <v>HY</v>
          </cell>
          <cell r="D10392">
            <v>0.8</v>
          </cell>
          <cell r="H10392" t="str">
            <v>hydro</v>
          </cell>
        </row>
        <row r="10393">
          <cell r="C10393" t="str">
            <v>HY</v>
          </cell>
          <cell r="D10393">
            <v>0.8</v>
          </cell>
          <cell r="H10393" t="str">
            <v>hydro</v>
          </cell>
        </row>
        <row r="10394">
          <cell r="C10394" t="str">
            <v>HY</v>
          </cell>
          <cell r="D10394">
            <v>3.9</v>
          </cell>
          <cell r="H10394" t="str">
            <v>hydro</v>
          </cell>
        </row>
        <row r="10395">
          <cell r="C10395" t="str">
            <v>HY</v>
          </cell>
          <cell r="D10395">
            <v>1</v>
          </cell>
          <cell r="H10395" t="str">
            <v>hydro</v>
          </cell>
        </row>
        <row r="10396">
          <cell r="C10396" t="str">
            <v>IC</v>
          </cell>
          <cell r="D10396">
            <v>0.8</v>
          </cell>
          <cell r="H10396" t="str">
            <v>biomass</v>
          </cell>
        </row>
        <row r="10397">
          <cell r="C10397" t="str">
            <v>IC</v>
          </cell>
          <cell r="D10397">
            <v>0.8</v>
          </cell>
          <cell r="H10397" t="str">
            <v>biomass</v>
          </cell>
        </row>
        <row r="10398">
          <cell r="C10398" t="str">
            <v>IC</v>
          </cell>
          <cell r="D10398">
            <v>0.8</v>
          </cell>
          <cell r="H10398" t="str">
            <v>biomass</v>
          </cell>
        </row>
        <row r="10399">
          <cell r="C10399" t="str">
            <v>GT</v>
          </cell>
          <cell r="D10399">
            <v>7</v>
          </cell>
          <cell r="H10399" t="str">
            <v>natural gas peaker</v>
          </cell>
        </row>
        <row r="10400">
          <cell r="C10400" t="str">
            <v>ST</v>
          </cell>
          <cell r="D10400">
            <v>16</v>
          </cell>
          <cell r="H10400" t="str">
            <v>other</v>
          </cell>
        </row>
        <row r="10401">
          <cell r="C10401" t="str">
            <v>ST</v>
          </cell>
          <cell r="D10401">
            <v>8</v>
          </cell>
          <cell r="H10401" t="str">
            <v>other</v>
          </cell>
        </row>
        <row r="10402">
          <cell r="C10402" t="str">
            <v>ST</v>
          </cell>
          <cell r="D10402">
            <v>30</v>
          </cell>
          <cell r="H10402" t="str">
            <v>other</v>
          </cell>
        </row>
        <row r="10403">
          <cell r="C10403" t="str">
            <v>ST</v>
          </cell>
          <cell r="D10403">
            <v>30</v>
          </cell>
          <cell r="H10403" t="str">
            <v>other</v>
          </cell>
        </row>
        <row r="10404">
          <cell r="C10404" t="str">
            <v>ST</v>
          </cell>
          <cell r="D10404">
            <v>1.9</v>
          </cell>
          <cell r="H10404" t="str">
            <v>other</v>
          </cell>
        </row>
        <row r="10405">
          <cell r="C10405" t="str">
            <v>ST</v>
          </cell>
          <cell r="D10405">
            <v>161</v>
          </cell>
          <cell r="H10405" t="str">
            <v>other</v>
          </cell>
        </row>
        <row r="10406">
          <cell r="C10406" t="str">
            <v>ST</v>
          </cell>
          <cell r="D10406">
            <v>26</v>
          </cell>
          <cell r="H10406" t="str">
            <v>other</v>
          </cell>
        </row>
        <row r="10407">
          <cell r="C10407" t="str">
            <v>ST</v>
          </cell>
          <cell r="D10407">
            <v>20</v>
          </cell>
          <cell r="H10407" t="str">
            <v>biomass</v>
          </cell>
        </row>
        <row r="10408">
          <cell r="C10408" t="str">
            <v>HY</v>
          </cell>
          <cell r="D10408">
            <v>3.5</v>
          </cell>
          <cell r="H10408" t="str">
            <v>hydro</v>
          </cell>
        </row>
        <row r="10409">
          <cell r="C10409" t="str">
            <v>HY</v>
          </cell>
          <cell r="D10409">
            <v>3.5</v>
          </cell>
          <cell r="H10409" t="str">
            <v>hydro</v>
          </cell>
        </row>
        <row r="10410">
          <cell r="C10410" t="str">
            <v>HY</v>
          </cell>
          <cell r="D10410">
            <v>3.5</v>
          </cell>
          <cell r="H10410" t="str">
            <v>hydro</v>
          </cell>
        </row>
        <row r="10411">
          <cell r="C10411" t="str">
            <v>CT</v>
          </cell>
          <cell r="D10411">
            <v>38.799999999999997</v>
          </cell>
          <cell r="H10411" t="str">
            <v>natural gas nonpeaker</v>
          </cell>
        </row>
        <row r="10412">
          <cell r="C10412" t="str">
            <v>CA</v>
          </cell>
          <cell r="D10412">
            <v>16</v>
          </cell>
          <cell r="H10412" t="str">
            <v>natural gas nonpeaker</v>
          </cell>
        </row>
        <row r="10413">
          <cell r="C10413" t="str">
            <v>IC</v>
          </cell>
          <cell r="D10413">
            <v>1.1000000000000001</v>
          </cell>
          <cell r="H10413" t="str">
            <v>petroleum</v>
          </cell>
        </row>
        <row r="10414">
          <cell r="C10414" t="str">
            <v>CT</v>
          </cell>
          <cell r="D10414">
            <v>24.4</v>
          </cell>
          <cell r="H10414" t="str">
            <v>natural gas nonpeaker</v>
          </cell>
        </row>
        <row r="10415">
          <cell r="C10415" t="str">
            <v>CA</v>
          </cell>
          <cell r="D10415">
            <v>7.3</v>
          </cell>
          <cell r="H10415" t="str">
            <v>natural gas nonpeaker</v>
          </cell>
        </row>
        <row r="10416">
          <cell r="C10416" t="str">
            <v>GT</v>
          </cell>
          <cell r="D10416">
            <v>3.2</v>
          </cell>
          <cell r="H10416" t="str">
            <v>natural gas peaker</v>
          </cell>
        </row>
        <row r="10417">
          <cell r="C10417" t="str">
            <v>GT</v>
          </cell>
          <cell r="D10417">
            <v>3.2</v>
          </cell>
          <cell r="H10417" t="str">
            <v>natural gas peaker</v>
          </cell>
        </row>
        <row r="10418">
          <cell r="C10418" t="str">
            <v>GT</v>
          </cell>
          <cell r="D10418">
            <v>20.8</v>
          </cell>
          <cell r="H10418" t="str">
            <v>natural gas peaker</v>
          </cell>
        </row>
        <row r="10419">
          <cell r="C10419" t="str">
            <v>GT</v>
          </cell>
          <cell r="D10419">
            <v>3</v>
          </cell>
          <cell r="H10419" t="str">
            <v>natural gas peaker</v>
          </cell>
        </row>
        <row r="10420">
          <cell r="C10420" t="str">
            <v>GT</v>
          </cell>
          <cell r="D10420">
            <v>3</v>
          </cell>
          <cell r="H10420" t="str">
            <v>natural gas peaker</v>
          </cell>
        </row>
        <row r="10421">
          <cell r="C10421" t="str">
            <v>GT</v>
          </cell>
          <cell r="D10421">
            <v>19</v>
          </cell>
          <cell r="H10421" t="str">
            <v>natural gas peaker</v>
          </cell>
        </row>
        <row r="10422">
          <cell r="C10422" t="str">
            <v>GT</v>
          </cell>
          <cell r="D10422">
            <v>19</v>
          </cell>
          <cell r="H10422" t="str">
            <v>natural gas peaker</v>
          </cell>
        </row>
        <row r="10423">
          <cell r="C10423" t="str">
            <v>GT</v>
          </cell>
          <cell r="D10423">
            <v>19</v>
          </cell>
          <cell r="H10423" t="str">
            <v>natural gas peaker</v>
          </cell>
        </row>
        <row r="10424">
          <cell r="C10424" t="str">
            <v>WT</v>
          </cell>
          <cell r="D10424">
            <v>3.5</v>
          </cell>
          <cell r="H10424" t="str">
            <v>onshore wind</v>
          </cell>
        </row>
        <row r="10425">
          <cell r="C10425" t="str">
            <v>WT</v>
          </cell>
          <cell r="D10425">
            <v>4.2</v>
          </cell>
          <cell r="H10425" t="str">
            <v>onshore wind</v>
          </cell>
        </row>
        <row r="10426">
          <cell r="C10426" t="str">
            <v>WT</v>
          </cell>
          <cell r="D10426">
            <v>23.1</v>
          </cell>
          <cell r="H10426" t="str">
            <v>onshore wind</v>
          </cell>
        </row>
        <row r="10427">
          <cell r="C10427" t="str">
            <v>WT</v>
          </cell>
          <cell r="D10427">
            <v>3.7</v>
          </cell>
          <cell r="H10427" t="str">
            <v>onshore wind</v>
          </cell>
        </row>
        <row r="10428">
          <cell r="C10428" t="str">
            <v>HY</v>
          </cell>
          <cell r="D10428">
            <v>1.9</v>
          </cell>
          <cell r="H10428" t="str">
            <v>hydro</v>
          </cell>
        </row>
        <row r="10429">
          <cell r="C10429" t="str">
            <v>HY</v>
          </cell>
          <cell r="D10429">
            <v>0.9</v>
          </cell>
          <cell r="H10429" t="str">
            <v>hydro</v>
          </cell>
        </row>
        <row r="10430">
          <cell r="C10430" t="str">
            <v>HY</v>
          </cell>
          <cell r="D10430">
            <v>11.7</v>
          </cell>
          <cell r="H10430" t="str">
            <v>hydro</v>
          </cell>
        </row>
        <row r="10431">
          <cell r="C10431" t="str">
            <v>HY</v>
          </cell>
          <cell r="D10431">
            <v>0.4</v>
          </cell>
          <cell r="H10431" t="str">
            <v>hydro</v>
          </cell>
        </row>
        <row r="10432">
          <cell r="C10432" t="str">
            <v>HY</v>
          </cell>
          <cell r="D10432">
            <v>0.3</v>
          </cell>
          <cell r="H10432" t="str">
            <v>hydro</v>
          </cell>
        </row>
        <row r="10433">
          <cell r="C10433" t="str">
            <v>HY</v>
          </cell>
          <cell r="D10433">
            <v>0.5</v>
          </cell>
          <cell r="H10433" t="str">
            <v>hydro</v>
          </cell>
        </row>
        <row r="10434">
          <cell r="C10434" t="str">
            <v>HY</v>
          </cell>
          <cell r="D10434">
            <v>2.1</v>
          </cell>
          <cell r="H10434" t="str">
            <v>hydro</v>
          </cell>
        </row>
        <row r="10435">
          <cell r="C10435" t="str">
            <v>HY</v>
          </cell>
          <cell r="D10435">
            <v>2.1</v>
          </cell>
          <cell r="H10435" t="str">
            <v>hydro</v>
          </cell>
        </row>
        <row r="10436">
          <cell r="C10436" t="str">
            <v>PV</v>
          </cell>
          <cell r="D10436">
            <v>21.8</v>
          </cell>
          <cell r="H10436" t="str">
            <v>solar PV</v>
          </cell>
        </row>
        <row r="10437">
          <cell r="C10437" t="str">
            <v>BT</v>
          </cell>
          <cell r="D10437">
            <v>10.1</v>
          </cell>
          <cell r="H10437" t="str">
            <v>geothermal</v>
          </cell>
        </row>
        <row r="10438">
          <cell r="C10438" t="str">
            <v>BT</v>
          </cell>
          <cell r="D10438">
            <v>10.1</v>
          </cell>
          <cell r="H10438" t="str">
            <v>geothermal</v>
          </cell>
        </row>
        <row r="10439">
          <cell r="C10439" t="str">
            <v>BT</v>
          </cell>
          <cell r="D10439">
            <v>10.1</v>
          </cell>
          <cell r="H10439" t="str">
            <v>geothermal</v>
          </cell>
        </row>
        <row r="10440">
          <cell r="C10440" t="str">
            <v>BT</v>
          </cell>
          <cell r="D10440">
            <v>10.1</v>
          </cell>
          <cell r="H10440" t="str">
            <v>geothermal</v>
          </cell>
        </row>
        <row r="10441">
          <cell r="C10441" t="str">
            <v>ST</v>
          </cell>
          <cell r="D10441">
            <v>8</v>
          </cell>
          <cell r="H10441" t="str">
            <v>geothermal</v>
          </cell>
        </row>
        <row r="10442">
          <cell r="C10442" t="str">
            <v>ST</v>
          </cell>
          <cell r="D10442">
            <v>8</v>
          </cell>
          <cell r="H10442" t="str">
            <v>geothermal</v>
          </cell>
        </row>
        <row r="10443">
          <cell r="C10443" t="str">
            <v>ST</v>
          </cell>
          <cell r="D10443">
            <v>0.8</v>
          </cell>
          <cell r="H10443" t="str">
            <v>geothermal</v>
          </cell>
        </row>
        <row r="10444">
          <cell r="C10444" t="str">
            <v>ST</v>
          </cell>
          <cell r="D10444">
            <v>0.8</v>
          </cell>
          <cell r="H10444" t="str">
            <v>geothermal</v>
          </cell>
        </row>
        <row r="10445">
          <cell r="C10445" t="str">
            <v>HY</v>
          </cell>
          <cell r="D10445">
            <v>3.4</v>
          </cell>
          <cell r="H10445" t="str">
            <v>hydro</v>
          </cell>
        </row>
        <row r="10446">
          <cell r="C10446" t="str">
            <v>ST</v>
          </cell>
          <cell r="D10446">
            <v>16.3</v>
          </cell>
          <cell r="H10446" t="str">
            <v>biomass</v>
          </cell>
        </row>
        <row r="10447">
          <cell r="C10447" t="str">
            <v>ST</v>
          </cell>
          <cell r="D10447">
            <v>16.3</v>
          </cell>
          <cell r="H10447" t="str">
            <v>biomass</v>
          </cell>
        </row>
        <row r="10448">
          <cell r="C10448" t="str">
            <v>ST</v>
          </cell>
          <cell r="D10448">
            <v>13.7</v>
          </cell>
          <cell r="H10448" t="str">
            <v>biomass</v>
          </cell>
        </row>
        <row r="10449">
          <cell r="C10449" t="str">
            <v>ST</v>
          </cell>
          <cell r="D10449">
            <v>83</v>
          </cell>
          <cell r="H10449" t="str">
            <v>hard coal</v>
          </cell>
        </row>
        <row r="10450">
          <cell r="C10450" t="str">
            <v>CT</v>
          </cell>
          <cell r="D10450">
            <v>35.9</v>
          </cell>
          <cell r="H10450" t="str">
            <v>natural gas nonpeaker</v>
          </cell>
        </row>
        <row r="10451">
          <cell r="C10451" t="str">
            <v>CT</v>
          </cell>
          <cell r="D10451">
            <v>37.5</v>
          </cell>
          <cell r="H10451" t="str">
            <v>natural gas nonpeaker</v>
          </cell>
        </row>
        <row r="10452">
          <cell r="C10452" t="str">
            <v>CA</v>
          </cell>
          <cell r="D10452">
            <v>20.6</v>
          </cell>
          <cell r="H10452" t="str">
            <v>natural gas nonpeaker</v>
          </cell>
        </row>
        <row r="10453">
          <cell r="C10453" t="str">
            <v>CA</v>
          </cell>
          <cell r="D10453">
            <v>20.6</v>
          </cell>
          <cell r="H10453" t="str">
            <v>natural gas nonpeaker</v>
          </cell>
        </row>
        <row r="10454">
          <cell r="C10454" t="str">
            <v>ST</v>
          </cell>
          <cell r="D10454">
            <v>20</v>
          </cell>
          <cell r="H10454" t="str">
            <v>natural gas peaker</v>
          </cell>
        </row>
        <row r="10455">
          <cell r="C10455" t="str">
            <v>ST</v>
          </cell>
          <cell r="D10455">
            <v>35</v>
          </cell>
          <cell r="H10455" t="str">
            <v>biomass</v>
          </cell>
        </row>
        <row r="10456">
          <cell r="C10456" t="str">
            <v>ST</v>
          </cell>
          <cell r="D10456">
            <v>23.5</v>
          </cell>
          <cell r="H10456" t="str">
            <v>biomass</v>
          </cell>
        </row>
        <row r="10457">
          <cell r="C10457" t="str">
            <v>ST</v>
          </cell>
          <cell r="D10457">
            <v>12.3</v>
          </cell>
          <cell r="H10457" t="str">
            <v>biomass</v>
          </cell>
        </row>
        <row r="10458">
          <cell r="C10458" t="str">
            <v>ST</v>
          </cell>
          <cell r="D10458">
            <v>12.5</v>
          </cell>
          <cell r="H10458" t="str">
            <v>biomass</v>
          </cell>
        </row>
        <row r="10459">
          <cell r="C10459" t="str">
            <v>ST</v>
          </cell>
          <cell r="D10459">
            <v>74</v>
          </cell>
          <cell r="H10459" t="str">
            <v>biomass</v>
          </cell>
        </row>
        <row r="10460">
          <cell r="C10460" t="str">
            <v>ST</v>
          </cell>
          <cell r="D10460">
            <v>4</v>
          </cell>
          <cell r="H10460" t="str">
            <v>biomass</v>
          </cell>
        </row>
        <row r="10461">
          <cell r="C10461" t="str">
            <v>ST</v>
          </cell>
          <cell r="D10461">
            <v>10</v>
          </cell>
          <cell r="H10461" t="str">
            <v>biomass</v>
          </cell>
        </row>
        <row r="10462">
          <cell r="C10462" t="str">
            <v>ST</v>
          </cell>
          <cell r="D10462">
            <v>21.8</v>
          </cell>
          <cell r="H10462" t="str">
            <v>biomass</v>
          </cell>
        </row>
        <row r="10463">
          <cell r="C10463" t="str">
            <v>ST</v>
          </cell>
          <cell r="D10463">
            <v>15.6</v>
          </cell>
          <cell r="H10463" t="str">
            <v>biomass</v>
          </cell>
        </row>
        <row r="10464">
          <cell r="C10464" t="str">
            <v>ST</v>
          </cell>
          <cell r="D10464">
            <v>27.5</v>
          </cell>
          <cell r="H10464" t="str">
            <v>biomass</v>
          </cell>
        </row>
        <row r="10465">
          <cell r="C10465" t="str">
            <v>ST</v>
          </cell>
          <cell r="D10465">
            <v>23.3</v>
          </cell>
          <cell r="H10465" t="str">
            <v>biomass</v>
          </cell>
        </row>
        <row r="10466">
          <cell r="C10466" t="str">
            <v>ST</v>
          </cell>
          <cell r="D10466">
            <v>40.700000000000003</v>
          </cell>
          <cell r="H10466" t="str">
            <v>biomass</v>
          </cell>
        </row>
        <row r="10467">
          <cell r="C10467" t="str">
            <v>CT</v>
          </cell>
          <cell r="D10467">
            <v>69.8</v>
          </cell>
          <cell r="H10467" t="str">
            <v>natural gas nonpeaker</v>
          </cell>
        </row>
        <row r="10468">
          <cell r="C10468" t="str">
            <v>CT</v>
          </cell>
          <cell r="D10468">
            <v>69.8</v>
          </cell>
          <cell r="H10468" t="str">
            <v>natural gas nonpeaker</v>
          </cell>
        </row>
        <row r="10469">
          <cell r="C10469" t="str">
            <v>CT</v>
          </cell>
          <cell r="D10469">
            <v>70.099999999999994</v>
          </cell>
          <cell r="H10469" t="str">
            <v>natural gas nonpeaker</v>
          </cell>
        </row>
        <row r="10470">
          <cell r="C10470" t="str">
            <v>CT</v>
          </cell>
          <cell r="D10470">
            <v>70</v>
          </cell>
          <cell r="H10470" t="str">
            <v>natural gas nonpeaker</v>
          </cell>
        </row>
        <row r="10471">
          <cell r="C10471" t="str">
            <v>CT</v>
          </cell>
          <cell r="D10471">
            <v>68.400000000000006</v>
          </cell>
          <cell r="H10471" t="str">
            <v>natural gas nonpeaker</v>
          </cell>
        </row>
        <row r="10472">
          <cell r="C10472" t="str">
            <v>CA</v>
          </cell>
          <cell r="D10472">
            <v>120.1</v>
          </cell>
          <cell r="H10472" t="str">
            <v>natural gas nonpeaker</v>
          </cell>
        </row>
        <row r="10473">
          <cell r="C10473" t="str">
            <v>CT</v>
          </cell>
          <cell r="D10473">
            <v>69</v>
          </cell>
          <cell r="H10473" t="str">
            <v>natural gas nonpeaker</v>
          </cell>
        </row>
        <row r="10474">
          <cell r="C10474" t="str">
            <v>WT</v>
          </cell>
          <cell r="D10474">
            <v>3</v>
          </cell>
          <cell r="H10474" t="str">
            <v>onshore wind</v>
          </cell>
        </row>
        <row r="10475">
          <cell r="C10475" t="str">
            <v>WT</v>
          </cell>
          <cell r="D10475">
            <v>48</v>
          </cell>
          <cell r="H10475" t="str">
            <v>onshore wind</v>
          </cell>
        </row>
        <row r="10476">
          <cell r="C10476" t="str">
            <v>WT</v>
          </cell>
          <cell r="D10476">
            <v>40.5</v>
          </cell>
          <cell r="H10476" t="str">
            <v>onshore wind</v>
          </cell>
        </row>
        <row r="10477">
          <cell r="C10477" t="str">
            <v>HY</v>
          </cell>
          <cell r="D10477">
            <v>11.4</v>
          </cell>
          <cell r="H10477" t="str">
            <v>hydro</v>
          </cell>
        </row>
        <row r="10478">
          <cell r="C10478" t="str">
            <v>HY</v>
          </cell>
          <cell r="D10478">
            <v>11.4</v>
          </cell>
          <cell r="H10478" t="str">
            <v>hydro</v>
          </cell>
        </row>
        <row r="10479">
          <cell r="C10479" t="str">
            <v>IC</v>
          </cell>
          <cell r="D10479">
            <v>1</v>
          </cell>
          <cell r="H10479" t="str">
            <v>biomass</v>
          </cell>
        </row>
        <row r="10480">
          <cell r="C10480" t="str">
            <v>IC</v>
          </cell>
          <cell r="D10480">
            <v>1</v>
          </cell>
          <cell r="H10480" t="str">
            <v>biomass</v>
          </cell>
        </row>
        <row r="10481">
          <cell r="C10481" t="str">
            <v>IC</v>
          </cell>
          <cell r="D10481">
            <v>1</v>
          </cell>
          <cell r="H10481" t="str">
            <v>biomass</v>
          </cell>
        </row>
        <row r="10482">
          <cell r="C10482" t="str">
            <v>HY</v>
          </cell>
          <cell r="D10482">
            <v>1.2</v>
          </cell>
          <cell r="H10482" t="str">
            <v>hydro</v>
          </cell>
        </row>
        <row r="10483">
          <cell r="C10483" t="str">
            <v>HY</v>
          </cell>
          <cell r="D10483">
            <v>1.2</v>
          </cell>
          <cell r="H10483" t="str">
            <v>hydro</v>
          </cell>
        </row>
        <row r="10484">
          <cell r="C10484" t="str">
            <v>ST</v>
          </cell>
          <cell r="D10484">
            <v>60</v>
          </cell>
          <cell r="H10484" t="str">
            <v>hard coal</v>
          </cell>
        </row>
        <row r="10485">
          <cell r="C10485" t="str">
            <v>ST</v>
          </cell>
          <cell r="D10485">
            <v>28</v>
          </cell>
          <cell r="H10485" t="str">
            <v>municipal solid waste</v>
          </cell>
        </row>
        <row r="10486">
          <cell r="C10486" t="str">
            <v>GT</v>
          </cell>
          <cell r="D10486">
            <v>15</v>
          </cell>
          <cell r="H10486" t="str">
            <v>natural gas peaker</v>
          </cell>
        </row>
        <row r="10487">
          <cell r="C10487" t="str">
            <v>GT</v>
          </cell>
          <cell r="D10487">
            <v>21</v>
          </cell>
          <cell r="H10487" t="str">
            <v>natural gas peaker</v>
          </cell>
        </row>
        <row r="10488">
          <cell r="C10488" t="str">
            <v>ST</v>
          </cell>
          <cell r="D10488">
            <v>17</v>
          </cell>
          <cell r="H10488" t="str">
            <v>natural gas peaker</v>
          </cell>
        </row>
        <row r="10489">
          <cell r="C10489" t="str">
            <v>ST</v>
          </cell>
          <cell r="D10489">
            <v>17</v>
          </cell>
          <cell r="H10489" t="str">
            <v>natural gas peaker</v>
          </cell>
        </row>
        <row r="10490">
          <cell r="C10490" t="str">
            <v>ST</v>
          </cell>
          <cell r="D10490">
            <v>6</v>
          </cell>
          <cell r="H10490" t="str">
            <v>natural gas peaker</v>
          </cell>
        </row>
        <row r="10491">
          <cell r="C10491" t="str">
            <v>CT</v>
          </cell>
          <cell r="D10491">
            <v>22</v>
          </cell>
          <cell r="H10491" t="str">
            <v>natural gas nonpeaker</v>
          </cell>
        </row>
        <row r="10492">
          <cell r="C10492" t="str">
            <v>CA</v>
          </cell>
          <cell r="D10492">
            <v>2</v>
          </cell>
          <cell r="H10492" t="str">
            <v>natural gas nonpeaker</v>
          </cell>
        </row>
        <row r="10493">
          <cell r="C10493" t="str">
            <v>CT</v>
          </cell>
          <cell r="D10493">
            <v>22.5</v>
          </cell>
          <cell r="H10493" t="str">
            <v>natural gas nonpeaker</v>
          </cell>
        </row>
        <row r="10494">
          <cell r="C10494" t="str">
            <v>CA</v>
          </cell>
          <cell r="D10494">
            <v>6.5</v>
          </cell>
          <cell r="H10494" t="str">
            <v>natural gas nonpeaker</v>
          </cell>
        </row>
        <row r="10495">
          <cell r="C10495" t="str">
            <v>CT</v>
          </cell>
          <cell r="D10495">
            <v>21.5</v>
          </cell>
          <cell r="H10495" t="str">
            <v>natural gas nonpeaker</v>
          </cell>
        </row>
        <row r="10496">
          <cell r="C10496" t="str">
            <v>CA</v>
          </cell>
          <cell r="D10496">
            <v>6.8</v>
          </cell>
          <cell r="H10496" t="str">
            <v>natural gas nonpeaker</v>
          </cell>
        </row>
        <row r="10497">
          <cell r="C10497" t="str">
            <v>CT</v>
          </cell>
          <cell r="D10497">
            <v>70</v>
          </cell>
          <cell r="H10497" t="str">
            <v>natural gas nonpeaker</v>
          </cell>
        </row>
        <row r="10498">
          <cell r="C10498" t="str">
            <v>CA</v>
          </cell>
          <cell r="D10498" t="str">
            <v xml:space="preserve"> </v>
          </cell>
          <cell r="H10498" t="str">
            <v>natural gas nonpeaker</v>
          </cell>
        </row>
        <row r="10499">
          <cell r="C10499" t="str">
            <v>ST</v>
          </cell>
          <cell r="D10499">
            <v>26</v>
          </cell>
          <cell r="H10499" t="str">
            <v>municipal solid waste</v>
          </cell>
        </row>
        <row r="10500">
          <cell r="C10500" t="str">
            <v>ST</v>
          </cell>
          <cell r="D10500">
            <v>16</v>
          </cell>
          <cell r="H10500" t="str">
            <v>municipal solid waste</v>
          </cell>
        </row>
        <row r="10501">
          <cell r="C10501" t="str">
            <v>ST</v>
          </cell>
          <cell r="D10501">
            <v>32.4</v>
          </cell>
          <cell r="H10501" t="str">
            <v>municipal solid waste</v>
          </cell>
        </row>
        <row r="10502">
          <cell r="C10502" t="str">
            <v>ST</v>
          </cell>
          <cell r="D10502">
            <v>15.7</v>
          </cell>
          <cell r="H10502" t="str">
            <v>municipal solid waste</v>
          </cell>
        </row>
        <row r="10503">
          <cell r="C10503" t="str">
            <v>GT</v>
          </cell>
          <cell r="D10503">
            <v>30</v>
          </cell>
          <cell r="H10503" t="str">
            <v>natural gas peaker</v>
          </cell>
        </row>
        <row r="10504">
          <cell r="C10504" t="str">
            <v>GT</v>
          </cell>
          <cell r="D10504">
            <v>33</v>
          </cell>
          <cell r="H10504" t="str">
            <v>natural gas peaker</v>
          </cell>
        </row>
        <row r="10505">
          <cell r="C10505" t="str">
            <v>ST</v>
          </cell>
          <cell r="D10505">
            <v>12</v>
          </cell>
          <cell r="H10505" t="str">
            <v>municipal solid waste</v>
          </cell>
        </row>
        <row r="10506">
          <cell r="C10506" t="str">
            <v>ST</v>
          </cell>
          <cell r="D10506">
            <v>18</v>
          </cell>
          <cell r="H10506" t="str">
            <v>municipal solid waste</v>
          </cell>
        </row>
        <row r="10507">
          <cell r="C10507" t="str">
            <v>ST</v>
          </cell>
          <cell r="D10507">
            <v>30</v>
          </cell>
          <cell r="H10507" t="str">
            <v>municipal solid waste</v>
          </cell>
        </row>
        <row r="10508">
          <cell r="C10508" t="str">
            <v>ST</v>
          </cell>
          <cell r="D10508">
            <v>40</v>
          </cell>
          <cell r="H10508" t="str">
            <v>municipal solid waste</v>
          </cell>
        </row>
        <row r="10509">
          <cell r="C10509" t="str">
            <v>ST</v>
          </cell>
          <cell r="D10509">
            <v>42.5</v>
          </cell>
          <cell r="H10509" t="str">
            <v>hard coal</v>
          </cell>
        </row>
        <row r="10510">
          <cell r="C10510" t="str">
            <v>ST</v>
          </cell>
          <cell r="D10510">
            <v>32</v>
          </cell>
          <cell r="H10510" t="str">
            <v>municipal solid waste</v>
          </cell>
        </row>
        <row r="10511">
          <cell r="C10511" t="str">
            <v>ST</v>
          </cell>
          <cell r="D10511">
            <v>18.8</v>
          </cell>
          <cell r="H10511" t="str">
            <v>biomass</v>
          </cell>
        </row>
        <row r="10512">
          <cell r="C10512" t="str">
            <v>ST</v>
          </cell>
          <cell r="D10512">
            <v>18.8</v>
          </cell>
          <cell r="H10512" t="str">
            <v>biomass</v>
          </cell>
        </row>
        <row r="10513">
          <cell r="C10513" t="str">
            <v>ST</v>
          </cell>
          <cell r="D10513">
            <v>18.8</v>
          </cell>
          <cell r="H10513" t="str">
            <v>biomass</v>
          </cell>
        </row>
        <row r="10514">
          <cell r="C10514" t="str">
            <v>ST</v>
          </cell>
          <cell r="D10514">
            <v>51</v>
          </cell>
          <cell r="H10514" t="str">
            <v>municipal solid waste</v>
          </cell>
        </row>
        <row r="10515">
          <cell r="C10515" t="str">
            <v>ST</v>
          </cell>
          <cell r="D10515">
            <v>58</v>
          </cell>
          <cell r="H10515" t="str">
            <v>municipal solid waste</v>
          </cell>
        </row>
        <row r="10516">
          <cell r="C10516" t="str">
            <v>ST</v>
          </cell>
          <cell r="D10516">
            <v>41.1</v>
          </cell>
          <cell r="H10516" t="str">
            <v>municipal solid waste</v>
          </cell>
        </row>
        <row r="10517">
          <cell r="C10517" t="str">
            <v>ST</v>
          </cell>
          <cell r="D10517">
            <v>17</v>
          </cell>
          <cell r="H10517" t="str">
            <v>municipal solid waste</v>
          </cell>
        </row>
        <row r="10518">
          <cell r="C10518" t="str">
            <v>ST</v>
          </cell>
          <cell r="D10518">
            <v>12</v>
          </cell>
          <cell r="H10518" t="str">
            <v>municipal solid waste</v>
          </cell>
        </row>
        <row r="10519">
          <cell r="C10519" t="str">
            <v>ST</v>
          </cell>
          <cell r="D10519">
            <v>22.7</v>
          </cell>
          <cell r="H10519" t="str">
            <v>municipal solid waste</v>
          </cell>
        </row>
        <row r="10520">
          <cell r="C10520" t="str">
            <v>ST</v>
          </cell>
          <cell r="D10520">
            <v>54</v>
          </cell>
          <cell r="H10520" t="str">
            <v>municipal solid waste</v>
          </cell>
        </row>
        <row r="10521">
          <cell r="C10521" t="str">
            <v>ST</v>
          </cell>
          <cell r="D10521">
            <v>112</v>
          </cell>
          <cell r="H10521" t="str">
            <v>hard coal</v>
          </cell>
        </row>
        <row r="10522">
          <cell r="C10522" t="str">
            <v>HY</v>
          </cell>
          <cell r="D10522">
            <v>0.2</v>
          </cell>
          <cell r="H10522" t="str">
            <v>hydro</v>
          </cell>
        </row>
        <row r="10523">
          <cell r="C10523" t="str">
            <v>HY</v>
          </cell>
          <cell r="D10523">
            <v>0.2</v>
          </cell>
          <cell r="H10523" t="str">
            <v>hydro</v>
          </cell>
        </row>
        <row r="10524">
          <cell r="C10524" t="str">
            <v>HY</v>
          </cell>
          <cell r="D10524">
            <v>0.2</v>
          </cell>
          <cell r="H10524" t="str">
            <v>hydro</v>
          </cell>
        </row>
        <row r="10525">
          <cell r="C10525" t="str">
            <v>HY</v>
          </cell>
          <cell r="D10525">
            <v>0.2</v>
          </cell>
          <cell r="H10525" t="str">
            <v>hydro</v>
          </cell>
        </row>
        <row r="10526">
          <cell r="C10526" t="str">
            <v>HY</v>
          </cell>
          <cell r="D10526">
            <v>0.2</v>
          </cell>
          <cell r="H10526" t="str">
            <v>hydro</v>
          </cell>
        </row>
        <row r="10527">
          <cell r="C10527" t="str">
            <v>HY</v>
          </cell>
          <cell r="D10527">
            <v>0.2</v>
          </cell>
          <cell r="H10527" t="str">
            <v>hydro</v>
          </cell>
        </row>
        <row r="10528">
          <cell r="C10528" t="str">
            <v>HY</v>
          </cell>
          <cell r="D10528">
            <v>2.2999999999999998</v>
          </cell>
          <cell r="H10528" t="str">
            <v>hydro</v>
          </cell>
        </row>
        <row r="10529">
          <cell r="C10529" t="str">
            <v>HY</v>
          </cell>
          <cell r="D10529">
            <v>1.5</v>
          </cell>
          <cell r="H10529" t="str">
            <v>hydro</v>
          </cell>
        </row>
        <row r="10530">
          <cell r="C10530" t="str">
            <v>HY</v>
          </cell>
          <cell r="D10530">
            <v>1.5</v>
          </cell>
          <cell r="H10530" t="str">
            <v>hydro</v>
          </cell>
        </row>
        <row r="10531">
          <cell r="C10531" t="str">
            <v>HY</v>
          </cell>
          <cell r="D10531">
            <v>3</v>
          </cell>
          <cell r="H10531" t="str">
            <v>hydro</v>
          </cell>
        </row>
        <row r="10532">
          <cell r="C10532" t="str">
            <v>HY</v>
          </cell>
          <cell r="D10532">
            <v>3</v>
          </cell>
          <cell r="H10532" t="str">
            <v>hydro</v>
          </cell>
        </row>
        <row r="10533">
          <cell r="C10533" t="str">
            <v>HY</v>
          </cell>
          <cell r="D10533">
            <v>4</v>
          </cell>
          <cell r="H10533" t="str">
            <v>hydro</v>
          </cell>
        </row>
        <row r="10534">
          <cell r="C10534" t="str">
            <v>HY</v>
          </cell>
          <cell r="D10534">
            <v>4</v>
          </cell>
          <cell r="H10534" t="str">
            <v>hydro</v>
          </cell>
        </row>
        <row r="10535">
          <cell r="C10535" t="str">
            <v>HY</v>
          </cell>
          <cell r="D10535">
            <v>3.3</v>
          </cell>
          <cell r="H10535" t="str">
            <v>hydro</v>
          </cell>
        </row>
        <row r="10536">
          <cell r="C10536" t="str">
            <v>HY</v>
          </cell>
          <cell r="D10536">
            <v>3.3</v>
          </cell>
          <cell r="H10536" t="str">
            <v>hydro</v>
          </cell>
        </row>
        <row r="10537">
          <cell r="C10537" t="str">
            <v>HY</v>
          </cell>
          <cell r="D10537">
            <v>3.3</v>
          </cell>
          <cell r="H10537" t="str">
            <v>hydro</v>
          </cell>
        </row>
        <row r="10538">
          <cell r="C10538" t="str">
            <v>HY</v>
          </cell>
          <cell r="D10538">
            <v>2.8</v>
          </cell>
          <cell r="H10538" t="str">
            <v>hydro</v>
          </cell>
        </row>
        <row r="10539">
          <cell r="C10539" t="str">
            <v>HY</v>
          </cell>
          <cell r="D10539">
            <v>2.8</v>
          </cell>
          <cell r="H10539" t="str">
            <v>hydro</v>
          </cell>
        </row>
        <row r="10540">
          <cell r="C10540" t="str">
            <v>HY</v>
          </cell>
          <cell r="D10540">
            <v>2.8</v>
          </cell>
          <cell r="H10540" t="str">
            <v>hydro</v>
          </cell>
        </row>
        <row r="10541">
          <cell r="C10541" t="str">
            <v>HY</v>
          </cell>
          <cell r="D10541">
            <v>6.8</v>
          </cell>
          <cell r="H10541" t="str">
            <v>hydro</v>
          </cell>
        </row>
        <row r="10542">
          <cell r="C10542" t="str">
            <v>HY</v>
          </cell>
          <cell r="D10542">
            <v>6.8</v>
          </cell>
          <cell r="H10542" t="str">
            <v>hydro</v>
          </cell>
        </row>
        <row r="10543">
          <cell r="C10543" t="str">
            <v>HY</v>
          </cell>
          <cell r="D10543">
            <v>8.9</v>
          </cell>
          <cell r="H10543" t="str">
            <v>hydro</v>
          </cell>
        </row>
        <row r="10544">
          <cell r="C10544" t="str">
            <v>HY</v>
          </cell>
          <cell r="D10544">
            <v>8.9</v>
          </cell>
          <cell r="H10544" t="str">
            <v>hydro</v>
          </cell>
        </row>
        <row r="10545">
          <cell r="C10545" t="str">
            <v>ST</v>
          </cell>
          <cell r="D10545">
            <v>10.5</v>
          </cell>
          <cell r="H10545" t="str">
            <v>hard coal</v>
          </cell>
        </row>
        <row r="10546">
          <cell r="C10546" t="str">
            <v>ST</v>
          </cell>
          <cell r="D10546">
            <v>32.5</v>
          </cell>
          <cell r="H10546" t="str">
            <v>biomass</v>
          </cell>
        </row>
        <row r="10547">
          <cell r="C10547" t="str">
            <v>ST</v>
          </cell>
          <cell r="D10547">
            <v>32.5</v>
          </cell>
          <cell r="H10547" t="str">
            <v>hard coal</v>
          </cell>
        </row>
        <row r="10548">
          <cell r="C10548" t="str">
            <v>ST</v>
          </cell>
          <cell r="D10548">
            <v>81</v>
          </cell>
          <cell r="H10548" t="str">
            <v>biomass</v>
          </cell>
        </row>
        <row r="10549">
          <cell r="C10549" t="str">
            <v>ST</v>
          </cell>
          <cell r="D10549">
            <v>7.4</v>
          </cell>
          <cell r="H10549" t="str">
            <v>natural gas peaker</v>
          </cell>
        </row>
        <row r="10550">
          <cell r="C10550" t="str">
            <v>GT</v>
          </cell>
          <cell r="D10550">
            <v>6</v>
          </cell>
          <cell r="H10550" t="str">
            <v>natural gas peaker</v>
          </cell>
        </row>
        <row r="10551">
          <cell r="C10551" t="str">
            <v>ST</v>
          </cell>
          <cell r="D10551">
            <v>0.7</v>
          </cell>
          <cell r="H10551" t="str">
            <v>other</v>
          </cell>
        </row>
        <row r="10552">
          <cell r="C10552" t="str">
            <v>GT</v>
          </cell>
          <cell r="D10552">
            <v>6.2</v>
          </cell>
          <cell r="H10552" t="str">
            <v>natural gas peaker</v>
          </cell>
        </row>
        <row r="10553">
          <cell r="C10553" t="str">
            <v>ST</v>
          </cell>
          <cell r="D10553">
            <v>1.7</v>
          </cell>
          <cell r="H10553" t="str">
            <v>municipal solid waste</v>
          </cell>
        </row>
        <row r="10554">
          <cell r="C10554" t="str">
            <v>ST</v>
          </cell>
          <cell r="D10554">
            <v>1.7</v>
          </cell>
          <cell r="H10554" t="str">
            <v>municipal solid waste</v>
          </cell>
        </row>
        <row r="10555">
          <cell r="C10555" t="str">
            <v>HY</v>
          </cell>
          <cell r="D10555">
            <v>2</v>
          </cell>
          <cell r="H10555" t="str">
            <v>hydro</v>
          </cell>
        </row>
        <row r="10556">
          <cell r="C10556" t="str">
            <v>HY</v>
          </cell>
          <cell r="D10556">
            <v>0.5</v>
          </cell>
          <cell r="H10556" t="str">
            <v>hydro</v>
          </cell>
        </row>
        <row r="10557">
          <cell r="C10557" t="str">
            <v>HY</v>
          </cell>
          <cell r="D10557">
            <v>0.8</v>
          </cell>
          <cell r="H10557" t="str">
            <v>hydro</v>
          </cell>
        </row>
        <row r="10558">
          <cell r="C10558" t="str">
            <v>ST</v>
          </cell>
          <cell r="D10558">
            <v>1</v>
          </cell>
          <cell r="H10558" t="str">
            <v>other</v>
          </cell>
        </row>
        <row r="10559">
          <cell r="C10559" t="str">
            <v>ST</v>
          </cell>
          <cell r="D10559">
            <v>7.5</v>
          </cell>
          <cell r="H10559" t="str">
            <v>biomass</v>
          </cell>
        </row>
        <row r="10560">
          <cell r="C10560" t="str">
            <v>ST</v>
          </cell>
          <cell r="D10560">
            <v>52</v>
          </cell>
          <cell r="H10560" t="str">
            <v>petroleum</v>
          </cell>
        </row>
        <row r="10561">
          <cell r="C10561" t="str">
            <v>IC</v>
          </cell>
          <cell r="D10561">
            <v>1.4</v>
          </cell>
          <cell r="H10561" t="str">
            <v>biomass</v>
          </cell>
        </row>
        <row r="10562">
          <cell r="C10562" t="str">
            <v>IC</v>
          </cell>
          <cell r="D10562">
            <v>1.4</v>
          </cell>
          <cell r="H10562" t="str">
            <v>biomass</v>
          </cell>
        </row>
        <row r="10563">
          <cell r="C10563" t="str">
            <v>ST</v>
          </cell>
          <cell r="D10563">
            <v>4</v>
          </cell>
          <cell r="H10563" t="str">
            <v>natural gas peaker</v>
          </cell>
        </row>
        <row r="10564">
          <cell r="C10564" t="str">
            <v>ST</v>
          </cell>
          <cell r="D10564">
            <v>6.3</v>
          </cell>
          <cell r="H10564" t="str">
            <v>hard coal</v>
          </cell>
        </row>
        <row r="10565">
          <cell r="C10565" t="str">
            <v>HY</v>
          </cell>
          <cell r="D10565">
            <v>0.5</v>
          </cell>
          <cell r="H10565" t="str">
            <v>hydro</v>
          </cell>
        </row>
        <row r="10566">
          <cell r="C10566" t="str">
            <v>HY</v>
          </cell>
          <cell r="D10566">
            <v>0.5</v>
          </cell>
          <cell r="H10566" t="str">
            <v>hydro</v>
          </cell>
        </row>
        <row r="10567">
          <cell r="C10567" t="str">
            <v>HY</v>
          </cell>
          <cell r="D10567">
            <v>1</v>
          </cell>
          <cell r="H10567" t="str">
            <v>hydro</v>
          </cell>
        </row>
        <row r="10568">
          <cell r="C10568" t="str">
            <v>IC</v>
          </cell>
          <cell r="D10568">
            <v>0.8</v>
          </cell>
          <cell r="H10568" t="str">
            <v>petroleum</v>
          </cell>
        </row>
        <row r="10569">
          <cell r="C10569" t="str">
            <v>IC</v>
          </cell>
          <cell r="D10569">
            <v>0.8</v>
          </cell>
          <cell r="H10569" t="str">
            <v>petroleum</v>
          </cell>
        </row>
        <row r="10570">
          <cell r="C10570" t="str">
            <v>IC</v>
          </cell>
          <cell r="D10570">
            <v>1.8</v>
          </cell>
          <cell r="H10570" t="str">
            <v>petroleum</v>
          </cell>
        </row>
        <row r="10571">
          <cell r="C10571" t="str">
            <v>IC</v>
          </cell>
          <cell r="D10571">
            <v>2</v>
          </cell>
          <cell r="H10571" t="str">
            <v>natural gas peaker</v>
          </cell>
        </row>
        <row r="10572">
          <cell r="C10572" t="str">
            <v>IC</v>
          </cell>
          <cell r="D10572">
            <v>2</v>
          </cell>
          <cell r="H10572" t="str">
            <v>natural gas peaker</v>
          </cell>
        </row>
        <row r="10573">
          <cell r="C10573" t="str">
            <v>IC</v>
          </cell>
          <cell r="D10573">
            <v>2.5</v>
          </cell>
          <cell r="H10573" t="str">
            <v>petroleum</v>
          </cell>
        </row>
        <row r="10574">
          <cell r="C10574" t="str">
            <v>IC</v>
          </cell>
          <cell r="D10574">
            <v>2.5</v>
          </cell>
          <cell r="H10574" t="str">
            <v>natural gas peaker</v>
          </cell>
        </row>
        <row r="10575">
          <cell r="C10575" t="str">
            <v>IC</v>
          </cell>
          <cell r="D10575">
            <v>0.3</v>
          </cell>
          <cell r="H10575" t="str">
            <v>petroleum</v>
          </cell>
        </row>
        <row r="10576">
          <cell r="C10576" t="str">
            <v>IC</v>
          </cell>
          <cell r="D10576">
            <v>0.6</v>
          </cell>
          <cell r="H10576" t="str">
            <v>biomass</v>
          </cell>
        </row>
        <row r="10577">
          <cell r="C10577" t="str">
            <v>IC</v>
          </cell>
          <cell r="D10577">
            <v>0.9</v>
          </cell>
          <cell r="H10577" t="str">
            <v>biomass</v>
          </cell>
        </row>
        <row r="10578">
          <cell r="C10578" t="str">
            <v>IC</v>
          </cell>
          <cell r="D10578">
            <v>1</v>
          </cell>
          <cell r="H10578" t="str">
            <v>biomass</v>
          </cell>
        </row>
        <row r="10579">
          <cell r="C10579" t="str">
            <v>IC</v>
          </cell>
          <cell r="D10579">
            <v>1.4</v>
          </cell>
          <cell r="H10579" t="str">
            <v>biomass</v>
          </cell>
        </row>
        <row r="10580">
          <cell r="C10580" t="str">
            <v>IC</v>
          </cell>
          <cell r="D10580">
            <v>1.9</v>
          </cell>
          <cell r="H10580" t="str">
            <v>petroleum</v>
          </cell>
        </row>
        <row r="10581">
          <cell r="C10581" t="str">
            <v>IC</v>
          </cell>
          <cell r="D10581">
            <v>1.9</v>
          </cell>
          <cell r="H10581" t="str">
            <v>petroleum</v>
          </cell>
        </row>
        <row r="10582">
          <cell r="C10582" t="str">
            <v>HY</v>
          </cell>
          <cell r="D10582">
            <v>0.8</v>
          </cell>
          <cell r="H10582" t="str">
            <v>hydro</v>
          </cell>
        </row>
        <row r="10583">
          <cell r="C10583" t="str">
            <v>HY</v>
          </cell>
          <cell r="D10583">
            <v>0.8</v>
          </cell>
          <cell r="H10583" t="str">
            <v>hydro</v>
          </cell>
        </row>
        <row r="10584">
          <cell r="C10584" t="str">
            <v>IC</v>
          </cell>
          <cell r="D10584">
            <v>0.5</v>
          </cell>
          <cell r="H10584" t="str">
            <v>natural gas peaker</v>
          </cell>
        </row>
        <row r="10585">
          <cell r="C10585" t="str">
            <v>IC</v>
          </cell>
          <cell r="D10585">
            <v>0.5</v>
          </cell>
          <cell r="H10585" t="str">
            <v>natural gas peaker</v>
          </cell>
        </row>
        <row r="10586">
          <cell r="C10586" t="str">
            <v>IC</v>
          </cell>
          <cell r="D10586">
            <v>0.5</v>
          </cell>
          <cell r="H10586" t="str">
            <v>natural gas peaker</v>
          </cell>
        </row>
        <row r="10587">
          <cell r="C10587" t="str">
            <v>CT</v>
          </cell>
          <cell r="D10587">
            <v>70</v>
          </cell>
          <cell r="H10587" t="str">
            <v>natural gas nonpeaker</v>
          </cell>
        </row>
        <row r="10588">
          <cell r="C10588" t="str">
            <v>CT</v>
          </cell>
          <cell r="D10588">
            <v>70</v>
          </cell>
          <cell r="H10588" t="str">
            <v>natural gas nonpeaker</v>
          </cell>
        </row>
        <row r="10589">
          <cell r="C10589" t="str">
            <v>CA</v>
          </cell>
          <cell r="D10589">
            <v>78</v>
          </cell>
          <cell r="H10589" t="str">
            <v>natural gas nonpeaker</v>
          </cell>
        </row>
        <row r="10590">
          <cell r="C10590" t="str">
            <v>GT</v>
          </cell>
          <cell r="D10590">
            <v>70</v>
          </cell>
          <cell r="H10590" t="str">
            <v>natural gas peaker</v>
          </cell>
        </row>
        <row r="10591">
          <cell r="C10591" t="str">
            <v>GT</v>
          </cell>
          <cell r="D10591">
            <v>85</v>
          </cell>
          <cell r="H10591" t="str">
            <v>natural gas peaker</v>
          </cell>
        </row>
        <row r="10592">
          <cell r="C10592" t="str">
            <v>ST</v>
          </cell>
          <cell r="D10592">
            <v>51</v>
          </cell>
          <cell r="H10592" t="str">
            <v>hard coal</v>
          </cell>
        </row>
        <row r="10593">
          <cell r="C10593" t="str">
            <v>IC</v>
          </cell>
          <cell r="D10593">
            <v>0.8</v>
          </cell>
          <cell r="H10593" t="str">
            <v>natural gas peaker</v>
          </cell>
        </row>
        <row r="10594">
          <cell r="C10594" t="str">
            <v>IC</v>
          </cell>
          <cell r="D10594">
            <v>0.8</v>
          </cell>
          <cell r="H10594" t="str">
            <v>natural gas peaker</v>
          </cell>
        </row>
        <row r="10595">
          <cell r="C10595" t="str">
            <v>ST</v>
          </cell>
          <cell r="D10595">
            <v>1.5</v>
          </cell>
          <cell r="H10595" t="str">
            <v>natural gas peaker</v>
          </cell>
        </row>
        <row r="10596">
          <cell r="C10596" t="str">
            <v>ST</v>
          </cell>
          <cell r="D10596">
            <v>1.5</v>
          </cell>
          <cell r="H10596" t="str">
            <v>natural gas peaker</v>
          </cell>
        </row>
        <row r="10597">
          <cell r="C10597" t="str">
            <v>ST</v>
          </cell>
          <cell r="D10597">
            <v>3.3</v>
          </cell>
          <cell r="H10597" t="str">
            <v>natural gas peaker</v>
          </cell>
        </row>
        <row r="10598">
          <cell r="C10598" t="str">
            <v>ST</v>
          </cell>
          <cell r="D10598">
            <v>17</v>
          </cell>
          <cell r="H10598" t="str">
            <v>biomass</v>
          </cell>
        </row>
        <row r="10599">
          <cell r="C10599" t="str">
            <v>ST</v>
          </cell>
          <cell r="D10599">
            <v>19</v>
          </cell>
          <cell r="H10599" t="str">
            <v>biomass</v>
          </cell>
        </row>
        <row r="10600">
          <cell r="C10600" t="str">
            <v>ST</v>
          </cell>
          <cell r="D10600">
            <v>27</v>
          </cell>
          <cell r="H10600" t="str">
            <v>biomass</v>
          </cell>
        </row>
        <row r="10601">
          <cell r="C10601" t="str">
            <v>ST</v>
          </cell>
          <cell r="D10601">
            <v>37.5</v>
          </cell>
          <cell r="H10601" t="str">
            <v>municipal solid waste</v>
          </cell>
        </row>
        <row r="10602">
          <cell r="C10602" t="str">
            <v>HY</v>
          </cell>
          <cell r="D10602">
            <v>4</v>
          </cell>
          <cell r="H10602" t="str">
            <v>hydro</v>
          </cell>
        </row>
        <row r="10603">
          <cell r="C10603" t="str">
            <v>GT</v>
          </cell>
          <cell r="D10603">
            <v>4.4000000000000004</v>
          </cell>
          <cell r="H10603" t="str">
            <v>natural gas peaker</v>
          </cell>
        </row>
        <row r="10604">
          <cell r="C10604" t="str">
            <v>ST</v>
          </cell>
          <cell r="D10604">
            <v>1.1000000000000001</v>
          </cell>
          <cell r="H10604" t="str">
            <v>geothermal</v>
          </cell>
        </row>
        <row r="10605">
          <cell r="C10605" t="str">
            <v>ST</v>
          </cell>
          <cell r="D10605">
            <v>1.1000000000000001</v>
          </cell>
          <cell r="H10605" t="str">
            <v>geothermal</v>
          </cell>
        </row>
        <row r="10606">
          <cell r="C10606" t="str">
            <v>OT</v>
          </cell>
          <cell r="D10606">
            <v>6</v>
          </cell>
          <cell r="H10606" t="str">
            <v>petroleum</v>
          </cell>
        </row>
        <row r="10607">
          <cell r="C10607" t="str">
            <v>ST</v>
          </cell>
          <cell r="D10607">
            <v>0.3</v>
          </cell>
          <cell r="H10607" t="str">
            <v>natural gas peaker</v>
          </cell>
        </row>
        <row r="10608">
          <cell r="C10608" t="str">
            <v>IC</v>
          </cell>
          <cell r="D10608">
            <v>2</v>
          </cell>
          <cell r="H10608" t="str">
            <v>petroleum</v>
          </cell>
        </row>
        <row r="10609">
          <cell r="C10609" t="str">
            <v>ST</v>
          </cell>
          <cell r="D10609">
            <v>6</v>
          </cell>
          <cell r="H10609" t="str">
            <v>natural gas peaker</v>
          </cell>
        </row>
        <row r="10610">
          <cell r="C10610" t="str">
            <v>ST</v>
          </cell>
          <cell r="D10610">
            <v>12.2</v>
          </cell>
          <cell r="H10610" t="str">
            <v>natural gas peaker</v>
          </cell>
        </row>
        <row r="10611">
          <cell r="C10611" t="str">
            <v>ST</v>
          </cell>
          <cell r="D10611">
            <v>19.2</v>
          </cell>
          <cell r="H10611" t="str">
            <v>natural gas peaker</v>
          </cell>
        </row>
        <row r="10612">
          <cell r="C10612" t="str">
            <v>ST</v>
          </cell>
          <cell r="D10612">
            <v>13.3</v>
          </cell>
          <cell r="H10612" t="str">
            <v>natural gas peaker</v>
          </cell>
        </row>
        <row r="10613">
          <cell r="C10613" t="str">
            <v>IC</v>
          </cell>
          <cell r="D10613">
            <v>0.5</v>
          </cell>
          <cell r="H10613" t="str">
            <v>petroleum</v>
          </cell>
        </row>
        <row r="10614">
          <cell r="C10614" t="str">
            <v>IC</v>
          </cell>
          <cell r="D10614">
            <v>1</v>
          </cell>
          <cell r="H10614" t="str">
            <v>petroleum</v>
          </cell>
        </row>
        <row r="10615">
          <cell r="C10615" t="str">
            <v>GT</v>
          </cell>
          <cell r="D10615">
            <v>11.4</v>
          </cell>
          <cell r="H10615" t="str">
            <v>natural gas peaker</v>
          </cell>
        </row>
        <row r="10616">
          <cell r="C10616" t="str">
            <v>GT</v>
          </cell>
          <cell r="D10616">
            <v>11.4</v>
          </cell>
          <cell r="H10616" t="str">
            <v>natural gas peaker</v>
          </cell>
        </row>
        <row r="10617">
          <cell r="C10617" t="str">
            <v>GT</v>
          </cell>
          <cell r="D10617">
            <v>31</v>
          </cell>
          <cell r="H10617" t="str">
            <v>natural gas peaker</v>
          </cell>
        </row>
        <row r="10618">
          <cell r="C10618" t="str">
            <v>HY</v>
          </cell>
          <cell r="D10618">
            <v>1.5</v>
          </cell>
          <cell r="H10618" t="str">
            <v>hydro</v>
          </cell>
        </row>
        <row r="10619">
          <cell r="C10619" t="str">
            <v>CA</v>
          </cell>
          <cell r="D10619">
            <v>8.4</v>
          </cell>
          <cell r="H10619" t="str">
            <v>natural gas nonpeaker</v>
          </cell>
        </row>
        <row r="10620">
          <cell r="C10620" t="str">
            <v>CA</v>
          </cell>
          <cell r="D10620">
            <v>10.5</v>
          </cell>
          <cell r="H10620" t="str">
            <v>natural gas nonpeaker</v>
          </cell>
        </row>
        <row r="10621">
          <cell r="C10621" t="str">
            <v>CA</v>
          </cell>
          <cell r="D10621">
            <v>21.5</v>
          </cell>
          <cell r="H10621" t="str">
            <v>natural gas nonpeaker</v>
          </cell>
        </row>
        <row r="10622">
          <cell r="C10622" t="str">
            <v>GT</v>
          </cell>
          <cell r="D10622">
            <v>15.6</v>
          </cell>
          <cell r="H10622" t="str">
            <v>natural gas peaker</v>
          </cell>
        </row>
        <row r="10623">
          <cell r="C10623" t="str">
            <v>CT</v>
          </cell>
          <cell r="D10623">
            <v>39</v>
          </cell>
          <cell r="H10623" t="str">
            <v>natural gas nonpeaker</v>
          </cell>
        </row>
        <row r="10624">
          <cell r="C10624" t="str">
            <v>CT</v>
          </cell>
          <cell r="D10624">
            <v>36.1</v>
          </cell>
          <cell r="H10624" t="str">
            <v>natural gas nonpeaker</v>
          </cell>
        </row>
        <row r="10625">
          <cell r="C10625" t="str">
            <v>CT</v>
          </cell>
          <cell r="D10625">
            <v>36.1</v>
          </cell>
          <cell r="H10625" t="str">
            <v>natural gas nonpeaker</v>
          </cell>
        </row>
        <row r="10626">
          <cell r="C10626" t="str">
            <v>CT</v>
          </cell>
          <cell r="D10626">
            <v>36.1</v>
          </cell>
          <cell r="H10626" t="str">
            <v>natural gas nonpeaker</v>
          </cell>
        </row>
        <row r="10627">
          <cell r="C10627" t="str">
            <v>CT</v>
          </cell>
          <cell r="D10627">
            <v>36.1</v>
          </cell>
          <cell r="H10627" t="str">
            <v>natural gas nonpeaker</v>
          </cell>
        </row>
        <row r="10628">
          <cell r="C10628" t="str">
            <v>ST</v>
          </cell>
          <cell r="D10628">
            <v>84.6</v>
          </cell>
          <cell r="H10628" t="str">
            <v>hard coal</v>
          </cell>
        </row>
        <row r="10629">
          <cell r="C10629" t="str">
            <v>ST</v>
          </cell>
          <cell r="D10629">
            <v>330</v>
          </cell>
          <cell r="H10629" t="str">
            <v>hard coal</v>
          </cell>
        </row>
        <row r="10630">
          <cell r="C10630" t="str">
            <v>CT</v>
          </cell>
          <cell r="D10630">
            <v>33</v>
          </cell>
          <cell r="H10630" t="str">
            <v>natural gas nonpeaker</v>
          </cell>
        </row>
        <row r="10631">
          <cell r="C10631" t="str">
            <v>CT</v>
          </cell>
          <cell r="D10631">
            <v>33</v>
          </cell>
          <cell r="H10631" t="str">
            <v>natural gas nonpeaker</v>
          </cell>
        </row>
        <row r="10632">
          <cell r="C10632" t="str">
            <v>CA</v>
          </cell>
          <cell r="D10632">
            <v>23</v>
          </cell>
          <cell r="H10632" t="str">
            <v>natural gas nonpeaker</v>
          </cell>
        </row>
        <row r="10633">
          <cell r="C10633" t="str">
            <v>HY</v>
          </cell>
          <cell r="D10633">
            <v>2.7</v>
          </cell>
          <cell r="H10633" t="str">
            <v>hydro</v>
          </cell>
        </row>
        <row r="10634">
          <cell r="C10634" t="str">
            <v>HY</v>
          </cell>
          <cell r="D10634">
            <v>2.7</v>
          </cell>
          <cell r="H10634" t="str">
            <v>hydro</v>
          </cell>
        </row>
        <row r="10635">
          <cell r="C10635" t="str">
            <v>IC</v>
          </cell>
          <cell r="D10635">
            <v>1</v>
          </cell>
          <cell r="H10635" t="str">
            <v>natural gas peaker</v>
          </cell>
        </row>
        <row r="10636">
          <cell r="C10636" t="str">
            <v>IC</v>
          </cell>
          <cell r="D10636">
            <v>0.4</v>
          </cell>
          <cell r="H10636" t="str">
            <v>natural gas peaker</v>
          </cell>
        </row>
        <row r="10637">
          <cell r="C10637" t="str">
            <v>IC</v>
          </cell>
          <cell r="D10637">
            <v>1.4</v>
          </cell>
          <cell r="H10637" t="str">
            <v>natural gas peaker</v>
          </cell>
        </row>
        <row r="10638">
          <cell r="C10638" t="str">
            <v>HY</v>
          </cell>
          <cell r="D10638">
            <v>2</v>
          </cell>
          <cell r="H10638" t="str">
            <v>hydro</v>
          </cell>
        </row>
        <row r="10639">
          <cell r="C10639" t="str">
            <v>IC</v>
          </cell>
          <cell r="D10639">
            <v>0.9</v>
          </cell>
          <cell r="H10639" t="str">
            <v>petroleum</v>
          </cell>
        </row>
        <row r="10640">
          <cell r="C10640" t="str">
            <v>IC</v>
          </cell>
          <cell r="D10640">
            <v>0.9</v>
          </cell>
          <cell r="H10640" t="str">
            <v>petroleum</v>
          </cell>
        </row>
        <row r="10641">
          <cell r="C10641" t="str">
            <v>ST</v>
          </cell>
          <cell r="D10641">
            <v>7.8</v>
          </cell>
          <cell r="H10641" t="str">
            <v>biomass</v>
          </cell>
        </row>
        <row r="10642">
          <cell r="C10642" t="str">
            <v>HY</v>
          </cell>
          <cell r="D10642">
            <v>6.8</v>
          </cell>
          <cell r="H10642" t="str">
            <v>hydro</v>
          </cell>
        </row>
        <row r="10643">
          <cell r="C10643" t="str">
            <v>ST</v>
          </cell>
          <cell r="D10643">
            <v>1</v>
          </cell>
          <cell r="H10643" t="str">
            <v>biomass</v>
          </cell>
        </row>
        <row r="10644">
          <cell r="C10644" t="str">
            <v>ST</v>
          </cell>
          <cell r="D10644">
            <v>2</v>
          </cell>
          <cell r="H10644" t="str">
            <v>biomass</v>
          </cell>
        </row>
        <row r="10645">
          <cell r="C10645" t="str">
            <v>ST</v>
          </cell>
          <cell r="D10645">
            <v>20</v>
          </cell>
          <cell r="H10645" t="str">
            <v>biomass</v>
          </cell>
        </row>
        <row r="10646">
          <cell r="C10646" t="str">
            <v>CT</v>
          </cell>
          <cell r="D10646">
            <v>71.2</v>
          </cell>
          <cell r="H10646" t="str">
            <v>natural gas nonpeaker</v>
          </cell>
        </row>
        <row r="10647">
          <cell r="C10647" t="str">
            <v>CT</v>
          </cell>
          <cell r="D10647">
            <v>71.2</v>
          </cell>
          <cell r="H10647" t="str">
            <v>natural gas nonpeaker</v>
          </cell>
        </row>
        <row r="10648">
          <cell r="C10648" t="str">
            <v>CA</v>
          </cell>
          <cell r="D10648">
            <v>76.2</v>
          </cell>
          <cell r="H10648" t="str">
            <v>natural gas nonpeaker</v>
          </cell>
        </row>
        <row r="10649">
          <cell r="C10649" t="str">
            <v>HY</v>
          </cell>
          <cell r="D10649">
            <v>7</v>
          </cell>
          <cell r="H10649" t="str">
            <v>hydro</v>
          </cell>
        </row>
        <row r="10650">
          <cell r="C10650" t="str">
            <v>HY</v>
          </cell>
          <cell r="D10650">
            <v>6.5</v>
          </cell>
          <cell r="H10650" t="str">
            <v>hydro</v>
          </cell>
        </row>
        <row r="10651">
          <cell r="C10651" t="str">
            <v>HY</v>
          </cell>
          <cell r="D10651">
            <v>6.5</v>
          </cell>
          <cell r="H10651" t="str">
            <v>hydro</v>
          </cell>
        </row>
        <row r="10652">
          <cell r="C10652" t="str">
            <v>ST</v>
          </cell>
          <cell r="D10652">
            <v>11</v>
          </cell>
          <cell r="H10652" t="str">
            <v>municipal solid waste</v>
          </cell>
        </row>
        <row r="10653">
          <cell r="C10653" t="str">
            <v>CA</v>
          </cell>
          <cell r="D10653">
            <v>57</v>
          </cell>
          <cell r="H10653" t="str">
            <v>natural gas nonpeaker</v>
          </cell>
        </row>
        <row r="10654">
          <cell r="C10654" t="str">
            <v>CA</v>
          </cell>
          <cell r="D10654">
            <v>80</v>
          </cell>
          <cell r="H10654" t="str">
            <v>natural gas nonpeaker</v>
          </cell>
        </row>
        <row r="10655">
          <cell r="C10655" t="str">
            <v>CA</v>
          </cell>
          <cell r="D10655">
            <v>94</v>
          </cell>
          <cell r="H10655" t="str">
            <v>natural gas nonpeaker</v>
          </cell>
        </row>
        <row r="10656">
          <cell r="C10656" t="str">
            <v>CA</v>
          </cell>
          <cell r="D10656">
            <v>49</v>
          </cell>
          <cell r="H10656" t="str">
            <v>natural gas nonpeaker</v>
          </cell>
        </row>
        <row r="10657">
          <cell r="C10657" t="str">
            <v>CT</v>
          </cell>
          <cell r="D10657">
            <v>52</v>
          </cell>
          <cell r="H10657" t="str">
            <v>natural gas nonpeaker</v>
          </cell>
        </row>
        <row r="10658">
          <cell r="C10658" t="str">
            <v>CT</v>
          </cell>
          <cell r="D10658">
            <v>52</v>
          </cell>
          <cell r="H10658" t="str">
            <v>natural gas nonpeaker</v>
          </cell>
        </row>
        <row r="10659">
          <cell r="C10659" t="str">
            <v>ST</v>
          </cell>
          <cell r="D10659">
            <v>39</v>
          </cell>
          <cell r="H10659" t="str">
            <v>municipal solid waste</v>
          </cell>
        </row>
        <row r="10660">
          <cell r="C10660" t="str">
            <v>ST</v>
          </cell>
          <cell r="D10660">
            <v>16</v>
          </cell>
          <cell r="H10660" t="str">
            <v>municipal solid waste</v>
          </cell>
        </row>
        <row r="10661">
          <cell r="C10661" t="str">
            <v>ST</v>
          </cell>
          <cell r="D10661">
            <v>56</v>
          </cell>
          <cell r="H10661" t="str">
            <v>geothermal</v>
          </cell>
        </row>
        <row r="10662">
          <cell r="C10662" t="str">
            <v>BT</v>
          </cell>
          <cell r="D10662">
            <v>2.5</v>
          </cell>
          <cell r="H10662" t="str">
            <v>geothermal</v>
          </cell>
        </row>
        <row r="10663">
          <cell r="C10663" t="str">
            <v>CT</v>
          </cell>
          <cell r="D10663">
            <v>104.7</v>
          </cell>
          <cell r="H10663" t="str">
            <v>natural gas nonpeaker</v>
          </cell>
        </row>
        <row r="10664">
          <cell r="C10664" t="str">
            <v>CT</v>
          </cell>
          <cell r="D10664">
            <v>104.7</v>
          </cell>
          <cell r="H10664" t="str">
            <v>natural gas nonpeaker</v>
          </cell>
        </row>
        <row r="10665">
          <cell r="C10665" t="str">
            <v>CA</v>
          </cell>
          <cell r="D10665">
            <v>123</v>
          </cell>
          <cell r="H10665" t="str">
            <v>natural gas nonpeaker</v>
          </cell>
        </row>
        <row r="10666">
          <cell r="C10666" t="str">
            <v>CT</v>
          </cell>
          <cell r="D10666">
            <v>104.7</v>
          </cell>
          <cell r="H10666" t="str">
            <v>natural gas nonpeaker</v>
          </cell>
        </row>
        <row r="10667">
          <cell r="C10667" t="str">
            <v>CT</v>
          </cell>
          <cell r="D10667">
            <v>104.7</v>
          </cell>
          <cell r="H10667" t="str">
            <v>natural gas nonpeaker</v>
          </cell>
        </row>
        <row r="10668">
          <cell r="C10668" t="str">
            <v>CA</v>
          </cell>
          <cell r="D10668">
            <v>123</v>
          </cell>
          <cell r="H10668" t="str">
            <v>natural gas nonpeaker</v>
          </cell>
        </row>
        <row r="10669">
          <cell r="C10669" t="str">
            <v>GT</v>
          </cell>
          <cell r="D10669">
            <v>170</v>
          </cell>
          <cell r="H10669" t="str">
            <v>natural gas peaker</v>
          </cell>
        </row>
        <row r="10670">
          <cell r="C10670" t="str">
            <v>GT</v>
          </cell>
          <cell r="D10670">
            <v>165</v>
          </cell>
          <cell r="H10670" t="str">
            <v>natural gas peaker</v>
          </cell>
        </row>
        <row r="10671">
          <cell r="C10671" t="str">
            <v>GT</v>
          </cell>
          <cell r="D10671">
            <v>165</v>
          </cell>
          <cell r="H10671" t="str">
            <v>natural gas peaker</v>
          </cell>
        </row>
        <row r="10672">
          <cell r="C10672" t="str">
            <v>GT</v>
          </cell>
          <cell r="D10672">
            <v>3.5</v>
          </cell>
          <cell r="H10672" t="str">
            <v>natural gas peaker</v>
          </cell>
        </row>
        <row r="10673">
          <cell r="C10673" t="str">
            <v>GT</v>
          </cell>
          <cell r="D10673">
            <v>3.5</v>
          </cell>
          <cell r="H10673" t="str">
            <v>natural gas peaker</v>
          </cell>
        </row>
        <row r="10674">
          <cell r="C10674" t="str">
            <v>ST</v>
          </cell>
          <cell r="D10674">
            <v>1.7</v>
          </cell>
          <cell r="H10674" t="str">
            <v>natural gas peaker</v>
          </cell>
        </row>
        <row r="10675">
          <cell r="C10675" t="str">
            <v>ST</v>
          </cell>
          <cell r="D10675">
            <v>1.7</v>
          </cell>
          <cell r="H10675" t="str">
            <v>natural gas peaker</v>
          </cell>
        </row>
        <row r="10676">
          <cell r="C10676" t="str">
            <v>ST</v>
          </cell>
          <cell r="D10676">
            <v>3.5</v>
          </cell>
          <cell r="H10676" t="str">
            <v>natural gas peaker</v>
          </cell>
        </row>
        <row r="10677">
          <cell r="C10677" t="str">
            <v>ST</v>
          </cell>
          <cell r="D10677">
            <v>3.5</v>
          </cell>
          <cell r="H10677" t="str">
            <v>natural gas peaker</v>
          </cell>
        </row>
        <row r="10678">
          <cell r="C10678" t="str">
            <v>CT</v>
          </cell>
          <cell r="D10678">
            <v>62.1</v>
          </cell>
          <cell r="H10678" t="str">
            <v>natural gas nonpeaker</v>
          </cell>
        </row>
        <row r="10679">
          <cell r="C10679" t="str">
            <v>CA</v>
          </cell>
          <cell r="D10679" t="str">
            <v xml:space="preserve"> </v>
          </cell>
          <cell r="H10679" t="str">
            <v>natural gas nonpeaker</v>
          </cell>
        </row>
        <row r="10680">
          <cell r="C10680" t="str">
            <v>GT</v>
          </cell>
          <cell r="D10680">
            <v>19.600000000000001</v>
          </cell>
          <cell r="H10680" t="str">
            <v>natural gas peaker</v>
          </cell>
        </row>
        <row r="10681">
          <cell r="C10681" t="str">
            <v>ST</v>
          </cell>
          <cell r="D10681">
            <v>3.1</v>
          </cell>
          <cell r="H10681" t="str">
            <v>geothermal</v>
          </cell>
        </row>
        <row r="10682">
          <cell r="C10682" t="str">
            <v>ST</v>
          </cell>
          <cell r="D10682">
            <v>3.1</v>
          </cell>
          <cell r="H10682" t="str">
            <v>geothermal</v>
          </cell>
        </row>
        <row r="10683">
          <cell r="C10683" t="str">
            <v>ST</v>
          </cell>
          <cell r="D10683">
            <v>3.1</v>
          </cell>
          <cell r="H10683" t="str">
            <v>geothermal</v>
          </cell>
        </row>
        <row r="10684">
          <cell r="C10684" t="str">
            <v>ST</v>
          </cell>
          <cell r="D10684">
            <v>3.1</v>
          </cell>
          <cell r="H10684" t="str">
            <v>geothermal</v>
          </cell>
        </row>
        <row r="10685">
          <cell r="C10685" t="str">
            <v>ST</v>
          </cell>
          <cell r="D10685">
            <v>3.1</v>
          </cell>
          <cell r="H10685" t="str">
            <v>geothermal</v>
          </cell>
        </row>
        <row r="10686">
          <cell r="C10686" t="str">
            <v>ST</v>
          </cell>
          <cell r="D10686">
            <v>3.1</v>
          </cell>
          <cell r="H10686" t="str">
            <v>geothermal</v>
          </cell>
        </row>
        <row r="10687">
          <cell r="C10687" t="str">
            <v>ST</v>
          </cell>
          <cell r="D10687">
            <v>3.1</v>
          </cell>
          <cell r="H10687" t="str">
            <v>geothermal</v>
          </cell>
        </row>
        <row r="10688">
          <cell r="C10688" t="str">
            <v>ST</v>
          </cell>
          <cell r="D10688">
            <v>3.1</v>
          </cell>
          <cell r="H10688" t="str">
            <v>geothermal</v>
          </cell>
        </row>
        <row r="10689">
          <cell r="C10689" t="str">
            <v>ST</v>
          </cell>
          <cell r="D10689">
            <v>3.1</v>
          </cell>
          <cell r="H10689" t="str">
            <v>geothermal</v>
          </cell>
        </row>
        <row r="10690">
          <cell r="C10690" t="str">
            <v>ST</v>
          </cell>
          <cell r="D10690">
            <v>3.1</v>
          </cell>
          <cell r="H10690" t="str">
            <v>geothermal</v>
          </cell>
        </row>
        <row r="10691">
          <cell r="C10691" t="str">
            <v>BT</v>
          </cell>
          <cell r="D10691">
            <v>6</v>
          </cell>
          <cell r="H10691" t="str">
            <v>geothermal</v>
          </cell>
        </row>
        <row r="10692">
          <cell r="C10692" t="str">
            <v>BT</v>
          </cell>
          <cell r="D10692">
            <v>6</v>
          </cell>
          <cell r="H10692" t="str">
            <v>geothermal</v>
          </cell>
        </row>
        <row r="10693">
          <cell r="C10693" t="str">
            <v>OT</v>
          </cell>
          <cell r="D10693">
            <v>6</v>
          </cell>
          <cell r="H10693" t="str">
            <v>other</v>
          </cell>
        </row>
        <row r="10694">
          <cell r="C10694" t="str">
            <v>ST</v>
          </cell>
          <cell r="D10694">
            <v>19</v>
          </cell>
          <cell r="H10694" t="str">
            <v>other</v>
          </cell>
        </row>
        <row r="10695">
          <cell r="C10695" t="str">
            <v>HY</v>
          </cell>
          <cell r="D10695">
            <v>0.3</v>
          </cell>
          <cell r="H10695" t="str">
            <v>hydro</v>
          </cell>
        </row>
        <row r="10696">
          <cell r="C10696" t="str">
            <v>HY</v>
          </cell>
          <cell r="D10696">
            <v>6.1</v>
          </cell>
          <cell r="H10696" t="str">
            <v>hydro</v>
          </cell>
        </row>
        <row r="10697">
          <cell r="C10697" t="str">
            <v>HY</v>
          </cell>
          <cell r="D10697">
            <v>6.1</v>
          </cell>
          <cell r="H10697" t="str">
            <v>hydro</v>
          </cell>
        </row>
        <row r="10698">
          <cell r="C10698" t="str">
            <v>HY</v>
          </cell>
          <cell r="D10698">
            <v>2.2999999999999998</v>
          </cell>
          <cell r="H10698" t="str">
            <v>hydro</v>
          </cell>
        </row>
        <row r="10699">
          <cell r="C10699" t="str">
            <v>GT</v>
          </cell>
          <cell r="D10699">
            <v>5.8</v>
          </cell>
          <cell r="H10699" t="str">
            <v>natural gas peaker</v>
          </cell>
        </row>
        <row r="10700">
          <cell r="C10700" t="str">
            <v>GT</v>
          </cell>
          <cell r="D10700">
            <v>4</v>
          </cell>
          <cell r="H10700" t="str">
            <v>natural gas peaker</v>
          </cell>
        </row>
        <row r="10701">
          <cell r="C10701" t="str">
            <v>GT</v>
          </cell>
          <cell r="D10701">
            <v>7.8</v>
          </cell>
          <cell r="H10701" t="str">
            <v>natural gas peaker</v>
          </cell>
        </row>
        <row r="10702">
          <cell r="C10702" t="str">
            <v>HY</v>
          </cell>
          <cell r="D10702">
            <v>0.7</v>
          </cell>
          <cell r="H10702" t="str">
            <v>hydro</v>
          </cell>
        </row>
        <row r="10703">
          <cell r="C10703" t="str">
            <v>HY</v>
          </cell>
          <cell r="D10703">
            <v>0.5</v>
          </cell>
          <cell r="H10703" t="str">
            <v>hydro</v>
          </cell>
        </row>
        <row r="10704">
          <cell r="C10704" t="str">
            <v>HY</v>
          </cell>
          <cell r="D10704">
            <v>3.2</v>
          </cell>
          <cell r="H10704" t="str">
            <v>hydro</v>
          </cell>
        </row>
        <row r="10705">
          <cell r="C10705" t="str">
            <v>HY</v>
          </cell>
          <cell r="D10705">
            <v>3.2</v>
          </cell>
          <cell r="H10705" t="str">
            <v>hydro</v>
          </cell>
        </row>
        <row r="10706">
          <cell r="C10706" t="str">
            <v>CT</v>
          </cell>
          <cell r="D10706">
            <v>43</v>
          </cell>
          <cell r="H10706" t="str">
            <v>natural gas nonpeaker</v>
          </cell>
        </row>
        <row r="10707">
          <cell r="C10707" t="str">
            <v>CA</v>
          </cell>
          <cell r="D10707">
            <v>12</v>
          </cell>
          <cell r="H10707" t="str">
            <v>natural gas nonpeaker</v>
          </cell>
        </row>
        <row r="10708">
          <cell r="C10708" t="str">
            <v>HY</v>
          </cell>
          <cell r="D10708">
            <v>0.1</v>
          </cell>
          <cell r="H10708" t="str">
            <v>hydro</v>
          </cell>
        </row>
        <row r="10709">
          <cell r="C10709" t="str">
            <v>HY</v>
          </cell>
          <cell r="D10709">
            <v>0.1</v>
          </cell>
          <cell r="H10709" t="str">
            <v>hydro</v>
          </cell>
        </row>
        <row r="10710">
          <cell r="C10710" t="str">
            <v>HY</v>
          </cell>
          <cell r="D10710">
            <v>0.1</v>
          </cell>
          <cell r="H10710" t="str">
            <v>hydro</v>
          </cell>
        </row>
        <row r="10711">
          <cell r="C10711" t="str">
            <v>HY</v>
          </cell>
          <cell r="D10711">
            <v>0.1</v>
          </cell>
          <cell r="H10711" t="str">
            <v>hydro</v>
          </cell>
        </row>
        <row r="10712">
          <cell r="C10712" t="str">
            <v>HY</v>
          </cell>
          <cell r="D10712">
            <v>0.2</v>
          </cell>
          <cell r="H10712" t="str">
            <v>hydro</v>
          </cell>
        </row>
        <row r="10713">
          <cell r="C10713" t="str">
            <v>HY</v>
          </cell>
          <cell r="D10713">
            <v>0.2</v>
          </cell>
          <cell r="H10713" t="str">
            <v>hydro</v>
          </cell>
        </row>
        <row r="10714">
          <cell r="C10714" t="str">
            <v>HY</v>
          </cell>
          <cell r="D10714">
            <v>0.2</v>
          </cell>
          <cell r="H10714" t="str">
            <v>hydro</v>
          </cell>
        </row>
        <row r="10715">
          <cell r="C10715" t="str">
            <v>HY</v>
          </cell>
          <cell r="D10715">
            <v>0.2</v>
          </cell>
          <cell r="H10715" t="str">
            <v>hydro</v>
          </cell>
        </row>
        <row r="10716">
          <cell r="C10716" t="str">
            <v>HY</v>
          </cell>
          <cell r="D10716">
            <v>0.2</v>
          </cell>
          <cell r="H10716" t="str">
            <v>hydro</v>
          </cell>
        </row>
        <row r="10717">
          <cell r="C10717" t="str">
            <v>CA</v>
          </cell>
          <cell r="D10717">
            <v>2.4</v>
          </cell>
          <cell r="H10717" t="str">
            <v>natural gas nonpeaker</v>
          </cell>
        </row>
        <row r="10718">
          <cell r="C10718" t="str">
            <v>CT</v>
          </cell>
          <cell r="D10718">
            <v>6.2</v>
          </cell>
          <cell r="H10718" t="str">
            <v>natural gas nonpeaker</v>
          </cell>
        </row>
        <row r="10719">
          <cell r="C10719" t="str">
            <v>FC</v>
          </cell>
          <cell r="D10719">
            <v>1.4</v>
          </cell>
          <cell r="H10719" t="str">
            <v>other</v>
          </cell>
        </row>
        <row r="10720">
          <cell r="C10720" t="str">
            <v>ST</v>
          </cell>
          <cell r="D10720">
            <v>4</v>
          </cell>
          <cell r="H10720" t="str">
            <v>other</v>
          </cell>
        </row>
        <row r="10721">
          <cell r="C10721" t="str">
            <v>ST</v>
          </cell>
          <cell r="D10721">
            <v>3.5</v>
          </cell>
          <cell r="H10721" t="str">
            <v>other</v>
          </cell>
        </row>
        <row r="10722">
          <cell r="C10722" t="str">
            <v>ST</v>
          </cell>
          <cell r="D10722">
            <v>5.5</v>
          </cell>
          <cell r="H10722" t="str">
            <v>other</v>
          </cell>
        </row>
        <row r="10723">
          <cell r="C10723" t="str">
            <v>ST</v>
          </cell>
          <cell r="D10723">
            <v>1.5</v>
          </cell>
          <cell r="H10723" t="str">
            <v>other</v>
          </cell>
        </row>
        <row r="10724">
          <cell r="C10724" t="str">
            <v>HY</v>
          </cell>
          <cell r="D10724">
            <v>3.3</v>
          </cell>
          <cell r="H10724" t="str">
            <v>hydro</v>
          </cell>
        </row>
        <row r="10725">
          <cell r="C10725" t="str">
            <v>HY</v>
          </cell>
          <cell r="D10725">
            <v>3.3</v>
          </cell>
          <cell r="H10725" t="str">
            <v>hydro</v>
          </cell>
        </row>
        <row r="10726">
          <cell r="C10726" t="str">
            <v>HY</v>
          </cell>
          <cell r="D10726">
            <v>3.3</v>
          </cell>
          <cell r="H10726" t="str">
            <v>hydro</v>
          </cell>
        </row>
        <row r="10727">
          <cell r="C10727" t="str">
            <v>ST</v>
          </cell>
          <cell r="D10727">
            <v>5.6</v>
          </cell>
          <cell r="H10727" t="str">
            <v>natural gas peaker</v>
          </cell>
        </row>
        <row r="10728">
          <cell r="C10728" t="str">
            <v>ST</v>
          </cell>
          <cell r="D10728">
            <v>5.6</v>
          </cell>
          <cell r="H10728" t="str">
            <v>natural gas peaker</v>
          </cell>
        </row>
        <row r="10729">
          <cell r="C10729" t="str">
            <v>ST</v>
          </cell>
          <cell r="D10729">
            <v>5.6</v>
          </cell>
          <cell r="H10729" t="str">
            <v>natural gas peaker</v>
          </cell>
        </row>
        <row r="10730">
          <cell r="C10730" t="str">
            <v>CT</v>
          </cell>
          <cell r="D10730">
            <v>12.5</v>
          </cell>
          <cell r="H10730" t="str">
            <v>natural gas nonpeaker</v>
          </cell>
        </row>
        <row r="10731">
          <cell r="C10731" t="str">
            <v>CT</v>
          </cell>
          <cell r="D10731">
            <v>12.5</v>
          </cell>
          <cell r="H10731" t="str">
            <v>natural gas nonpeaker</v>
          </cell>
        </row>
        <row r="10732">
          <cell r="C10732" t="str">
            <v>CA</v>
          </cell>
          <cell r="D10732">
            <v>11</v>
          </cell>
          <cell r="H10732" t="str">
            <v>natural gas nonpeaker</v>
          </cell>
        </row>
        <row r="10733">
          <cell r="C10733" t="str">
            <v>GT</v>
          </cell>
          <cell r="D10733">
            <v>4.8</v>
          </cell>
          <cell r="H10733" t="str">
            <v>natural gas peaker</v>
          </cell>
        </row>
        <row r="10734">
          <cell r="C10734" t="str">
            <v>GT</v>
          </cell>
          <cell r="D10734">
            <v>4.8</v>
          </cell>
          <cell r="H10734" t="str">
            <v>natural gas peaker</v>
          </cell>
        </row>
        <row r="10735">
          <cell r="C10735" t="str">
            <v>GT</v>
          </cell>
          <cell r="D10735">
            <v>2.7</v>
          </cell>
          <cell r="H10735" t="str">
            <v>natural gas peaker</v>
          </cell>
        </row>
        <row r="10736">
          <cell r="C10736" t="str">
            <v>GT</v>
          </cell>
          <cell r="D10736">
            <v>2.7</v>
          </cell>
          <cell r="H10736" t="str">
            <v>natural gas peaker</v>
          </cell>
        </row>
        <row r="10737">
          <cell r="C10737" t="str">
            <v>GT</v>
          </cell>
          <cell r="D10737">
            <v>2.7</v>
          </cell>
          <cell r="H10737" t="str">
            <v>natural gas peaker</v>
          </cell>
        </row>
        <row r="10738">
          <cell r="C10738" t="str">
            <v>GT</v>
          </cell>
          <cell r="D10738">
            <v>3</v>
          </cell>
          <cell r="H10738" t="str">
            <v>natural gas peaker</v>
          </cell>
        </row>
        <row r="10739">
          <cell r="C10739" t="str">
            <v>GT</v>
          </cell>
          <cell r="D10739">
            <v>3</v>
          </cell>
          <cell r="H10739" t="str">
            <v>natural gas peaker</v>
          </cell>
        </row>
        <row r="10740">
          <cell r="C10740" t="str">
            <v>GT</v>
          </cell>
          <cell r="D10740">
            <v>3</v>
          </cell>
          <cell r="H10740" t="str">
            <v>natural gas peaker</v>
          </cell>
        </row>
        <row r="10741">
          <cell r="C10741" t="str">
            <v>GT</v>
          </cell>
          <cell r="D10741">
            <v>2.7</v>
          </cell>
          <cell r="H10741" t="str">
            <v>natural gas peaker</v>
          </cell>
        </row>
        <row r="10742">
          <cell r="C10742" t="str">
            <v>GT</v>
          </cell>
          <cell r="D10742">
            <v>2.7</v>
          </cell>
          <cell r="H10742" t="str">
            <v>natural gas peaker</v>
          </cell>
        </row>
        <row r="10743">
          <cell r="C10743" t="str">
            <v>GT</v>
          </cell>
          <cell r="D10743">
            <v>2.7</v>
          </cell>
          <cell r="H10743" t="str">
            <v>natural gas peaker</v>
          </cell>
        </row>
        <row r="10744">
          <cell r="C10744" t="str">
            <v>GT</v>
          </cell>
          <cell r="D10744">
            <v>2.7</v>
          </cell>
          <cell r="H10744" t="str">
            <v>natural gas peaker</v>
          </cell>
        </row>
        <row r="10745">
          <cell r="C10745" t="str">
            <v>GT</v>
          </cell>
          <cell r="D10745">
            <v>2.7</v>
          </cell>
          <cell r="H10745" t="str">
            <v>natural gas peaker</v>
          </cell>
        </row>
        <row r="10746">
          <cell r="C10746" t="str">
            <v>GT</v>
          </cell>
          <cell r="D10746">
            <v>2.7</v>
          </cell>
          <cell r="H10746" t="str">
            <v>natural gas peaker</v>
          </cell>
        </row>
        <row r="10747">
          <cell r="C10747" t="str">
            <v>GT</v>
          </cell>
          <cell r="D10747">
            <v>2.7</v>
          </cell>
          <cell r="H10747" t="str">
            <v>natural gas peaker</v>
          </cell>
        </row>
        <row r="10748">
          <cell r="C10748" t="str">
            <v>GT</v>
          </cell>
          <cell r="D10748">
            <v>2.7</v>
          </cell>
          <cell r="H10748" t="str">
            <v>natural gas peaker</v>
          </cell>
        </row>
        <row r="10749">
          <cell r="C10749" t="str">
            <v>GT</v>
          </cell>
          <cell r="D10749">
            <v>2.7</v>
          </cell>
          <cell r="H10749" t="str">
            <v>natural gas peaker</v>
          </cell>
        </row>
        <row r="10750">
          <cell r="C10750" t="str">
            <v>GT</v>
          </cell>
          <cell r="D10750">
            <v>2.7</v>
          </cell>
          <cell r="H10750" t="str">
            <v>natural gas peaker</v>
          </cell>
        </row>
        <row r="10751">
          <cell r="C10751" t="str">
            <v>GT</v>
          </cell>
          <cell r="D10751">
            <v>2.7</v>
          </cell>
          <cell r="H10751" t="str">
            <v>natural gas peaker</v>
          </cell>
        </row>
        <row r="10752">
          <cell r="C10752" t="str">
            <v>GT</v>
          </cell>
          <cell r="D10752">
            <v>2.7</v>
          </cell>
          <cell r="H10752" t="str">
            <v>natural gas peaker</v>
          </cell>
        </row>
        <row r="10753">
          <cell r="C10753" t="str">
            <v>GT</v>
          </cell>
          <cell r="D10753">
            <v>2.7</v>
          </cell>
          <cell r="H10753" t="str">
            <v>natural gas peaker</v>
          </cell>
        </row>
        <row r="10754">
          <cell r="C10754" t="str">
            <v>GT</v>
          </cell>
          <cell r="D10754">
            <v>2.7</v>
          </cell>
          <cell r="H10754" t="str">
            <v>natural gas peaker</v>
          </cell>
        </row>
        <row r="10755">
          <cell r="C10755" t="str">
            <v>GT</v>
          </cell>
          <cell r="D10755">
            <v>116</v>
          </cell>
          <cell r="H10755" t="str">
            <v>natural gas peaker</v>
          </cell>
        </row>
        <row r="10756">
          <cell r="C10756" t="str">
            <v>GT</v>
          </cell>
          <cell r="D10756">
            <v>116</v>
          </cell>
          <cell r="H10756" t="str">
            <v>natural gas peaker</v>
          </cell>
        </row>
        <row r="10757">
          <cell r="C10757" t="str">
            <v>GT</v>
          </cell>
          <cell r="D10757">
            <v>116</v>
          </cell>
          <cell r="H10757" t="str">
            <v>natural gas peaker</v>
          </cell>
        </row>
        <row r="10758">
          <cell r="C10758" t="str">
            <v>CA</v>
          </cell>
          <cell r="D10758">
            <v>139</v>
          </cell>
          <cell r="H10758" t="str">
            <v>natural gas nonpeaker</v>
          </cell>
        </row>
        <row r="10759">
          <cell r="C10759" t="str">
            <v>CT</v>
          </cell>
          <cell r="D10759">
            <v>104</v>
          </cell>
          <cell r="H10759" t="str">
            <v>natural gas nonpeaker</v>
          </cell>
        </row>
        <row r="10760">
          <cell r="C10760" t="str">
            <v>CT</v>
          </cell>
          <cell r="D10760">
            <v>104</v>
          </cell>
          <cell r="H10760" t="str">
            <v>natural gas nonpeaker</v>
          </cell>
        </row>
        <row r="10761">
          <cell r="C10761" t="str">
            <v>CT</v>
          </cell>
          <cell r="D10761">
            <v>104</v>
          </cell>
          <cell r="H10761" t="str">
            <v>natural gas nonpeaker</v>
          </cell>
        </row>
        <row r="10762">
          <cell r="C10762" t="str">
            <v>ST</v>
          </cell>
          <cell r="D10762">
            <v>6</v>
          </cell>
          <cell r="H10762" t="str">
            <v>natural gas peaker</v>
          </cell>
        </row>
        <row r="10763">
          <cell r="C10763" t="str">
            <v>ST</v>
          </cell>
          <cell r="D10763">
            <v>6</v>
          </cell>
          <cell r="H10763" t="str">
            <v>natural gas peaker</v>
          </cell>
        </row>
        <row r="10764">
          <cell r="C10764" t="str">
            <v>ST</v>
          </cell>
          <cell r="D10764">
            <v>6</v>
          </cell>
          <cell r="H10764" t="str">
            <v>natural gas peaker</v>
          </cell>
        </row>
        <row r="10765">
          <cell r="C10765" t="str">
            <v>ST</v>
          </cell>
          <cell r="D10765">
            <v>9.1999999999999993</v>
          </cell>
          <cell r="H10765" t="str">
            <v>natural gas peaker</v>
          </cell>
        </row>
        <row r="10766">
          <cell r="C10766" t="str">
            <v>IC</v>
          </cell>
          <cell r="D10766">
            <v>0.8</v>
          </cell>
          <cell r="H10766" t="str">
            <v>petroleum</v>
          </cell>
        </row>
        <row r="10767">
          <cell r="C10767" t="str">
            <v>IC</v>
          </cell>
          <cell r="D10767">
            <v>1</v>
          </cell>
          <cell r="H10767" t="str">
            <v>petroleum</v>
          </cell>
        </row>
        <row r="10768">
          <cell r="C10768" t="str">
            <v>IC</v>
          </cell>
          <cell r="D10768">
            <v>1</v>
          </cell>
          <cell r="H10768" t="str">
            <v>petroleum</v>
          </cell>
        </row>
        <row r="10769">
          <cell r="C10769" t="str">
            <v>IC</v>
          </cell>
          <cell r="D10769">
            <v>0.8</v>
          </cell>
          <cell r="H10769" t="str">
            <v>petroleum</v>
          </cell>
        </row>
        <row r="10770">
          <cell r="C10770" t="str">
            <v>IC</v>
          </cell>
          <cell r="D10770">
            <v>0.8</v>
          </cell>
          <cell r="H10770" t="str">
            <v>petroleum</v>
          </cell>
        </row>
        <row r="10771">
          <cell r="C10771" t="str">
            <v>GT</v>
          </cell>
          <cell r="D10771">
            <v>19.600000000000001</v>
          </cell>
          <cell r="H10771" t="str">
            <v>natural gas peaker</v>
          </cell>
        </row>
        <row r="10772">
          <cell r="C10772" t="str">
            <v>GT</v>
          </cell>
          <cell r="D10772">
            <v>19.600000000000001</v>
          </cell>
          <cell r="H10772" t="str">
            <v>natural gas peaker</v>
          </cell>
        </row>
        <row r="10773">
          <cell r="C10773" t="str">
            <v>IC</v>
          </cell>
          <cell r="D10773">
            <v>2.7</v>
          </cell>
          <cell r="H10773" t="str">
            <v>biomass</v>
          </cell>
        </row>
        <row r="10774">
          <cell r="C10774" t="str">
            <v>IC</v>
          </cell>
          <cell r="D10774">
            <v>2.7</v>
          </cell>
          <cell r="H10774" t="str">
            <v>biomass</v>
          </cell>
        </row>
        <row r="10775">
          <cell r="C10775" t="str">
            <v>IC</v>
          </cell>
          <cell r="D10775">
            <v>2.7</v>
          </cell>
          <cell r="H10775" t="str">
            <v>biomass</v>
          </cell>
        </row>
        <row r="10776">
          <cell r="C10776" t="str">
            <v>IC</v>
          </cell>
          <cell r="D10776">
            <v>2.7</v>
          </cell>
          <cell r="H10776" t="str">
            <v>biomass</v>
          </cell>
        </row>
        <row r="10777">
          <cell r="C10777" t="str">
            <v>IC</v>
          </cell>
          <cell r="D10777">
            <v>2.7</v>
          </cell>
          <cell r="H10777" t="str">
            <v>biomass</v>
          </cell>
        </row>
        <row r="10778">
          <cell r="C10778" t="str">
            <v>ST</v>
          </cell>
          <cell r="D10778">
            <v>0.9</v>
          </cell>
          <cell r="H10778" t="str">
            <v>biomass</v>
          </cell>
        </row>
        <row r="10779">
          <cell r="C10779" t="str">
            <v>GT</v>
          </cell>
          <cell r="D10779">
            <v>2.7</v>
          </cell>
          <cell r="H10779" t="str">
            <v>natural gas peaker</v>
          </cell>
        </row>
        <row r="10780">
          <cell r="C10780" t="str">
            <v>GT</v>
          </cell>
          <cell r="D10780">
            <v>2.7</v>
          </cell>
          <cell r="H10780" t="str">
            <v>natural gas peaker</v>
          </cell>
        </row>
        <row r="10781">
          <cell r="C10781" t="str">
            <v>GT</v>
          </cell>
          <cell r="D10781">
            <v>2.7</v>
          </cell>
          <cell r="H10781" t="str">
            <v>natural gas peaker</v>
          </cell>
        </row>
        <row r="10782">
          <cell r="C10782" t="str">
            <v>GT</v>
          </cell>
          <cell r="D10782">
            <v>2.7</v>
          </cell>
          <cell r="H10782" t="str">
            <v>natural gas peaker</v>
          </cell>
        </row>
        <row r="10783">
          <cell r="C10783" t="str">
            <v>GT</v>
          </cell>
          <cell r="D10783">
            <v>20.8</v>
          </cell>
          <cell r="H10783" t="str">
            <v>natural gas peaker</v>
          </cell>
        </row>
        <row r="10784">
          <cell r="C10784" t="str">
            <v>GT</v>
          </cell>
          <cell r="D10784">
            <v>20.8</v>
          </cell>
          <cell r="H10784" t="str">
            <v>natural gas peaker</v>
          </cell>
        </row>
        <row r="10785">
          <cell r="C10785" t="str">
            <v>CT</v>
          </cell>
          <cell r="D10785">
            <v>50</v>
          </cell>
          <cell r="H10785" t="str">
            <v>natural gas nonpeaker</v>
          </cell>
        </row>
        <row r="10786">
          <cell r="C10786" t="str">
            <v>CT</v>
          </cell>
          <cell r="D10786">
            <v>50</v>
          </cell>
          <cell r="H10786" t="str">
            <v>natural gas nonpeaker</v>
          </cell>
        </row>
        <row r="10787">
          <cell r="C10787" t="str">
            <v>CA</v>
          </cell>
          <cell r="D10787">
            <v>30.4</v>
          </cell>
          <cell r="H10787" t="str">
            <v>natural gas nonpeaker</v>
          </cell>
        </row>
        <row r="10788">
          <cell r="C10788" t="str">
            <v>GT</v>
          </cell>
          <cell r="D10788">
            <v>59.2</v>
          </cell>
          <cell r="H10788" t="str">
            <v>natural gas peaker</v>
          </cell>
        </row>
        <row r="10789">
          <cell r="C10789" t="str">
            <v>CT</v>
          </cell>
          <cell r="D10789">
            <v>68.3</v>
          </cell>
          <cell r="H10789" t="str">
            <v>natural gas nonpeaker</v>
          </cell>
        </row>
        <row r="10790">
          <cell r="C10790" t="str">
            <v>CT</v>
          </cell>
          <cell r="D10790">
            <v>68.3</v>
          </cell>
          <cell r="H10790" t="str">
            <v>natural gas nonpeaker</v>
          </cell>
        </row>
        <row r="10791">
          <cell r="C10791" t="str">
            <v>CA</v>
          </cell>
          <cell r="D10791">
            <v>35</v>
          </cell>
          <cell r="H10791" t="str">
            <v>natural gas nonpeaker</v>
          </cell>
        </row>
        <row r="10792">
          <cell r="C10792" t="str">
            <v>CA</v>
          </cell>
          <cell r="D10792">
            <v>95.2</v>
          </cell>
          <cell r="H10792" t="str">
            <v>natural gas nonpeaker</v>
          </cell>
        </row>
        <row r="10793">
          <cell r="C10793" t="str">
            <v>CT</v>
          </cell>
          <cell r="D10793">
            <v>95.6</v>
          </cell>
          <cell r="H10793" t="str">
            <v>natural gas nonpeaker</v>
          </cell>
        </row>
        <row r="10794">
          <cell r="C10794" t="str">
            <v>CT</v>
          </cell>
          <cell r="D10794">
            <v>95.6</v>
          </cell>
          <cell r="H10794" t="str">
            <v>natural gas nonpeaker</v>
          </cell>
        </row>
        <row r="10795">
          <cell r="C10795" t="str">
            <v>GT</v>
          </cell>
          <cell r="D10795">
            <v>17.3</v>
          </cell>
          <cell r="H10795" t="str">
            <v>natural gas peaker</v>
          </cell>
        </row>
        <row r="10796">
          <cell r="C10796" t="str">
            <v>ST</v>
          </cell>
          <cell r="D10796">
            <v>0.8</v>
          </cell>
          <cell r="H10796" t="str">
            <v>other</v>
          </cell>
        </row>
        <row r="10797">
          <cell r="C10797" t="str">
            <v>ST</v>
          </cell>
          <cell r="D10797">
            <v>0.8</v>
          </cell>
          <cell r="H10797" t="str">
            <v>other</v>
          </cell>
        </row>
        <row r="10798">
          <cell r="C10798" t="str">
            <v>ST</v>
          </cell>
          <cell r="D10798">
            <v>11.2</v>
          </cell>
          <cell r="H10798" t="str">
            <v>other</v>
          </cell>
        </row>
        <row r="10799">
          <cell r="C10799" t="str">
            <v>ST</v>
          </cell>
          <cell r="D10799">
            <v>11.2</v>
          </cell>
          <cell r="H10799" t="str">
            <v>other</v>
          </cell>
        </row>
        <row r="10800">
          <cell r="C10800" t="str">
            <v>ST</v>
          </cell>
          <cell r="D10800">
            <v>16.399999999999999</v>
          </cell>
          <cell r="H10800" t="str">
            <v>other</v>
          </cell>
        </row>
        <row r="10801">
          <cell r="C10801" t="str">
            <v>ST</v>
          </cell>
          <cell r="D10801">
            <v>11.8</v>
          </cell>
          <cell r="H10801" t="str">
            <v>other</v>
          </cell>
        </row>
        <row r="10802">
          <cell r="C10802" t="str">
            <v>ST</v>
          </cell>
          <cell r="D10802">
            <v>38</v>
          </cell>
          <cell r="H10802" t="str">
            <v>other</v>
          </cell>
        </row>
        <row r="10803">
          <cell r="C10803" t="str">
            <v>CT</v>
          </cell>
          <cell r="D10803">
            <v>69</v>
          </cell>
          <cell r="H10803" t="str">
            <v>natural gas nonpeaker</v>
          </cell>
        </row>
        <row r="10804">
          <cell r="C10804" t="str">
            <v>CT</v>
          </cell>
          <cell r="D10804">
            <v>69</v>
          </cell>
          <cell r="H10804" t="str">
            <v>natural gas nonpeaker</v>
          </cell>
        </row>
        <row r="10805">
          <cell r="C10805" t="str">
            <v>CA</v>
          </cell>
          <cell r="D10805">
            <v>34</v>
          </cell>
          <cell r="H10805" t="str">
            <v>natural gas nonpeaker</v>
          </cell>
        </row>
        <row r="10806">
          <cell r="C10806" t="str">
            <v>ST</v>
          </cell>
          <cell r="D10806">
            <v>2.8</v>
          </cell>
          <cell r="H10806" t="str">
            <v>other</v>
          </cell>
        </row>
        <row r="10807">
          <cell r="C10807" t="str">
            <v>ST</v>
          </cell>
          <cell r="D10807">
            <v>2.8</v>
          </cell>
          <cell r="H10807" t="str">
            <v>other</v>
          </cell>
        </row>
        <row r="10808">
          <cell r="C10808" t="str">
            <v>ST</v>
          </cell>
          <cell r="D10808">
            <v>2.8</v>
          </cell>
          <cell r="H10808" t="str">
            <v>other</v>
          </cell>
        </row>
        <row r="10809">
          <cell r="C10809" t="str">
            <v>ST</v>
          </cell>
          <cell r="D10809">
            <v>37</v>
          </cell>
          <cell r="H10809" t="str">
            <v>biomass</v>
          </cell>
        </row>
        <row r="10810">
          <cell r="C10810" t="str">
            <v>ST</v>
          </cell>
          <cell r="D10810">
            <v>48</v>
          </cell>
          <cell r="H10810" t="str">
            <v>biomass</v>
          </cell>
        </row>
        <row r="10811">
          <cell r="C10811" t="str">
            <v>WT</v>
          </cell>
          <cell r="D10811">
            <v>24.3</v>
          </cell>
          <cell r="H10811" t="str">
            <v>onshore wind</v>
          </cell>
        </row>
        <row r="10812">
          <cell r="C10812" t="str">
            <v>WT</v>
          </cell>
          <cell r="D10812">
            <v>22.7</v>
          </cell>
          <cell r="H10812" t="str">
            <v>onshore wind</v>
          </cell>
        </row>
        <row r="10813">
          <cell r="C10813" t="str">
            <v>WT</v>
          </cell>
          <cell r="D10813">
            <v>20</v>
          </cell>
          <cell r="H10813" t="str">
            <v>onshore wind</v>
          </cell>
        </row>
        <row r="10814">
          <cell r="C10814" t="str">
            <v>GT</v>
          </cell>
          <cell r="D10814">
            <v>9.1999999999999993</v>
          </cell>
          <cell r="H10814" t="str">
            <v>natural gas peaker</v>
          </cell>
        </row>
        <row r="10815">
          <cell r="C10815" t="str">
            <v>GT</v>
          </cell>
          <cell r="D10815">
            <v>9.3000000000000007</v>
          </cell>
          <cell r="H10815" t="str">
            <v>natural gas peaker</v>
          </cell>
        </row>
        <row r="10816">
          <cell r="C10816" t="str">
            <v>GT</v>
          </cell>
          <cell r="D10816">
            <v>9.3000000000000007</v>
          </cell>
          <cell r="H10816" t="str">
            <v>natural gas peaker</v>
          </cell>
        </row>
        <row r="10817">
          <cell r="C10817" t="str">
            <v>ST</v>
          </cell>
          <cell r="D10817">
            <v>6</v>
          </cell>
          <cell r="H10817" t="str">
            <v>natural gas peaker</v>
          </cell>
        </row>
        <row r="10818">
          <cell r="C10818" t="str">
            <v>IC</v>
          </cell>
          <cell r="D10818">
            <v>0.8</v>
          </cell>
          <cell r="H10818" t="str">
            <v>petroleum</v>
          </cell>
        </row>
        <row r="10819">
          <cell r="C10819" t="str">
            <v>IC</v>
          </cell>
          <cell r="D10819">
            <v>1</v>
          </cell>
          <cell r="H10819" t="str">
            <v>natural gas peaker</v>
          </cell>
        </row>
        <row r="10820">
          <cell r="C10820" t="str">
            <v>IC</v>
          </cell>
          <cell r="D10820">
            <v>0.3</v>
          </cell>
          <cell r="H10820" t="str">
            <v>natural gas peaker</v>
          </cell>
        </row>
        <row r="10821">
          <cell r="C10821" t="str">
            <v>ST</v>
          </cell>
          <cell r="D10821">
            <v>0.4</v>
          </cell>
          <cell r="H10821" t="str">
            <v>natural gas peaker</v>
          </cell>
        </row>
        <row r="10822">
          <cell r="C10822" t="str">
            <v>GT</v>
          </cell>
          <cell r="D10822">
            <v>38.5</v>
          </cell>
          <cell r="H10822" t="str">
            <v>natural gas peaker</v>
          </cell>
        </row>
        <row r="10823">
          <cell r="C10823" t="str">
            <v>IC</v>
          </cell>
          <cell r="D10823">
            <v>1.5</v>
          </cell>
          <cell r="H10823" t="str">
            <v>natural gas peaker</v>
          </cell>
        </row>
        <row r="10824">
          <cell r="C10824" t="str">
            <v>IC</v>
          </cell>
          <cell r="D10824">
            <v>1.1000000000000001</v>
          </cell>
          <cell r="H10824" t="str">
            <v>natural gas peaker</v>
          </cell>
        </row>
        <row r="10825">
          <cell r="C10825" t="str">
            <v>GT</v>
          </cell>
          <cell r="D10825">
            <v>24.5</v>
          </cell>
          <cell r="H10825" t="str">
            <v>natural gas peaker</v>
          </cell>
        </row>
        <row r="10826">
          <cell r="C10826" t="str">
            <v>IC</v>
          </cell>
          <cell r="D10826">
            <v>2.4</v>
          </cell>
          <cell r="H10826" t="str">
            <v>petroleum</v>
          </cell>
        </row>
        <row r="10827">
          <cell r="C10827" t="str">
            <v>IC</v>
          </cell>
          <cell r="D10827">
            <v>1.7</v>
          </cell>
          <cell r="H10827" t="str">
            <v>natural gas peaker</v>
          </cell>
        </row>
        <row r="10828">
          <cell r="C10828" t="str">
            <v>IC</v>
          </cell>
          <cell r="D10828">
            <v>1.2</v>
          </cell>
          <cell r="H10828" t="str">
            <v>petroleum</v>
          </cell>
        </row>
        <row r="10829">
          <cell r="C10829" t="str">
            <v>IC</v>
          </cell>
          <cell r="D10829">
            <v>0.7</v>
          </cell>
          <cell r="H10829" t="str">
            <v>natural gas peaker</v>
          </cell>
        </row>
        <row r="10830">
          <cell r="C10830" t="str">
            <v>IC</v>
          </cell>
          <cell r="D10830">
            <v>1</v>
          </cell>
          <cell r="H10830" t="str">
            <v>natural gas peaker</v>
          </cell>
        </row>
        <row r="10831">
          <cell r="C10831" t="str">
            <v>IC</v>
          </cell>
          <cell r="D10831">
            <v>0.9</v>
          </cell>
          <cell r="H10831" t="str">
            <v>natural gas peaker</v>
          </cell>
        </row>
        <row r="10832">
          <cell r="C10832" t="str">
            <v>IC</v>
          </cell>
          <cell r="D10832">
            <v>0.9</v>
          </cell>
          <cell r="H10832" t="str">
            <v>natural gas peaker</v>
          </cell>
        </row>
        <row r="10833">
          <cell r="C10833" t="str">
            <v>IC</v>
          </cell>
          <cell r="D10833">
            <v>0.9</v>
          </cell>
          <cell r="H10833" t="str">
            <v>petroleum</v>
          </cell>
        </row>
        <row r="10834">
          <cell r="C10834" t="str">
            <v>IC</v>
          </cell>
          <cell r="D10834">
            <v>2</v>
          </cell>
          <cell r="H10834" t="str">
            <v>petroleum</v>
          </cell>
        </row>
        <row r="10835">
          <cell r="C10835" t="str">
            <v>IC</v>
          </cell>
          <cell r="D10835">
            <v>2</v>
          </cell>
          <cell r="H10835" t="str">
            <v>petroleum</v>
          </cell>
        </row>
        <row r="10836">
          <cell r="C10836" t="str">
            <v>ST</v>
          </cell>
          <cell r="D10836">
            <v>46</v>
          </cell>
          <cell r="H10836" t="str">
            <v>biomass</v>
          </cell>
        </row>
        <row r="10837">
          <cell r="C10837" t="str">
            <v>ST</v>
          </cell>
          <cell r="D10837">
            <v>57</v>
          </cell>
          <cell r="H10837" t="str">
            <v>biomass</v>
          </cell>
        </row>
        <row r="10838">
          <cell r="C10838" t="str">
            <v>GT</v>
          </cell>
          <cell r="D10838">
            <v>38</v>
          </cell>
          <cell r="H10838" t="str">
            <v>natural gas peaker</v>
          </cell>
        </row>
        <row r="10839">
          <cell r="C10839" t="str">
            <v>ST</v>
          </cell>
          <cell r="D10839">
            <v>36.1</v>
          </cell>
          <cell r="H10839" t="str">
            <v>biomass</v>
          </cell>
        </row>
        <row r="10840">
          <cell r="C10840" t="str">
            <v>HY</v>
          </cell>
          <cell r="D10840">
            <v>1</v>
          </cell>
          <cell r="H10840" t="str">
            <v>hydro</v>
          </cell>
        </row>
        <row r="10841">
          <cell r="C10841" t="str">
            <v>ST</v>
          </cell>
          <cell r="D10841">
            <v>9</v>
          </cell>
          <cell r="H10841" t="str">
            <v>geothermal</v>
          </cell>
        </row>
        <row r="10842">
          <cell r="C10842" t="str">
            <v>ST</v>
          </cell>
          <cell r="D10842">
            <v>9</v>
          </cell>
          <cell r="H10842" t="str">
            <v>geothermal</v>
          </cell>
        </row>
        <row r="10843">
          <cell r="C10843" t="str">
            <v>WT</v>
          </cell>
          <cell r="D10843">
            <v>22</v>
          </cell>
          <cell r="H10843" t="str">
            <v>onshore wind</v>
          </cell>
        </row>
        <row r="10844">
          <cell r="C10844" t="str">
            <v>WT</v>
          </cell>
          <cell r="D10844">
            <v>18.399999999999999</v>
          </cell>
          <cell r="H10844" t="str">
            <v>onshore wind</v>
          </cell>
        </row>
        <row r="10845">
          <cell r="C10845" t="str">
            <v>WT</v>
          </cell>
          <cell r="D10845">
            <v>14.1</v>
          </cell>
          <cell r="H10845" t="str">
            <v>onshore wind</v>
          </cell>
        </row>
        <row r="10846">
          <cell r="C10846" t="str">
            <v>WT</v>
          </cell>
          <cell r="D10846">
            <v>21.2</v>
          </cell>
          <cell r="H10846" t="str">
            <v>onshore wind</v>
          </cell>
        </row>
        <row r="10847">
          <cell r="C10847" t="str">
            <v>WT</v>
          </cell>
          <cell r="D10847">
            <v>1.8</v>
          </cell>
          <cell r="H10847" t="str">
            <v>onshore wind</v>
          </cell>
        </row>
        <row r="10848">
          <cell r="C10848" t="str">
            <v>HY</v>
          </cell>
          <cell r="D10848">
            <v>0.8</v>
          </cell>
          <cell r="H10848" t="str">
            <v>hydro</v>
          </cell>
        </row>
        <row r="10849">
          <cell r="C10849" t="str">
            <v>HY</v>
          </cell>
          <cell r="D10849">
            <v>0.8</v>
          </cell>
          <cell r="H10849" t="str">
            <v>hydro</v>
          </cell>
        </row>
        <row r="10850">
          <cell r="C10850" t="str">
            <v>ST</v>
          </cell>
          <cell r="D10850">
            <v>13.8</v>
          </cell>
          <cell r="H10850" t="str">
            <v>natural gas peaker</v>
          </cell>
        </row>
        <row r="10851">
          <cell r="C10851" t="str">
            <v>GT</v>
          </cell>
          <cell r="D10851">
            <v>12.3</v>
          </cell>
          <cell r="H10851" t="str">
            <v>natural gas peaker</v>
          </cell>
        </row>
        <row r="10852">
          <cell r="C10852" t="str">
            <v>GT</v>
          </cell>
          <cell r="D10852">
            <v>12.3</v>
          </cell>
          <cell r="H10852" t="str">
            <v>natural gas peaker</v>
          </cell>
        </row>
        <row r="10853">
          <cell r="C10853" t="str">
            <v>IC</v>
          </cell>
          <cell r="D10853">
            <v>1.5</v>
          </cell>
          <cell r="H10853" t="str">
            <v>petroleum</v>
          </cell>
        </row>
        <row r="10854">
          <cell r="C10854" t="str">
            <v>GT</v>
          </cell>
          <cell r="D10854">
            <v>73</v>
          </cell>
          <cell r="H10854" t="str">
            <v>natural gas peaker</v>
          </cell>
        </row>
        <row r="10855">
          <cell r="C10855" t="str">
            <v>GT</v>
          </cell>
          <cell r="D10855">
            <v>73</v>
          </cell>
          <cell r="H10855" t="str">
            <v>natural gas peaker</v>
          </cell>
        </row>
        <row r="10856">
          <cell r="C10856" t="str">
            <v>GT</v>
          </cell>
          <cell r="D10856">
            <v>73</v>
          </cell>
          <cell r="H10856" t="str">
            <v>natural gas peaker</v>
          </cell>
        </row>
        <row r="10857">
          <cell r="C10857" t="str">
            <v>HY</v>
          </cell>
          <cell r="D10857">
            <v>1</v>
          </cell>
          <cell r="H10857" t="str">
            <v>hydro</v>
          </cell>
        </row>
        <row r="10858">
          <cell r="C10858" t="str">
            <v>HY</v>
          </cell>
          <cell r="D10858">
            <v>2</v>
          </cell>
          <cell r="H10858" t="str">
            <v>hydro</v>
          </cell>
        </row>
        <row r="10859">
          <cell r="C10859" t="str">
            <v>HY</v>
          </cell>
          <cell r="D10859">
            <v>2</v>
          </cell>
          <cell r="H10859" t="str">
            <v>hydro</v>
          </cell>
        </row>
        <row r="10860">
          <cell r="C10860" t="str">
            <v>ST</v>
          </cell>
          <cell r="D10860">
            <v>1.2</v>
          </cell>
          <cell r="H10860" t="str">
            <v>geothermal</v>
          </cell>
        </row>
        <row r="10861">
          <cell r="C10861" t="str">
            <v>ST</v>
          </cell>
          <cell r="D10861">
            <v>1.2</v>
          </cell>
          <cell r="H10861" t="str">
            <v>geothermal</v>
          </cell>
        </row>
        <row r="10862">
          <cell r="C10862" t="str">
            <v>ST</v>
          </cell>
          <cell r="D10862">
            <v>1.3</v>
          </cell>
          <cell r="H10862" t="str">
            <v>geothermal</v>
          </cell>
        </row>
        <row r="10863">
          <cell r="C10863" t="str">
            <v>ST</v>
          </cell>
          <cell r="D10863">
            <v>1.3</v>
          </cell>
          <cell r="H10863" t="str">
            <v>geothermal</v>
          </cell>
        </row>
        <row r="10864">
          <cell r="C10864" t="str">
            <v>ST</v>
          </cell>
          <cell r="D10864">
            <v>1.3</v>
          </cell>
          <cell r="H10864" t="str">
            <v>geothermal</v>
          </cell>
        </row>
        <row r="10865">
          <cell r="C10865" t="str">
            <v>ST</v>
          </cell>
          <cell r="D10865">
            <v>1.3</v>
          </cell>
          <cell r="H10865" t="str">
            <v>geothermal</v>
          </cell>
        </row>
        <row r="10866">
          <cell r="C10866" t="str">
            <v>ST</v>
          </cell>
          <cell r="D10866">
            <v>5.6</v>
          </cell>
          <cell r="H10866" t="str">
            <v>natural gas peaker</v>
          </cell>
        </row>
        <row r="10867">
          <cell r="C10867" t="str">
            <v>ST</v>
          </cell>
          <cell r="D10867">
            <v>7.6</v>
          </cell>
          <cell r="H10867" t="str">
            <v>natural gas peaker</v>
          </cell>
        </row>
        <row r="10868">
          <cell r="C10868" t="str">
            <v>ST</v>
          </cell>
          <cell r="D10868">
            <v>19.600000000000001</v>
          </cell>
          <cell r="H10868" t="str">
            <v>natural gas peaker</v>
          </cell>
        </row>
        <row r="10869">
          <cell r="C10869" t="str">
            <v>CT</v>
          </cell>
          <cell r="D10869">
            <v>71</v>
          </cell>
          <cell r="H10869" t="str">
            <v>natural gas nonpeaker</v>
          </cell>
        </row>
        <row r="10870">
          <cell r="C10870" t="str">
            <v>CT</v>
          </cell>
          <cell r="D10870">
            <v>71</v>
          </cell>
          <cell r="H10870" t="str">
            <v>natural gas nonpeaker</v>
          </cell>
        </row>
        <row r="10871">
          <cell r="C10871" t="str">
            <v>CA</v>
          </cell>
          <cell r="D10871">
            <v>70</v>
          </cell>
          <cell r="H10871" t="str">
            <v>natural gas nonpeaker</v>
          </cell>
        </row>
        <row r="10872">
          <cell r="C10872" t="str">
            <v>GT</v>
          </cell>
          <cell r="D10872">
            <v>4.2</v>
          </cell>
          <cell r="H10872" t="str">
            <v>natural gas peaker</v>
          </cell>
        </row>
        <row r="10873">
          <cell r="C10873" t="str">
            <v>GT</v>
          </cell>
          <cell r="D10873">
            <v>4.2</v>
          </cell>
          <cell r="H10873" t="str">
            <v>natural gas peaker</v>
          </cell>
        </row>
        <row r="10874">
          <cell r="C10874" t="str">
            <v>GT</v>
          </cell>
          <cell r="D10874">
            <v>48.7</v>
          </cell>
          <cell r="H10874" t="str">
            <v>natural gas peaker</v>
          </cell>
        </row>
        <row r="10875">
          <cell r="C10875" t="str">
            <v>HY</v>
          </cell>
          <cell r="D10875">
            <v>3.9</v>
          </cell>
          <cell r="H10875" t="str">
            <v>hydro</v>
          </cell>
        </row>
        <row r="10876">
          <cell r="C10876" t="str">
            <v>GT</v>
          </cell>
          <cell r="D10876">
            <v>65</v>
          </cell>
          <cell r="H10876" t="str">
            <v>natural gas peaker</v>
          </cell>
        </row>
        <row r="10877">
          <cell r="C10877" t="str">
            <v>GT</v>
          </cell>
          <cell r="D10877">
            <v>65</v>
          </cell>
          <cell r="H10877" t="str">
            <v>natural gas peaker</v>
          </cell>
        </row>
        <row r="10878">
          <cell r="C10878" t="str">
            <v>ST</v>
          </cell>
          <cell r="D10878">
            <v>29.5</v>
          </cell>
          <cell r="H10878" t="str">
            <v>other</v>
          </cell>
        </row>
        <row r="10879">
          <cell r="C10879" t="str">
            <v>ST</v>
          </cell>
          <cell r="D10879">
            <v>29.5</v>
          </cell>
          <cell r="H10879" t="str">
            <v>other</v>
          </cell>
        </row>
        <row r="10880">
          <cell r="C10880" t="str">
            <v>ST</v>
          </cell>
          <cell r="D10880">
            <v>66</v>
          </cell>
          <cell r="H10880" t="str">
            <v>other</v>
          </cell>
        </row>
        <row r="10881">
          <cell r="C10881" t="str">
            <v>ST</v>
          </cell>
          <cell r="D10881">
            <v>10</v>
          </cell>
          <cell r="H10881" t="str">
            <v>other</v>
          </cell>
        </row>
        <row r="10882">
          <cell r="C10882" t="str">
            <v>ST</v>
          </cell>
          <cell r="D10882">
            <v>44</v>
          </cell>
          <cell r="H10882" t="str">
            <v>biomass</v>
          </cell>
        </row>
        <row r="10883">
          <cell r="C10883" t="str">
            <v>GT</v>
          </cell>
          <cell r="D10883">
            <v>40</v>
          </cell>
          <cell r="H10883" t="str">
            <v>natural gas peaker</v>
          </cell>
        </row>
        <row r="10884">
          <cell r="C10884" t="str">
            <v>HY</v>
          </cell>
          <cell r="D10884">
            <v>9.6999999999999993</v>
          </cell>
          <cell r="H10884" t="str">
            <v>hydro</v>
          </cell>
        </row>
        <row r="10885">
          <cell r="C10885" t="str">
            <v>ST</v>
          </cell>
          <cell r="D10885">
            <v>5.4</v>
          </cell>
          <cell r="H10885" t="str">
            <v>biomass</v>
          </cell>
        </row>
        <row r="10886">
          <cell r="C10886" t="str">
            <v>HY</v>
          </cell>
          <cell r="D10886">
            <v>3.7</v>
          </cell>
          <cell r="H10886" t="str">
            <v>hydro</v>
          </cell>
        </row>
        <row r="10887">
          <cell r="C10887" t="str">
            <v>HY</v>
          </cell>
          <cell r="D10887">
            <v>1.1000000000000001</v>
          </cell>
          <cell r="H10887" t="str">
            <v>hydro</v>
          </cell>
        </row>
        <row r="10888">
          <cell r="C10888" t="str">
            <v>CT</v>
          </cell>
          <cell r="D10888">
            <v>47</v>
          </cell>
          <cell r="H10888" t="str">
            <v>natural gas nonpeaker</v>
          </cell>
        </row>
        <row r="10889">
          <cell r="C10889" t="str">
            <v>CA</v>
          </cell>
          <cell r="D10889">
            <v>33.4</v>
          </cell>
          <cell r="H10889" t="str">
            <v>natural gas nonpeaker</v>
          </cell>
        </row>
        <row r="10890">
          <cell r="C10890" t="str">
            <v>ST</v>
          </cell>
          <cell r="D10890">
            <v>14.4</v>
          </cell>
          <cell r="H10890" t="str">
            <v>geothermal</v>
          </cell>
        </row>
        <row r="10891">
          <cell r="C10891" t="str">
            <v>CT</v>
          </cell>
          <cell r="D10891">
            <v>43.6</v>
          </cell>
          <cell r="H10891" t="str">
            <v>natural gas nonpeaker</v>
          </cell>
        </row>
        <row r="10892">
          <cell r="C10892" t="str">
            <v>CT</v>
          </cell>
          <cell r="D10892">
            <v>43.6</v>
          </cell>
          <cell r="H10892" t="str">
            <v>natural gas nonpeaker</v>
          </cell>
        </row>
        <row r="10893">
          <cell r="C10893" t="str">
            <v>CT</v>
          </cell>
          <cell r="D10893">
            <v>43.6</v>
          </cell>
          <cell r="H10893" t="str">
            <v>natural gas nonpeaker</v>
          </cell>
        </row>
        <row r="10894">
          <cell r="C10894" t="str">
            <v>CA</v>
          </cell>
          <cell r="D10894">
            <v>78</v>
          </cell>
          <cell r="H10894" t="str">
            <v>natural gas nonpeaker</v>
          </cell>
        </row>
        <row r="10895">
          <cell r="C10895" t="str">
            <v>GT</v>
          </cell>
          <cell r="D10895">
            <v>6.4</v>
          </cell>
          <cell r="H10895" t="str">
            <v>natural gas peaker</v>
          </cell>
        </row>
        <row r="10896">
          <cell r="C10896" t="str">
            <v>GT</v>
          </cell>
          <cell r="D10896">
            <v>6.4</v>
          </cell>
          <cell r="H10896" t="str">
            <v>natural gas peaker</v>
          </cell>
        </row>
        <row r="10897">
          <cell r="C10897" t="str">
            <v>GT</v>
          </cell>
          <cell r="D10897">
            <v>6.4</v>
          </cell>
          <cell r="H10897" t="str">
            <v>natural gas peaker</v>
          </cell>
        </row>
        <row r="10898">
          <cell r="C10898" t="str">
            <v>IC</v>
          </cell>
          <cell r="D10898">
            <v>6.3</v>
          </cell>
          <cell r="H10898" t="str">
            <v>natural gas peaker</v>
          </cell>
        </row>
        <row r="10899">
          <cell r="C10899" t="str">
            <v>IC</v>
          </cell>
          <cell r="D10899">
            <v>6.3</v>
          </cell>
          <cell r="H10899" t="str">
            <v>natural gas peaker</v>
          </cell>
        </row>
        <row r="10900">
          <cell r="C10900" t="str">
            <v>IC</v>
          </cell>
          <cell r="D10900">
            <v>3.7</v>
          </cell>
          <cell r="H10900" t="str">
            <v>natural gas peaker</v>
          </cell>
        </row>
        <row r="10901">
          <cell r="C10901" t="str">
            <v>IC</v>
          </cell>
          <cell r="D10901">
            <v>3.7</v>
          </cell>
          <cell r="H10901" t="str">
            <v>natural gas peaker</v>
          </cell>
        </row>
        <row r="10902">
          <cell r="C10902" t="str">
            <v>IC</v>
          </cell>
          <cell r="D10902">
            <v>5.5</v>
          </cell>
          <cell r="H10902" t="str">
            <v>natural gas peaker</v>
          </cell>
        </row>
        <row r="10903">
          <cell r="C10903" t="str">
            <v>IC</v>
          </cell>
          <cell r="D10903">
            <v>5.5</v>
          </cell>
          <cell r="H10903" t="str">
            <v>natural gas peaker</v>
          </cell>
        </row>
        <row r="10904">
          <cell r="C10904" t="str">
            <v>IC</v>
          </cell>
          <cell r="D10904">
            <v>5.5</v>
          </cell>
          <cell r="H10904" t="str">
            <v>natural gas peaker</v>
          </cell>
        </row>
        <row r="10905">
          <cell r="C10905" t="str">
            <v>CT</v>
          </cell>
          <cell r="D10905">
            <v>33</v>
          </cell>
          <cell r="H10905" t="str">
            <v>natural gas nonpeaker</v>
          </cell>
        </row>
        <row r="10906">
          <cell r="C10906" t="str">
            <v>CA</v>
          </cell>
          <cell r="D10906">
            <v>27</v>
          </cell>
          <cell r="H10906" t="str">
            <v>natural gas nonpeaker</v>
          </cell>
        </row>
        <row r="10907">
          <cell r="C10907" t="str">
            <v>GT</v>
          </cell>
          <cell r="D10907">
            <v>2.8</v>
          </cell>
          <cell r="H10907" t="str">
            <v>biomass</v>
          </cell>
        </row>
        <row r="10908">
          <cell r="C10908" t="str">
            <v>GT</v>
          </cell>
          <cell r="D10908">
            <v>2.8</v>
          </cell>
          <cell r="H10908" t="str">
            <v>biomass</v>
          </cell>
        </row>
        <row r="10909">
          <cell r="C10909" t="str">
            <v>CT</v>
          </cell>
          <cell r="D10909">
            <v>34.1</v>
          </cell>
          <cell r="H10909" t="str">
            <v>natural gas nonpeaker</v>
          </cell>
        </row>
        <row r="10910">
          <cell r="C10910" t="str">
            <v>CA</v>
          </cell>
          <cell r="D10910">
            <v>44.6</v>
          </cell>
          <cell r="H10910" t="str">
            <v>natural gas nonpeaker</v>
          </cell>
        </row>
        <row r="10911">
          <cell r="C10911" t="str">
            <v>ST</v>
          </cell>
          <cell r="D10911">
            <v>52.5</v>
          </cell>
          <cell r="H10911" t="str">
            <v>hard coal</v>
          </cell>
        </row>
        <row r="10912">
          <cell r="C10912" t="str">
            <v>ST</v>
          </cell>
          <cell r="D10912">
            <v>52.5</v>
          </cell>
          <cell r="H10912" t="str">
            <v>hard coal</v>
          </cell>
        </row>
        <row r="10913">
          <cell r="C10913" t="str">
            <v>ST</v>
          </cell>
          <cell r="D10913">
            <v>42.5</v>
          </cell>
          <cell r="H10913" t="str">
            <v>natural gas peaker</v>
          </cell>
        </row>
        <row r="10914">
          <cell r="C10914" t="str">
            <v>ST</v>
          </cell>
          <cell r="D10914">
            <v>12.5</v>
          </cell>
          <cell r="H10914" t="str">
            <v>natural gas peaker</v>
          </cell>
        </row>
        <row r="10915">
          <cell r="C10915" t="str">
            <v>ST</v>
          </cell>
          <cell r="D10915">
            <v>25</v>
          </cell>
          <cell r="H10915" t="str">
            <v>biomass</v>
          </cell>
        </row>
        <row r="10916">
          <cell r="C10916" t="str">
            <v>ST</v>
          </cell>
          <cell r="D10916">
            <v>25</v>
          </cell>
          <cell r="H10916" t="str">
            <v>biomass</v>
          </cell>
        </row>
        <row r="10917">
          <cell r="C10917" t="str">
            <v>ST</v>
          </cell>
          <cell r="D10917">
            <v>30</v>
          </cell>
          <cell r="H10917" t="str">
            <v>biomass</v>
          </cell>
        </row>
        <row r="10918">
          <cell r="C10918" t="str">
            <v>ST</v>
          </cell>
          <cell r="D10918">
            <v>25.3</v>
          </cell>
          <cell r="H10918" t="str">
            <v>biomass</v>
          </cell>
        </row>
        <row r="10919">
          <cell r="C10919" t="str">
            <v>ST</v>
          </cell>
          <cell r="D10919">
            <v>27.4</v>
          </cell>
          <cell r="H10919" t="str">
            <v>biomass</v>
          </cell>
        </row>
        <row r="10920">
          <cell r="C10920" t="str">
            <v>ST</v>
          </cell>
          <cell r="D10920">
            <v>37.700000000000003</v>
          </cell>
          <cell r="H10920" t="str">
            <v>biomass</v>
          </cell>
        </row>
        <row r="10921">
          <cell r="C10921" t="str">
            <v>ST</v>
          </cell>
          <cell r="D10921">
            <v>24.6</v>
          </cell>
          <cell r="H10921" t="str">
            <v>biomass</v>
          </cell>
        </row>
        <row r="10922">
          <cell r="C10922" t="str">
            <v>ST</v>
          </cell>
          <cell r="D10922">
            <v>25.6</v>
          </cell>
          <cell r="H10922" t="str">
            <v>biomass</v>
          </cell>
        </row>
        <row r="10923">
          <cell r="C10923" t="str">
            <v>ST</v>
          </cell>
          <cell r="D10923">
            <v>22.1</v>
          </cell>
          <cell r="H10923" t="str">
            <v>biomass</v>
          </cell>
        </row>
        <row r="10924">
          <cell r="C10924" t="str">
            <v>GT</v>
          </cell>
          <cell r="D10924">
            <v>45</v>
          </cell>
          <cell r="H10924" t="str">
            <v>natural gas peaker</v>
          </cell>
        </row>
        <row r="10925">
          <cell r="C10925" t="str">
            <v>ST</v>
          </cell>
          <cell r="D10925">
            <v>11.6</v>
          </cell>
          <cell r="H10925" t="str">
            <v>biomass</v>
          </cell>
        </row>
        <row r="10926">
          <cell r="C10926" t="str">
            <v>ST</v>
          </cell>
          <cell r="D10926">
            <v>37.4</v>
          </cell>
          <cell r="H10926" t="str">
            <v>biomass</v>
          </cell>
        </row>
        <row r="10927">
          <cell r="C10927" t="str">
            <v>CA</v>
          </cell>
          <cell r="D10927">
            <v>17</v>
          </cell>
          <cell r="H10927" t="str">
            <v>natural gas nonpeaker</v>
          </cell>
        </row>
        <row r="10928">
          <cell r="C10928" t="str">
            <v>CT</v>
          </cell>
          <cell r="D10928">
            <v>38.200000000000003</v>
          </cell>
          <cell r="H10928" t="str">
            <v>natural gas nonpeaker</v>
          </cell>
        </row>
        <row r="10929">
          <cell r="C10929" t="str">
            <v>ST</v>
          </cell>
          <cell r="D10929">
            <v>25</v>
          </cell>
          <cell r="H10929" t="str">
            <v>biomass</v>
          </cell>
        </row>
        <row r="10930">
          <cell r="C10930" t="str">
            <v>ST</v>
          </cell>
          <cell r="D10930">
            <v>40</v>
          </cell>
          <cell r="H10930" t="str">
            <v>biomass</v>
          </cell>
        </row>
        <row r="10931">
          <cell r="C10931" t="str">
            <v>ST</v>
          </cell>
          <cell r="D10931">
            <v>6</v>
          </cell>
          <cell r="H10931" t="str">
            <v>biomass</v>
          </cell>
        </row>
        <row r="10932">
          <cell r="C10932" t="str">
            <v>ST</v>
          </cell>
          <cell r="D10932">
            <v>11</v>
          </cell>
          <cell r="H10932" t="str">
            <v>biomass</v>
          </cell>
        </row>
        <row r="10933">
          <cell r="C10933" t="str">
            <v>ST</v>
          </cell>
          <cell r="D10933">
            <v>15.6</v>
          </cell>
          <cell r="H10933" t="str">
            <v>biomass</v>
          </cell>
        </row>
        <row r="10934">
          <cell r="C10934" t="str">
            <v>ST</v>
          </cell>
          <cell r="D10934">
            <v>12</v>
          </cell>
          <cell r="H10934" t="str">
            <v>hard coal</v>
          </cell>
        </row>
        <row r="10935">
          <cell r="C10935" t="str">
            <v>ST</v>
          </cell>
          <cell r="D10935">
            <v>41</v>
          </cell>
          <cell r="H10935" t="str">
            <v>natural gas peaker</v>
          </cell>
        </row>
        <row r="10936">
          <cell r="C10936" t="str">
            <v>ST</v>
          </cell>
          <cell r="D10936">
            <v>1.5</v>
          </cell>
          <cell r="H10936" t="str">
            <v>biomass</v>
          </cell>
        </row>
        <row r="10937">
          <cell r="C10937" t="str">
            <v>ST</v>
          </cell>
          <cell r="D10937">
            <v>37</v>
          </cell>
          <cell r="H10937" t="str">
            <v>biomass</v>
          </cell>
        </row>
        <row r="10938">
          <cell r="C10938" t="str">
            <v>ST</v>
          </cell>
          <cell r="D10938">
            <v>45</v>
          </cell>
          <cell r="H10938" t="str">
            <v>biomass</v>
          </cell>
        </row>
        <row r="10939">
          <cell r="C10939" t="str">
            <v>ST</v>
          </cell>
          <cell r="D10939">
            <v>45</v>
          </cell>
          <cell r="H10939" t="str">
            <v>biomass</v>
          </cell>
        </row>
        <row r="10940">
          <cell r="C10940" t="str">
            <v>HY</v>
          </cell>
          <cell r="D10940">
            <v>0.4</v>
          </cell>
          <cell r="H10940" t="str">
            <v>hydro</v>
          </cell>
        </row>
        <row r="10941">
          <cell r="C10941" t="str">
            <v>HY</v>
          </cell>
          <cell r="D10941">
            <v>0.4</v>
          </cell>
          <cell r="H10941" t="str">
            <v>hydro</v>
          </cell>
        </row>
        <row r="10942">
          <cell r="C10942" t="str">
            <v>HY</v>
          </cell>
          <cell r="D10942">
            <v>0.4</v>
          </cell>
          <cell r="H10942" t="str">
            <v>hydro</v>
          </cell>
        </row>
        <row r="10943">
          <cell r="C10943" t="str">
            <v>HY</v>
          </cell>
          <cell r="D10943">
            <v>0.4</v>
          </cell>
          <cell r="H10943" t="str">
            <v>hydro</v>
          </cell>
        </row>
        <row r="10944">
          <cell r="C10944" t="str">
            <v>HY</v>
          </cell>
          <cell r="D10944">
            <v>0.8</v>
          </cell>
          <cell r="H10944" t="str">
            <v>hydro</v>
          </cell>
        </row>
        <row r="10945">
          <cell r="C10945" t="str">
            <v>HY</v>
          </cell>
          <cell r="D10945">
            <v>0.8</v>
          </cell>
          <cell r="H10945" t="str">
            <v>hydro</v>
          </cell>
        </row>
        <row r="10946">
          <cell r="C10946" t="str">
            <v>HY</v>
          </cell>
          <cell r="D10946">
            <v>1.2</v>
          </cell>
          <cell r="H10946" t="str">
            <v>hydro</v>
          </cell>
        </row>
        <row r="10947">
          <cell r="C10947" t="str">
            <v>HY</v>
          </cell>
          <cell r="D10947">
            <v>0.6</v>
          </cell>
          <cell r="H10947" t="str">
            <v>hydro</v>
          </cell>
        </row>
        <row r="10948">
          <cell r="C10948" t="str">
            <v>HY</v>
          </cell>
          <cell r="D10948">
            <v>0.6</v>
          </cell>
          <cell r="H10948" t="str">
            <v>hydro</v>
          </cell>
        </row>
        <row r="10949">
          <cell r="C10949" t="str">
            <v>HY</v>
          </cell>
          <cell r="D10949">
            <v>0.4</v>
          </cell>
          <cell r="H10949" t="str">
            <v>hydro</v>
          </cell>
        </row>
        <row r="10950">
          <cell r="C10950" t="str">
            <v>HY</v>
          </cell>
          <cell r="D10950">
            <v>0.6</v>
          </cell>
          <cell r="H10950" t="str">
            <v>hydro</v>
          </cell>
        </row>
        <row r="10951">
          <cell r="C10951" t="str">
            <v>ST</v>
          </cell>
          <cell r="D10951">
            <v>17</v>
          </cell>
          <cell r="H10951" t="str">
            <v>biomass</v>
          </cell>
        </row>
        <row r="10952">
          <cell r="C10952" t="str">
            <v>ST</v>
          </cell>
          <cell r="D10952">
            <v>40</v>
          </cell>
          <cell r="H10952" t="str">
            <v>biomass</v>
          </cell>
        </row>
        <row r="10953">
          <cell r="C10953" t="str">
            <v>ST</v>
          </cell>
          <cell r="D10953">
            <v>33</v>
          </cell>
          <cell r="H10953" t="str">
            <v>biomass</v>
          </cell>
        </row>
        <row r="10954">
          <cell r="C10954" t="str">
            <v>ST</v>
          </cell>
          <cell r="D10954">
            <v>38</v>
          </cell>
          <cell r="H10954" t="str">
            <v>biomass</v>
          </cell>
        </row>
        <row r="10955">
          <cell r="C10955" t="str">
            <v>BT</v>
          </cell>
          <cell r="D10955">
            <v>3.8</v>
          </cell>
          <cell r="H10955" t="str">
            <v>geothermal</v>
          </cell>
        </row>
        <row r="10956">
          <cell r="C10956" t="str">
            <v>BT</v>
          </cell>
          <cell r="D10956">
            <v>3.8</v>
          </cell>
          <cell r="H10956" t="str">
            <v>geothermal</v>
          </cell>
        </row>
        <row r="10957">
          <cell r="C10957" t="str">
            <v>BT</v>
          </cell>
          <cell r="D10957">
            <v>3.8</v>
          </cell>
          <cell r="H10957" t="str">
            <v>geothermal</v>
          </cell>
        </row>
        <row r="10958">
          <cell r="C10958" t="str">
            <v>BT</v>
          </cell>
          <cell r="D10958">
            <v>12</v>
          </cell>
          <cell r="H10958" t="str">
            <v>geothermal</v>
          </cell>
        </row>
        <row r="10959">
          <cell r="C10959" t="str">
            <v>BT</v>
          </cell>
          <cell r="D10959">
            <v>3</v>
          </cell>
          <cell r="H10959" t="str">
            <v>geothermal</v>
          </cell>
        </row>
        <row r="10960">
          <cell r="C10960" t="str">
            <v>BT</v>
          </cell>
          <cell r="D10960">
            <v>12</v>
          </cell>
          <cell r="H10960" t="str">
            <v>geothermal</v>
          </cell>
        </row>
        <row r="10961">
          <cell r="C10961" t="str">
            <v>BT</v>
          </cell>
          <cell r="D10961">
            <v>3</v>
          </cell>
          <cell r="H10961" t="str">
            <v>geothermal</v>
          </cell>
        </row>
        <row r="10962">
          <cell r="C10962" t="str">
            <v>BT</v>
          </cell>
          <cell r="D10962">
            <v>3</v>
          </cell>
          <cell r="H10962" t="str">
            <v>geothermal</v>
          </cell>
        </row>
        <row r="10963">
          <cell r="C10963" t="str">
            <v>BT</v>
          </cell>
          <cell r="D10963">
            <v>3</v>
          </cell>
          <cell r="H10963" t="str">
            <v>geothermal</v>
          </cell>
        </row>
        <row r="10964">
          <cell r="C10964" t="str">
            <v>BT</v>
          </cell>
          <cell r="D10964">
            <v>3</v>
          </cell>
          <cell r="H10964" t="str">
            <v>geothermal</v>
          </cell>
        </row>
        <row r="10965">
          <cell r="C10965" t="str">
            <v>BT</v>
          </cell>
          <cell r="D10965">
            <v>3</v>
          </cell>
          <cell r="H10965" t="str">
            <v>geothermal</v>
          </cell>
        </row>
        <row r="10966">
          <cell r="C10966" t="str">
            <v>BT</v>
          </cell>
          <cell r="D10966">
            <v>3.8</v>
          </cell>
          <cell r="H10966" t="str">
            <v>geothermal</v>
          </cell>
        </row>
        <row r="10967">
          <cell r="C10967" t="str">
            <v>BT</v>
          </cell>
          <cell r="D10967">
            <v>3.8</v>
          </cell>
          <cell r="H10967" t="str">
            <v>geothermal</v>
          </cell>
        </row>
        <row r="10968">
          <cell r="C10968" t="str">
            <v>BT</v>
          </cell>
          <cell r="D10968">
            <v>3.8</v>
          </cell>
          <cell r="H10968" t="str">
            <v>geothermal</v>
          </cell>
        </row>
        <row r="10969">
          <cell r="C10969" t="str">
            <v>CT</v>
          </cell>
          <cell r="D10969">
            <v>49.5</v>
          </cell>
          <cell r="H10969" t="str">
            <v>natural gas nonpeaker</v>
          </cell>
        </row>
        <row r="10970">
          <cell r="C10970" t="str">
            <v>CT</v>
          </cell>
          <cell r="D10970">
            <v>47.6</v>
          </cell>
          <cell r="H10970" t="str">
            <v>natural gas nonpeaker</v>
          </cell>
        </row>
        <row r="10971">
          <cell r="C10971" t="str">
            <v>CA</v>
          </cell>
          <cell r="D10971">
            <v>27.2</v>
          </cell>
          <cell r="H10971" t="str">
            <v>natural gas nonpeaker</v>
          </cell>
        </row>
        <row r="10972">
          <cell r="C10972" t="str">
            <v>HY</v>
          </cell>
          <cell r="D10972">
            <v>1</v>
          </cell>
          <cell r="H10972" t="str">
            <v>hydro</v>
          </cell>
        </row>
        <row r="10973">
          <cell r="C10973" t="str">
            <v>HY</v>
          </cell>
          <cell r="D10973">
            <v>0.4</v>
          </cell>
          <cell r="H10973" t="str">
            <v>hydro</v>
          </cell>
        </row>
        <row r="10974">
          <cell r="C10974" t="str">
            <v>HY</v>
          </cell>
          <cell r="D10974">
            <v>0.4</v>
          </cell>
          <cell r="H10974" t="str">
            <v>hydro</v>
          </cell>
        </row>
        <row r="10975">
          <cell r="C10975" t="str">
            <v>HY</v>
          </cell>
          <cell r="D10975">
            <v>0.3</v>
          </cell>
          <cell r="H10975" t="str">
            <v>hydro</v>
          </cell>
        </row>
        <row r="10976">
          <cell r="C10976" t="str">
            <v>HY</v>
          </cell>
          <cell r="D10976">
            <v>0.4</v>
          </cell>
          <cell r="H10976" t="str">
            <v>hydro</v>
          </cell>
        </row>
        <row r="10977">
          <cell r="C10977" t="str">
            <v>CT</v>
          </cell>
          <cell r="D10977">
            <v>39.1</v>
          </cell>
          <cell r="H10977" t="str">
            <v>natural gas nonpeaker</v>
          </cell>
        </row>
        <row r="10978">
          <cell r="C10978" t="str">
            <v>CA</v>
          </cell>
          <cell r="D10978">
            <v>20</v>
          </cell>
          <cell r="H10978" t="str">
            <v>natural gas nonpeaker</v>
          </cell>
        </row>
        <row r="10979">
          <cell r="C10979" t="str">
            <v>HY</v>
          </cell>
          <cell r="D10979">
            <v>1.3</v>
          </cell>
          <cell r="H10979" t="str">
            <v>hydro</v>
          </cell>
        </row>
        <row r="10980">
          <cell r="C10980" t="str">
            <v>HY</v>
          </cell>
          <cell r="D10980">
            <v>1.3</v>
          </cell>
          <cell r="H10980" t="str">
            <v>hydro</v>
          </cell>
        </row>
        <row r="10981">
          <cell r="C10981" t="str">
            <v>HY</v>
          </cell>
          <cell r="D10981">
            <v>1.8</v>
          </cell>
          <cell r="H10981" t="str">
            <v>hydro</v>
          </cell>
        </row>
        <row r="10982">
          <cell r="C10982" t="str">
            <v>HY</v>
          </cell>
          <cell r="D10982">
            <v>5</v>
          </cell>
          <cell r="H10982" t="str">
            <v>hydro</v>
          </cell>
        </row>
        <row r="10983">
          <cell r="C10983" t="str">
            <v>HY</v>
          </cell>
          <cell r="D10983">
            <v>3.9</v>
          </cell>
          <cell r="H10983" t="str">
            <v>hydro</v>
          </cell>
        </row>
        <row r="10984">
          <cell r="C10984" t="str">
            <v>HY</v>
          </cell>
          <cell r="D10984">
            <v>3.9</v>
          </cell>
          <cell r="H10984" t="str">
            <v>hydro</v>
          </cell>
        </row>
        <row r="10985">
          <cell r="C10985" t="str">
            <v>HY</v>
          </cell>
          <cell r="D10985">
            <v>3.4</v>
          </cell>
          <cell r="H10985" t="str">
            <v>hydro</v>
          </cell>
        </row>
        <row r="10986">
          <cell r="C10986" t="str">
            <v>HY</v>
          </cell>
          <cell r="D10986">
            <v>1.5</v>
          </cell>
          <cell r="H10986" t="str">
            <v>hydro</v>
          </cell>
        </row>
        <row r="10987">
          <cell r="C10987" t="str">
            <v>HY</v>
          </cell>
          <cell r="D10987">
            <v>1.5</v>
          </cell>
          <cell r="H10987" t="str">
            <v>hydro</v>
          </cell>
        </row>
        <row r="10988">
          <cell r="C10988" t="str">
            <v>HY</v>
          </cell>
          <cell r="D10988">
            <v>1.5</v>
          </cell>
          <cell r="H10988" t="str">
            <v>hydro</v>
          </cell>
        </row>
        <row r="10989">
          <cell r="C10989" t="str">
            <v>HY</v>
          </cell>
          <cell r="D10989">
            <v>1.5</v>
          </cell>
          <cell r="H10989" t="str">
            <v>hydro</v>
          </cell>
        </row>
        <row r="10990">
          <cell r="C10990" t="str">
            <v>HY</v>
          </cell>
          <cell r="D10990">
            <v>1.5</v>
          </cell>
          <cell r="H10990" t="str">
            <v>hydro</v>
          </cell>
        </row>
        <row r="10991">
          <cell r="C10991" t="str">
            <v>HY</v>
          </cell>
          <cell r="D10991">
            <v>1.5</v>
          </cell>
          <cell r="H10991" t="str">
            <v>hydro</v>
          </cell>
        </row>
        <row r="10992">
          <cell r="C10992" t="str">
            <v>HY</v>
          </cell>
          <cell r="D10992">
            <v>11.6</v>
          </cell>
          <cell r="H10992" t="str">
            <v>hydro</v>
          </cell>
        </row>
        <row r="10993">
          <cell r="C10993" t="str">
            <v>HY</v>
          </cell>
          <cell r="D10993">
            <v>11.6</v>
          </cell>
          <cell r="H10993" t="str">
            <v>hydro</v>
          </cell>
        </row>
        <row r="10994">
          <cell r="C10994" t="str">
            <v>HY</v>
          </cell>
          <cell r="D10994">
            <v>12.5</v>
          </cell>
          <cell r="H10994" t="str">
            <v>hydro</v>
          </cell>
        </row>
        <row r="10995">
          <cell r="C10995" t="str">
            <v>HY</v>
          </cell>
          <cell r="D10995">
            <v>5.3</v>
          </cell>
          <cell r="H10995" t="str">
            <v>hydro</v>
          </cell>
        </row>
        <row r="10996">
          <cell r="C10996" t="str">
            <v>HY</v>
          </cell>
          <cell r="D10996">
            <v>5.3</v>
          </cell>
          <cell r="H10996" t="str">
            <v>hydro</v>
          </cell>
        </row>
        <row r="10997">
          <cell r="C10997" t="str">
            <v>HY</v>
          </cell>
          <cell r="D10997">
            <v>5.5</v>
          </cell>
          <cell r="H10997" t="str">
            <v>hydro</v>
          </cell>
        </row>
        <row r="10998">
          <cell r="C10998" t="str">
            <v>HY</v>
          </cell>
          <cell r="D10998">
            <v>4.9000000000000004</v>
          </cell>
          <cell r="H10998" t="str">
            <v>hydro</v>
          </cell>
        </row>
        <row r="10999">
          <cell r="C10999" t="str">
            <v>HY</v>
          </cell>
          <cell r="D10999">
            <v>4.9000000000000004</v>
          </cell>
          <cell r="H10999" t="str">
            <v>hydro</v>
          </cell>
        </row>
        <row r="11000">
          <cell r="C11000" t="str">
            <v>HY</v>
          </cell>
          <cell r="D11000">
            <v>5.5</v>
          </cell>
          <cell r="H11000" t="str">
            <v>hydro</v>
          </cell>
        </row>
        <row r="11001">
          <cell r="C11001" t="str">
            <v>HY</v>
          </cell>
          <cell r="D11001">
            <v>5.0999999999999996</v>
          </cell>
          <cell r="H11001" t="str">
            <v>hydro</v>
          </cell>
        </row>
        <row r="11002">
          <cell r="C11002" t="str">
            <v>HY</v>
          </cell>
          <cell r="D11002">
            <v>5.0999999999999996</v>
          </cell>
          <cell r="H11002" t="str">
            <v>hydro</v>
          </cell>
        </row>
        <row r="11003">
          <cell r="C11003" t="str">
            <v>HY</v>
          </cell>
          <cell r="D11003">
            <v>3</v>
          </cell>
          <cell r="H11003" t="str">
            <v>hydro</v>
          </cell>
        </row>
        <row r="11004">
          <cell r="C11004" t="str">
            <v>HY</v>
          </cell>
          <cell r="D11004">
            <v>3</v>
          </cell>
          <cell r="H11004" t="str">
            <v>hydro</v>
          </cell>
        </row>
        <row r="11005">
          <cell r="C11005" t="str">
            <v>HY</v>
          </cell>
          <cell r="D11005">
            <v>3</v>
          </cell>
          <cell r="H11005" t="str">
            <v>hydro</v>
          </cell>
        </row>
        <row r="11006">
          <cell r="C11006" t="str">
            <v>HY</v>
          </cell>
          <cell r="D11006">
            <v>4.5999999999999996</v>
          </cell>
          <cell r="H11006" t="str">
            <v>hydro</v>
          </cell>
        </row>
        <row r="11007">
          <cell r="C11007" t="str">
            <v>HY</v>
          </cell>
          <cell r="D11007">
            <v>4.5999999999999996</v>
          </cell>
          <cell r="H11007" t="str">
            <v>hydro</v>
          </cell>
        </row>
        <row r="11008">
          <cell r="C11008" t="str">
            <v>HY</v>
          </cell>
          <cell r="D11008">
            <v>4.5999999999999996</v>
          </cell>
          <cell r="H11008" t="str">
            <v>hydro</v>
          </cell>
        </row>
        <row r="11009">
          <cell r="C11009" t="str">
            <v>HY</v>
          </cell>
          <cell r="D11009">
            <v>4.5999999999999996</v>
          </cell>
          <cell r="H11009" t="str">
            <v>hydro</v>
          </cell>
        </row>
        <row r="11010">
          <cell r="C11010" t="str">
            <v>HY</v>
          </cell>
          <cell r="D11010">
            <v>2</v>
          </cell>
          <cell r="H11010" t="str">
            <v>hydro</v>
          </cell>
        </row>
        <row r="11011">
          <cell r="C11011" t="str">
            <v>HY</v>
          </cell>
          <cell r="D11011">
            <v>7.7</v>
          </cell>
          <cell r="H11011" t="str">
            <v>hydro</v>
          </cell>
        </row>
        <row r="11012">
          <cell r="C11012" t="str">
            <v>HY</v>
          </cell>
          <cell r="D11012">
            <v>7.7</v>
          </cell>
          <cell r="H11012" t="str">
            <v>hydro</v>
          </cell>
        </row>
        <row r="11013">
          <cell r="C11013" t="str">
            <v>GT</v>
          </cell>
          <cell r="D11013">
            <v>44.5</v>
          </cell>
          <cell r="H11013" t="str">
            <v>natural gas peaker</v>
          </cell>
        </row>
        <row r="11014">
          <cell r="C11014" t="str">
            <v>ST</v>
          </cell>
          <cell r="D11014">
            <v>13.3</v>
          </cell>
          <cell r="H11014" t="str">
            <v>hard coal</v>
          </cell>
        </row>
        <row r="11015">
          <cell r="C11015" t="str">
            <v>ST</v>
          </cell>
          <cell r="D11015">
            <v>6.3</v>
          </cell>
          <cell r="H11015" t="str">
            <v>hard coal</v>
          </cell>
        </row>
        <row r="11016">
          <cell r="C11016" t="str">
            <v>ST</v>
          </cell>
          <cell r="D11016">
            <v>11.5</v>
          </cell>
          <cell r="H11016" t="str">
            <v>hard coal</v>
          </cell>
        </row>
        <row r="11017">
          <cell r="C11017" t="str">
            <v>ST</v>
          </cell>
          <cell r="D11017">
            <v>15.1</v>
          </cell>
          <cell r="H11017" t="str">
            <v>hard coal</v>
          </cell>
        </row>
        <row r="11018">
          <cell r="C11018" t="str">
            <v>HY</v>
          </cell>
          <cell r="D11018">
            <v>0.7</v>
          </cell>
          <cell r="H11018" t="str">
            <v>hydro</v>
          </cell>
        </row>
        <row r="11019">
          <cell r="C11019" t="str">
            <v>HY</v>
          </cell>
          <cell r="D11019">
            <v>0.5</v>
          </cell>
          <cell r="H11019" t="str">
            <v>hydro</v>
          </cell>
        </row>
        <row r="11020">
          <cell r="C11020" t="str">
            <v>HY</v>
          </cell>
          <cell r="D11020">
            <v>0.5</v>
          </cell>
          <cell r="H11020" t="str">
            <v>hydro</v>
          </cell>
        </row>
        <row r="11021">
          <cell r="C11021" t="str">
            <v>GT</v>
          </cell>
          <cell r="D11021">
            <v>4</v>
          </cell>
          <cell r="H11021" t="str">
            <v>natural gas peaker</v>
          </cell>
        </row>
        <row r="11022">
          <cell r="C11022" t="str">
            <v>ST</v>
          </cell>
          <cell r="D11022">
            <v>2.8</v>
          </cell>
          <cell r="H11022" t="str">
            <v>other</v>
          </cell>
        </row>
        <row r="11023">
          <cell r="C11023" t="str">
            <v>ST</v>
          </cell>
          <cell r="D11023">
            <v>7</v>
          </cell>
          <cell r="H11023" t="str">
            <v>other</v>
          </cell>
        </row>
        <row r="11024">
          <cell r="C11024" t="str">
            <v>ST</v>
          </cell>
          <cell r="D11024">
            <v>9.3000000000000007</v>
          </cell>
          <cell r="H11024" t="str">
            <v>other</v>
          </cell>
        </row>
        <row r="11025">
          <cell r="C11025" t="str">
            <v>ST</v>
          </cell>
          <cell r="D11025">
            <v>13.3</v>
          </cell>
          <cell r="H11025" t="str">
            <v>hard coal</v>
          </cell>
        </row>
        <row r="11026">
          <cell r="C11026" t="str">
            <v>ST</v>
          </cell>
          <cell r="D11026">
            <v>3</v>
          </cell>
          <cell r="H11026" t="str">
            <v>hard coal</v>
          </cell>
        </row>
        <row r="11027">
          <cell r="C11027" t="str">
            <v>ST</v>
          </cell>
          <cell r="D11027">
            <v>2</v>
          </cell>
          <cell r="H11027" t="str">
            <v>hard coal</v>
          </cell>
        </row>
        <row r="11028">
          <cell r="C11028" t="str">
            <v>ST</v>
          </cell>
          <cell r="D11028">
            <v>3.5</v>
          </cell>
          <cell r="H11028" t="str">
            <v>hard coal</v>
          </cell>
        </row>
        <row r="11029">
          <cell r="C11029" t="str">
            <v>ST</v>
          </cell>
          <cell r="D11029">
            <v>3</v>
          </cell>
          <cell r="H11029" t="str">
            <v>hard coal</v>
          </cell>
        </row>
        <row r="11030">
          <cell r="C11030" t="str">
            <v>ST</v>
          </cell>
          <cell r="D11030">
            <v>6</v>
          </cell>
          <cell r="H11030" t="str">
            <v>hard coal</v>
          </cell>
        </row>
        <row r="11031">
          <cell r="C11031" t="str">
            <v>ST</v>
          </cell>
          <cell r="D11031">
            <v>2.5</v>
          </cell>
          <cell r="H11031" t="str">
            <v>hard coal</v>
          </cell>
        </row>
        <row r="11032">
          <cell r="C11032" t="str">
            <v>ST</v>
          </cell>
          <cell r="D11032">
            <v>5</v>
          </cell>
          <cell r="H11032" t="str">
            <v>hard coal</v>
          </cell>
        </row>
        <row r="11033">
          <cell r="C11033" t="str">
            <v>ST</v>
          </cell>
          <cell r="D11033">
            <v>24.9</v>
          </cell>
          <cell r="H11033" t="str">
            <v>biomass</v>
          </cell>
        </row>
        <row r="11034">
          <cell r="C11034" t="str">
            <v>IC</v>
          </cell>
          <cell r="D11034">
            <v>2</v>
          </cell>
          <cell r="H11034" t="str">
            <v>petroleum</v>
          </cell>
        </row>
        <row r="11035">
          <cell r="C11035" t="str">
            <v>IC</v>
          </cell>
          <cell r="D11035">
            <v>2</v>
          </cell>
          <cell r="H11035" t="str">
            <v>petroleum</v>
          </cell>
        </row>
        <row r="11036">
          <cell r="C11036" t="str">
            <v>IC</v>
          </cell>
          <cell r="D11036">
            <v>2.2999999999999998</v>
          </cell>
          <cell r="H11036" t="str">
            <v>natural gas peaker</v>
          </cell>
        </row>
        <row r="11037">
          <cell r="C11037" t="str">
            <v>IC</v>
          </cell>
          <cell r="D11037">
            <v>2.2999999999999998</v>
          </cell>
          <cell r="H11037" t="str">
            <v>natural gas peaker</v>
          </cell>
        </row>
        <row r="11038">
          <cell r="C11038" t="str">
            <v>IC</v>
          </cell>
          <cell r="D11038">
            <v>2</v>
          </cell>
          <cell r="H11038" t="str">
            <v>petroleum</v>
          </cell>
        </row>
        <row r="11039">
          <cell r="C11039" t="str">
            <v>IC</v>
          </cell>
          <cell r="D11039">
            <v>2</v>
          </cell>
          <cell r="H11039" t="str">
            <v>petroleum</v>
          </cell>
        </row>
        <row r="11040">
          <cell r="C11040" t="str">
            <v>IC</v>
          </cell>
          <cell r="D11040">
            <v>2</v>
          </cell>
          <cell r="H11040" t="str">
            <v>petroleum</v>
          </cell>
        </row>
        <row r="11041">
          <cell r="C11041" t="str">
            <v>ST</v>
          </cell>
          <cell r="D11041">
            <v>2</v>
          </cell>
          <cell r="H11041" t="str">
            <v>natural gas peaker</v>
          </cell>
        </row>
        <row r="11042">
          <cell r="C11042" t="str">
            <v>ST</v>
          </cell>
          <cell r="D11042">
            <v>2</v>
          </cell>
          <cell r="H11042" t="str">
            <v>natural gas peaker</v>
          </cell>
        </row>
        <row r="11043">
          <cell r="C11043" t="str">
            <v>ST</v>
          </cell>
          <cell r="D11043">
            <v>6.1</v>
          </cell>
          <cell r="H11043" t="str">
            <v>natural gas peaker</v>
          </cell>
        </row>
        <row r="11044">
          <cell r="C11044" t="str">
            <v>ST</v>
          </cell>
          <cell r="D11044">
            <v>2.8</v>
          </cell>
          <cell r="H11044" t="str">
            <v>other</v>
          </cell>
        </row>
        <row r="11045">
          <cell r="C11045" t="str">
            <v>GT</v>
          </cell>
          <cell r="D11045">
            <v>7.2</v>
          </cell>
          <cell r="H11045" t="str">
            <v>natural gas peaker</v>
          </cell>
        </row>
        <row r="11046">
          <cell r="C11046" t="str">
            <v>IC</v>
          </cell>
          <cell r="D11046">
            <v>0.5</v>
          </cell>
          <cell r="H11046" t="str">
            <v>petroleum</v>
          </cell>
        </row>
        <row r="11047">
          <cell r="C11047" t="str">
            <v>IC</v>
          </cell>
          <cell r="D11047">
            <v>0.5</v>
          </cell>
          <cell r="H11047" t="str">
            <v>petroleum</v>
          </cell>
        </row>
        <row r="11048">
          <cell r="C11048" t="str">
            <v>IC</v>
          </cell>
          <cell r="D11048">
            <v>1</v>
          </cell>
          <cell r="H11048" t="str">
            <v>petroleum</v>
          </cell>
        </row>
        <row r="11049">
          <cell r="C11049" t="str">
            <v>ST</v>
          </cell>
          <cell r="D11049">
            <v>5</v>
          </cell>
          <cell r="H11049" t="str">
            <v>natural gas peaker</v>
          </cell>
        </row>
        <row r="11050">
          <cell r="C11050" t="str">
            <v>ST</v>
          </cell>
          <cell r="D11050">
            <v>0.6</v>
          </cell>
          <cell r="H11050" t="str">
            <v>natural gas peaker</v>
          </cell>
        </row>
        <row r="11051">
          <cell r="C11051" t="str">
            <v>GT</v>
          </cell>
          <cell r="D11051">
            <v>5.5</v>
          </cell>
          <cell r="H11051" t="str">
            <v>natural gas peaker</v>
          </cell>
        </row>
        <row r="11052">
          <cell r="C11052" t="str">
            <v>GT</v>
          </cell>
          <cell r="D11052">
            <v>9.5</v>
          </cell>
          <cell r="H11052" t="str">
            <v>natural gas peaker</v>
          </cell>
        </row>
        <row r="11053">
          <cell r="C11053" t="str">
            <v>ST</v>
          </cell>
          <cell r="D11053">
            <v>10</v>
          </cell>
          <cell r="H11053" t="str">
            <v>natural gas peaker</v>
          </cell>
        </row>
        <row r="11054">
          <cell r="C11054" t="str">
            <v>ST</v>
          </cell>
          <cell r="D11054">
            <v>5</v>
          </cell>
          <cell r="H11054" t="str">
            <v>natural gas peaker</v>
          </cell>
        </row>
        <row r="11055">
          <cell r="C11055" t="str">
            <v>ST</v>
          </cell>
          <cell r="D11055">
            <v>7.5</v>
          </cell>
          <cell r="H11055" t="str">
            <v>natural gas peaker</v>
          </cell>
        </row>
        <row r="11056">
          <cell r="C11056" t="str">
            <v>ST</v>
          </cell>
          <cell r="D11056">
            <v>45</v>
          </cell>
          <cell r="H11056" t="str">
            <v>biomass</v>
          </cell>
        </row>
        <row r="11057">
          <cell r="C11057" t="str">
            <v>IC</v>
          </cell>
          <cell r="D11057">
            <v>2.5</v>
          </cell>
          <cell r="H11057" t="str">
            <v>petroleum</v>
          </cell>
        </row>
        <row r="11058">
          <cell r="C11058" t="str">
            <v>IC</v>
          </cell>
          <cell r="D11058">
            <v>2.5</v>
          </cell>
          <cell r="H11058" t="str">
            <v>petroleum</v>
          </cell>
        </row>
        <row r="11059">
          <cell r="C11059" t="str">
            <v>IC</v>
          </cell>
          <cell r="D11059">
            <v>2.5</v>
          </cell>
          <cell r="H11059" t="str">
            <v>petroleum</v>
          </cell>
        </row>
        <row r="11060">
          <cell r="C11060" t="str">
            <v>IC</v>
          </cell>
          <cell r="D11060">
            <v>2.5</v>
          </cell>
          <cell r="H11060" t="str">
            <v>petroleum</v>
          </cell>
        </row>
        <row r="11061">
          <cell r="C11061" t="str">
            <v>IC</v>
          </cell>
          <cell r="D11061">
            <v>2.5</v>
          </cell>
          <cell r="H11061" t="str">
            <v>petroleum</v>
          </cell>
        </row>
        <row r="11062">
          <cell r="C11062" t="str">
            <v>IC</v>
          </cell>
          <cell r="D11062">
            <v>2.5</v>
          </cell>
          <cell r="H11062" t="str">
            <v>petroleum</v>
          </cell>
        </row>
        <row r="11063">
          <cell r="C11063" t="str">
            <v>IC</v>
          </cell>
          <cell r="D11063">
            <v>2.5</v>
          </cell>
          <cell r="H11063" t="str">
            <v>petroleum</v>
          </cell>
        </row>
        <row r="11064">
          <cell r="C11064" t="str">
            <v>IC</v>
          </cell>
          <cell r="D11064">
            <v>2.5</v>
          </cell>
          <cell r="H11064" t="str">
            <v>petroleum</v>
          </cell>
        </row>
        <row r="11065">
          <cell r="C11065" t="str">
            <v>IC</v>
          </cell>
          <cell r="D11065">
            <v>2.5</v>
          </cell>
          <cell r="H11065" t="str">
            <v>petroleum</v>
          </cell>
        </row>
        <row r="11066">
          <cell r="C11066" t="str">
            <v>IC</v>
          </cell>
          <cell r="D11066">
            <v>2.5</v>
          </cell>
          <cell r="H11066" t="str">
            <v>petroleum</v>
          </cell>
        </row>
        <row r="11067">
          <cell r="C11067" t="str">
            <v>IC</v>
          </cell>
          <cell r="D11067">
            <v>2.5</v>
          </cell>
          <cell r="H11067" t="str">
            <v>petroleum</v>
          </cell>
        </row>
        <row r="11068">
          <cell r="C11068" t="str">
            <v>IC</v>
          </cell>
          <cell r="D11068">
            <v>2.5</v>
          </cell>
          <cell r="H11068" t="str">
            <v>petroleum</v>
          </cell>
        </row>
        <row r="11069">
          <cell r="C11069" t="str">
            <v>GT</v>
          </cell>
          <cell r="D11069">
            <v>6.4</v>
          </cell>
          <cell r="H11069" t="str">
            <v>natural gas peaker</v>
          </cell>
        </row>
        <row r="11070">
          <cell r="C11070" t="str">
            <v>HY</v>
          </cell>
          <cell r="D11070">
            <v>9</v>
          </cell>
          <cell r="H11070" t="str">
            <v>hydro</v>
          </cell>
        </row>
        <row r="11071">
          <cell r="C11071" t="str">
            <v>HY</v>
          </cell>
          <cell r="D11071">
            <v>9</v>
          </cell>
          <cell r="H11071" t="str">
            <v>hydro</v>
          </cell>
        </row>
        <row r="11072">
          <cell r="C11072" t="str">
            <v>HY</v>
          </cell>
          <cell r="D11072">
            <v>2.1</v>
          </cell>
          <cell r="H11072" t="str">
            <v>hydro</v>
          </cell>
        </row>
        <row r="11073">
          <cell r="C11073" t="str">
            <v>ST</v>
          </cell>
          <cell r="D11073">
            <v>1.8</v>
          </cell>
          <cell r="H11073" t="str">
            <v>natural gas peaker</v>
          </cell>
        </row>
        <row r="11074">
          <cell r="C11074" t="str">
            <v>HY</v>
          </cell>
          <cell r="D11074">
            <v>3.3</v>
          </cell>
          <cell r="H11074" t="str">
            <v>hydro</v>
          </cell>
        </row>
        <row r="11075">
          <cell r="C11075" t="str">
            <v>HY</v>
          </cell>
          <cell r="D11075">
            <v>1.2</v>
          </cell>
          <cell r="H11075" t="str">
            <v>hydro</v>
          </cell>
        </row>
        <row r="11076">
          <cell r="C11076" t="str">
            <v>GT</v>
          </cell>
          <cell r="D11076">
            <v>4.5</v>
          </cell>
          <cell r="H11076" t="str">
            <v>natural gas peaker</v>
          </cell>
        </row>
        <row r="11077">
          <cell r="C11077" t="str">
            <v>ST</v>
          </cell>
          <cell r="D11077">
            <v>2.7</v>
          </cell>
          <cell r="H11077" t="str">
            <v>natural gas peaker</v>
          </cell>
        </row>
        <row r="11078">
          <cell r="C11078" t="str">
            <v>IC</v>
          </cell>
          <cell r="D11078">
            <v>2.5</v>
          </cell>
          <cell r="H11078" t="str">
            <v>petroleum</v>
          </cell>
        </row>
        <row r="11079">
          <cell r="C11079" t="str">
            <v>IC</v>
          </cell>
          <cell r="D11079">
            <v>2.7</v>
          </cell>
          <cell r="H11079" t="str">
            <v>natural gas peaker</v>
          </cell>
        </row>
        <row r="11080">
          <cell r="C11080" t="str">
            <v>IC</v>
          </cell>
          <cell r="D11080">
            <v>2.5</v>
          </cell>
          <cell r="H11080" t="str">
            <v>petroleum</v>
          </cell>
        </row>
        <row r="11081">
          <cell r="C11081" t="str">
            <v>ST</v>
          </cell>
          <cell r="D11081">
            <v>2</v>
          </cell>
          <cell r="H11081" t="str">
            <v>natural gas peaker</v>
          </cell>
        </row>
        <row r="11082">
          <cell r="C11082" t="str">
            <v>ST</v>
          </cell>
          <cell r="D11082">
            <v>2</v>
          </cell>
          <cell r="H11082" t="str">
            <v>natural gas peaker</v>
          </cell>
        </row>
        <row r="11083">
          <cell r="C11083" t="str">
            <v>HY</v>
          </cell>
          <cell r="D11083">
            <v>12.4</v>
          </cell>
          <cell r="H11083" t="str">
            <v>hydro</v>
          </cell>
        </row>
        <row r="11084">
          <cell r="C11084" t="str">
            <v>GT</v>
          </cell>
          <cell r="D11084">
            <v>40</v>
          </cell>
          <cell r="H11084" t="str">
            <v>natural gas peaker</v>
          </cell>
        </row>
        <row r="11085">
          <cell r="C11085" t="str">
            <v>GT</v>
          </cell>
          <cell r="D11085">
            <v>40</v>
          </cell>
          <cell r="H11085" t="str">
            <v>natural gas peaker</v>
          </cell>
        </row>
        <row r="11086">
          <cell r="C11086" t="str">
            <v>GT</v>
          </cell>
          <cell r="D11086">
            <v>40</v>
          </cell>
          <cell r="H11086" t="str">
            <v>natural gas peaker</v>
          </cell>
        </row>
        <row r="11087">
          <cell r="C11087" t="str">
            <v>CT</v>
          </cell>
          <cell r="D11087">
            <v>36</v>
          </cell>
          <cell r="H11087" t="str">
            <v>natural gas nonpeaker</v>
          </cell>
        </row>
        <row r="11088">
          <cell r="C11088" t="str">
            <v>CT</v>
          </cell>
          <cell r="D11088">
            <v>36</v>
          </cell>
          <cell r="H11088" t="str">
            <v>natural gas nonpeaker</v>
          </cell>
        </row>
        <row r="11089">
          <cell r="C11089" t="str">
            <v>CA</v>
          </cell>
          <cell r="D11089">
            <v>29</v>
          </cell>
          <cell r="H11089" t="str">
            <v>natural gas nonpeaker</v>
          </cell>
        </row>
        <row r="11090">
          <cell r="C11090" t="str">
            <v>IC</v>
          </cell>
          <cell r="D11090">
            <v>1.8</v>
          </cell>
          <cell r="H11090" t="str">
            <v>petroleum</v>
          </cell>
        </row>
        <row r="11091">
          <cell r="C11091" t="str">
            <v>IC</v>
          </cell>
          <cell r="D11091">
            <v>1.8</v>
          </cell>
          <cell r="H11091" t="str">
            <v>petroleum</v>
          </cell>
        </row>
        <row r="11092">
          <cell r="C11092" t="str">
            <v>ST</v>
          </cell>
          <cell r="D11092">
            <v>28.7</v>
          </cell>
          <cell r="H11092" t="str">
            <v>hard coal</v>
          </cell>
        </row>
        <row r="11093">
          <cell r="C11093" t="str">
            <v>ST</v>
          </cell>
          <cell r="D11093">
            <v>14.5</v>
          </cell>
          <cell r="H11093" t="str">
            <v>biomass</v>
          </cell>
        </row>
        <row r="11094">
          <cell r="C11094" t="str">
            <v>HY</v>
          </cell>
          <cell r="D11094">
            <v>1.3</v>
          </cell>
          <cell r="H11094" t="str">
            <v>hydro</v>
          </cell>
        </row>
        <row r="11095">
          <cell r="C11095" t="str">
            <v>HY</v>
          </cell>
          <cell r="D11095">
            <v>2</v>
          </cell>
          <cell r="H11095" t="str">
            <v>hydro</v>
          </cell>
        </row>
        <row r="11096">
          <cell r="C11096" t="str">
            <v>HY</v>
          </cell>
          <cell r="D11096">
            <v>2</v>
          </cell>
          <cell r="H11096" t="str">
            <v>hydro</v>
          </cell>
        </row>
        <row r="11097">
          <cell r="C11097" t="str">
            <v>IC</v>
          </cell>
          <cell r="D11097">
            <v>1.3</v>
          </cell>
          <cell r="H11097" t="str">
            <v>petroleum</v>
          </cell>
        </row>
        <row r="11098">
          <cell r="C11098" t="str">
            <v>IC</v>
          </cell>
          <cell r="D11098">
            <v>0.6</v>
          </cell>
          <cell r="H11098" t="str">
            <v>petroleum</v>
          </cell>
        </row>
        <row r="11099">
          <cell r="C11099" t="str">
            <v>IC</v>
          </cell>
          <cell r="D11099">
            <v>0.6</v>
          </cell>
          <cell r="H11099" t="str">
            <v>petroleum</v>
          </cell>
        </row>
        <row r="11100">
          <cell r="C11100" t="str">
            <v>IC</v>
          </cell>
          <cell r="D11100">
            <v>0.6</v>
          </cell>
          <cell r="H11100" t="str">
            <v>petroleum</v>
          </cell>
        </row>
        <row r="11101">
          <cell r="C11101" t="str">
            <v>IC</v>
          </cell>
          <cell r="D11101">
            <v>0.6</v>
          </cell>
          <cell r="H11101" t="str">
            <v>petroleum</v>
          </cell>
        </row>
        <row r="11102">
          <cell r="C11102" t="str">
            <v>BA</v>
          </cell>
          <cell r="D11102">
            <v>0.3</v>
          </cell>
          <cell r="H11102" t="str">
            <v>other</v>
          </cell>
        </row>
        <row r="11103">
          <cell r="C11103" t="str">
            <v>IC</v>
          </cell>
          <cell r="D11103">
            <v>0.6</v>
          </cell>
          <cell r="H11103" t="str">
            <v>natural gas peaker</v>
          </cell>
        </row>
        <row r="11104">
          <cell r="C11104" t="str">
            <v>IC</v>
          </cell>
          <cell r="D11104">
            <v>0.6</v>
          </cell>
          <cell r="H11104" t="str">
            <v>natural gas peaker</v>
          </cell>
        </row>
        <row r="11105">
          <cell r="C11105" t="str">
            <v>IC</v>
          </cell>
          <cell r="D11105">
            <v>1</v>
          </cell>
          <cell r="H11105" t="str">
            <v>natural gas peaker</v>
          </cell>
        </row>
        <row r="11106">
          <cell r="C11106" t="str">
            <v>WT</v>
          </cell>
          <cell r="D11106">
            <v>7.5</v>
          </cell>
          <cell r="H11106" t="str">
            <v>onshore wind</v>
          </cell>
        </row>
        <row r="11107">
          <cell r="C11107" t="str">
            <v>WT</v>
          </cell>
          <cell r="D11107">
            <v>3</v>
          </cell>
          <cell r="H11107" t="str">
            <v>onshore wind</v>
          </cell>
        </row>
        <row r="11108">
          <cell r="C11108" t="str">
            <v>WT</v>
          </cell>
          <cell r="D11108">
            <v>4.5</v>
          </cell>
          <cell r="H11108" t="str">
            <v>onshore wind</v>
          </cell>
        </row>
        <row r="11109">
          <cell r="C11109" t="str">
            <v>WT</v>
          </cell>
          <cell r="D11109">
            <v>0.1</v>
          </cell>
          <cell r="H11109" t="str">
            <v>onshore wind</v>
          </cell>
        </row>
        <row r="11110">
          <cell r="C11110" t="str">
            <v>HY</v>
          </cell>
          <cell r="D11110">
            <v>1.6</v>
          </cell>
          <cell r="H11110" t="str">
            <v>hydro</v>
          </cell>
        </row>
        <row r="11111">
          <cell r="C11111" t="str">
            <v>HY</v>
          </cell>
          <cell r="D11111">
            <v>1.6</v>
          </cell>
          <cell r="H11111" t="str">
            <v>hydro</v>
          </cell>
        </row>
        <row r="11112">
          <cell r="C11112" t="str">
            <v>ST</v>
          </cell>
          <cell r="D11112">
            <v>237.9</v>
          </cell>
          <cell r="H11112" t="str">
            <v>hard coal</v>
          </cell>
        </row>
        <row r="11113">
          <cell r="C11113" t="str">
            <v>IC</v>
          </cell>
          <cell r="D11113">
            <v>2.2000000000000002</v>
          </cell>
          <cell r="H11113" t="str">
            <v>petroleum</v>
          </cell>
        </row>
        <row r="11114">
          <cell r="C11114" t="str">
            <v>IC</v>
          </cell>
          <cell r="D11114">
            <v>2.2000000000000002</v>
          </cell>
          <cell r="H11114" t="str">
            <v>petroleum</v>
          </cell>
        </row>
        <row r="11115">
          <cell r="C11115" t="str">
            <v>IC</v>
          </cell>
          <cell r="D11115">
            <v>2.2000000000000002</v>
          </cell>
          <cell r="H11115" t="str">
            <v>petroleum</v>
          </cell>
        </row>
        <row r="11116">
          <cell r="C11116" t="str">
            <v>HY</v>
          </cell>
          <cell r="D11116">
            <v>4.2</v>
          </cell>
          <cell r="H11116" t="str">
            <v>hydro</v>
          </cell>
        </row>
        <row r="11117">
          <cell r="C11117" t="str">
            <v>HY</v>
          </cell>
          <cell r="D11117">
            <v>4.2</v>
          </cell>
          <cell r="H11117" t="str">
            <v>hydro</v>
          </cell>
        </row>
        <row r="11118">
          <cell r="C11118" t="str">
            <v>HY</v>
          </cell>
          <cell r="D11118">
            <v>1.2</v>
          </cell>
          <cell r="H11118" t="str">
            <v>hydro</v>
          </cell>
        </row>
        <row r="11119">
          <cell r="C11119" t="str">
            <v>GT</v>
          </cell>
          <cell r="D11119">
            <v>15</v>
          </cell>
          <cell r="H11119" t="str">
            <v>natural gas peaker</v>
          </cell>
        </row>
        <row r="11120">
          <cell r="C11120" t="str">
            <v>GT</v>
          </cell>
          <cell r="D11120">
            <v>15</v>
          </cell>
          <cell r="H11120" t="str">
            <v>natural gas peaker</v>
          </cell>
        </row>
        <row r="11121">
          <cell r="C11121" t="str">
            <v>GT</v>
          </cell>
          <cell r="D11121">
            <v>15</v>
          </cell>
          <cell r="H11121" t="str">
            <v>natural gas peaker</v>
          </cell>
        </row>
        <row r="11122">
          <cell r="C11122" t="str">
            <v>ST</v>
          </cell>
          <cell r="D11122">
            <v>15</v>
          </cell>
          <cell r="H11122" t="str">
            <v>hard coal</v>
          </cell>
        </row>
        <row r="11123">
          <cell r="C11123" t="str">
            <v>ST</v>
          </cell>
          <cell r="D11123">
            <v>15</v>
          </cell>
          <cell r="H11123" t="str">
            <v>hard coal</v>
          </cell>
        </row>
        <row r="11124">
          <cell r="C11124" t="str">
            <v>GT</v>
          </cell>
          <cell r="D11124">
            <v>4</v>
          </cell>
          <cell r="H11124" t="str">
            <v>natural gas peaker</v>
          </cell>
        </row>
        <row r="11125">
          <cell r="C11125" t="str">
            <v>ST</v>
          </cell>
          <cell r="D11125">
            <v>13</v>
          </cell>
          <cell r="H11125" t="str">
            <v>natural gas peaker</v>
          </cell>
        </row>
        <row r="11126">
          <cell r="C11126" t="str">
            <v>GT</v>
          </cell>
          <cell r="D11126">
            <v>4</v>
          </cell>
          <cell r="H11126" t="str">
            <v>natural gas peaker</v>
          </cell>
        </row>
        <row r="11127">
          <cell r="C11127" t="str">
            <v>GT</v>
          </cell>
          <cell r="D11127">
            <v>4</v>
          </cell>
          <cell r="H11127" t="str">
            <v>natural gas peaker</v>
          </cell>
        </row>
        <row r="11128">
          <cell r="C11128" t="str">
            <v>GT</v>
          </cell>
          <cell r="D11128">
            <v>4</v>
          </cell>
          <cell r="H11128" t="str">
            <v>natural gas peaker</v>
          </cell>
        </row>
        <row r="11129">
          <cell r="C11129" t="str">
            <v>HY</v>
          </cell>
          <cell r="D11129">
            <v>0.6</v>
          </cell>
          <cell r="H11129" t="str">
            <v>hydro</v>
          </cell>
        </row>
        <row r="11130">
          <cell r="C11130" t="str">
            <v>HY</v>
          </cell>
          <cell r="D11130">
            <v>0.7</v>
          </cell>
          <cell r="H11130" t="str">
            <v>hydro</v>
          </cell>
        </row>
        <row r="11131">
          <cell r="C11131" t="str">
            <v>HY</v>
          </cell>
          <cell r="D11131">
            <v>0.8</v>
          </cell>
          <cell r="H11131" t="str">
            <v>hydro</v>
          </cell>
        </row>
        <row r="11132">
          <cell r="C11132" t="str">
            <v>IC</v>
          </cell>
          <cell r="D11132">
            <v>1.5</v>
          </cell>
          <cell r="H11132" t="str">
            <v>petroleum</v>
          </cell>
        </row>
        <row r="11133">
          <cell r="C11133" t="str">
            <v>IC</v>
          </cell>
          <cell r="D11133">
            <v>2</v>
          </cell>
          <cell r="H11133" t="str">
            <v>petroleum</v>
          </cell>
        </row>
        <row r="11134">
          <cell r="C11134" t="str">
            <v>IC</v>
          </cell>
          <cell r="D11134">
            <v>2</v>
          </cell>
          <cell r="H11134" t="str">
            <v>petroleum</v>
          </cell>
        </row>
        <row r="11135">
          <cell r="C11135" t="str">
            <v>IC</v>
          </cell>
          <cell r="D11135">
            <v>2</v>
          </cell>
          <cell r="H11135" t="str">
            <v>petroleum</v>
          </cell>
        </row>
        <row r="11136">
          <cell r="C11136" t="str">
            <v>IC</v>
          </cell>
          <cell r="D11136">
            <v>2</v>
          </cell>
          <cell r="H11136" t="str">
            <v>petroleum</v>
          </cell>
        </row>
        <row r="11137">
          <cell r="C11137" t="str">
            <v>IC</v>
          </cell>
          <cell r="D11137">
            <v>2</v>
          </cell>
          <cell r="H11137" t="str">
            <v>petroleum</v>
          </cell>
        </row>
        <row r="11138">
          <cell r="C11138" t="str">
            <v>IC</v>
          </cell>
          <cell r="D11138">
            <v>1.3</v>
          </cell>
          <cell r="H11138" t="str">
            <v>petroleum</v>
          </cell>
        </row>
        <row r="11139">
          <cell r="C11139" t="str">
            <v>CT</v>
          </cell>
          <cell r="D11139">
            <v>71.2</v>
          </cell>
          <cell r="H11139" t="str">
            <v>natural gas nonpeaker</v>
          </cell>
        </row>
        <row r="11140">
          <cell r="C11140" t="str">
            <v>CT</v>
          </cell>
          <cell r="D11140">
            <v>71.2</v>
          </cell>
          <cell r="H11140" t="str">
            <v>natural gas nonpeaker</v>
          </cell>
        </row>
        <row r="11141">
          <cell r="C11141" t="str">
            <v>CA</v>
          </cell>
          <cell r="D11141">
            <v>76.2</v>
          </cell>
          <cell r="H11141" t="str">
            <v>natural gas nonpeaker</v>
          </cell>
        </row>
        <row r="11142">
          <cell r="C11142" t="str">
            <v>GT</v>
          </cell>
          <cell r="D11142">
            <v>3.7</v>
          </cell>
          <cell r="H11142" t="str">
            <v>natural gas peaker</v>
          </cell>
        </row>
        <row r="11143">
          <cell r="C11143" t="str">
            <v>CT</v>
          </cell>
          <cell r="D11143">
            <v>4.5</v>
          </cell>
          <cell r="H11143" t="str">
            <v>natural gas nonpeaker</v>
          </cell>
        </row>
        <row r="11144">
          <cell r="C11144" t="str">
            <v>CA</v>
          </cell>
          <cell r="D11144">
            <v>0.8</v>
          </cell>
          <cell r="H11144" t="str">
            <v>natural gas nonpeaker</v>
          </cell>
        </row>
        <row r="11145">
          <cell r="C11145" t="str">
            <v>ST</v>
          </cell>
          <cell r="D11145">
            <v>2.5</v>
          </cell>
          <cell r="H11145" t="str">
            <v>natural gas peaker</v>
          </cell>
        </row>
        <row r="11146">
          <cell r="C11146" t="str">
            <v>IC</v>
          </cell>
          <cell r="D11146">
            <v>0.8</v>
          </cell>
          <cell r="H11146" t="str">
            <v>natural gas peaker</v>
          </cell>
        </row>
        <row r="11147">
          <cell r="C11147" t="str">
            <v>IC</v>
          </cell>
          <cell r="D11147">
            <v>0.8</v>
          </cell>
          <cell r="H11147" t="str">
            <v>natural gas peaker</v>
          </cell>
        </row>
        <row r="11148">
          <cell r="C11148" t="str">
            <v>ST</v>
          </cell>
          <cell r="D11148">
            <v>2.5</v>
          </cell>
          <cell r="H11148" t="str">
            <v>biomass</v>
          </cell>
        </row>
        <row r="11149">
          <cell r="C11149" t="str">
            <v>ST</v>
          </cell>
          <cell r="D11149">
            <v>2.5</v>
          </cell>
          <cell r="H11149" t="str">
            <v>biomass</v>
          </cell>
        </row>
        <row r="11150">
          <cell r="C11150" t="str">
            <v>ST</v>
          </cell>
          <cell r="D11150">
            <v>2.5</v>
          </cell>
          <cell r="H11150" t="str">
            <v>biomass</v>
          </cell>
        </row>
        <row r="11151">
          <cell r="C11151" t="str">
            <v>ST</v>
          </cell>
          <cell r="D11151">
            <v>10</v>
          </cell>
          <cell r="H11151" t="str">
            <v>biomass</v>
          </cell>
        </row>
        <row r="11152">
          <cell r="C11152" t="str">
            <v>IC</v>
          </cell>
          <cell r="D11152">
            <v>1.4</v>
          </cell>
          <cell r="H11152" t="str">
            <v>petroleum</v>
          </cell>
        </row>
        <row r="11153">
          <cell r="C11153" t="str">
            <v>HY</v>
          </cell>
          <cell r="D11153">
            <v>2.8</v>
          </cell>
          <cell r="H11153" t="str">
            <v>hydro</v>
          </cell>
        </row>
        <row r="11154">
          <cell r="C11154" t="str">
            <v>HY</v>
          </cell>
          <cell r="D11154">
            <v>1.2</v>
          </cell>
          <cell r="H11154" t="str">
            <v>hydro</v>
          </cell>
        </row>
        <row r="11155">
          <cell r="C11155" t="str">
            <v>HY</v>
          </cell>
          <cell r="D11155">
            <v>0.6</v>
          </cell>
          <cell r="H11155" t="str">
            <v>hydro</v>
          </cell>
        </row>
        <row r="11156">
          <cell r="C11156" t="str">
            <v>HY</v>
          </cell>
          <cell r="D11156">
            <v>0.6</v>
          </cell>
          <cell r="H11156" t="str">
            <v>hydro</v>
          </cell>
        </row>
        <row r="11157">
          <cell r="C11157" t="str">
            <v>HY</v>
          </cell>
          <cell r="D11157">
            <v>0.6</v>
          </cell>
          <cell r="H11157" t="str">
            <v>hydro</v>
          </cell>
        </row>
        <row r="11158">
          <cell r="C11158" t="str">
            <v>HY</v>
          </cell>
          <cell r="D11158">
            <v>0.2</v>
          </cell>
          <cell r="H11158" t="str">
            <v>hydro</v>
          </cell>
        </row>
        <row r="11159">
          <cell r="C11159" t="str">
            <v>HY</v>
          </cell>
          <cell r="D11159">
            <v>0.4</v>
          </cell>
          <cell r="H11159" t="str">
            <v>hydro</v>
          </cell>
        </row>
        <row r="11160">
          <cell r="C11160" t="str">
            <v>HY</v>
          </cell>
          <cell r="D11160">
            <v>0.4</v>
          </cell>
          <cell r="H11160" t="str">
            <v>hydro</v>
          </cell>
        </row>
        <row r="11161">
          <cell r="C11161" t="str">
            <v>HY</v>
          </cell>
          <cell r="D11161">
            <v>0.4</v>
          </cell>
          <cell r="H11161" t="str">
            <v>hydro</v>
          </cell>
        </row>
        <row r="11162">
          <cell r="C11162" t="str">
            <v>HY</v>
          </cell>
          <cell r="D11162">
            <v>20</v>
          </cell>
          <cell r="H11162" t="str">
            <v>hydro</v>
          </cell>
        </row>
        <row r="11163">
          <cell r="C11163" t="str">
            <v>IC</v>
          </cell>
          <cell r="D11163">
            <v>0.5</v>
          </cell>
          <cell r="H11163" t="str">
            <v>biomass</v>
          </cell>
        </row>
        <row r="11164">
          <cell r="C11164" t="str">
            <v>IC</v>
          </cell>
          <cell r="D11164">
            <v>0.5</v>
          </cell>
          <cell r="H11164" t="str">
            <v>biomass</v>
          </cell>
        </row>
        <row r="11165">
          <cell r="C11165" t="str">
            <v>IC</v>
          </cell>
          <cell r="D11165">
            <v>0.5</v>
          </cell>
          <cell r="H11165" t="str">
            <v>biomass</v>
          </cell>
        </row>
        <row r="11166">
          <cell r="C11166" t="str">
            <v>IC</v>
          </cell>
          <cell r="D11166">
            <v>0.5</v>
          </cell>
          <cell r="H11166" t="str">
            <v>biomass</v>
          </cell>
        </row>
        <row r="11167">
          <cell r="C11167" t="str">
            <v>IC</v>
          </cell>
          <cell r="D11167">
            <v>0.5</v>
          </cell>
          <cell r="H11167" t="str">
            <v>biomass</v>
          </cell>
        </row>
        <row r="11168">
          <cell r="C11168" t="str">
            <v>CT</v>
          </cell>
          <cell r="D11168">
            <v>21.7</v>
          </cell>
          <cell r="H11168" t="str">
            <v>natural gas nonpeaker</v>
          </cell>
        </row>
        <row r="11169">
          <cell r="C11169" t="str">
            <v>CT</v>
          </cell>
          <cell r="D11169">
            <v>21.7</v>
          </cell>
          <cell r="H11169" t="str">
            <v>natural gas nonpeaker</v>
          </cell>
        </row>
        <row r="11170">
          <cell r="C11170" t="str">
            <v>CT</v>
          </cell>
          <cell r="D11170">
            <v>21.7</v>
          </cell>
          <cell r="H11170" t="str">
            <v>natural gas nonpeaker</v>
          </cell>
        </row>
        <row r="11171">
          <cell r="C11171" t="str">
            <v>CA</v>
          </cell>
          <cell r="D11171">
            <v>28</v>
          </cell>
          <cell r="H11171" t="str">
            <v>natural gas nonpeaker</v>
          </cell>
        </row>
        <row r="11172">
          <cell r="C11172" t="str">
            <v>CT</v>
          </cell>
          <cell r="D11172">
            <v>20.5</v>
          </cell>
          <cell r="H11172" t="str">
            <v>natural gas nonpeaker</v>
          </cell>
        </row>
        <row r="11173">
          <cell r="C11173" t="str">
            <v>CT</v>
          </cell>
          <cell r="D11173">
            <v>20.5</v>
          </cell>
          <cell r="H11173" t="str">
            <v>natural gas nonpeaker</v>
          </cell>
        </row>
        <row r="11174">
          <cell r="C11174" t="str">
            <v>CT</v>
          </cell>
          <cell r="D11174">
            <v>20.5</v>
          </cell>
          <cell r="H11174" t="str">
            <v>natural gas nonpeaker</v>
          </cell>
        </row>
        <row r="11175">
          <cell r="C11175" t="str">
            <v>CA</v>
          </cell>
          <cell r="D11175">
            <v>24</v>
          </cell>
          <cell r="H11175" t="str">
            <v>natural gas nonpeaker</v>
          </cell>
        </row>
        <row r="11176">
          <cell r="C11176" t="str">
            <v>HY</v>
          </cell>
          <cell r="D11176">
            <v>2.5</v>
          </cell>
          <cell r="H11176" t="str">
            <v>hydro</v>
          </cell>
        </row>
        <row r="11177">
          <cell r="C11177" t="str">
            <v>HY</v>
          </cell>
          <cell r="D11177">
            <v>2.5</v>
          </cell>
          <cell r="H11177" t="str">
            <v>hydro</v>
          </cell>
        </row>
        <row r="11178">
          <cell r="C11178" t="str">
            <v>HY</v>
          </cell>
          <cell r="D11178">
            <v>2.5</v>
          </cell>
          <cell r="H11178" t="str">
            <v>hydro</v>
          </cell>
        </row>
        <row r="11179">
          <cell r="C11179" t="str">
            <v>ST</v>
          </cell>
          <cell r="D11179">
            <v>25.3</v>
          </cell>
          <cell r="H11179" t="str">
            <v>biomass</v>
          </cell>
        </row>
        <row r="11180">
          <cell r="C11180" t="str">
            <v>ST</v>
          </cell>
          <cell r="D11180">
            <v>36.5</v>
          </cell>
          <cell r="H11180" t="str">
            <v>natural gas peaker</v>
          </cell>
        </row>
        <row r="11181">
          <cell r="C11181" t="str">
            <v>ST</v>
          </cell>
          <cell r="D11181">
            <v>17.5</v>
          </cell>
          <cell r="H11181" t="str">
            <v>biomass</v>
          </cell>
        </row>
        <row r="11182">
          <cell r="C11182" t="str">
            <v>IC</v>
          </cell>
          <cell r="D11182">
            <v>0.7</v>
          </cell>
          <cell r="H11182" t="str">
            <v>petroleum</v>
          </cell>
        </row>
        <row r="11183">
          <cell r="C11183" t="str">
            <v>IC</v>
          </cell>
          <cell r="D11183">
            <v>2</v>
          </cell>
          <cell r="H11183" t="str">
            <v>petroleum</v>
          </cell>
        </row>
        <row r="11184">
          <cell r="C11184" t="str">
            <v>IC</v>
          </cell>
          <cell r="D11184">
            <v>2</v>
          </cell>
          <cell r="H11184" t="str">
            <v>petroleum</v>
          </cell>
        </row>
        <row r="11185">
          <cell r="C11185" t="str">
            <v>IC</v>
          </cell>
          <cell r="D11185">
            <v>0.6</v>
          </cell>
          <cell r="H11185" t="str">
            <v>petroleum</v>
          </cell>
        </row>
        <row r="11186">
          <cell r="C11186" t="str">
            <v>IC</v>
          </cell>
          <cell r="D11186">
            <v>0.6</v>
          </cell>
          <cell r="H11186" t="str">
            <v>petroleum</v>
          </cell>
        </row>
        <row r="11187">
          <cell r="C11187" t="str">
            <v>IC</v>
          </cell>
          <cell r="D11187">
            <v>0.8</v>
          </cell>
          <cell r="H11187" t="str">
            <v>petroleum</v>
          </cell>
        </row>
        <row r="11188">
          <cell r="C11188" t="str">
            <v>IC</v>
          </cell>
          <cell r="D11188">
            <v>0.8</v>
          </cell>
          <cell r="H11188" t="str">
            <v>petroleum</v>
          </cell>
        </row>
        <row r="11189">
          <cell r="C11189" t="str">
            <v>IC</v>
          </cell>
          <cell r="D11189">
            <v>2</v>
          </cell>
          <cell r="H11189" t="str">
            <v>petroleum</v>
          </cell>
        </row>
        <row r="11190">
          <cell r="C11190" t="str">
            <v>IC</v>
          </cell>
          <cell r="D11190">
            <v>0.9</v>
          </cell>
          <cell r="H11190" t="str">
            <v>petroleum</v>
          </cell>
        </row>
        <row r="11191">
          <cell r="C11191" t="str">
            <v>IC</v>
          </cell>
          <cell r="D11191">
            <v>2</v>
          </cell>
          <cell r="H11191" t="str">
            <v>petroleum</v>
          </cell>
        </row>
        <row r="11192">
          <cell r="C11192" t="str">
            <v>CT</v>
          </cell>
          <cell r="D11192">
            <v>43</v>
          </cell>
          <cell r="H11192" t="str">
            <v>natural gas nonpeaker</v>
          </cell>
        </row>
        <row r="11193">
          <cell r="C11193" t="str">
            <v>CT</v>
          </cell>
          <cell r="D11193">
            <v>43</v>
          </cell>
          <cell r="H11193" t="str">
            <v>natural gas nonpeaker</v>
          </cell>
        </row>
        <row r="11194">
          <cell r="C11194" t="str">
            <v>CA</v>
          </cell>
          <cell r="D11194">
            <v>24.6</v>
          </cell>
          <cell r="H11194" t="str">
            <v>natural gas nonpeaker</v>
          </cell>
        </row>
        <row r="11195">
          <cell r="C11195" t="str">
            <v>CT</v>
          </cell>
          <cell r="D11195">
            <v>15</v>
          </cell>
          <cell r="H11195" t="str">
            <v>natural gas nonpeaker</v>
          </cell>
        </row>
        <row r="11196">
          <cell r="C11196" t="str">
            <v>CT</v>
          </cell>
          <cell r="D11196">
            <v>15</v>
          </cell>
          <cell r="H11196" t="str">
            <v>natural gas nonpeaker</v>
          </cell>
        </row>
        <row r="11197">
          <cell r="C11197" t="str">
            <v>CA</v>
          </cell>
          <cell r="D11197">
            <v>1</v>
          </cell>
          <cell r="H11197" t="str">
            <v>natural gas nonpeaker</v>
          </cell>
        </row>
        <row r="11198">
          <cell r="C11198" t="str">
            <v>IC</v>
          </cell>
          <cell r="D11198">
            <v>1.3</v>
          </cell>
          <cell r="H11198" t="str">
            <v>natural gas peaker</v>
          </cell>
        </row>
        <row r="11199">
          <cell r="C11199" t="str">
            <v>IC</v>
          </cell>
          <cell r="D11199">
            <v>1.3</v>
          </cell>
          <cell r="H11199" t="str">
            <v>natural gas peaker</v>
          </cell>
        </row>
        <row r="11200">
          <cell r="C11200" t="str">
            <v>IC</v>
          </cell>
          <cell r="D11200">
            <v>1.3</v>
          </cell>
          <cell r="H11200" t="str">
            <v>natural gas peaker</v>
          </cell>
        </row>
        <row r="11201">
          <cell r="C11201" t="str">
            <v>ST</v>
          </cell>
          <cell r="D11201">
            <v>0.4</v>
          </cell>
          <cell r="H11201" t="str">
            <v>other</v>
          </cell>
        </row>
        <row r="11202">
          <cell r="C11202" t="str">
            <v>ST</v>
          </cell>
          <cell r="D11202">
            <v>1.3</v>
          </cell>
          <cell r="H11202" t="str">
            <v>other</v>
          </cell>
        </row>
        <row r="11203">
          <cell r="C11203" t="str">
            <v>IC</v>
          </cell>
          <cell r="D11203">
            <v>1.1000000000000001</v>
          </cell>
          <cell r="H11203" t="str">
            <v>petroleum</v>
          </cell>
        </row>
        <row r="11204">
          <cell r="C11204" t="str">
            <v>HY</v>
          </cell>
          <cell r="D11204">
            <v>1</v>
          </cell>
          <cell r="H11204" t="str">
            <v>hydro</v>
          </cell>
        </row>
        <row r="11205">
          <cell r="C11205" t="str">
            <v>HY</v>
          </cell>
          <cell r="D11205">
            <v>0.8</v>
          </cell>
          <cell r="H11205" t="str">
            <v>hydro</v>
          </cell>
        </row>
        <row r="11206">
          <cell r="C11206" t="str">
            <v>HY</v>
          </cell>
          <cell r="D11206">
            <v>1.4</v>
          </cell>
          <cell r="H11206" t="str">
            <v>hydro</v>
          </cell>
        </row>
        <row r="11207">
          <cell r="C11207" t="str">
            <v>HY</v>
          </cell>
          <cell r="D11207">
            <v>2.4</v>
          </cell>
          <cell r="H11207" t="str">
            <v>hydro</v>
          </cell>
        </row>
        <row r="11208">
          <cell r="C11208" t="str">
            <v>HY</v>
          </cell>
          <cell r="D11208">
            <v>4.2</v>
          </cell>
          <cell r="H11208" t="str">
            <v>hydro</v>
          </cell>
        </row>
        <row r="11209">
          <cell r="C11209" t="str">
            <v>HY</v>
          </cell>
          <cell r="D11209">
            <v>1.5</v>
          </cell>
          <cell r="H11209" t="str">
            <v>hydro</v>
          </cell>
        </row>
        <row r="11210">
          <cell r="C11210" t="str">
            <v>HY</v>
          </cell>
          <cell r="D11210">
            <v>0.7</v>
          </cell>
          <cell r="H11210" t="str">
            <v>hydro</v>
          </cell>
        </row>
        <row r="11211">
          <cell r="C11211" t="str">
            <v>HY</v>
          </cell>
          <cell r="D11211">
            <v>2.2000000000000002</v>
          </cell>
          <cell r="H11211" t="str">
            <v>hydro</v>
          </cell>
        </row>
        <row r="11212">
          <cell r="C11212" t="str">
            <v>HY</v>
          </cell>
          <cell r="D11212">
            <v>1.7</v>
          </cell>
          <cell r="H11212" t="str">
            <v>hydro</v>
          </cell>
        </row>
        <row r="11213">
          <cell r="C11213" t="str">
            <v>HY</v>
          </cell>
          <cell r="D11213">
            <v>1.7</v>
          </cell>
          <cell r="H11213" t="str">
            <v>hydro</v>
          </cell>
        </row>
        <row r="11214">
          <cell r="C11214" t="str">
            <v>IC</v>
          </cell>
          <cell r="D11214">
            <v>1</v>
          </cell>
          <cell r="H11214" t="str">
            <v>petroleum</v>
          </cell>
        </row>
        <row r="11215">
          <cell r="C11215" t="str">
            <v>IC</v>
          </cell>
          <cell r="D11215">
            <v>1</v>
          </cell>
          <cell r="H11215" t="str">
            <v>petroleum</v>
          </cell>
        </row>
        <row r="11216">
          <cell r="C11216" t="str">
            <v>ST</v>
          </cell>
          <cell r="D11216">
            <v>1</v>
          </cell>
          <cell r="H11216" t="str">
            <v>natural gas peaker</v>
          </cell>
        </row>
        <row r="11217">
          <cell r="C11217" t="str">
            <v>ST</v>
          </cell>
          <cell r="D11217">
            <v>1</v>
          </cell>
          <cell r="H11217" t="str">
            <v>natural gas peaker</v>
          </cell>
        </row>
        <row r="11218">
          <cell r="C11218" t="str">
            <v>IC</v>
          </cell>
          <cell r="D11218">
            <v>0.8</v>
          </cell>
          <cell r="H11218" t="str">
            <v>petroleum</v>
          </cell>
        </row>
        <row r="11219">
          <cell r="C11219" t="str">
            <v>IC</v>
          </cell>
          <cell r="D11219">
            <v>1.5</v>
          </cell>
          <cell r="H11219" t="str">
            <v>petroleum</v>
          </cell>
        </row>
        <row r="11220">
          <cell r="C11220" t="str">
            <v>ST</v>
          </cell>
          <cell r="D11220">
            <v>9.6999999999999993</v>
          </cell>
          <cell r="H11220" t="str">
            <v>natural gas peaker</v>
          </cell>
        </row>
        <row r="11221">
          <cell r="C11221" t="str">
            <v>IC</v>
          </cell>
          <cell r="D11221">
            <v>1.3</v>
          </cell>
          <cell r="H11221" t="str">
            <v>petroleum</v>
          </cell>
        </row>
        <row r="11222">
          <cell r="C11222" t="str">
            <v>ST</v>
          </cell>
          <cell r="D11222">
            <v>2</v>
          </cell>
          <cell r="H11222" t="str">
            <v>petroleum</v>
          </cell>
        </row>
        <row r="11223">
          <cell r="C11223" t="str">
            <v>ST</v>
          </cell>
          <cell r="D11223">
            <v>2</v>
          </cell>
          <cell r="H11223" t="str">
            <v>petroleum</v>
          </cell>
        </row>
        <row r="11224">
          <cell r="C11224" t="str">
            <v>ST</v>
          </cell>
          <cell r="D11224">
            <v>3</v>
          </cell>
          <cell r="H11224" t="str">
            <v>petroleum</v>
          </cell>
        </row>
        <row r="11225">
          <cell r="C11225" t="str">
            <v>GT</v>
          </cell>
          <cell r="D11225">
            <v>19.600000000000001</v>
          </cell>
          <cell r="H11225" t="str">
            <v>natural gas peaker</v>
          </cell>
        </row>
        <row r="11226">
          <cell r="C11226" t="str">
            <v>IC</v>
          </cell>
          <cell r="D11226">
            <v>1.4</v>
          </cell>
          <cell r="H11226" t="str">
            <v>petroleum</v>
          </cell>
        </row>
        <row r="11227">
          <cell r="C11227" t="str">
            <v>IC</v>
          </cell>
          <cell r="D11227">
            <v>1.4</v>
          </cell>
          <cell r="H11227" t="str">
            <v>petroleum</v>
          </cell>
        </row>
        <row r="11228">
          <cell r="C11228" t="str">
            <v>IC</v>
          </cell>
          <cell r="D11228">
            <v>1.4</v>
          </cell>
          <cell r="H11228" t="str">
            <v>petroleum</v>
          </cell>
        </row>
        <row r="11229">
          <cell r="C11229" t="str">
            <v>IC</v>
          </cell>
          <cell r="D11229">
            <v>1.4</v>
          </cell>
          <cell r="H11229" t="str">
            <v>petroleum</v>
          </cell>
        </row>
        <row r="11230">
          <cell r="C11230" t="str">
            <v>IC</v>
          </cell>
          <cell r="D11230">
            <v>1.4</v>
          </cell>
          <cell r="H11230" t="str">
            <v>petroleum</v>
          </cell>
        </row>
        <row r="11231">
          <cell r="C11231" t="str">
            <v>IC</v>
          </cell>
          <cell r="D11231">
            <v>1.4</v>
          </cell>
          <cell r="H11231" t="str">
            <v>petroleum</v>
          </cell>
        </row>
        <row r="11232">
          <cell r="C11232" t="str">
            <v>ST</v>
          </cell>
          <cell r="D11232">
            <v>38</v>
          </cell>
          <cell r="H11232" t="str">
            <v>biomass</v>
          </cell>
        </row>
        <row r="11233">
          <cell r="C11233" t="str">
            <v>HY</v>
          </cell>
          <cell r="D11233">
            <v>0.7</v>
          </cell>
          <cell r="H11233" t="str">
            <v>hydro</v>
          </cell>
        </row>
        <row r="11234">
          <cell r="C11234" t="str">
            <v>HY</v>
          </cell>
          <cell r="D11234">
            <v>0.7</v>
          </cell>
          <cell r="H11234" t="str">
            <v>hydro</v>
          </cell>
        </row>
        <row r="11235">
          <cell r="C11235" t="str">
            <v>IC</v>
          </cell>
          <cell r="D11235">
            <v>1</v>
          </cell>
          <cell r="H11235" t="str">
            <v>petroleum</v>
          </cell>
        </row>
        <row r="11236">
          <cell r="C11236" t="str">
            <v>IC</v>
          </cell>
          <cell r="D11236">
            <v>1</v>
          </cell>
          <cell r="H11236" t="str">
            <v>petroleum</v>
          </cell>
        </row>
        <row r="11237">
          <cell r="C11237" t="str">
            <v>IC</v>
          </cell>
          <cell r="D11237">
            <v>2.2000000000000002</v>
          </cell>
          <cell r="H11237" t="str">
            <v>petroleum</v>
          </cell>
        </row>
        <row r="11238">
          <cell r="C11238" t="str">
            <v>IC</v>
          </cell>
          <cell r="D11238">
            <v>2.2999999999999998</v>
          </cell>
          <cell r="H11238" t="str">
            <v>petroleum</v>
          </cell>
        </row>
        <row r="11239">
          <cell r="C11239" t="str">
            <v>IC</v>
          </cell>
          <cell r="D11239">
            <v>2.2999999999999998</v>
          </cell>
          <cell r="H11239" t="str">
            <v>petroleum</v>
          </cell>
        </row>
        <row r="11240">
          <cell r="C11240" t="str">
            <v>IC</v>
          </cell>
          <cell r="D11240">
            <v>2.2000000000000002</v>
          </cell>
          <cell r="H11240" t="str">
            <v>petroleum</v>
          </cell>
        </row>
        <row r="11241">
          <cell r="C11241" t="str">
            <v>IC</v>
          </cell>
          <cell r="D11241">
            <v>2.2999999999999998</v>
          </cell>
          <cell r="H11241" t="str">
            <v>petroleum</v>
          </cell>
        </row>
        <row r="11242">
          <cell r="C11242" t="str">
            <v>IC</v>
          </cell>
          <cell r="D11242">
            <v>2.2000000000000002</v>
          </cell>
          <cell r="H11242" t="str">
            <v>petroleum</v>
          </cell>
        </row>
        <row r="11243">
          <cell r="C11243" t="str">
            <v>CT</v>
          </cell>
          <cell r="D11243">
            <v>78</v>
          </cell>
          <cell r="H11243" t="str">
            <v>natural gas nonpeaker</v>
          </cell>
        </row>
        <row r="11244">
          <cell r="C11244" t="str">
            <v>CA</v>
          </cell>
          <cell r="D11244">
            <v>37</v>
          </cell>
          <cell r="H11244" t="str">
            <v>natural gas nonpeaker</v>
          </cell>
        </row>
        <row r="11245">
          <cell r="C11245" t="str">
            <v>ST</v>
          </cell>
          <cell r="D11245">
            <v>34.4</v>
          </cell>
          <cell r="H11245" t="str">
            <v>biomass</v>
          </cell>
        </row>
        <row r="11246">
          <cell r="C11246" t="str">
            <v>ST</v>
          </cell>
          <cell r="D11246">
            <v>22.5</v>
          </cell>
          <cell r="H11246" t="str">
            <v>biomass</v>
          </cell>
        </row>
        <row r="11247">
          <cell r="C11247" t="str">
            <v>ST</v>
          </cell>
          <cell r="D11247">
            <v>34.9</v>
          </cell>
          <cell r="H11247" t="str">
            <v>biomass</v>
          </cell>
        </row>
        <row r="11248">
          <cell r="C11248" t="str">
            <v>ST</v>
          </cell>
          <cell r="D11248">
            <v>68.7</v>
          </cell>
          <cell r="H11248" t="str">
            <v>biomass</v>
          </cell>
        </row>
        <row r="11249">
          <cell r="C11249" t="str">
            <v>GT</v>
          </cell>
          <cell r="D11249">
            <v>4</v>
          </cell>
          <cell r="H11249" t="str">
            <v>natural gas peaker</v>
          </cell>
        </row>
        <row r="11250">
          <cell r="C11250" t="str">
            <v>GT</v>
          </cell>
          <cell r="D11250">
            <v>2.5</v>
          </cell>
          <cell r="H11250" t="str">
            <v>natural gas peaker</v>
          </cell>
        </row>
        <row r="11251">
          <cell r="C11251" t="str">
            <v>GT</v>
          </cell>
          <cell r="D11251">
            <v>2.5</v>
          </cell>
          <cell r="H11251" t="str">
            <v>natural gas peaker</v>
          </cell>
        </row>
        <row r="11252">
          <cell r="C11252" t="str">
            <v>OT</v>
          </cell>
          <cell r="D11252">
            <v>6.1</v>
          </cell>
          <cell r="H11252" t="str">
            <v>other</v>
          </cell>
        </row>
        <row r="11253">
          <cell r="C11253" t="str">
            <v>GT</v>
          </cell>
          <cell r="D11253">
            <v>45</v>
          </cell>
          <cell r="H11253" t="str">
            <v>other</v>
          </cell>
        </row>
        <row r="11254">
          <cell r="C11254" t="str">
            <v>GT</v>
          </cell>
          <cell r="D11254">
            <v>2.5</v>
          </cell>
          <cell r="H11254" t="str">
            <v>natural gas peaker</v>
          </cell>
        </row>
        <row r="11255">
          <cell r="C11255" t="str">
            <v>GT</v>
          </cell>
          <cell r="D11255">
            <v>2.5</v>
          </cell>
          <cell r="H11255" t="str">
            <v>natural gas peaker</v>
          </cell>
        </row>
        <row r="11256">
          <cell r="C11256" t="str">
            <v>GT</v>
          </cell>
          <cell r="D11256">
            <v>2.5</v>
          </cell>
          <cell r="H11256" t="str">
            <v>natural gas peaker</v>
          </cell>
        </row>
        <row r="11257">
          <cell r="C11257" t="str">
            <v>GT</v>
          </cell>
          <cell r="D11257">
            <v>2.5</v>
          </cell>
          <cell r="H11257" t="str">
            <v>natural gas peaker</v>
          </cell>
        </row>
        <row r="11258">
          <cell r="C11258" t="str">
            <v>GT</v>
          </cell>
          <cell r="D11258">
            <v>2.5</v>
          </cell>
          <cell r="H11258" t="str">
            <v>natural gas peaker</v>
          </cell>
        </row>
        <row r="11259">
          <cell r="C11259" t="str">
            <v>WT</v>
          </cell>
          <cell r="D11259">
            <v>15.5</v>
          </cell>
          <cell r="H11259" t="str">
            <v>onshore wind</v>
          </cell>
        </row>
        <row r="11260">
          <cell r="C11260" t="str">
            <v>WT</v>
          </cell>
          <cell r="D11260">
            <v>49.5</v>
          </cell>
          <cell r="H11260" t="str">
            <v>onshore wind</v>
          </cell>
        </row>
        <row r="11261">
          <cell r="C11261" t="str">
            <v>IC</v>
          </cell>
          <cell r="D11261">
            <v>1</v>
          </cell>
          <cell r="H11261" t="str">
            <v>petroleum</v>
          </cell>
        </row>
        <row r="11262">
          <cell r="C11262" t="str">
            <v>IC</v>
          </cell>
          <cell r="D11262">
            <v>1</v>
          </cell>
          <cell r="H11262" t="str">
            <v>petroleum</v>
          </cell>
        </row>
        <row r="11263">
          <cell r="C11263" t="str">
            <v>IC</v>
          </cell>
          <cell r="D11263">
            <v>1</v>
          </cell>
          <cell r="H11263" t="str">
            <v>petroleum</v>
          </cell>
        </row>
        <row r="11264">
          <cell r="C11264" t="str">
            <v>IC</v>
          </cell>
          <cell r="D11264">
            <v>1</v>
          </cell>
          <cell r="H11264" t="str">
            <v>petroleum</v>
          </cell>
        </row>
        <row r="11265">
          <cell r="C11265" t="str">
            <v>IC</v>
          </cell>
          <cell r="D11265">
            <v>1</v>
          </cell>
          <cell r="H11265" t="str">
            <v>petroleum</v>
          </cell>
        </row>
        <row r="11266">
          <cell r="C11266" t="str">
            <v>IC</v>
          </cell>
          <cell r="D11266">
            <v>1.4</v>
          </cell>
          <cell r="H11266" t="str">
            <v>petroleum</v>
          </cell>
        </row>
        <row r="11267">
          <cell r="C11267" t="str">
            <v>IC</v>
          </cell>
          <cell r="D11267">
            <v>1.4</v>
          </cell>
          <cell r="H11267" t="str">
            <v>petroleum</v>
          </cell>
        </row>
        <row r="11268">
          <cell r="C11268" t="str">
            <v>HY</v>
          </cell>
          <cell r="D11268">
            <v>0.5</v>
          </cell>
          <cell r="H11268" t="str">
            <v>hydro</v>
          </cell>
        </row>
        <row r="11269">
          <cell r="C11269" t="str">
            <v>HY</v>
          </cell>
          <cell r="D11269">
            <v>0.5</v>
          </cell>
          <cell r="H11269" t="str">
            <v>hydro</v>
          </cell>
        </row>
        <row r="11270">
          <cell r="C11270" t="str">
            <v>ST</v>
          </cell>
          <cell r="D11270">
            <v>7.5</v>
          </cell>
          <cell r="H11270" t="str">
            <v>biomass</v>
          </cell>
        </row>
        <row r="11271">
          <cell r="C11271" t="str">
            <v>ST</v>
          </cell>
          <cell r="D11271">
            <v>4.7</v>
          </cell>
          <cell r="H11271" t="str">
            <v>biomass</v>
          </cell>
        </row>
        <row r="11272">
          <cell r="C11272" t="str">
            <v>ST</v>
          </cell>
          <cell r="D11272">
            <v>4.7</v>
          </cell>
          <cell r="H11272" t="str">
            <v>biomass</v>
          </cell>
        </row>
        <row r="11273">
          <cell r="C11273" t="str">
            <v>ST</v>
          </cell>
          <cell r="D11273">
            <v>20</v>
          </cell>
          <cell r="H11273" t="str">
            <v>biomass</v>
          </cell>
        </row>
        <row r="11274">
          <cell r="C11274" t="str">
            <v>ST</v>
          </cell>
          <cell r="D11274">
            <v>39.5</v>
          </cell>
          <cell r="H11274" t="str">
            <v>biomass</v>
          </cell>
        </row>
        <row r="11275">
          <cell r="C11275" t="str">
            <v>CS</v>
          </cell>
          <cell r="D11275">
            <v>120</v>
          </cell>
          <cell r="H11275" t="str">
            <v>natural gas nonpeaker</v>
          </cell>
        </row>
        <row r="11276">
          <cell r="C11276" t="str">
            <v>HY</v>
          </cell>
          <cell r="D11276">
            <v>0.5</v>
          </cell>
          <cell r="H11276" t="str">
            <v>hydro</v>
          </cell>
        </row>
        <row r="11277">
          <cell r="C11277" t="str">
            <v>HY</v>
          </cell>
          <cell r="D11277">
            <v>0.5</v>
          </cell>
          <cell r="H11277" t="str">
            <v>hydro</v>
          </cell>
        </row>
        <row r="11278">
          <cell r="C11278" t="str">
            <v>HY</v>
          </cell>
          <cell r="D11278">
            <v>0.5</v>
          </cell>
          <cell r="H11278" t="str">
            <v>hydro</v>
          </cell>
        </row>
        <row r="11279">
          <cell r="C11279" t="str">
            <v>ST</v>
          </cell>
          <cell r="D11279">
            <v>11.5</v>
          </cell>
          <cell r="H11279" t="str">
            <v>other</v>
          </cell>
        </row>
        <row r="11280">
          <cell r="C11280" t="str">
            <v>CT</v>
          </cell>
          <cell r="D11280">
            <v>84.7</v>
          </cell>
          <cell r="H11280" t="str">
            <v>natural gas nonpeaker</v>
          </cell>
        </row>
        <row r="11281">
          <cell r="C11281" t="str">
            <v>CA</v>
          </cell>
          <cell r="D11281">
            <v>40.799999999999997</v>
          </cell>
          <cell r="H11281" t="str">
            <v>natural gas nonpeaker</v>
          </cell>
        </row>
        <row r="11282">
          <cell r="C11282" t="str">
            <v>IC</v>
          </cell>
          <cell r="D11282">
            <v>1.1000000000000001</v>
          </cell>
          <cell r="H11282" t="str">
            <v>natural gas peaker</v>
          </cell>
        </row>
        <row r="11283">
          <cell r="C11283" t="str">
            <v>IC</v>
          </cell>
          <cell r="D11283">
            <v>1.1000000000000001</v>
          </cell>
          <cell r="H11283" t="str">
            <v>natural gas peaker</v>
          </cell>
        </row>
        <row r="11284">
          <cell r="C11284" t="str">
            <v>IC</v>
          </cell>
          <cell r="D11284">
            <v>1.1000000000000001</v>
          </cell>
          <cell r="H11284" t="str">
            <v>natural gas peaker</v>
          </cell>
        </row>
        <row r="11285">
          <cell r="C11285" t="str">
            <v>IC</v>
          </cell>
          <cell r="D11285">
            <v>1.1000000000000001</v>
          </cell>
          <cell r="H11285" t="str">
            <v>natural gas peaker</v>
          </cell>
        </row>
        <row r="11286">
          <cell r="C11286" t="str">
            <v>IC</v>
          </cell>
          <cell r="D11286">
            <v>1.1000000000000001</v>
          </cell>
          <cell r="H11286" t="str">
            <v>natural gas peaker</v>
          </cell>
        </row>
        <row r="11287">
          <cell r="C11287" t="str">
            <v>IC</v>
          </cell>
          <cell r="D11287">
            <v>1.1000000000000001</v>
          </cell>
          <cell r="H11287" t="str">
            <v>natural gas peaker</v>
          </cell>
        </row>
        <row r="11288">
          <cell r="C11288" t="str">
            <v>IC</v>
          </cell>
          <cell r="D11288">
            <v>1.1000000000000001</v>
          </cell>
          <cell r="H11288" t="str">
            <v>natural gas peaker</v>
          </cell>
        </row>
        <row r="11289">
          <cell r="C11289" t="str">
            <v>ST</v>
          </cell>
          <cell r="D11289">
            <v>3.4</v>
          </cell>
          <cell r="H11289" t="str">
            <v>natural gas peaker</v>
          </cell>
        </row>
        <row r="11290">
          <cell r="C11290" t="str">
            <v>ST</v>
          </cell>
          <cell r="D11290">
            <v>2.2999999999999998</v>
          </cell>
          <cell r="H11290" t="str">
            <v>natural gas peaker</v>
          </cell>
        </row>
        <row r="11291">
          <cell r="C11291" t="str">
            <v>ST</v>
          </cell>
          <cell r="D11291">
            <v>2</v>
          </cell>
          <cell r="H11291" t="str">
            <v>natural gas peaker</v>
          </cell>
        </row>
        <row r="11292">
          <cell r="C11292" t="str">
            <v>IC</v>
          </cell>
          <cell r="D11292">
            <v>0.7</v>
          </cell>
          <cell r="H11292" t="str">
            <v>natural gas peaker</v>
          </cell>
        </row>
        <row r="11293">
          <cell r="C11293" t="str">
            <v>IC</v>
          </cell>
          <cell r="D11293">
            <v>0.7</v>
          </cell>
          <cell r="H11293" t="str">
            <v>natural gas peaker</v>
          </cell>
        </row>
        <row r="11294">
          <cell r="C11294" t="str">
            <v>IC</v>
          </cell>
          <cell r="D11294">
            <v>0.7</v>
          </cell>
          <cell r="H11294" t="str">
            <v>natural gas peaker</v>
          </cell>
        </row>
        <row r="11295">
          <cell r="C11295" t="str">
            <v>IC</v>
          </cell>
          <cell r="D11295">
            <v>0.8</v>
          </cell>
          <cell r="H11295" t="str">
            <v>natural gas peaker</v>
          </cell>
        </row>
        <row r="11296">
          <cell r="C11296" t="str">
            <v>HY</v>
          </cell>
          <cell r="D11296">
            <v>1.3</v>
          </cell>
          <cell r="H11296" t="str">
            <v>hydro</v>
          </cell>
        </row>
        <row r="11297">
          <cell r="C11297" t="str">
            <v>IC</v>
          </cell>
          <cell r="D11297">
            <v>0.7</v>
          </cell>
          <cell r="H11297" t="str">
            <v>petroleum</v>
          </cell>
        </row>
        <row r="11298">
          <cell r="C11298" t="str">
            <v>IC</v>
          </cell>
          <cell r="D11298">
            <v>0.7</v>
          </cell>
          <cell r="H11298" t="str">
            <v>petroleum</v>
          </cell>
        </row>
        <row r="11299">
          <cell r="C11299" t="str">
            <v>IC</v>
          </cell>
          <cell r="D11299">
            <v>0.7</v>
          </cell>
          <cell r="H11299" t="str">
            <v>petroleum</v>
          </cell>
        </row>
        <row r="11300">
          <cell r="C11300" t="str">
            <v>ST</v>
          </cell>
          <cell r="D11300">
            <v>6</v>
          </cell>
          <cell r="H11300" t="str">
            <v>biomass</v>
          </cell>
        </row>
        <row r="11301">
          <cell r="C11301" t="str">
            <v>GT</v>
          </cell>
          <cell r="D11301">
            <v>33</v>
          </cell>
          <cell r="H11301" t="str">
            <v>natural gas peaker</v>
          </cell>
        </row>
        <row r="11302">
          <cell r="C11302" t="str">
            <v>GT</v>
          </cell>
          <cell r="D11302">
            <v>33</v>
          </cell>
          <cell r="H11302" t="str">
            <v>natural gas peaker</v>
          </cell>
        </row>
        <row r="11303">
          <cell r="C11303" t="str">
            <v>ST</v>
          </cell>
          <cell r="D11303">
            <v>8</v>
          </cell>
          <cell r="H11303" t="str">
            <v>natural gas peaker</v>
          </cell>
        </row>
        <row r="11304">
          <cell r="C11304" t="str">
            <v>ST</v>
          </cell>
          <cell r="D11304">
            <v>8</v>
          </cell>
          <cell r="H11304" t="str">
            <v>natural gas peaker</v>
          </cell>
        </row>
        <row r="11305">
          <cell r="C11305" t="str">
            <v>IC</v>
          </cell>
          <cell r="D11305">
            <v>0.9</v>
          </cell>
          <cell r="H11305" t="str">
            <v>natural gas peaker</v>
          </cell>
        </row>
        <row r="11306">
          <cell r="C11306" t="str">
            <v>IC</v>
          </cell>
          <cell r="D11306">
            <v>0.9</v>
          </cell>
          <cell r="H11306" t="str">
            <v>natural gas peaker</v>
          </cell>
        </row>
        <row r="11307">
          <cell r="C11307" t="str">
            <v>GT</v>
          </cell>
          <cell r="D11307">
            <v>4.2</v>
          </cell>
          <cell r="H11307" t="str">
            <v>natural gas peaker</v>
          </cell>
        </row>
        <row r="11308">
          <cell r="C11308" t="str">
            <v>GT</v>
          </cell>
          <cell r="D11308">
            <v>4.2</v>
          </cell>
          <cell r="H11308" t="str">
            <v>biomass</v>
          </cell>
        </row>
        <row r="11309">
          <cell r="C11309" t="str">
            <v>IC</v>
          </cell>
          <cell r="D11309">
            <v>0.8</v>
          </cell>
          <cell r="H11309" t="str">
            <v>natural gas peaker</v>
          </cell>
        </row>
        <row r="11310">
          <cell r="C11310" t="str">
            <v>IC</v>
          </cell>
          <cell r="D11310">
            <v>0.8</v>
          </cell>
          <cell r="H11310" t="str">
            <v>natural gas peaker</v>
          </cell>
        </row>
        <row r="11311">
          <cell r="C11311" t="str">
            <v>IC</v>
          </cell>
          <cell r="D11311">
            <v>0.8</v>
          </cell>
          <cell r="H11311" t="str">
            <v>natural gas peaker</v>
          </cell>
        </row>
        <row r="11312">
          <cell r="C11312" t="str">
            <v>IC</v>
          </cell>
          <cell r="D11312">
            <v>0.8</v>
          </cell>
          <cell r="H11312" t="str">
            <v>natural gas peaker</v>
          </cell>
        </row>
        <row r="11313">
          <cell r="C11313" t="str">
            <v>IC</v>
          </cell>
          <cell r="D11313">
            <v>0.8</v>
          </cell>
          <cell r="H11313" t="str">
            <v>natural gas peaker</v>
          </cell>
        </row>
        <row r="11314">
          <cell r="C11314" t="str">
            <v>IC</v>
          </cell>
          <cell r="D11314">
            <v>0.8</v>
          </cell>
          <cell r="H11314" t="str">
            <v>natural gas peaker</v>
          </cell>
        </row>
        <row r="11315">
          <cell r="C11315" t="str">
            <v>IC</v>
          </cell>
          <cell r="D11315">
            <v>0.8</v>
          </cell>
          <cell r="H11315" t="str">
            <v>natural gas peaker</v>
          </cell>
        </row>
        <row r="11316">
          <cell r="C11316" t="str">
            <v>IC</v>
          </cell>
          <cell r="D11316">
            <v>0.8</v>
          </cell>
          <cell r="H11316" t="str">
            <v>natural gas peaker</v>
          </cell>
        </row>
        <row r="11317">
          <cell r="C11317" t="str">
            <v>IC</v>
          </cell>
          <cell r="D11317">
            <v>0.8</v>
          </cell>
          <cell r="H11317" t="str">
            <v>natural gas peaker</v>
          </cell>
        </row>
        <row r="11318">
          <cell r="C11318" t="str">
            <v>HY</v>
          </cell>
          <cell r="D11318">
            <v>4.7</v>
          </cell>
          <cell r="H11318" t="str">
            <v>hydro</v>
          </cell>
        </row>
        <row r="11319">
          <cell r="C11319" t="str">
            <v>HY</v>
          </cell>
          <cell r="D11319">
            <v>4.7</v>
          </cell>
          <cell r="H11319" t="str">
            <v>hydro</v>
          </cell>
        </row>
        <row r="11320">
          <cell r="C11320" t="str">
            <v>HY</v>
          </cell>
          <cell r="D11320">
            <v>0.4</v>
          </cell>
          <cell r="H11320" t="str">
            <v>hydro</v>
          </cell>
        </row>
        <row r="11321">
          <cell r="C11321" t="str">
            <v>HY</v>
          </cell>
          <cell r="D11321">
            <v>0.4</v>
          </cell>
          <cell r="H11321" t="str">
            <v>hydro</v>
          </cell>
        </row>
        <row r="11322">
          <cell r="C11322" t="str">
            <v>HY</v>
          </cell>
          <cell r="D11322">
            <v>0.4</v>
          </cell>
          <cell r="H11322" t="str">
            <v>hydro</v>
          </cell>
        </row>
        <row r="11323">
          <cell r="C11323" t="str">
            <v>ST</v>
          </cell>
          <cell r="D11323">
            <v>7.5</v>
          </cell>
          <cell r="H11323" t="str">
            <v>hard coal</v>
          </cell>
        </row>
        <row r="11324">
          <cell r="C11324" t="str">
            <v>IC</v>
          </cell>
          <cell r="D11324">
            <v>0.8</v>
          </cell>
          <cell r="H11324" t="str">
            <v>biomass</v>
          </cell>
        </row>
        <row r="11325">
          <cell r="C11325" t="str">
            <v>IC</v>
          </cell>
          <cell r="D11325">
            <v>0.8</v>
          </cell>
          <cell r="H11325" t="str">
            <v>biomass</v>
          </cell>
        </row>
        <row r="11326">
          <cell r="C11326" t="str">
            <v>IC</v>
          </cell>
          <cell r="D11326">
            <v>0.8</v>
          </cell>
          <cell r="H11326" t="str">
            <v>biomass</v>
          </cell>
        </row>
        <row r="11327">
          <cell r="C11327" t="str">
            <v>IC</v>
          </cell>
          <cell r="D11327">
            <v>0.8</v>
          </cell>
          <cell r="H11327" t="str">
            <v>biomass</v>
          </cell>
        </row>
        <row r="11328">
          <cell r="C11328" t="str">
            <v>IC</v>
          </cell>
          <cell r="D11328">
            <v>0.8</v>
          </cell>
          <cell r="H11328" t="str">
            <v>biomass</v>
          </cell>
        </row>
        <row r="11329">
          <cell r="C11329" t="str">
            <v>IC</v>
          </cell>
          <cell r="D11329">
            <v>0.8</v>
          </cell>
          <cell r="H11329" t="str">
            <v>biomass</v>
          </cell>
        </row>
        <row r="11330">
          <cell r="C11330" t="str">
            <v>IC</v>
          </cell>
          <cell r="D11330">
            <v>0.8</v>
          </cell>
          <cell r="H11330" t="str">
            <v>biomass</v>
          </cell>
        </row>
        <row r="11331">
          <cell r="C11331" t="str">
            <v>IC</v>
          </cell>
          <cell r="D11331">
            <v>0.8</v>
          </cell>
          <cell r="H11331" t="str">
            <v>biomass</v>
          </cell>
        </row>
        <row r="11332">
          <cell r="C11332" t="str">
            <v>IC</v>
          </cell>
          <cell r="D11332">
            <v>0.8</v>
          </cell>
          <cell r="H11332" t="str">
            <v>biomass</v>
          </cell>
        </row>
        <row r="11333">
          <cell r="C11333" t="str">
            <v>IC</v>
          </cell>
          <cell r="D11333">
            <v>0.8</v>
          </cell>
          <cell r="H11333" t="str">
            <v>biomass</v>
          </cell>
        </row>
        <row r="11334">
          <cell r="C11334" t="str">
            <v>IC</v>
          </cell>
          <cell r="D11334">
            <v>0.8</v>
          </cell>
          <cell r="H11334" t="str">
            <v>biomass</v>
          </cell>
        </row>
        <row r="11335">
          <cell r="C11335" t="str">
            <v>IC</v>
          </cell>
          <cell r="D11335">
            <v>0.8</v>
          </cell>
          <cell r="H11335" t="str">
            <v>biomass</v>
          </cell>
        </row>
        <row r="11336">
          <cell r="C11336" t="str">
            <v>IC</v>
          </cell>
          <cell r="D11336">
            <v>0.8</v>
          </cell>
          <cell r="H11336" t="str">
            <v>biomass</v>
          </cell>
        </row>
        <row r="11337">
          <cell r="C11337" t="str">
            <v>IC</v>
          </cell>
          <cell r="D11337">
            <v>0.8</v>
          </cell>
          <cell r="H11337" t="str">
            <v>biomass</v>
          </cell>
        </row>
        <row r="11338">
          <cell r="C11338" t="str">
            <v>CT</v>
          </cell>
          <cell r="D11338">
            <v>86</v>
          </cell>
          <cell r="H11338" t="str">
            <v>natural gas nonpeaker</v>
          </cell>
        </row>
        <row r="11339">
          <cell r="C11339" t="str">
            <v>CT</v>
          </cell>
          <cell r="D11339">
            <v>86</v>
          </cell>
          <cell r="H11339" t="str">
            <v>natural gas nonpeaker</v>
          </cell>
        </row>
        <row r="11340">
          <cell r="C11340" t="str">
            <v>CA</v>
          </cell>
          <cell r="D11340">
            <v>98</v>
          </cell>
          <cell r="H11340" t="str">
            <v>natural gas nonpeaker</v>
          </cell>
        </row>
        <row r="11341">
          <cell r="C11341" t="str">
            <v>GT</v>
          </cell>
          <cell r="D11341">
            <v>149.5</v>
          </cell>
          <cell r="H11341" t="str">
            <v>natural gas peaker</v>
          </cell>
        </row>
        <row r="11342">
          <cell r="C11342" t="str">
            <v>GT</v>
          </cell>
          <cell r="D11342">
            <v>148.6</v>
          </cell>
          <cell r="H11342" t="str">
            <v>natural gas peaker</v>
          </cell>
        </row>
        <row r="11343">
          <cell r="C11343" t="str">
            <v>IC</v>
          </cell>
          <cell r="D11343">
            <v>0.8</v>
          </cell>
          <cell r="H11343" t="str">
            <v>biomass</v>
          </cell>
        </row>
        <row r="11344">
          <cell r="C11344" t="str">
            <v>IC</v>
          </cell>
          <cell r="D11344">
            <v>0.8</v>
          </cell>
          <cell r="H11344" t="str">
            <v>biomass</v>
          </cell>
        </row>
        <row r="11345">
          <cell r="C11345" t="str">
            <v>IC</v>
          </cell>
          <cell r="D11345">
            <v>0.9</v>
          </cell>
          <cell r="H11345" t="str">
            <v>natural gas peaker</v>
          </cell>
        </row>
        <row r="11346">
          <cell r="C11346" t="str">
            <v>IC</v>
          </cell>
          <cell r="D11346">
            <v>0.9</v>
          </cell>
          <cell r="H11346" t="str">
            <v>natural gas peaker</v>
          </cell>
        </row>
        <row r="11347">
          <cell r="C11347" t="str">
            <v>IC</v>
          </cell>
          <cell r="D11347">
            <v>0.9</v>
          </cell>
          <cell r="H11347" t="str">
            <v>natural gas peaker</v>
          </cell>
        </row>
        <row r="11348">
          <cell r="C11348" t="str">
            <v>IC</v>
          </cell>
          <cell r="D11348">
            <v>0.9</v>
          </cell>
          <cell r="H11348" t="str">
            <v>natural gas peaker</v>
          </cell>
        </row>
        <row r="11349">
          <cell r="C11349" t="str">
            <v>IC</v>
          </cell>
          <cell r="D11349">
            <v>0.9</v>
          </cell>
          <cell r="H11349" t="str">
            <v>natural gas peaker</v>
          </cell>
        </row>
        <row r="11350">
          <cell r="C11350" t="str">
            <v>IC</v>
          </cell>
          <cell r="D11350">
            <v>0.9</v>
          </cell>
          <cell r="H11350" t="str">
            <v>natural gas peaker</v>
          </cell>
        </row>
        <row r="11351">
          <cell r="C11351" t="str">
            <v>CT</v>
          </cell>
          <cell r="D11351">
            <v>157.69999999999999</v>
          </cell>
          <cell r="H11351" t="str">
            <v>natural gas nonpeaker</v>
          </cell>
        </row>
        <row r="11352">
          <cell r="C11352" t="str">
            <v>CT</v>
          </cell>
          <cell r="D11352">
            <v>157.69999999999999</v>
          </cell>
          <cell r="H11352" t="str">
            <v>natural gas nonpeaker</v>
          </cell>
        </row>
        <row r="11353">
          <cell r="C11353" t="str">
            <v>CT</v>
          </cell>
          <cell r="D11353">
            <v>157.69999999999999</v>
          </cell>
          <cell r="H11353" t="str">
            <v>natural gas nonpeaker</v>
          </cell>
        </row>
        <row r="11354">
          <cell r="C11354" t="str">
            <v>CT</v>
          </cell>
          <cell r="D11354">
            <v>157.69999999999999</v>
          </cell>
          <cell r="H11354" t="str">
            <v>natural gas nonpeaker</v>
          </cell>
        </row>
        <row r="11355">
          <cell r="C11355" t="str">
            <v>CA</v>
          </cell>
          <cell r="D11355">
            <v>170.1</v>
          </cell>
          <cell r="H11355" t="str">
            <v>natural gas nonpeaker</v>
          </cell>
        </row>
        <row r="11356">
          <cell r="C11356" t="str">
            <v>CA</v>
          </cell>
          <cell r="D11356">
            <v>170.1</v>
          </cell>
          <cell r="H11356" t="str">
            <v>natural gas nonpeaker</v>
          </cell>
        </row>
        <row r="11357">
          <cell r="C11357" t="str">
            <v>HY</v>
          </cell>
          <cell r="D11357">
            <v>3</v>
          </cell>
          <cell r="H11357" t="str">
            <v>hydro</v>
          </cell>
        </row>
        <row r="11358">
          <cell r="C11358" t="str">
            <v>IC</v>
          </cell>
          <cell r="D11358">
            <v>0.8</v>
          </cell>
          <cell r="H11358" t="str">
            <v>biomass</v>
          </cell>
        </row>
        <row r="11359">
          <cell r="C11359" t="str">
            <v>IC</v>
          </cell>
          <cell r="D11359">
            <v>0.8</v>
          </cell>
          <cell r="H11359" t="str">
            <v>biomass</v>
          </cell>
        </row>
        <row r="11360">
          <cell r="C11360" t="str">
            <v>IC</v>
          </cell>
          <cell r="D11360">
            <v>0.8</v>
          </cell>
          <cell r="H11360" t="str">
            <v>biomass</v>
          </cell>
        </row>
        <row r="11361">
          <cell r="C11361" t="str">
            <v>IC</v>
          </cell>
          <cell r="D11361">
            <v>0.8</v>
          </cell>
          <cell r="H11361" t="str">
            <v>biomass</v>
          </cell>
        </row>
        <row r="11362">
          <cell r="C11362" t="str">
            <v>IC</v>
          </cell>
          <cell r="D11362">
            <v>1.6</v>
          </cell>
          <cell r="H11362" t="str">
            <v>biomass</v>
          </cell>
        </row>
        <row r="11363">
          <cell r="C11363" t="str">
            <v>IC</v>
          </cell>
          <cell r="D11363">
            <v>1.6</v>
          </cell>
          <cell r="H11363" t="str">
            <v>biomass</v>
          </cell>
        </row>
        <row r="11364">
          <cell r="C11364" t="str">
            <v>IC</v>
          </cell>
          <cell r="D11364">
            <v>1.6</v>
          </cell>
          <cell r="H11364" t="str">
            <v>biomass</v>
          </cell>
        </row>
        <row r="11365">
          <cell r="C11365" t="str">
            <v>CA</v>
          </cell>
          <cell r="D11365">
            <v>0.9</v>
          </cell>
          <cell r="H11365" t="str">
            <v>natural gas nonpeaker</v>
          </cell>
        </row>
        <row r="11366">
          <cell r="C11366" t="str">
            <v>CT</v>
          </cell>
          <cell r="D11366">
            <v>3.4</v>
          </cell>
          <cell r="H11366" t="str">
            <v>natural gas nonpeaker</v>
          </cell>
        </row>
        <row r="11367">
          <cell r="C11367" t="str">
            <v>CT</v>
          </cell>
          <cell r="D11367">
            <v>3.4</v>
          </cell>
          <cell r="H11367" t="str">
            <v>natural gas nonpeaker</v>
          </cell>
        </row>
        <row r="11368">
          <cell r="C11368" t="str">
            <v>CT</v>
          </cell>
          <cell r="D11368">
            <v>3.4</v>
          </cell>
          <cell r="H11368" t="str">
            <v>natural gas nonpeaker</v>
          </cell>
        </row>
        <row r="11369">
          <cell r="C11369" t="str">
            <v>HY</v>
          </cell>
          <cell r="D11369">
            <v>2.5</v>
          </cell>
          <cell r="H11369" t="str">
            <v>hydro</v>
          </cell>
        </row>
        <row r="11370">
          <cell r="C11370" t="str">
            <v>HY</v>
          </cell>
          <cell r="D11370">
            <v>2.5</v>
          </cell>
          <cell r="H11370" t="str">
            <v>hydro</v>
          </cell>
        </row>
        <row r="11371">
          <cell r="C11371" t="str">
            <v>HY</v>
          </cell>
          <cell r="D11371">
            <v>0.5</v>
          </cell>
          <cell r="H11371" t="str">
            <v>hydro</v>
          </cell>
        </row>
        <row r="11372">
          <cell r="C11372" t="str">
            <v>HY</v>
          </cell>
          <cell r="D11372">
            <v>126.5</v>
          </cell>
          <cell r="H11372" t="str">
            <v>hydro</v>
          </cell>
        </row>
        <row r="11373">
          <cell r="C11373" t="str">
            <v>HY</v>
          </cell>
          <cell r="D11373">
            <v>126.5</v>
          </cell>
          <cell r="H11373" t="str">
            <v>hydro</v>
          </cell>
        </row>
        <row r="11374">
          <cell r="C11374" t="str">
            <v>GT</v>
          </cell>
          <cell r="D11374">
            <v>4.4000000000000004</v>
          </cell>
          <cell r="H11374" t="str">
            <v>natural gas peaker</v>
          </cell>
        </row>
        <row r="11375">
          <cell r="C11375" t="str">
            <v>GT</v>
          </cell>
          <cell r="D11375">
            <v>4.4000000000000004</v>
          </cell>
          <cell r="H11375" t="str">
            <v>natural gas peaker</v>
          </cell>
        </row>
        <row r="11376">
          <cell r="C11376" t="str">
            <v>ST</v>
          </cell>
          <cell r="D11376">
            <v>21.1</v>
          </cell>
          <cell r="H11376" t="str">
            <v>hard coal</v>
          </cell>
        </row>
        <row r="11377">
          <cell r="C11377" t="str">
            <v>ST</v>
          </cell>
          <cell r="D11377">
            <v>21.1</v>
          </cell>
          <cell r="H11377" t="str">
            <v>hard coal</v>
          </cell>
        </row>
        <row r="11378">
          <cell r="C11378" t="str">
            <v>HY</v>
          </cell>
          <cell r="D11378">
            <v>3.8</v>
          </cell>
          <cell r="H11378" t="str">
            <v>hydro</v>
          </cell>
        </row>
        <row r="11379">
          <cell r="C11379" t="str">
            <v>HY</v>
          </cell>
          <cell r="D11379">
            <v>3.8</v>
          </cell>
          <cell r="H11379" t="str">
            <v>hydro</v>
          </cell>
        </row>
        <row r="11380">
          <cell r="C11380" t="str">
            <v>ST</v>
          </cell>
          <cell r="D11380">
            <v>22</v>
          </cell>
          <cell r="H11380" t="str">
            <v>biomass</v>
          </cell>
        </row>
        <row r="11381">
          <cell r="C11381" t="str">
            <v>ST</v>
          </cell>
          <cell r="D11381">
            <v>25</v>
          </cell>
          <cell r="H11381" t="str">
            <v>biomass</v>
          </cell>
        </row>
        <row r="11382">
          <cell r="C11382" t="str">
            <v>GT</v>
          </cell>
          <cell r="D11382">
            <v>3.4</v>
          </cell>
          <cell r="H11382" t="str">
            <v>natural gas peaker</v>
          </cell>
        </row>
        <row r="11383">
          <cell r="C11383" t="str">
            <v>IC</v>
          </cell>
          <cell r="D11383">
            <v>0.5</v>
          </cell>
          <cell r="H11383" t="str">
            <v>petroleum</v>
          </cell>
        </row>
        <row r="11384">
          <cell r="C11384" t="str">
            <v>IC</v>
          </cell>
          <cell r="D11384">
            <v>0.3</v>
          </cell>
          <cell r="H11384" t="str">
            <v>petroleum</v>
          </cell>
        </row>
        <row r="11385">
          <cell r="C11385" t="str">
            <v>IC</v>
          </cell>
          <cell r="D11385">
            <v>0.5</v>
          </cell>
          <cell r="H11385" t="str">
            <v>petroleum</v>
          </cell>
        </row>
        <row r="11386">
          <cell r="C11386" t="str">
            <v>IC</v>
          </cell>
          <cell r="D11386">
            <v>0.5</v>
          </cell>
          <cell r="H11386" t="str">
            <v>biomass</v>
          </cell>
        </row>
        <row r="11387">
          <cell r="C11387" t="str">
            <v>IC</v>
          </cell>
          <cell r="D11387">
            <v>0.5</v>
          </cell>
          <cell r="H11387" t="str">
            <v>biomass</v>
          </cell>
        </row>
        <row r="11388">
          <cell r="C11388" t="str">
            <v>IC</v>
          </cell>
          <cell r="D11388">
            <v>0.5</v>
          </cell>
          <cell r="H11388" t="str">
            <v>biomass</v>
          </cell>
        </row>
        <row r="11389">
          <cell r="C11389" t="str">
            <v>IC</v>
          </cell>
          <cell r="D11389">
            <v>0.6</v>
          </cell>
          <cell r="H11389" t="str">
            <v>biomass</v>
          </cell>
        </row>
        <row r="11390">
          <cell r="C11390" t="str">
            <v>IC</v>
          </cell>
          <cell r="D11390">
            <v>0.4</v>
          </cell>
          <cell r="H11390" t="str">
            <v>biomass</v>
          </cell>
        </row>
        <row r="11391">
          <cell r="C11391" t="str">
            <v>IC</v>
          </cell>
          <cell r="D11391">
            <v>0.3</v>
          </cell>
          <cell r="H11391" t="str">
            <v>biomass</v>
          </cell>
        </row>
        <row r="11392">
          <cell r="C11392" t="str">
            <v>IC</v>
          </cell>
          <cell r="D11392">
            <v>0.3</v>
          </cell>
          <cell r="H11392" t="str">
            <v>biomass</v>
          </cell>
        </row>
        <row r="11393">
          <cell r="C11393" t="str">
            <v>IC</v>
          </cell>
          <cell r="D11393">
            <v>0.3</v>
          </cell>
          <cell r="H11393" t="str">
            <v>biomass</v>
          </cell>
        </row>
        <row r="11394">
          <cell r="C11394" t="str">
            <v>IC</v>
          </cell>
          <cell r="D11394">
            <v>1.5</v>
          </cell>
          <cell r="H11394" t="str">
            <v>petroleum</v>
          </cell>
        </row>
        <row r="11395">
          <cell r="C11395" t="str">
            <v>IC</v>
          </cell>
          <cell r="D11395">
            <v>1.5</v>
          </cell>
          <cell r="H11395" t="str">
            <v>petroleum</v>
          </cell>
        </row>
        <row r="11396">
          <cell r="C11396" t="str">
            <v>IC</v>
          </cell>
          <cell r="D11396">
            <v>1.5</v>
          </cell>
          <cell r="H11396" t="str">
            <v>petroleum</v>
          </cell>
        </row>
        <row r="11397">
          <cell r="C11397" t="str">
            <v>IC</v>
          </cell>
          <cell r="D11397">
            <v>1.5</v>
          </cell>
          <cell r="H11397" t="str">
            <v>petroleum</v>
          </cell>
        </row>
        <row r="11398">
          <cell r="C11398" t="str">
            <v>PV</v>
          </cell>
          <cell r="D11398">
            <v>0.2</v>
          </cell>
          <cell r="H11398" t="str">
            <v>solar PV</v>
          </cell>
        </row>
        <row r="11399">
          <cell r="C11399" t="str">
            <v>HY</v>
          </cell>
          <cell r="D11399">
            <v>0.3</v>
          </cell>
          <cell r="H11399" t="str">
            <v>hydro</v>
          </cell>
        </row>
        <row r="11400">
          <cell r="C11400" t="str">
            <v>HY</v>
          </cell>
          <cell r="D11400">
            <v>0.3</v>
          </cell>
          <cell r="H11400" t="str">
            <v>hydro</v>
          </cell>
        </row>
        <row r="11401">
          <cell r="C11401" t="str">
            <v>HY</v>
          </cell>
          <cell r="D11401">
            <v>0.3</v>
          </cell>
          <cell r="H11401" t="str">
            <v>hydro</v>
          </cell>
        </row>
        <row r="11402">
          <cell r="C11402" t="str">
            <v>HY</v>
          </cell>
          <cell r="D11402">
            <v>0.3</v>
          </cell>
          <cell r="H11402" t="str">
            <v>hydro</v>
          </cell>
        </row>
        <row r="11403">
          <cell r="C11403" t="str">
            <v>HY</v>
          </cell>
          <cell r="D11403">
            <v>1</v>
          </cell>
          <cell r="H11403" t="str">
            <v>hydro</v>
          </cell>
        </row>
        <row r="11404">
          <cell r="C11404" t="str">
            <v>HY</v>
          </cell>
          <cell r="D11404">
            <v>1</v>
          </cell>
          <cell r="H11404" t="str">
            <v>hydro</v>
          </cell>
        </row>
        <row r="11405">
          <cell r="C11405" t="str">
            <v>CT</v>
          </cell>
          <cell r="D11405">
            <v>83.8</v>
          </cell>
          <cell r="H11405" t="str">
            <v>natural gas nonpeaker</v>
          </cell>
        </row>
        <row r="11406">
          <cell r="C11406" t="str">
            <v>CT</v>
          </cell>
          <cell r="D11406">
            <v>82.6</v>
          </cell>
          <cell r="H11406" t="str">
            <v>natural gas nonpeaker</v>
          </cell>
        </row>
        <row r="11407">
          <cell r="C11407" t="str">
            <v>CA</v>
          </cell>
          <cell r="D11407">
            <v>84</v>
          </cell>
          <cell r="H11407" t="str">
            <v>natural gas nonpeaker</v>
          </cell>
        </row>
        <row r="11408">
          <cell r="C11408" t="str">
            <v>HY</v>
          </cell>
          <cell r="D11408">
            <v>2.5</v>
          </cell>
          <cell r="H11408" t="str">
            <v>hydro</v>
          </cell>
        </row>
        <row r="11409">
          <cell r="C11409" t="str">
            <v>HY</v>
          </cell>
          <cell r="D11409">
            <v>2.5</v>
          </cell>
          <cell r="H11409" t="str">
            <v>hydro</v>
          </cell>
        </row>
        <row r="11410">
          <cell r="C11410" t="str">
            <v>HY</v>
          </cell>
          <cell r="D11410">
            <v>2.4</v>
          </cell>
          <cell r="H11410" t="str">
            <v>hydro</v>
          </cell>
        </row>
        <row r="11411">
          <cell r="C11411" t="str">
            <v>HY</v>
          </cell>
          <cell r="D11411">
            <v>1.1000000000000001</v>
          </cell>
          <cell r="H11411" t="str">
            <v>hydro</v>
          </cell>
        </row>
        <row r="11412">
          <cell r="C11412" t="str">
            <v>HY</v>
          </cell>
          <cell r="D11412">
            <v>1.1000000000000001</v>
          </cell>
          <cell r="H11412" t="str">
            <v>hydro</v>
          </cell>
        </row>
        <row r="11413">
          <cell r="C11413" t="str">
            <v>HY</v>
          </cell>
          <cell r="D11413">
            <v>25</v>
          </cell>
          <cell r="H11413" t="str">
            <v>hydro</v>
          </cell>
        </row>
        <row r="11414">
          <cell r="C11414" t="str">
            <v>HY</v>
          </cell>
          <cell r="D11414">
            <v>25</v>
          </cell>
          <cell r="H11414" t="str">
            <v>hydro</v>
          </cell>
        </row>
        <row r="11415">
          <cell r="C11415" t="str">
            <v>CT</v>
          </cell>
          <cell r="D11415">
            <v>58</v>
          </cell>
          <cell r="H11415" t="str">
            <v>natural gas nonpeaker</v>
          </cell>
        </row>
        <row r="11416">
          <cell r="C11416" t="str">
            <v>CA</v>
          </cell>
          <cell r="D11416">
            <v>17</v>
          </cell>
          <cell r="H11416" t="str">
            <v>natural gas nonpeaker</v>
          </cell>
        </row>
        <row r="11417">
          <cell r="C11417" t="str">
            <v>CT</v>
          </cell>
          <cell r="D11417">
            <v>46</v>
          </cell>
          <cell r="H11417" t="str">
            <v>natural gas nonpeaker</v>
          </cell>
        </row>
        <row r="11418">
          <cell r="C11418" t="str">
            <v>CA</v>
          </cell>
          <cell r="D11418">
            <v>35</v>
          </cell>
          <cell r="H11418" t="str">
            <v>natural gas nonpeaker</v>
          </cell>
        </row>
        <row r="11419">
          <cell r="C11419" t="str">
            <v>IC</v>
          </cell>
          <cell r="D11419">
            <v>2</v>
          </cell>
          <cell r="H11419" t="str">
            <v>petroleum</v>
          </cell>
        </row>
        <row r="11420">
          <cell r="C11420" t="str">
            <v>CT</v>
          </cell>
          <cell r="D11420">
            <v>34.299999999999997</v>
          </cell>
          <cell r="H11420" t="str">
            <v>natural gas nonpeaker</v>
          </cell>
        </row>
        <row r="11421">
          <cell r="C11421" t="str">
            <v>CA</v>
          </cell>
          <cell r="D11421">
            <v>14.5</v>
          </cell>
          <cell r="H11421" t="str">
            <v>natural gas nonpeaker</v>
          </cell>
        </row>
        <row r="11422">
          <cell r="C11422" t="str">
            <v>IC</v>
          </cell>
          <cell r="D11422">
            <v>1</v>
          </cell>
          <cell r="H11422" t="str">
            <v>petroleum</v>
          </cell>
        </row>
        <row r="11423">
          <cell r="C11423" t="str">
            <v>IC</v>
          </cell>
          <cell r="D11423">
            <v>1.5</v>
          </cell>
          <cell r="H11423" t="str">
            <v>petroleum</v>
          </cell>
        </row>
        <row r="11424">
          <cell r="C11424" t="str">
            <v>IC</v>
          </cell>
          <cell r="D11424">
            <v>1.6</v>
          </cell>
          <cell r="H11424" t="str">
            <v>natural gas peaker</v>
          </cell>
        </row>
        <row r="11425">
          <cell r="C11425" t="str">
            <v>IC</v>
          </cell>
          <cell r="D11425">
            <v>1</v>
          </cell>
          <cell r="H11425" t="str">
            <v>petroleum</v>
          </cell>
        </row>
        <row r="11426">
          <cell r="C11426" t="str">
            <v>IC</v>
          </cell>
          <cell r="D11426">
            <v>1.5</v>
          </cell>
          <cell r="H11426" t="str">
            <v>petroleum</v>
          </cell>
        </row>
        <row r="11427">
          <cell r="C11427" t="str">
            <v>IC</v>
          </cell>
          <cell r="D11427">
            <v>2.2999999999999998</v>
          </cell>
          <cell r="H11427" t="str">
            <v>petroleum</v>
          </cell>
        </row>
        <row r="11428">
          <cell r="C11428" t="str">
            <v>IC</v>
          </cell>
          <cell r="D11428">
            <v>2.2999999999999998</v>
          </cell>
          <cell r="H11428" t="str">
            <v>petroleum</v>
          </cell>
        </row>
        <row r="11429">
          <cell r="C11429" t="str">
            <v>GT</v>
          </cell>
          <cell r="D11429">
            <v>2.8</v>
          </cell>
          <cell r="H11429" t="str">
            <v>natural gas peaker</v>
          </cell>
        </row>
        <row r="11430">
          <cell r="C11430" t="str">
            <v>IC</v>
          </cell>
          <cell r="D11430">
            <v>2.2999999999999998</v>
          </cell>
          <cell r="H11430" t="str">
            <v>petroleum</v>
          </cell>
        </row>
        <row r="11431">
          <cell r="C11431" t="str">
            <v>GT</v>
          </cell>
          <cell r="D11431">
            <v>28</v>
          </cell>
          <cell r="H11431" t="str">
            <v>natural gas peaker</v>
          </cell>
        </row>
        <row r="11432">
          <cell r="C11432" t="str">
            <v>ST</v>
          </cell>
          <cell r="D11432">
            <v>6.6</v>
          </cell>
          <cell r="H11432" t="str">
            <v>biomass</v>
          </cell>
        </row>
        <row r="11433">
          <cell r="C11433" t="str">
            <v>ST</v>
          </cell>
          <cell r="D11433">
            <v>0.4</v>
          </cell>
          <cell r="H11433" t="str">
            <v>biomass</v>
          </cell>
        </row>
        <row r="11434">
          <cell r="C11434" t="str">
            <v>ST</v>
          </cell>
          <cell r="D11434">
            <v>15.6</v>
          </cell>
          <cell r="H11434" t="str">
            <v>biomass</v>
          </cell>
        </row>
        <row r="11435">
          <cell r="C11435" t="str">
            <v>IC</v>
          </cell>
          <cell r="D11435">
            <v>1.2</v>
          </cell>
          <cell r="H11435" t="str">
            <v>biomass</v>
          </cell>
        </row>
        <row r="11436">
          <cell r="C11436" t="str">
            <v>IC</v>
          </cell>
          <cell r="D11436">
            <v>1.2</v>
          </cell>
          <cell r="H11436" t="str">
            <v>biomass</v>
          </cell>
        </row>
        <row r="11437">
          <cell r="C11437" t="str">
            <v>IC</v>
          </cell>
          <cell r="D11437">
            <v>1.2</v>
          </cell>
          <cell r="H11437" t="str">
            <v>biomass</v>
          </cell>
        </row>
        <row r="11438">
          <cell r="C11438" t="str">
            <v>IC</v>
          </cell>
          <cell r="D11438">
            <v>1.2</v>
          </cell>
          <cell r="H11438" t="str">
            <v>biomass</v>
          </cell>
        </row>
        <row r="11439">
          <cell r="C11439" t="str">
            <v>IC</v>
          </cell>
          <cell r="D11439">
            <v>2</v>
          </cell>
          <cell r="H11439" t="str">
            <v>biomass</v>
          </cell>
        </row>
        <row r="11440">
          <cell r="C11440" t="str">
            <v>IC</v>
          </cell>
          <cell r="D11440">
            <v>2</v>
          </cell>
          <cell r="H11440" t="str">
            <v>biomass</v>
          </cell>
        </row>
        <row r="11441">
          <cell r="C11441" t="str">
            <v>IC</v>
          </cell>
          <cell r="D11441">
            <v>2</v>
          </cell>
          <cell r="H11441" t="str">
            <v>biomass</v>
          </cell>
        </row>
        <row r="11442">
          <cell r="C11442" t="str">
            <v>IC</v>
          </cell>
          <cell r="D11442">
            <v>2</v>
          </cell>
          <cell r="H11442" t="str">
            <v>biomass</v>
          </cell>
        </row>
        <row r="11443">
          <cell r="C11443" t="str">
            <v>ST</v>
          </cell>
          <cell r="D11443">
            <v>28</v>
          </cell>
          <cell r="H11443" t="str">
            <v>municipal solid waste</v>
          </cell>
        </row>
        <row r="11444">
          <cell r="C11444" t="str">
            <v>ST</v>
          </cell>
          <cell r="D11444">
            <v>42.4</v>
          </cell>
          <cell r="H11444" t="str">
            <v>biomass</v>
          </cell>
        </row>
        <row r="11445">
          <cell r="C11445" t="str">
            <v>ST</v>
          </cell>
          <cell r="D11445">
            <v>74.900000000000006</v>
          </cell>
          <cell r="H11445" t="str">
            <v>biomass</v>
          </cell>
        </row>
        <row r="11446">
          <cell r="C11446" t="str">
            <v>ST</v>
          </cell>
          <cell r="D11446">
            <v>30</v>
          </cell>
          <cell r="H11446" t="str">
            <v>biomass</v>
          </cell>
        </row>
        <row r="11447">
          <cell r="C11447" t="str">
            <v>GT</v>
          </cell>
          <cell r="D11447">
            <v>2.6</v>
          </cell>
          <cell r="H11447" t="str">
            <v>natural gas peaker</v>
          </cell>
        </row>
        <row r="11448">
          <cell r="C11448" t="str">
            <v>GT</v>
          </cell>
          <cell r="D11448">
            <v>2.6</v>
          </cell>
          <cell r="H11448" t="str">
            <v>natural gas peaker</v>
          </cell>
        </row>
        <row r="11449">
          <cell r="C11449" t="str">
            <v>GT</v>
          </cell>
          <cell r="D11449">
            <v>3.2</v>
          </cell>
          <cell r="H11449" t="str">
            <v>natural gas peaker</v>
          </cell>
        </row>
        <row r="11450">
          <cell r="C11450" t="str">
            <v>GT</v>
          </cell>
          <cell r="D11450">
            <v>3.2</v>
          </cell>
          <cell r="H11450" t="str">
            <v>natural gas peaker</v>
          </cell>
        </row>
        <row r="11451">
          <cell r="C11451" t="str">
            <v>GT</v>
          </cell>
          <cell r="D11451">
            <v>3.2</v>
          </cell>
          <cell r="H11451" t="str">
            <v>natural gas peaker</v>
          </cell>
        </row>
        <row r="11452">
          <cell r="C11452" t="str">
            <v>IC</v>
          </cell>
          <cell r="D11452">
            <v>1.2</v>
          </cell>
          <cell r="H11452" t="str">
            <v>petroleum</v>
          </cell>
        </row>
        <row r="11453">
          <cell r="C11453" t="str">
            <v>IC</v>
          </cell>
          <cell r="D11453">
            <v>1.2</v>
          </cell>
          <cell r="H11453" t="str">
            <v>petroleum</v>
          </cell>
        </row>
        <row r="11454">
          <cell r="C11454" t="str">
            <v>GT</v>
          </cell>
          <cell r="D11454">
            <v>2.6</v>
          </cell>
          <cell r="H11454" t="str">
            <v>natural gas peaker</v>
          </cell>
        </row>
        <row r="11455">
          <cell r="C11455" t="str">
            <v>GT</v>
          </cell>
          <cell r="D11455">
            <v>2.6</v>
          </cell>
          <cell r="H11455" t="str">
            <v>natural gas peaker</v>
          </cell>
        </row>
        <row r="11456">
          <cell r="C11456" t="str">
            <v>ST</v>
          </cell>
          <cell r="D11456">
            <v>86</v>
          </cell>
          <cell r="H11456" t="str">
            <v>hard coal</v>
          </cell>
        </row>
        <row r="11457">
          <cell r="C11457" t="str">
            <v>GT</v>
          </cell>
          <cell r="D11457">
            <v>30.5</v>
          </cell>
          <cell r="H11457" t="str">
            <v>natural gas peaker</v>
          </cell>
        </row>
        <row r="11458">
          <cell r="C11458" t="str">
            <v>GT</v>
          </cell>
          <cell r="D11458">
            <v>30.5</v>
          </cell>
          <cell r="H11458" t="str">
            <v>natural gas peaker</v>
          </cell>
        </row>
        <row r="11459">
          <cell r="C11459" t="str">
            <v>ST</v>
          </cell>
          <cell r="D11459">
            <v>49</v>
          </cell>
          <cell r="H11459" t="str">
            <v>biomass</v>
          </cell>
        </row>
        <row r="11460">
          <cell r="C11460" t="str">
            <v>HY</v>
          </cell>
          <cell r="D11460">
            <v>2.4</v>
          </cell>
          <cell r="H11460" t="str">
            <v>hydro</v>
          </cell>
        </row>
        <row r="11461">
          <cell r="C11461" t="str">
            <v>HY</v>
          </cell>
          <cell r="D11461">
            <v>2.4</v>
          </cell>
          <cell r="H11461" t="str">
            <v>hydro</v>
          </cell>
        </row>
        <row r="11462">
          <cell r="C11462" t="str">
            <v>HY</v>
          </cell>
          <cell r="D11462">
            <v>3.1</v>
          </cell>
          <cell r="H11462" t="str">
            <v>hydro</v>
          </cell>
        </row>
        <row r="11463">
          <cell r="C11463" t="str">
            <v>HY</v>
          </cell>
          <cell r="D11463">
            <v>1.2</v>
          </cell>
          <cell r="H11463" t="str">
            <v>hydro</v>
          </cell>
        </row>
        <row r="11464">
          <cell r="C11464" t="str">
            <v>HY</v>
          </cell>
          <cell r="D11464">
            <v>1.2</v>
          </cell>
          <cell r="H11464" t="str">
            <v>hydro</v>
          </cell>
        </row>
        <row r="11465">
          <cell r="C11465" t="str">
            <v>HY</v>
          </cell>
          <cell r="D11465">
            <v>1.2</v>
          </cell>
          <cell r="H11465" t="str">
            <v>hydro</v>
          </cell>
        </row>
        <row r="11466">
          <cell r="C11466" t="str">
            <v>HY</v>
          </cell>
          <cell r="D11466">
            <v>1.2</v>
          </cell>
          <cell r="H11466" t="str">
            <v>hydro</v>
          </cell>
        </row>
        <row r="11467">
          <cell r="C11467" t="str">
            <v>HY</v>
          </cell>
          <cell r="D11467">
            <v>3.8</v>
          </cell>
          <cell r="H11467" t="str">
            <v>hydro</v>
          </cell>
        </row>
        <row r="11468">
          <cell r="C11468" t="str">
            <v>HY</v>
          </cell>
          <cell r="D11468">
            <v>4.0999999999999996</v>
          </cell>
          <cell r="H11468" t="str">
            <v>hydro</v>
          </cell>
        </row>
        <row r="11469">
          <cell r="C11469" t="str">
            <v>HY</v>
          </cell>
          <cell r="D11469">
            <v>0.9</v>
          </cell>
          <cell r="H11469" t="str">
            <v>hydro</v>
          </cell>
        </row>
        <row r="11470">
          <cell r="C11470" t="str">
            <v>HY</v>
          </cell>
          <cell r="D11470">
            <v>0.9</v>
          </cell>
          <cell r="H11470" t="str">
            <v>hydro</v>
          </cell>
        </row>
        <row r="11471">
          <cell r="C11471" t="str">
            <v>HY</v>
          </cell>
          <cell r="D11471">
            <v>1.8</v>
          </cell>
          <cell r="H11471" t="str">
            <v>hydro</v>
          </cell>
        </row>
        <row r="11472">
          <cell r="C11472" t="str">
            <v>HY</v>
          </cell>
          <cell r="D11472">
            <v>0.8</v>
          </cell>
          <cell r="H11472" t="str">
            <v>hydro</v>
          </cell>
        </row>
        <row r="11473">
          <cell r="C11473" t="str">
            <v>HY</v>
          </cell>
          <cell r="D11473">
            <v>0.8</v>
          </cell>
          <cell r="H11473" t="str">
            <v>hydro</v>
          </cell>
        </row>
        <row r="11474">
          <cell r="C11474" t="str">
            <v>HY</v>
          </cell>
          <cell r="D11474">
            <v>0.8</v>
          </cell>
          <cell r="H11474" t="str">
            <v>hydro</v>
          </cell>
        </row>
        <row r="11475">
          <cell r="C11475" t="str">
            <v>HY</v>
          </cell>
          <cell r="D11475">
            <v>0.8</v>
          </cell>
          <cell r="H11475" t="str">
            <v>hydro</v>
          </cell>
        </row>
        <row r="11476">
          <cell r="C11476" t="str">
            <v>HY</v>
          </cell>
          <cell r="D11476">
            <v>0.6</v>
          </cell>
          <cell r="H11476" t="str">
            <v>hydro</v>
          </cell>
        </row>
        <row r="11477">
          <cell r="C11477" t="str">
            <v>HY</v>
          </cell>
          <cell r="D11477">
            <v>0.6</v>
          </cell>
          <cell r="H11477" t="str">
            <v>hydro</v>
          </cell>
        </row>
        <row r="11478">
          <cell r="C11478" t="str">
            <v>HY</v>
          </cell>
          <cell r="D11478">
            <v>0.6</v>
          </cell>
          <cell r="H11478" t="str">
            <v>hydro</v>
          </cell>
        </row>
        <row r="11479">
          <cell r="C11479" t="str">
            <v>HY</v>
          </cell>
          <cell r="D11479">
            <v>0.5</v>
          </cell>
          <cell r="H11479" t="str">
            <v>hydro</v>
          </cell>
        </row>
        <row r="11480">
          <cell r="C11480" t="str">
            <v>HY</v>
          </cell>
          <cell r="D11480">
            <v>0.7</v>
          </cell>
          <cell r="H11480" t="str">
            <v>hydro</v>
          </cell>
        </row>
        <row r="11481">
          <cell r="C11481" t="str">
            <v>CT</v>
          </cell>
          <cell r="D11481">
            <v>84.6</v>
          </cell>
          <cell r="H11481" t="str">
            <v>natural gas nonpeaker</v>
          </cell>
        </row>
        <row r="11482">
          <cell r="C11482" t="str">
            <v>CT</v>
          </cell>
          <cell r="D11482">
            <v>83.6</v>
          </cell>
          <cell r="H11482" t="str">
            <v>natural gas nonpeaker</v>
          </cell>
        </row>
        <row r="11483">
          <cell r="C11483" t="str">
            <v>CA</v>
          </cell>
          <cell r="D11483">
            <v>79.7</v>
          </cell>
          <cell r="H11483" t="str">
            <v>natural gas nonpeaker</v>
          </cell>
        </row>
        <row r="11484">
          <cell r="C11484" t="str">
            <v>CT</v>
          </cell>
          <cell r="D11484">
            <v>85</v>
          </cell>
          <cell r="H11484" t="str">
            <v>petroleum</v>
          </cell>
        </row>
        <row r="11485">
          <cell r="C11485" t="str">
            <v>CT</v>
          </cell>
          <cell r="D11485">
            <v>85</v>
          </cell>
          <cell r="H11485" t="str">
            <v>petroleum</v>
          </cell>
        </row>
        <row r="11486">
          <cell r="C11486" t="str">
            <v>CA</v>
          </cell>
          <cell r="D11486">
            <v>50</v>
          </cell>
          <cell r="H11486" t="str">
            <v>petroleum</v>
          </cell>
        </row>
        <row r="11487">
          <cell r="C11487" t="str">
            <v>WT</v>
          </cell>
          <cell r="D11487">
            <v>28.7</v>
          </cell>
          <cell r="H11487" t="str">
            <v>onshore wind</v>
          </cell>
        </row>
        <row r="11488">
          <cell r="C11488" t="str">
            <v>WT</v>
          </cell>
          <cell r="D11488">
            <v>9.1</v>
          </cell>
          <cell r="H11488" t="str">
            <v>onshore wind</v>
          </cell>
        </row>
        <row r="11489">
          <cell r="C11489" t="str">
            <v>WT</v>
          </cell>
          <cell r="D11489">
            <v>9.6</v>
          </cell>
          <cell r="H11489" t="str">
            <v>onshore wind</v>
          </cell>
        </row>
        <row r="11490">
          <cell r="C11490" t="str">
            <v>HY</v>
          </cell>
          <cell r="D11490">
            <v>1.1000000000000001</v>
          </cell>
          <cell r="H11490" t="str">
            <v>hydro</v>
          </cell>
        </row>
        <row r="11491">
          <cell r="C11491" t="str">
            <v>HY</v>
          </cell>
          <cell r="D11491">
            <v>4.9000000000000004</v>
          </cell>
          <cell r="H11491" t="str">
            <v>hydro</v>
          </cell>
        </row>
        <row r="11492">
          <cell r="C11492" t="str">
            <v>HY</v>
          </cell>
          <cell r="D11492">
            <v>1.5</v>
          </cell>
          <cell r="H11492" t="str">
            <v>hydro</v>
          </cell>
        </row>
        <row r="11493">
          <cell r="C11493" t="str">
            <v>HY</v>
          </cell>
          <cell r="D11493">
            <v>1.5</v>
          </cell>
          <cell r="H11493" t="str">
            <v>hydro</v>
          </cell>
        </row>
        <row r="11494">
          <cell r="C11494" t="str">
            <v>HY</v>
          </cell>
          <cell r="D11494">
            <v>1.5</v>
          </cell>
          <cell r="H11494" t="str">
            <v>hydro</v>
          </cell>
        </row>
        <row r="11495">
          <cell r="C11495" t="str">
            <v>ST</v>
          </cell>
          <cell r="D11495">
            <v>7.8</v>
          </cell>
          <cell r="H11495" t="str">
            <v>biomass</v>
          </cell>
        </row>
        <row r="11496">
          <cell r="C11496" t="str">
            <v>ST</v>
          </cell>
          <cell r="D11496">
            <v>44.5</v>
          </cell>
          <cell r="H11496" t="str">
            <v>biomass</v>
          </cell>
        </row>
        <row r="11497">
          <cell r="C11497" t="str">
            <v>IC</v>
          </cell>
          <cell r="D11497">
            <v>0.8</v>
          </cell>
          <cell r="H11497" t="str">
            <v>biomass</v>
          </cell>
        </row>
        <row r="11498">
          <cell r="C11498" t="str">
            <v>IC</v>
          </cell>
          <cell r="D11498">
            <v>0.8</v>
          </cell>
          <cell r="H11498" t="str">
            <v>biomass</v>
          </cell>
        </row>
        <row r="11499">
          <cell r="C11499" t="str">
            <v>IC</v>
          </cell>
          <cell r="D11499">
            <v>0.8</v>
          </cell>
          <cell r="H11499" t="str">
            <v>biomass</v>
          </cell>
        </row>
        <row r="11500">
          <cell r="C11500" t="str">
            <v>IC</v>
          </cell>
          <cell r="D11500">
            <v>0.8</v>
          </cell>
          <cell r="H11500" t="str">
            <v>biomass</v>
          </cell>
        </row>
        <row r="11501">
          <cell r="C11501" t="str">
            <v>IC</v>
          </cell>
          <cell r="D11501">
            <v>0.8</v>
          </cell>
          <cell r="H11501" t="str">
            <v>biomass</v>
          </cell>
        </row>
        <row r="11502">
          <cell r="C11502" t="str">
            <v>IC</v>
          </cell>
          <cell r="D11502">
            <v>0.8</v>
          </cell>
          <cell r="H11502" t="str">
            <v>biomass</v>
          </cell>
        </row>
        <row r="11503">
          <cell r="C11503" t="str">
            <v>IC</v>
          </cell>
          <cell r="D11503">
            <v>0.8</v>
          </cell>
          <cell r="H11503" t="str">
            <v>biomass</v>
          </cell>
        </row>
        <row r="11504">
          <cell r="C11504" t="str">
            <v>IC</v>
          </cell>
          <cell r="D11504">
            <v>0.8</v>
          </cell>
          <cell r="H11504" t="str">
            <v>biomass</v>
          </cell>
        </row>
        <row r="11505">
          <cell r="C11505" t="str">
            <v>IC</v>
          </cell>
          <cell r="D11505">
            <v>0.8</v>
          </cell>
          <cell r="H11505" t="str">
            <v>biomass</v>
          </cell>
        </row>
        <row r="11506">
          <cell r="C11506" t="str">
            <v>IC</v>
          </cell>
          <cell r="D11506">
            <v>0.8</v>
          </cell>
          <cell r="H11506" t="str">
            <v>biomass</v>
          </cell>
        </row>
        <row r="11507">
          <cell r="C11507" t="str">
            <v>IC</v>
          </cell>
          <cell r="D11507">
            <v>0.8</v>
          </cell>
          <cell r="H11507" t="str">
            <v>biomass</v>
          </cell>
        </row>
        <row r="11508">
          <cell r="C11508" t="str">
            <v>IC</v>
          </cell>
          <cell r="D11508">
            <v>0.8</v>
          </cell>
          <cell r="H11508" t="str">
            <v>biomass</v>
          </cell>
        </row>
        <row r="11509">
          <cell r="C11509" t="str">
            <v>IC</v>
          </cell>
          <cell r="D11509">
            <v>0.8</v>
          </cell>
          <cell r="H11509" t="str">
            <v>biomass</v>
          </cell>
        </row>
        <row r="11510">
          <cell r="C11510" t="str">
            <v>IC</v>
          </cell>
          <cell r="D11510">
            <v>1.6</v>
          </cell>
          <cell r="H11510" t="str">
            <v>biomass</v>
          </cell>
        </row>
        <row r="11511">
          <cell r="C11511" t="str">
            <v>IC</v>
          </cell>
          <cell r="D11511">
            <v>1.6</v>
          </cell>
          <cell r="H11511" t="str">
            <v>biomass</v>
          </cell>
        </row>
        <row r="11512">
          <cell r="C11512" t="str">
            <v>IC</v>
          </cell>
          <cell r="D11512">
            <v>0.8</v>
          </cell>
          <cell r="H11512" t="str">
            <v>biomass</v>
          </cell>
        </row>
        <row r="11513">
          <cell r="C11513" t="str">
            <v>IC</v>
          </cell>
          <cell r="D11513">
            <v>0.8</v>
          </cell>
          <cell r="H11513" t="str">
            <v>biomass</v>
          </cell>
        </row>
        <row r="11514">
          <cell r="C11514" t="str">
            <v>IC</v>
          </cell>
          <cell r="D11514">
            <v>0.8</v>
          </cell>
          <cell r="H11514" t="str">
            <v>biomass</v>
          </cell>
        </row>
        <row r="11515">
          <cell r="C11515" t="str">
            <v>IC</v>
          </cell>
          <cell r="D11515">
            <v>0.8</v>
          </cell>
          <cell r="H11515" t="str">
            <v>biomass</v>
          </cell>
        </row>
        <row r="11516">
          <cell r="C11516" t="str">
            <v>GT</v>
          </cell>
          <cell r="D11516">
            <v>2.9</v>
          </cell>
          <cell r="H11516" t="str">
            <v>biomass</v>
          </cell>
        </row>
        <row r="11517">
          <cell r="C11517" t="str">
            <v>GT</v>
          </cell>
          <cell r="D11517">
            <v>2.9</v>
          </cell>
          <cell r="H11517" t="str">
            <v>biomass</v>
          </cell>
        </row>
        <row r="11518">
          <cell r="C11518" t="str">
            <v>BT</v>
          </cell>
          <cell r="D11518">
            <v>5.4</v>
          </cell>
          <cell r="H11518" t="str">
            <v>geothermal</v>
          </cell>
        </row>
        <row r="11519">
          <cell r="C11519" t="str">
            <v>BT</v>
          </cell>
          <cell r="D11519">
            <v>5.4</v>
          </cell>
          <cell r="H11519" t="str">
            <v>geothermal</v>
          </cell>
        </row>
        <row r="11520">
          <cell r="C11520" t="str">
            <v>BT</v>
          </cell>
          <cell r="D11520">
            <v>5.4</v>
          </cell>
          <cell r="H11520" t="str">
            <v>geothermal</v>
          </cell>
        </row>
        <row r="11521">
          <cell r="C11521" t="str">
            <v>BT</v>
          </cell>
          <cell r="D11521">
            <v>5.4</v>
          </cell>
          <cell r="H11521" t="str">
            <v>geothermal</v>
          </cell>
        </row>
        <row r="11522">
          <cell r="C11522" t="str">
            <v>CA</v>
          </cell>
          <cell r="D11522">
            <v>15.4</v>
          </cell>
          <cell r="H11522" t="str">
            <v>natural gas nonpeaker</v>
          </cell>
        </row>
        <row r="11523">
          <cell r="C11523" t="str">
            <v>CT</v>
          </cell>
          <cell r="D11523">
            <v>35</v>
          </cell>
          <cell r="H11523" t="str">
            <v>natural gas nonpeaker</v>
          </cell>
        </row>
        <row r="11524">
          <cell r="C11524" t="str">
            <v>HY</v>
          </cell>
          <cell r="D11524">
            <v>4.5</v>
          </cell>
          <cell r="H11524" t="str">
            <v>hydro</v>
          </cell>
        </row>
        <row r="11525">
          <cell r="C11525" t="str">
            <v>HY</v>
          </cell>
          <cell r="D11525">
            <v>4.5</v>
          </cell>
          <cell r="H11525" t="str">
            <v>hydro</v>
          </cell>
        </row>
        <row r="11526">
          <cell r="C11526" t="str">
            <v>HY</v>
          </cell>
          <cell r="D11526">
            <v>0.2</v>
          </cell>
          <cell r="H11526" t="str">
            <v>hydro</v>
          </cell>
        </row>
        <row r="11527">
          <cell r="C11527" t="str">
            <v>HY</v>
          </cell>
          <cell r="D11527">
            <v>0.2</v>
          </cell>
          <cell r="H11527" t="str">
            <v>hydro</v>
          </cell>
        </row>
        <row r="11528">
          <cell r="C11528" t="str">
            <v>HY</v>
          </cell>
          <cell r="D11528">
            <v>0.2</v>
          </cell>
          <cell r="H11528" t="str">
            <v>hydro</v>
          </cell>
        </row>
        <row r="11529">
          <cell r="C11529" t="str">
            <v>IC</v>
          </cell>
          <cell r="D11529">
            <v>2</v>
          </cell>
          <cell r="H11529" t="str">
            <v>petroleum</v>
          </cell>
        </row>
        <row r="11530">
          <cell r="C11530" t="str">
            <v>IC</v>
          </cell>
          <cell r="D11530">
            <v>1.3</v>
          </cell>
          <cell r="H11530" t="str">
            <v>petroleum</v>
          </cell>
        </row>
        <row r="11531">
          <cell r="C11531" t="str">
            <v>HY</v>
          </cell>
          <cell r="D11531">
            <v>0.5</v>
          </cell>
          <cell r="H11531" t="str">
            <v>hydro</v>
          </cell>
        </row>
        <row r="11532">
          <cell r="C11532" t="str">
            <v>HY</v>
          </cell>
          <cell r="D11532">
            <v>0.5</v>
          </cell>
          <cell r="H11532" t="str">
            <v>hydro</v>
          </cell>
        </row>
        <row r="11533">
          <cell r="C11533" t="str">
            <v>CT</v>
          </cell>
          <cell r="D11533">
            <v>73</v>
          </cell>
          <cell r="H11533" t="str">
            <v>natural gas nonpeaker</v>
          </cell>
        </row>
        <row r="11534">
          <cell r="C11534" t="str">
            <v>CT</v>
          </cell>
          <cell r="D11534">
            <v>73</v>
          </cell>
          <cell r="H11534" t="str">
            <v>natural gas nonpeaker</v>
          </cell>
        </row>
        <row r="11535">
          <cell r="C11535" t="str">
            <v>CT</v>
          </cell>
          <cell r="D11535">
            <v>73</v>
          </cell>
          <cell r="H11535" t="str">
            <v>natural gas nonpeaker</v>
          </cell>
        </row>
        <row r="11536">
          <cell r="C11536" t="str">
            <v>CA</v>
          </cell>
          <cell r="D11536">
            <v>160</v>
          </cell>
          <cell r="H11536" t="str">
            <v>natural gas nonpeaker</v>
          </cell>
        </row>
        <row r="11537">
          <cell r="C11537" t="str">
            <v>ST</v>
          </cell>
          <cell r="D11537">
            <v>23</v>
          </cell>
          <cell r="H11537" t="str">
            <v>other</v>
          </cell>
        </row>
        <row r="11538">
          <cell r="C11538" t="str">
            <v>ST</v>
          </cell>
          <cell r="D11538">
            <v>23</v>
          </cell>
          <cell r="H11538" t="str">
            <v>other</v>
          </cell>
        </row>
        <row r="11539">
          <cell r="C11539" t="str">
            <v>HY</v>
          </cell>
          <cell r="D11539">
            <v>24</v>
          </cell>
          <cell r="H11539" t="str">
            <v>hydro</v>
          </cell>
        </row>
        <row r="11540">
          <cell r="C11540" t="str">
            <v>HY</v>
          </cell>
          <cell r="D11540">
            <v>24</v>
          </cell>
          <cell r="H11540" t="str">
            <v>hydro</v>
          </cell>
        </row>
        <row r="11541">
          <cell r="C11541" t="str">
            <v>HY</v>
          </cell>
          <cell r="D11541">
            <v>24</v>
          </cell>
          <cell r="H11541" t="str">
            <v>hydro</v>
          </cell>
        </row>
        <row r="11542">
          <cell r="C11542" t="str">
            <v>HY</v>
          </cell>
          <cell r="D11542">
            <v>24</v>
          </cell>
          <cell r="H11542" t="str">
            <v>hydro</v>
          </cell>
        </row>
        <row r="11543">
          <cell r="C11543" t="str">
            <v>HY</v>
          </cell>
          <cell r="D11543">
            <v>24</v>
          </cell>
          <cell r="H11543" t="str">
            <v>hydro</v>
          </cell>
        </row>
        <row r="11544">
          <cell r="C11544" t="str">
            <v>HY</v>
          </cell>
          <cell r="D11544">
            <v>24</v>
          </cell>
          <cell r="H11544" t="str">
            <v>hydro</v>
          </cell>
        </row>
        <row r="11545">
          <cell r="C11545" t="str">
            <v>HY</v>
          </cell>
          <cell r="D11545">
            <v>24</v>
          </cell>
          <cell r="H11545" t="str">
            <v>hydro</v>
          </cell>
        </row>
        <row r="11546">
          <cell r="C11546" t="str">
            <v>HY</v>
          </cell>
          <cell r="D11546">
            <v>24</v>
          </cell>
          <cell r="H11546" t="str">
            <v>hydro</v>
          </cell>
        </row>
        <row r="11547">
          <cell r="C11547" t="str">
            <v>HY</v>
          </cell>
          <cell r="D11547">
            <v>3.5</v>
          </cell>
          <cell r="H11547" t="str">
            <v>hydro</v>
          </cell>
        </row>
        <row r="11548">
          <cell r="C11548" t="str">
            <v>HY</v>
          </cell>
          <cell r="D11548">
            <v>3</v>
          </cell>
          <cell r="H11548" t="str">
            <v>hydro</v>
          </cell>
        </row>
        <row r="11549">
          <cell r="C11549" t="str">
            <v>WT</v>
          </cell>
          <cell r="D11549">
            <v>7.3</v>
          </cell>
          <cell r="H11549" t="str">
            <v>onshore wind</v>
          </cell>
        </row>
        <row r="11550">
          <cell r="C11550" t="str">
            <v>WT</v>
          </cell>
          <cell r="D11550">
            <v>5.4</v>
          </cell>
          <cell r="H11550" t="str">
            <v>onshore wind</v>
          </cell>
        </row>
        <row r="11551">
          <cell r="C11551" t="str">
            <v>WT</v>
          </cell>
          <cell r="D11551">
            <v>11.6</v>
          </cell>
          <cell r="H11551" t="str">
            <v>onshore wind</v>
          </cell>
        </row>
        <row r="11552">
          <cell r="C11552" t="str">
            <v>WT</v>
          </cell>
          <cell r="D11552">
            <v>25.3</v>
          </cell>
          <cell r="H11552" t="str">
            <v>onshore wind</v>
          </cell>
        </row>
        <row r="11553">
          <cell r="C11553" t="str">
            <v>HY</v>
          </cell>
          <cell r="D11553">
            <v>1.1000000000000001</v>
          </cell>
          <cell r="H11553" t="str">
            <v>hydro</v>
          </cell>
        </row>
        <row r="11554">
          <cell r="C11554" t="str">
            <v>ST</v>
          </cell>
          <cell r="D11554">
            <v>34.299999999999997</v>
          </cell>
          <cell r="H11554" t="str">
            <v>geothermal</v>
          </cell>
        </row>
        <row r="11555">
          <cell r="C11555" t="str">
            <v>BT</v>
          </cell>
          <cell r="D11555">
            <v>4.5</v>
          </cell>
          <cell r="H11555" t="str">
            <v>geothermal</v>
          </cell>
        </row>
        <row r="11556">
          <cell r="C11556" t="str">
            <v>BT</v>
          </cell>
          <cell r="D11556">
            <v>3</v>
          </cell>
          <cell r="H11556" t="str">
            <v>geothermal</v>
          </cell>
        </row>
        <row r="11557">
          <cell r="C11557" t="str">
            <v>BT</v>
          </cell>
          <cell r="D11557">
            <v>12.5</v>
          </cell>
          <cell r="H11557" t="str">
            <v>geothermal</v>
          </cell>
        </row>
        <row r="11558">
          <cell r="C11558" t="str">
            <v>ST</v>
          </cell>
          <cell r="D11558">
            <v>2.2000000000000002</v>
          </cell>
          <cell r="H11558" t="str">
            <v>natural gas peaker</v>
          </cell>
        </row>
        <row r="11559">
          <cell r="C11559" t="str">
            <v>ST</v>
          </cell>
          <cell r="D11559">
            <v>6</v>
          </cell>
          <cell r="H11559" t="str">
            <v>natural gas peaker</v>
          </cell>
        </row>
        <row r="11560">
          <cell r="C11560" t="str">
            <v>HY</v>
          </cell>
          <cell r="D11560">
            <v>0.5</v>
          </cell>
          <cell r="H11560" t="str">
            <v>hydro</v>
          </cell>
        </row>
        <row r="11561">
          <cell r="C11561" t="str">
            <v>HY</v>
          </cell>
          <cell r="D11561">
            <v>0.5</v>
          </cell>
          <cell r="H11561" t="str">
            <v>hydro</v>
          </cell>
        </row>
        <row r="11562">
          <cell r="C11562" t="str">
            <v>CT</v>
          </cell>
          <cell r="D11562">
            <v>46.9</v>
          </cell>
          <cell r="H11562" t="str">
            <v>natural gas nonpeaker</v>
          </cell>
        </row>
        <row r="11563">
          <cell r="C11563" t="str">
            <v>CT</v>
          </cell>
          <cell r="D11563" t="str">
            <v xml:space="preserve"> </v>
          </cell>
          <cell r="H11563" t="str">
            <v>natural gas nonpeaker</v>
          </cell>
        </row>
        <row r="11564">
          <cell r="C11564" t="str">
            <v>CT</v>
          </cell>
          <cell r="D11564" t="str">
            <v xml:space="preserve"> </v>
          </cell>
          <cell r="H11564" t="str">
            <v>natural gas nonpeaker</v>
          </cell>
        </row>
        <row r="11565">
          <cell r="C11565" t="str">
            <v>CT</v>
          </cell>
          <cell r="D11565" t="str">
            <v xml:space="preserve"> </v>
          </cell>
          <cell r="H11565" t="str">
            <v>natural gas nonpeaker</v>
          </cell>
        </row>
        <row r="11566">
          <cell r="C11566" t="str">
            <v>CA</v>
          </cell>
          <cell r="D11566" t="str">
            <v xml:space="preserve"> </v>
          </cell>
          <cell r="H11566" t="str">
            <v>natural gas nonpeaker</v>
          </cell>
        </row>
        <row r="11567">
          <cell r="C11567" t="str">
            <v>CA</v>
          </cell>
          <cell r="D11567" t="str">
            <v xml:space="preserve"> </v>
          </cell>
          <cell r="H11567" t="str">
            <v>natural gas nonpeaker</v>
          </cell>
        </row>
        <row r="11568">
          <cell r="C11568" t="str">
            <v>CT</v>
          </cell>
          <cell r="D11568">
            <v>35.1</v>
          </cell>
          <cell r="H11568" t="str">
            <v>natural gas nonpeaker</v>
          </cell>
        </row>
        <row r="11569">
          <cell r="C11569" t="str">
            <v>CA</v>
          </cell>
          <cell r="D11569">
            <v>17.100000000000001</v>
          </cell>
          <cell r="H11569" t="str">
            <v>natural gas nonpeaker</v>
          </cell>
        </row>
        <row r="11570">
          <cell r="C11570" t="str">
            <v>IC</v>
          </cell>
          <cell r="D11570">
            <v>0.8</v>
          </cell>
          <cell r="H11570" t="str">
            <v>biomass</v>
          </cell>
        </row>
        <row r="11571">
          <cell r="C11571" t="str">
            <v>IC</v>
          </cell>
          <cell r="D11571">
            <v>1.6</v>
          </cell>
          <cell r="H11571" t="str">
            <v>biomass</v>
          </cell>
        </row>
        <row r="11572">
          <cell r="C11572" t="str">
            <v>IC</v>
          </cell>
          <cell r="D11572">
            <v>1.6</v>
          </cell>
          <cell r="H11572" t="str">
            <v>biomass</v>
          </cell>
        </row>
        <row r="11573">
          <cell r="C11573" t="str">
            <v>IC</v>
          </cell>
          <cell r="D11573">
            <v>1.6</v>
          </cell>
          <cell r="H11573" t="str">
            <v>biomass</v>
          </cell>
        </row>
        <row r="11574">
          <cell r="C11574" t="str">
            <v>IC</v>
          </cell>
          <cell r="D11574">
            <v>0.8</v>
          </cell>
          <cell r="H11574" t="str">
            <v>biomass</v>
          </cell>
        </row>
        <row r="11575">
          <cell r="C11575" t="str">
            <v>IC</v>
          </cell>
          <cell r="D11575">
            <v>0.8</v>
          </cell>
          <cell r="H11575" t="str">
            <v>biomass</v>
          </cell>
        </row>
        <row r="11576">
          <cell r="C11576" t="str">
            <v>IC</v>
          </cell>
          <cell r="D11576">
            <v>0.8</v>
          </cell>
          <cell r="H11576" t="str">
            <v>biomass</v>
          </cell>
        </row>
        <row r="11577">
          <cell r="C11577" t="str">
            <v>IC</v>
          </cell>
          <cell r="D11577">
            <v>0.8</v>
          </cell>
          <cell r="H11577" t="str">
            <v>biomass</v>
          </cell>
        </row>
        <row r="11578">
          <cell r="C11578" t="str">
            <v>IC</v>
          </cell>
          <cell r="D11578">
            <v>0.8</v>
          </cell>
          <cell r="H11578" t="str">
            <v>biomass</v>
          </cell>
        </row>
        <row r="11579">
          <cell r="C11579" t="str">
            <v>IC</v>
          </cell>
          <cell r="D11579">
            <v>0.8</v>
          </cell>
          <cell r="H11579" t="str">
            <v>biomass</v>
          </cell>
        </row>
        <row r="11580">
          <cell r="C11580" t="str">
            <v>IC</v>
          </cell>
          <cell r="D11580">
            <v>0.8</v>
          </cell>
          <cell r="H11580" t="str">
            <v>biomass</v>
          </cell>
        </row>
        <row r="11581">
          <cell r="C11581" t="str">
            <v>IC</v>
          </cell>
          <cell r="D11581">
            <v>1.5</v>
          </cell>
          <cell r="H11581" t="str">
            <v>petroleum</v>
          </cell>
        </row>
        <row r="11582">
          <cell r="C11582" t="str">
            <v>IC</v>
          </cell>
          <cell r="D11582">
            <v>1.6</v>
          </cell>
          <cell r="H11582" t="str">
            <v>petroleum</v>
          </cell>
        </row>
        <row r="11583">
          <cell r="C11583" t="str">
            <v>IC</v>
          </cell>
          <cell r="D11583">
            <v>0.5</v>
          </cell>
          <cell r="H11583" t="str">
            <v>petroleum</v>
          </cell>
        </row>
        <row r="11584">
          <cell r="C11584" t="str">
            <v>IC</v>
          </cell>
          <cell r="D11584">
            <v>1</v>
          </cell>
          <cell r="H11584" t="str">
            <v>petroleum</v>
          </cell>
        </row>
        <row r="11585">
          <cell r="C11585" t="str">
            <v>IC</v>
          </cell>
          <cell r="D11585">
            <v>1.1000000000000001</v>
          </cell>
          <cell r="H11585" t="str">
            <v>petroleum</v>
          </cell>
        </row>
        <row r="11586">
          <cell r="C11586" t="str">
            <v>IC</v>
          </cell>
          <cell r="D11586">
            <v>1</v>
          </cell>
          <cell r="H11586" t="str">
            <v>petroleum</v>
          </cell>
        </row>
        <row r="11587">
          <cell r="C11587" t="str">
            <v>IC</v>
          </cell>
          <cell r="D11587">
            <v>1</v>
          </cell>
          <cell r="H11587" t="str">
            <v>petroleum</v>
          </cell>
        </row>
        <row r="11588">
          <cell r="C11588" t="str">
            <v>IC</v>
          </cell>
          <cell r="D11588">
            <v>1.1000000000000001</v>
          </cell>
          <cell r="H11588" t="str">
            <v>petroleum</v>
          </cell>
        </row>
        <row r="11589">
          <cell r="C11589" t="str">
            <v>IC</v>
          </cell>
          <cell r="D11589">
            <v>1.6</v>
          </cell>
          <cell r="H11589" t="str">
            <v>petroleum</v>
          </cell>
        </row>
        <row r="11590">
          <cell r="C11590" t="str">
            <v>IC</v>
          </cell>
          <cell r="D11590">
            <v>1.6</v>
          </cell>
          <cell r="H11590" t="str">
            <v>petroleum</v>
          </cell>
        </row>
        <row r="11591">
          <cell r="C11591" t="str">
            <v>IC</v>
          </cell>
          <cell r="D11591">
            <v>1.6</v>
          </cell>
          <cell r="H11591" t="str">
            <v>petroleum</v>
          </cell>
        </row>
        <row r="11592">
          <cell r="C11592" t="str">
            <v>IC</v>
          </cell>
          <cell r="D11592">
            <v>1.6</v>
          </cell>
          <cell r="H11592" t="str">
            <v>petroleum</v>
          </cell>
        </row>
        <row r="11593">
          <cell r="C11593" t="str">
            <v>IC</v>
          </cell>
          <cell r="D11593">
            <v>1.6</v>
          </cell>
          <cell r="H11593" t="str">
            <v>petroleum</v>
          </cell>
        </row>
        <row r="11594">
          <cell r="C11594" t="str">
            <v>IC</v>
          </cell>
          <cell r="D11594">
            <v>1.6</v>
          </cell>
          <cell r="H11594" t="str">
            <v>petroleum</v>
          </cell>
        </row>
        <row r="11595">
          <cell r="C11595" t="str">
            <v>IC</v>
          </cell>
          <cell r="D11595">
            <v>1.8</v>
          </cell>
          <cell r="H11595" t="str">
            <v>petroleum</v>
          </cell>
        </row>
        <row r="11596">
          <cell r="C11596" t="str">
            <v>IC</v>
          </cell>
          <cell r="D11596">
            <v>1.5</v>
          </cell>
          <cell r="H11596" t="str">
            <v>petroleum</v>
          </cell>
        </row>
        <row r="11597">
          <cell r="C11597" t="str">
            <v>IC</v>
          </cell>
          <cell r="D11597">
            <v>1.5</v>
          </cell>
          <cell r="H11597" t="str">
            <v>petroleum</v>
          </cell>
        </row>
        <row r="11598">
          <cell r="C11598" t="str">
            <v>IC</v>
          </cell>
          <cell r="D11598">
            <v>1.1000000000000001</v>
          </cell>
          <cell r="H11598" t="str">
            <v>petroleum</v>
          </cell>
        </row>
        <row r="11599">
          <cell r="C11599" t="str">
            <v>IC</v>
          </cell>
          <cell r="D11599">
            <v>1.5</v>
          </cell>
          <cell r="H11599" t="str">
            <v>petroleum</v>
          </cell>
        </row>
        <row r="11600">
          <cell r="C11600" t="str">
            <v>IC</v>
          </cell>
          <cell r="D11600">
            <v>1.6</v>
          </cell>
          <cell r="H11600" t="str">
            <v>petroleum</v>
          </cell>
        </row>
        <row r="11601">
          <cell r="C11601" t="str">
            <v>IC</v>
          </cell>
          <cell r="D11601">
            <v>1.6</v>
          </cell>
          <cell r="H11601" t="str">
            <v>petroleum</v>
          </cell>
        </row>
        <row r="11602">
          <cell r="C11602" t="str">
            <v>IC</v>
          </cell>
          <cell r="D11602">
            <v>1.6</v>
          </cell>
          <cell r="H11602" t="str">
            <v>petroleum</v>
          </cell>
        </row>
        <row r="11603">
          <cell r="C11603" t="str">
            <v>IC</v>
          </cell>
          <cell r="D11603">
            <v>1.6</v>
          </cell>
          <cell r="H11603" t="str">
            <v>petroleum</v>
          </cell>
        </row>
        <row r="11604">
          <cell r="C11604" t="str">
            <v>IC</v>
          </cell>
          <cell r="D11604">
            <v>1.6</v>
          </cell>
          <cell r="H11604" t="str">
            <v>petroleum</v>
          </cell>
        </row>
        <row r="11605">
          <cell r="C11605" t="str">
            <v>IC</v>
          </cell>
          <cell r="D11605">
            <v>1.6</v>
          </cell>
          <cell r="H11605" t="str">
            <v>petroleum</v>
          </cell>
        </row>
        <row r="11606">
          <cell r="C11606" t="str">
            <v>IC</v>
          </cell>
          <cell r="D11606">
            <v>1.6</v>
          </cell>
          <cell r="H11606" t="str">
            <v>petroleum</v>
          </cell>
        </row>
        <row r="11607">
          <cell r="C11607" t="str">
            <v>IC</v>
          </cell>
          <cell r="D11607">
            <v>1.6</v>
          </cell>
          <cell r="H11607" t="str">
            <v>petroleum</v>
          </cell>
        </row>
        <row r="11608">
          <cell r="C11608" t="str">
            <v>IC</v>
          </cell>
          <cell r="D11608">
            <v>1.6</v>
          </cell>
          <cell r="H11608" t="str">
            <v>petroleum</v>
          </cell>
        </row>
        <row r="11609">
          <cell r="C11609" t="str">
            <v>IC</v>
          </cell>
          <cell r="D11609">
            <v>1.6</v>
          </cell>
          <cell r="H11609" t="str">
            <v>petroleum</v>
          </cell>
        </row>
        <row r="11610">
          <cell r="C11610" t="str">
            <v>IC</v>
          </cell>
          <cell r="D11610">
            <v>1.6</v>
          </cell>
          <cell r="H11610" t="str">
            <v>petroleum</v>
          </cell>
        </row>
        <row r="11611">
          <cell r="C11611" t="str">
            <v>IC</v>
          </cell>
          <cell r="D11611">
            <v>1.8</v>
          </cell>
          <cell r="H11611" t="str">
            <v>petroleum</v>
          </cell>
        </row>
        <row r="11612">
          <cell r="C11612" t="str">
            <v>IC</v>
          </cell>
          <cell r="D11612">
            <v>1.8</v>
          </cell>
          <cell r="H11612" t="str">
            <v>petroleum</v>
          </cell>
        </row>
        <row r="11613">
          <cell r="C11613" t="str">
            <v>IC</v>
          </cell>
          <cell r="D11613">
            <v>2</v>
          </cell>
          <cell r="H11613" t="str">
            <v>petroleum</v>
          </cell>
        </row>
        <row r="11614">
          <cell r="C11614" t="str">
            <v>IC</v>
          </cell>
          <cell r="D11614">
            <v>1.5</v>
          </cell>
          <cell r="H11614" t="str">
            <v>petroleum</v>
          </cell>
        </row>
        <row r="11615">
          <cell r="C11615" t="str">
            <v>IC</v>
          </cell>
          <cell r="D11615">
            <v>1</v>
          </cell>
          <cell r="H11615" t="str">
            <v>petroleum</v>
          </cell>
        </row>
        <row r="11616">
          <cell r="C11616" t="str">
            <v>IC</v>
          </cell>
          <cell r="D11616">
            <v>1.1000000000000001</v>
          </cell>
          <cell r="H11616" t="str">
            <v>petroleum</v>
          </cell>
        </row>
        <row r="11617">
          <cell r="C11617" t="str">
            <v>HY</v>
          </cell>
          <cell r="D11617">
            <v>18.5</v>
          </cell>
          <cell r="H11617" t="str">
            <v>hydro</v>
          </cell>
        </row>
        <row r="11618">
          <cell r="C11618" t="str">
            <v>IC</v>
          </cell>
          <cell r="D11618">
            <v>0.8</v>
          </cell>
          <cell r="H11618" t="str">
            <v>biomass</v>
          </cell>
        </row>
        <row r="11619">
          <cell r="C11619" t="str">
            <v>IC</v>
          </cell>
          <cell r="D11619">
            <v>0.8</v>
          </cell>
          <cell r="H11619" t="str">
            <v>biomass</v>
          </cell>
        </row>
        <row r="11620">
          <cell r="C11620" t="str">
            <v>IC</v>
          </cell>
          <cell r="D11620">
            <v>0.8</v>
          </cell>
          <cell r="H11620" t="str">
            <v>biomass</v>
          </cell>
        </row>
        <row r="11621">
          <cell r="C11621" t="str">
            <v>IC</v>
          </cell>
          <cell r="D11621">
            <v>0.8</v>
          </cell>
          <cell r="H11621" t="str">
            <v>biomass</v>
          </cell>
        </row>
        <row r="11622">
          <cell r="C11622" t="str">
            <v>ST</v>
          </cell>
          <cell r="D11622">
            <v>8</v>
          </cell>
          <cell r="H11622" t="str">
            <v>geothermal</v>
          </cell>
        </row>
        <row r="11623">
          <cell r="C11623" t="str">
            <v>ST</v>
          </cell>
          <cell r="D11623">
            <v>8</v>
          </cell>
          <cell r="H11623" t="str">
            <v>geothermal</v>
          </cell>
        </row>
        <row r="11624">
          <cell r="C11624" t="str">
            <v>HY</v>
          </cell>
          <cell r="D11624">
            <v>2</v>
          </cell>
          <cell r="H11624" t="str">
            <v>hydro</v>
          </cell>
        </row>
        <row r="11625">
          <cell r="C11625" t="str">
            <v>GT</v>
          </cell>
          <cell r="D11625">
            <v>3</v>
          </cell>
          <cell r="H11625" t="str">
            <v>natural gas peaker</v>
          </cell>
        </row>
        <row r="11626">
          <cell r="C11626" t="str">
            <v>IC</v>
          </cell>
          <cell r="D11626">
            <v>1</v>
          </cell>
          <cell r="H11626" t="str">
            <v>petroleum</v>
          </cell>
        </row>
        <row r="11627">
          <cell r="C11627" t="str">
            <v>IC</v>
          </cell>
          <cell r="D11627">
            <v>0.5</v>
          </cell>
          <cell r="H11627" t="str">
            <v>petroleum</v>
          </cell>
        </row>
        <row r="11628">
          <cell r="C11628" t="str">
            <v>IC</v>
          </cell>
          <cell r="D11628">
            <v>0.5</v>
          </cell>
          <cell r="H11628" t="str">
            <v>petroleum</v>
          </cell>
        </row>
        <row r="11629">
          <cell r="C11629" t="str">
            <v>IC</v>
          </cell>
          <cell r="D11629">
            <v>0.3</v>
          </cell>
          <cell r="H11629" t="str">
            <v>petroleum</v>
          </cell>
        </row>
        <row r="11630">
          <cell r="C11630" t="str">
            <v>IC</v>
          </cell>
          <cell r="D11630">
            <v>1</v>
          </cell>
          <cell r="H11630" t="str">
            <v>petroleum</v>
          </cell>
        </row>
        <row r="11631">
          <cell r="C11631" t="str">
            <v>IC</v>
          </cell>
          <cell r="D11631">
            <v>1</v>
          </cell>
          <cell r="H11631" t="str">
            <v>petroleum</v>
          </cell>
        </row>
        <row r="11632">
          <cell r="C11632" t="str">
            <v>IC</v>
          </cell>
          <cell r="D11632">
            <v>2.9</v>
          </cell>
          <cell r="H11632" t="str">
            <v>petroleum</v>
          </cell>
        </row>
        <row r="11633">
          <cell r="C11633" t="str">
            <v>IC</v>
          </cell>
          <cell r="D11633">
            <v>2.9</v>
          </cell>
          <cell r="H11633" t="str">
            <v>petroleum</v>
          </cell>
        </row>
        <row r="11634">
          <cell r="C11634" t="str">
            <v>IC</v>
          </cell>
          <cell r="D11634">
            <v>2.9</v>
          </cell>
          <cell r="H11634" t="str">
            <v>petroleum</v>
          </cell>
        </row>
        <row r="11635">
          <cell r="C11635" t="str">
            <v>IC</v>
          </cell>
          <cell r="D11635">
            <v>2.9</v>
          </cell>
          <cell r="H11635" t="str">
            <v>petroleum</v>
          </cell>
        </row>
        <row r="11636">
          <cell r="C11636" t="str">
            <v>IC</v>
          </cell>
          <cell r="D11636">
            <v>2.9</v>
          </cell>
          <cell r="H11636" t="str">
            <v>petroleum</v>
          </cell>
        </row>
        <row r="11637">
          <cell r="C11637" t="str">
            <v>IC</v>
          </cell>
          <cell r="D11637">
            <v>2.9</v>
          </cell>
          <cell r="H11637" t="str">
            <v>petroleum</v>
          </cell>
        </row>
        <row r="11638">
          <cell r="C11638" t="str">
            <v>IC</v>
          </cell>
          <cell r="D11638">
            <v>2.9</v>
          </cell>
          <cell r="H11638" t="str">
            <v>petroleum</v>
          </cell>
        </row>
        <row r="11639">
          <cell r="C11639" t="str">
            <v>IC</v>
          </cell>
          <cell r="D11639">
            <v>2.9</v>
          </cell>
          <cell r="H11639" t="str">
            <v>petroleum</v>
          </cell>
        </row>
        <row r="11640">
          <cell r="C11640" t="str">
            <v>IC</v>
          </cell>
          <cell r="D11640">
            <v>2.9</v>
          </cell>
          <cell r="H11640" t="str">
            <v>petroleum</v>
          </cell>
        </row>
        <row r="11641">
          <cell r="C11641" t="str">
            <v>IC</v>
          </cell>
          <cell r="D11641">
            <v>2.9</v>
          </cell>
          <cell r="H11641" t="str">
            <v>petroleum</v>
          </cell>
        </row>
        <row r="11642">
          <cell r="C11642" t="str">
            <v>IC</v>
          </cell>
          <cell r="D11642">
            <v>1.8</v>
          </cell>
          <cell r="H11642" t="str">
            <v>petroleum</v>
          </cell>
        </row>
        <row r="11643">
          <cell r="C11643" t="str">
            <v>IC</v>
          </cell>
          <cell r="D11643">
            <v>1.1000000000000001</v>
          </cell>
          <cell r="H11643" t="str">
            <v>petroleum</v>
          </cell>
        </row>
        <row r="11644">
          <cell r="C11644" t="str">
            <v>IC</v>
          </cell>
          <cell r="D11644">
            <v>0.6</v>
          </cell>
          <cell r="H11644" t="str">
            <v>petroleum</v>
          </cell>
        </row>
        <row r="11645">
          <cell r="C11645" t="str">
            <v>ST</v>
          </cell>
          <cell r="D11645">
            <v>0.7</v>
          </cell>
          <cell r="H11645" t="str">
            <v>other</v>
          </cell>
        </row>
        <row r="11646">
          <cell r="C11646" t="str">
            <v>ST</v>
          </cell>
          <cell r="D11646">
            <v>0.7</v>
          </cell>
          <cell r="H11646" t="str">
            <v>other</v>
          </cell>
        </row>
        <row r="11647">
          <cell r="C11647" t="str">
            <v>ST</v>
          </cell>
          <cell r="D11647">
            <v>43.9</v>
          </cell>
          <cell r="H11647" t="str">
            <v>municipal solid waste</v>
          </cell>
        </row>
        <row r="11648">
          <cell r="C11648" t="str">
            <v>GT</v>
          </cell>
          <cell r="D11648">
            <v>32</v>
          </cell>
          <cell r="H11648" t="str">
            <v>natural gas peaker</v>
          </cell>
        </row>
        <row r="11649">
          <cell r="C11649" t="str">
            <v>CT</v>
          </cell>
          <cell r="D11649">
            <v>40</v>
          </cell>
          <cell r="H11649" t="str">
            <v>natural gas nonpeaker</v>
          </cell>
        </row>
        <row r="11650">
          <cell r="C11650" t="str">
            <v>CA</v>
          </cell>
          <cell r="D11650">
            <v>9.4</v>
          </cell>
          <cell r="H11650" t="str">
            <v>natural gas nonpeaker</v>
          </cell>
        </row>
        <row r="11651">
          <cell r="C11651" t="str">
            <v>WT</v>
          </cell>
          <cell r="D11651">
            <v>6.5</v>
          </cell>
          <cell r="H11651" t="str">
            <v>onshore wind</v>
          </cell>
        </row>
        <row r="11652">
          <cell r="C11652" t="str">
            <v>ST</v>
          </cell>
          <cell r="D11652">
            <v>35</v>
          </cell>
          <cell r="H11652" t="str">
            <v>biomass</v>
          </cell>
        </row>
        <row r="11653">
          <cell r="C11653" t="str">
            <v>ST</v>
          </cell>
          <cell r="D11653">
            <v>40</v>
          </cell>
          <cell r="H11653" t="str">
            <v>biomass</v>
          </cell>
        </row>
        <row r="11654">
          <cell r="C11654" t="str">
            <v>ST</v>
          </cell>
          <cell r="D11654">
            <v>34.799999999999997</v>
          </cell>
          <cell r="H11654" t="str">
            <v>biomass</v>
          </cell>
        </row>
        <row r="11655">
          <cell r="C11655" t="str">
            <v>HY</v>
          </cell>
          <cell r="D11655">
            <v>2.2999999999999998</v>
          </cell>
          <cell r="H11655" t="str">
            <v>hydro</v>
          </cell>
        </row>
        <row r="11656">
          <cell r="C11656" t="str">
            <v>IC</v>
          </cell>
          <cell r="D11656">
            <v>0.8</v>
          </cell>
          <cell r="H11656" t="str">
            <v>biomass</v>
          </cell>
        </row>
        <row r="11657">
          <cell r="C11657" t="str">
            <v>IC</v>
          </cell>
          <cell r="D11657">
            <v>0.8</v>
          </cell>
          <cell r="H11657" t="str">
            <v>biomass</v>
          </cell>
        </row>
        <row r="11658">
          <cell r="C11658" t="str">
            <v>IC</v>
          </cell>
          <cell r="D11658">
            <v>0.8</v>
          </cell>
          <cell r="H11658" t="str">
            <v>biomass</v>
          </cell>
        </row>
        <row r="11659">
          <cell r="C11659" t="str">
            <v>IC</v>
          </cell>
          <cell r="D11659">
            <v>0.8</v>
          </cell>
          <cell r="H11659" t="str">
            <v>biomass</v>
          </cell>
        </row>
        <row r="11660">
          <cell r="C11660" t="str">
            <v>IC</v>
          </cell>
          <cell r="D11660">
            <v>0.8</v>
          </cell>
          <cell r="H11660" t="str">
            <v>biomass</v>
          </cell>
        </row>
        <row r="11661">
          <cell r="C11661" t="str">
            <v>IC</v>
          </cell>
          <cell r="D11661">
            <v>0.8</v>
          </cell>
          <cell r="H11661" t="str">
            <v>biomass</v>
          </cell>
        </row>
        <row r="11662">
          <cell r="C11662" t="str">
            <v>IC</v>
          </cell>
          <cell r="D11662">
            <v>1.6</v>
          </cell>
          <cell r="H11662" t="str">
            <v>biomass</v>
          </cell>
        </row>
        <row r="11663">
          <cell r="C11663" t="str">
            <v>IC</v>
          </cell>
          <cell r="D11663">
            <v>0.8</v>
          </cell>
          <cell r="H11663" t="str">
            <v>biomass</v>
          </cell>
        </row>
        <row r="11664">
          <cell r="C11664" t="str">
            <v>IC</v>
          </cell>
          <cell r="D11664">
            <v>0.8</v>
          </cell>
          <cell r="H11664" t="str">
            <v>biomass</v>
          </cell>
        </row>
        <row r="11665">
          <cell r="C11665" t="str">
            <v>IC</v>
          </cell>
          <cell r="D11665">
            <v>0.8</v>
          </cell>
          <cell r="H11665" t="str">
            <v>biomass</v>
          </cell>
        </row>
        <row r="11666">
          <cell r="C11666" t="str">
            <v>IC</v>
          </cell>
          <cell r="D11666">
            <v>0.8</v>
          </cell>
          <cell r="H11666" t="str">
            <v>biomass</v>
          </cell>
        </row>
        <row r="11667">
          <cell r="C11667" t="str">
            <v>IC</v>
          </cell>
          <cell r="D11667">
            <v>0.8</v>
          </cell>
          <cell r="H11667" t="str">
            <v>biomass</v>
          </cell>
        </row>
        <row r="11668">
          <cell r="C11668" t="str">
            <v>IC</v>
          </cell>
          <cell r="D11668">
            <v>1.6</v>
          </cell>
          <cell r="H11668" t="str">
            <v>biomass</v>
          </cell>
        </row>
        <row r="11669">
          <cell r="C11669" t="str">
            <v>IC</v>
          </cell>
          <cell r="D11669">
            <v>1.6</v>
          </cell>
          <cell r="H11669" t="str">
            <v>biomass</v>
          </cell>
        </row>
        <row r="11670">
          <cell r="C11670" t="str">
            <v>IC</v>
          </cell>
          <cell r="D11670">
            <v>0.6</v>
          </cell>
          <cell r="H11670" t="str">
            <v>biomass</v>
          </cell>
        </row>
        <row r="11671">
          <cell r="C11671" t="str">
            <v>ST</v>
          </cell>
          <cell r="D11671">
            <v>14</v>
          </cell>
          <cell r="H11671" t="str">
            <v>municipal solid waste</v>
          </cell>
        </row>
        <row r="11672">
          <cell r="C11672" t="str">
            <v>CA</v>
          </cell>
          <cell r="D11672">
            <v>80</v>
          </cell>
          <cell r="H11672" t="str">
            <v>natural gas nonpeaker</v>
          </cell>
        </row>
        <row r="11673">
          <cell r="C11673" t="str">
            <v>CT</v>
          </cell>
          <cell r="D11673">
            <v>152</v>
          </cell>
          <cell r="H11673" t="str">
            <v>natural gas nonpeaker</v>
          </cell>
        </row>
        <row r="11674">
          <cell r="C11674" t="str">
            <v>CA</v>
          </cell>
          <cell r="D11674">
            <v>80</v>
          </cell>
          <cell r="H11674" t="str">
            <v>natural gas nonpeaker</v>
          </cell>
        </row>
        <row r="11675">
          <cell r="C11675" t="str">
            <v>CT</v>
          </cell>
          <cell r="D11675">
            <v>152</v>
          </cell>
          <cell r="H11675" t="str">
            <v>natural gas nonpeaker</v>
          </cell>
        </row>
        <row r="11676">
          <cell r="C11676" t="str">
            <v>ST</v>
          </cell>
          <cell r="D11676">
            <v>8.6</v>
          </cell>
          <cell r="H11676" t="str">
            <v>biomass</v>
          </cell>
        </row>
        <row r="11677">
          <cell r="C11677" t="str">
            <v>ST</v>
          </cell>
          <cell r="D11677">
            <v>34.9</v>
          </cell>
          <cell r="H11677" t="str">
            <v>biomass</v>
          </cell>
        </row>
        <row r="11678">
          <cell r="C11678" t="str">
            <v>IC</v>
          </cell>
          <cell r="D11678">
            <v>0.3</v>
          </cell>
          <cell r="H11678" t="str">
            <v>petroleum</v>
          </cell>
        </row>
        <row r="11679">
          <cell r="C11679" t="str">
            <v>IC</v>
          </cell>
          <cell r="D11679">
            <v>0.3</v>
          </cell>
          <cell r="H11679" t="str">
            <v>petroleum</v>
          </cell>
        </row>
        <row r="11680">
          <cell r="C11680" t="str">
            <v>IC</v>
          </cell>
          <cell r="D11680">
            <v>0.3</v>
          </cell>
          <cell r="H11680" t="str">
            <v>petroleum</v>
          </cell>
        </row>
        <row r="11681">
          <cell r="C11681" t="str">
            <v>IC</v>
          </cell>
          <cell r="D11681">
            <v>0.3</v>
          </cell>
          <cell r="H11681" t="str">
            <v>petroleum</v>
          </cell>
        </row>
        <row r="11682">
          <cell r="C11682" t="str">
            <v>IC</v>
          </cell>
          <cell r="D11682">
            <v>0.3</v>
          </cell>
          <cell r="H11682" t="str">
            <v>petroleum</v>
          </cell>
        </row>
        <row r="11683">
          <cell r="C11683" t="str">
            <v>IC</v>
          </cell>
          <cell r="D11683">
            <v>0.3</v>
          </cell>
          <cell r="H11683" t="str">
            <v>petroleum</v>
          </cell>
        </row>
        <row r="11684">
          <cell r="C11684" t="str">
            <v>IC</v>
          </cell>
          <cell r="D11684">
            <v>0.3</v>
          </cell>
          <cell r="H11684" t="str">
            <v>petroleum</v>
          </cell>
        </row>
        <row r="11685">
          <cell r="C11685" t="str">
            <v>IC</v>
          </cell>
          <cell r="D11685">
            <v>0.3</v>
          </cell>
          <cell r="H11685" t="str">
            <v>petroleum</v>
          </cell>
        </row>
        <row r="11686">
          <cell r="C11686" t="str">
            <v>IC</v>
          </cell>
          <cell r="D11686">
            <v>0.3</v>
          </cell>
          <cell r="H11686" t="str">
            <v>petroleum</v>
          </cell>
        </row>
        <row r="11687">
          <cell r="C11687" t="str">
            <v>IC</v>
          </cell>
          <cell r="D11687">
            <v>0.3</v>
          </cell>
          <cell r="H11687" t="str">
            <v>petroleum</v>
          </cell>
        </row>
        <row r="11688">
          <cell r="C11688" t="str">
            <v>IC</v>
          </cell>
          <cell r="D11688">
            <v>0.3</v>
          </cell>
          <cell r="H11688" t="str">
            <v>petroleum</v>
          </cell>
        </row>
        <row r="11689">
          <cell r="C11689" t="str">
            <v>IC</v>
          </cell>
          <cell r="D11689">
            <v>0.3</v>
          </cell>
          <cell r="H11689" t="str">
            <v>petroleum</v>
          </cell>
        </row>
        <row r="11690">
          <cell r="C11690" t="str">
            <v>IC</v>
          </cell>
          <cell r="D11690">
            <v>0.3</v>
          </cell>
          <cell r="H11690" t="str">
            <v>petroleum</v>
          </cell>
        </row>
        <row r="11691">
          <cell r="C11691" t="str">
            <v>IC</v>
          </cell>
          <cell r="D11691">
            <v>0.3</v>
          </cell>
          <cell r="H11691" t="str">
            <v>petroleum</v>
          </cell>
        </row>
        <row r="11692">
          <cell r="C11692" t="str">
            <v>IC</v>
          </cell>
          <cell r="D11692">
            <v>0.3</v>
          </cell>
          <cell r="H11692" t="str">
            <v>petroleum</v>
          </cell>
        </row>
        <row r="11693">
          <cell r="C11693" t="str">
            <v>IC</v>
          </cell>
          <cell r="D11693">
            <v>0.3</v>
          </cell>
          <cell r="H11693" t="str">
            <v>petroleum</v>
          </cell>
        </row>
        <row r="11694">
          <cell r="C11694" t="str">
            <v>IC</v>
          </cell>
          <cell r="D11694">
            <v>0.3</v>
          </cell>
          <cell r="H11694" t="str">
            <v>petroleum</v>
          </cell>
        </row>
        <row r="11695">
          <cell r="C11695" t="str">
            <v>IC</v>
          </cell>
          <cell r="D11695">
            <v>0.3</v>
          </cell>
          <cell r="H11695" t="str">
            <v>petroleum</v>
          </cell>
        </row>
        <row r="11696">
          <cell r="C11696" t="str">
            <v>IC</v>
          </cell>
          <cell r="D11696">
            <v>0.3</v>
          </cell>
          <cell r="H11696" t="str">
            <v>petroleum</v>
          </cell>
        </row>
        <row r="11697">
          <cell r="C11697" t="str">
            <v>IC</v>
          </cell>
          <cell r="D11697">
            <v>0.3</v>
          </cell>
          <cell r="H11697" t="str">
            <v>petroleum</v>
          </cell>
        </row>
        <row r="11698">
          <cell r="C11698" t="str">
            <v>IC</v>
          </cell>
          <cell r="D11698">
            <v>0.3</v>
          </cell>
          <cell r="H11698" t="str">
            <v>petroleum</v>
          </cell>
        </row>
        <row r="11699">
          <cell r="C11699" t="str">
            <v>IC</v>
          </cell>
          <cell r="D11699">
            <v>0.3</v>
          </cell>
          <cell r="H11699" t="str">
            <v>petroleum</v>
          </cell>
        </row>
        <row r="11700">
          <cell r="C11700" t="str">
            <v>IC</v>
          </cell>
          <cell r="D11700">
            <v>0.3</v>
          </cell>
          <cell r="H11700" t="str">
            <v>petroleum</v>
          </cell>
        </row>
        <row r="11701">
          <cell r="C11701" t="str">
            <v>IC</v>
          </cell>
          <cell r="D11701">
            <v>0.3</v>
          </cell>
          <cell r="H11701" t="str">
            <v>petroleum</v>
          </cell>
        </row>
        <row r="11702">
          <cell r="C11702" t="str">
            <v>IC</v>
          </cell>
          <cell r="D11702">
            <v>0.3</v>
          </cell>
          <cell r="H11702" t="str">
            <v>petroleum</v>
          </cell>
        </row>
        <row r="11703">
          <cell r="C11703" t="str">
            <v>IC</v>
          </cell>
          <cell r="D11703">
            <v>0.3</v>
          </cell>
          <cell r="H11703" t="str">
            <v>petroleum</v>
          </cell>
        </row>
        <row r="11704">
          <cell r="C11704" t="str">
            <v>IC</v>
          </cell>
          <cell r="D11704">
            <v>0.3</v>
          </cell>
          <cell r="H11704" t="str">
            <v>petroleum</v>
          </cell>
        </row>
        <row r="11705">
          <cell r="C11705" t="str">
            <v>IC</v>
          </cell>
          <cell r="D11705">
            <v>0.3</v>
          </cell>
          <cell r="H11705" t="str">
            <v>petroleum</v>
          </cell>
        </row>
        <row r="11706">
          <cell r="C11706" t="str">
            <v>IC</v>
          </cell>
          <cell r="D11706">
            <v>0.3</v>
          </cell>
          <cell r="H11706" t="str">
            <v>petroleum</v>
          </cell>
        </row>
        <row r="11707">
          <cell r="C11707" t="str">
            <v>IC</v>
          </cell>
          <cell r="D11707">
            <v>0.3</v>
          </cell>
          <cell r="H11707" t="str">
            <v>petroleum</v>
          </cell>
        </row>
        <row r="11708">
          <cell r="C11708" t="str">
            <v>IC</v>
          </cell>
          <cell r="D11708">
            <v>0.3</v>
          </cell>
          <cell r="H11708" t="str">
            <v>petroleum</v>
          </cell>
        </row>
        <row r="11709">
          <cell r="C11709" t="str">
            <v>IC</v>
          </cell>
          <cell r="D11709">
            <v>0.3</v>
          </cell>
          <cell r="H11709" t="str">
            <v>petroleum</v>
          </cell>
        </row>
        <row r="11710">
          <cell r="C11710" t="str">
            <v>IC</v>
          </cell>
          <cell r="D11710">
            <v>0.3</v>
          </cell>
          <cell r="H11710" t="str">
            <v>petroleum</v>
          </cell>
        </row>
        <row r="11711">
          <cell r="C11711" t="str">
            <v>IC</v>
          </cell>
          <cell r="D11711">
            <v>0.3</v>
          </cell>
          <cell r="H11711" t="str">
            <v>petroleum</v>
          </cell>
        </row>
        <row r="11712">
          <cell r="C11712" t="str">
            <v>GT</v>
          </cell>
          <cell r="D11712">
            <v>46</v>
          </cell>
          <cell r="H11712" t="str">
            <v>natural gas peaker</v>
          </cell>
        </row>
        <row r="11713">
          <cell r="C11713" t="str">
            <v>IC</v>
          </cell>
          <cell r="D11713">
            <v>0.8</v>
          </cell>
          <cell r="H11713" t="str">
            <v>natural gas peaker</v>
          </cell>
        </row>
        <row r="11714">
          <cell r="C11714" t="str">
            <v>IC</v>
          </cell>
          <cell r="D11714">
            <v>0.8</v>
          </cell>
          <cell r="H11714" t="str">
            <v>natural gas peaker</v>
          </cell>
        </row>
        <row r="11715">
          <cell r="C11715" t="str">
            <v>IC</v>
          </cell>
          <cell r="D11715">
            <v>1.5</v>
          </cell>
          <cell r="H11715" t="str">
            <v>petroleum</v>
          </cell>
        </row>
        <row r="11716">
          <cell r="C11716" t="str">
            <v>IC</v>
          </cell>
          <cell r="D11716">
            <v>1.5</v>
          </cell>
          <cell r="H11716" t="str">
            <v>petroleum</v>
          </cell>
        </row>
        <row r="11717">
          <cell r="C11717" t="str">
            <v>HY</v>
          </cell>
          <cell r="D11717">
            <v>6.9</v>
          </cell>
          <cell r="H11717" t="str">
            <v>hydro</v>
          </cell>
        </row>
        <row r="11718">
          <cell r="C11718" t="str">
            <v>HY</v>
          </cell>
          <cell r="D11718">
            <v>6.9</v>
          </cell>
          <cell r="H11718" t="str">
            <v>hydro</v>
          </cell>
        </row>
        <row r="11719">
          <cell r="C11719" t="str">
            <v>IC</v>
          </cell>
          <cell r="D11719">
            <v>1.7</v>
          </cell>
          <cell r="H11719" t="str">
            <v>petroleum</v>
          </cell>
        </row>
        <row r="11720">
          <cell r="C11720" t="str">
            <v>ST</v>
          </cell>
          <cell r="D11720">
            <v>3</v>
          </cell>
          <cell r="H11720" t="str">
            <v>natural gas peaker</v>
          </cell>
        </row>
        <row r="11721">
          <cell r="C11721" t="str">
            <v>IC</v>
          </cell>
          <cell r="D11721">
            <v>2</v>
          </cell>
          <cell r="H11721" t="str">
            <v>natural gas peaker</v>
          </cell>
        </row>
        <row r="11722">
          <cell r="C11722" t="str">
            <v>ST</v>
          </cell>
          <cell r="D11722">
            <v>3</v>
          </cell>
          <cell r="H11722" t="str">
            <v>natural gas peaker</v>
          </cell>
        </row>
        <row r="11723">
          <cell r="C11723" t="str">
            <v>ST</v>
          </cell>
          <cell r="D11723">
            <v>15</v>
          </cell>
          <cell r="H11723" t="str">
            <v>natural gas peaker</v>
          </cell>
        </row>
        <row r="11724">
          <cell r="C11724" t="str">
            <v>IC</v>
          </cell>
          <cell r="D11724">
            <v>2</v>
          </cell>
          <cell r="H11724" t="str">
            <v>natural gas peaker</v>
          </cell>
        </row>
        <row r="11725">
          <cell r="C11725" t="str">
            <v>IC</v>
          </cell>
          <cell r="D11725">
            <v>2</v>
          </cell>
          <cell r="H11725" t="str">
            <v>natural gas peaker</v>
          </cell>
        </row>
        <row r="11726">
          <cell r="C11726" t="str">
            <v>IC</v>
          </cell>
          <cell r="D11726">
            <v>2</v>
          </cell>
          <cell r="H11726" t="str">
            <v>natural gas peaker</v>
          </cell>
        </row>
        <row r="11727">
          <cell r="C11727" t="str">
            <v>ST</v>
          </cell>
          <cell r="D11727">
            <v>3</v>
          </cell>
          <cell r="H11727" t="str">
            <v>natural gas peaker</v>
          </cell>
        </row>
        <row r="11728">
          <cell r="C11728" t="str">
            <v>ST</v>
          </cell>
          <cell r="D11728">
            <v>7.8</v>
          </cell>
          <cell r="H11728" t="str">
            <v>natural gas peaker</v>
          </cell>
        </row>
        <row r="11729">
          <cell r="C11729" t="str">
            <v>ST</v>
          </cell>
          <cell r="D11729">
            <v>12.5</v>
          </cell>
          <cell r="H11729" t="str">
            <v>natural gas peaker</v>
          </cell>
        </row>
        <row r="11730">
          <cell r="C11730" t="str">
            <v>ST</v>
          </cell>
          <cell r="D11730">
            <v>7</v>
          </cell>
          <cell r="H11730" t="str">
            <v>natural gas peaker</v>
          </cell>
        </row>
        <row r="11731">
          <cell r="C11731" t="str">
            <v>ST</v>
          </cell>
          <cell r="D11731">
            <v>3</v>
          </cell>
          <cell r="H11731" t="str">
            <v>natural gas peaker</v>
          </cell>
        </row>
        <row r="11732">
          <cell r="C11732" t="str">
            <v>ST</v>
          </cell>
          <cell r="D11732">
            <v>3</v>
          </cell>
          <cell r="H11732" t="str">
            <v>natural gas peaker</v>
          </cell>
        </row>
        <row r="11733">
          <cell r="C11733" t="str">
            <v>ST</v>
          </cell>
          <cell r="D11733">
            <v>3</v>
          </cell>
          <cell r="H11733" t="str">
            <v>natural gas peaker</v>
          </cell>
        </row>
        <row r="11734">
          <cell r="C11734" t="str">
            <v>ST</v>
          </cell>
          <cell r="D11734">
            <v>7.5</v>
          </cell>
          <cell r="H11734" t="str">
            <v>natural gas peaker</v>
          </cell>
        </row>
        <row r="11735">
          <cell r="C11735" t="str">
            <v>ST</v>
          </cell>
          <cell r="D11735">
            <v>7.5</v>
          </cell>
          <cell r="H11735" t="str">
            <v>natural gas peaker</v>
          </cell>
        </row>
        <row r="11736">
          <cell r="C11736" t="str">
            <v>GT</v>
          </cell>
          <cell r="D11736">
            <v>12.5</v>
          </cell>
          <cell r="H11736" t="str">
            <v>natural gas peaker</v>
          </cell>
        </row>
        <row r="11737">
          <cell r="C11737" t="str">
            <v>GT</v>
          </cell>
          <cell r="D11737">
            <v>12.5</v>
          </cell>
          <cell r="H11737" t="str">
            <v>natural gas peaker</v>
          </cell>
        </row>
        <row r="11738">
          <cell r="C11738" t="str">
            <v>IC</v>
          </cell>
          <cell r="D11738">
            <v>0.7</v>
          </cell>
          <cell r="H11738" t="str">
            <v>biomass</v>
          </cell>
        </row>
        <row r="11739">
          <cell r="C11739" t="str">
            <v>IC</v>
          </cell>
          <cell r="D11739">
            <v>0.7</v>
          </cell>
          <cell r="H11739" t="str">
            <v>biomass</v>
          </cell>
        </row>
        <row r="11740">
          <cell r="C11740" t="str">
            <v>IC</v>
          </cell>
          <cell r="D11740">
            <v>0.7</v>
          </cell>
          <cell r="H11740" t="str">
            <v>biomass</v>
          </cell>
        </row>
        <row r="11741">
          <cell r="C11741" t="str">
            <v>IC</v>
          </cell>
          <cell r="D11741">
            <v>0.7</v>
          </cell>
          <cell r="H11741" t="str">
            <v>biomass</v>
          </cell>
        </row>
        <row r="11742">
          <cell r="C11742" t="str">
            <v>IC</v>
          </cell>
          <cell r="D11742">
            <v>0.8</v>
          </cell>
          <cell r="H11742" t="str">
            <v>biomass</v>
          </cell>
        </row>
        <row r="11743">
          <cell r="C11743" t="str">
            <v>IC</v>
          </cell>
          <cell r="D11743">
            <v>0.8</v>
          </cell>
          <cell r="H11743" t="str">
            <v>biomass</v>
          </cell>
        </row>
        <row r="11744">
          <cell r="C11744" t="str">
            <v>IC</v>
          </cell>
          <cell r="D11744">
            <v>0.8</v>
          </cell>
          <cell r="H11744" t="str">
            <v>biomass</v>
          </cell>
        </row>
        <row r="11745">
          <cell r="C11745" t="str">
            <v>IC</v>
          </cell>
          <cell r="D11745">
            <v>0.8</v>
          </cell>
          <cell r="H11745" t="str">
            <v>biomass</v>
          </cell>
        </row>
        <row r="11746">
          <cell r="C11746" t="str">
            <v>IC</v>
          </cell>
          <cell r="D11746">
            <v>0.8</v>
          </cell>
          <cell r="H11746" t="str">
            <v>biomass</v>
          </cell>
        </row>
        <row r="11747">
          <cell r="C11747" t="str">
            <v>IC</v>
          </cell>
          <cell r="D11747">
            <v>1.6</v>
          </cell>
          <cell r="H11747" t="str">
            <v>biomass</v>
          </cell>
        </row>
        <row r="11748">
          <cell r="C11748" t="str">
            <v>IC</v>
          </cell>
          <cell r="D11748">
            <v>1.6</v>
          </cell>
          <cell r="H11748" t="str">
            <v>biomass</v>
          </cell>
        </row>
        <row r="11749">
          <cell r="C11749" t="str">
            <v>IC</v>
          </cell>
          <cell r="D11749">
            <v>1.6</v>
          </cell>
          <cell r="H11749" t="str">
            <v>biomass</v>
          </cell>
        </row>
        <row r="11750">
          <cell r="C11750" t="str">
            <v>IC</v>
          </cell>
          <cell r="D11750">
            <v>1.6</v>
          </cell>
          <cell r="H11750" t="str">
            <v>biomass</v>
          </cell>
        </row>
        <row r="11751">
          <cell r="C11751" t="str">
            <v>IC</v>
          </cell>
          <cell r="D11751">
            <v>0.8</v>
          </cell>
          <cell r="H11751" t="str">
            <v>biomass</v>
          </cell>
        </row>
        <row r="11752">
          <cell r="C11752" t="str">
            <v>IC</v>
          </cell>
          <cell r="D11752">
            <v>0.8</v>
          </cell>
          <cell r="H11752" t="str">
            <v>biomass</v>
          </cell>
        </row>
        <row r="11753">
          <cell r="C11753" t="str">
            <v>IC</v>
          </cell>
          <cell r="D11753">
            <v>0.8</v>
          </cell>
          <cell r="H11753" t="str">
            <v>biomass</v>
          </cell>
        </row>
        <row r="11754">
          <cell r="C11754" t="str">
            <v>IC</v>
          </cell>
          <cell r="D11754">
            <v>0.8</v>
          </cell>
          <cell r="H11754" t="str">
            <v>biomass</v>
          </cell>
        </row>
        <row r="11755">
          <cell r="C11755" t="str">
            <v>IC</v>
          </cell>
          <cell r="D11755">
            <v>0.8</v>
          </cell>
          <cell r="H11755" t="str">
            <v>biomass</v>
          </cell>
        </row>
        <row r="11756">
          <cell r="C11756" t="str">
            <v>IC</v>
          </cell>
          <cell r="D11756">
            <v>0.8</v>
          </cell>
          <cell r="H11756" t="str">
            <v>biomass</v>
          </cell>
        </row>
        <row r="11757">
          <cell r="C11757" t="str">
            <v>IC</v>
          </cell>
          <cell r="D11757">
            <v>0.8</v>
          </cell>
          <cell r="H11757" t="str">
            <v>biomass</v>
          </cell>
        </row>
        <row r="11758">
          <cell r="C11758" t="str">
            <v>IC</v>
          </cell>
          <cell r="D11758">
            <v>0.8</v>
          </cell>
          <cell r="H11758" t="str">
            <v>biomass</v>
          </cell>
        </row>
        <row r="11759">
          <cell r="C11759" t="str">
            <v>IC</v>
          </cell>
          <cell r="D11759">
            <v>0.8</v>
          </cell>
          <cell r="H11759" t="str">
            <v>biomass</v>
          </cell>
        </row>
        <row r="11760">
          <cell r="C11760" t="str">
            <v>ST</v>
          </cell>
          <cell r="D11760">
            <v>56.6</v>
          </cell>
          <cell r="H11760" t="str">
            <v>natural gas peaker</v>
          </cell>
        </row>
        <row r="11761">
          <cell r="C11761" t="str">
            <v>GT</v>
          </cell>
          <cell r="D11761">
            <v>114</v>
          </cell>
          <cell r="H11761" t="str">
            <v>natural gas peaker</v>
          </cell>
        </row>
        <row r="11762">
          <cell r="C11762" t="str">
            <v>IC</v>
          </cell>
          <cell r="D11762">
            <v>0.8</v>
          </cell>
          <cell r="H11762" t="str">
            <v>natural gas peaker</v>
          </cell>
        </row>
        <row r="11763">
          <cell r="C11763" t="str">
            <v>IC</v>
          </cell>
          <cell r="D11763">
            <v>0.8</v>
          </cell>
          <cell r="H11763" t="str">
            <v>natural gas peaker</v>
          </cell>
        </row>
        <row r="11764">
          <cell r="C11764" t="str">
            <v>IC</v>
          </cell>
          <cell r="D11764">
            <v>0.8</v>
          </cell>
          <cell r="H11764" t="str">
            <v>natural gas peaker</v>
          </cell>
        </row>
        <row r="11765">
          <cell r="C11765" t="str">
            <v>ST</v>
          </cell>
          <cell r="D11765">
            <v>10.4</v>
          </cell>
          <cell r="H11765" t="str">
            <v>natural gas peaker</v>
          </cell>
        </row>
        <row r="11766">
          <cell r="C11766" t="str">
            <v>ST</v>
          </cell>
          <cell r="D11766">
            <v>11.3</v>
          </cell>
          <cell r="H11766" t="str">
            <v>natural gas peaker</v>
          </cell>
        </row>
        <row r="11767">
          <cell r="C11767" t="str">
            <v>ST</v>
          </cell>
          <cell r="D11767">
            <v>51.5</v>
          </cell>
          <cell r="H11767" t="str">
            <v>biomass</v>
          </cell>
        </row>
        <row r="11768">
          <cell r="C11768" t="str">
            <v>GT</v>
          </cell>
          <cell r="D11768">
            <v>3.8</v>
          </cell>
          <cell r="H11768" t="str">
            <v>natural gas peaker</v>
          </cell>
        </row>
        <row r="11769">
          <cell r="C11769" t="str">
            <v>WT</v>
          </cell>
          <cell r="D11769">
            <v>0.7</v>
          </cell>
          <cell r="H11769" t="str">
            <v>onshore wind</v>
          </cell>
        </row>
        <row r="11770">
          <cell r="C11770" t="str">
            <v>WT</v>
          </cell>
          <cell r="D11770">
            <v>0.7</v>
          </cell>
          <cell r="H11770" t="str">
            <v>onshore wind</v>
          </cell>
        </row>
        <row r="11771">
          <cell r="C11771" t="str">
            <v>WT</v>
          </cell>
          <cell r="D11771">
            <v>108</v>
          </cell>
          <cell r="H11771" t="str">
            <v>onshore wind</v>
          </cell>
        </row>
        <row r="11772">
          <cell r="C11772" t="str">
            <v>ST</v>
          </cell>
          <cell r="D11772">
            <v>5</v>
          </cell>
          <cell r="H11772" t="str">
            <v>natural gas peaker</v>
          </cell>
        </row>
        <row r="11773">
          <cell r="C11773" t="str">
            <v>ST</v>
          </cell>
          <cell r="D11773">
            <v>2.5</v>
          </cell>
          <cell r="H11773" t="str">
            <v>natural gas peaker</v>
          </cell>
        </row>
        <row r="11774">
          <cell r="C11774" t="str">
            <v>ST</v>
          </cell>
          <cell r="D11774">
            <v>10</v>
          </cell>
          <cell r="H11774" t="str">
            <v>natural gas peaker</v>
          </cell>
        </row>
        <row r="11775">
          <cell r="C11775" t="str">
            <v>GT</v>
          </cell>
          <cell r="D11775">
            <v>2.7</v>
          </cell>
          <cell r="H11775" t="str">
            <v>natural gas peaker</v>
          </cell>
        </row>
        <row r="11776">
          <cell r="C11776" t="str">
            <v>GT</v>
          </cell>
          <cell r="D11776">
            <v>2.7</v>
          </cell>
          <cell r="H11776" t="str">
            <v>natural gas peaker</v>
          </cell>
        </row>
        <row r="11777">
          <cell r="C11777" t="str">
            <v>HY</v>
          </cell>
          <cell r="D11777">
            <v>0.8</v>
          </cell>
          <cell r="H11777" t="str">
            <v>hydro</v>
          </cell>
        </row>
        <row r="11778">
          <cell r="C11778" t="str">
            <v>HY</v>
          </cell>
          <cell r="D11778">
            <v>0.3</v>
          </cell>
          <cell r="H11778" t="str">
            <v>hydro</v>
          </cell>
        </row>
        <row r="11779">
          <cell r="C11779" t="str">
            <v>HY</v>
          </cell>
          <cell r="D11779">
            <v>0.1</v>
          </cell>
          <cell r="H11779" t="str">
            <v>hydro</v>
          </cell>
        </row>
        <row r="11780">
          <cell r="C11780" t="str">
            <v>ST</v>
          </cell>
          <cell r="D11780">
            <v>40</v>
          </cell>
          <cell r="H11780" t="str">
            <v>biomass</v>
          </cell>
        </row>
        <row r="11781">
          <cell r="C11781" t="str">
            <v>ST</v>
          </cell>
          <cell r="D11781">
            <v>55.5</v>
          </cell>
          <cell r="H11781" t="str">
            <v>biomass</v>
          </cell>
        </row>
        <row r="11782">
          <cell r="C11782" t="str">
            <v>GT</v>
          </cell>
          <cell r="D11782">
            <v>21</v>
          </cell>
          <cell r="H11782" t="str">
            <v>natural gas peaker</v>
          </cell>
        </row>
        <row r="11783">
          <cell r="C11783" t="str">
            <v>IC</v>
          </cell>
          <cell r="D11783">
            <v>1.2</v>
          </cell>
          <cell r="H11783" t="str">
            <v>petroleum</v>
          </cell>
        </row>
        <row r="11784">
          <cell r="C11784" t="str">
            <v>IC</v>
          </cell>
          <cell r="D11784">
            <v>1.6</v>
          </cell>
          <cell r="H11784" t="str">
            <v>petroleum</v>
          </cell>
        </row>
        <row r="11785">
          <cell r="C11785" t="str">
            <v>CT</v>
          </cell>
          <cell r="D11785">
            <v>123</v>
          </cell>
          <cell r="H11785" t="str">
            <v>natural gas nonpeaker</v>
          </cell>
        </row>
        <row r="11786">
          <cell r="C11786" t="str">
            <v>CA</v>
          </cell>
          <cell r="D11786">
            <v>81.8</v>
          </cell>
          <cell r="H11786" t="str">
            <v>natural gas nonpeaker</v>
          </cell>
        </row>
        <row r="11787">
          <cell r="C11787" t="str">
            <v>IC</v>
          </cell>
          <cell r="D11787">
            <v>0.6</v>
          </cell>
          <cell r="H11787" t="str">
            <v>petroleum</v>
          </cell>
        </row>
        <row r="11788">
          <cell r="C11788" t="str">
            <v>IC</v>
          </cell>
          <cell r="D11788">
            <v>0.6</v>
          </cell>
          <cell r="H11788" t="str">
            <v>petroleum</v>
          </cell>
        </row>
        <row r="11789">
          <cell r="C11789" t="str">
            <v>IC</v>
          </cell>
          <cell r="D11789">
            <v>0.6</v>
          </cell>
          <cell r="H11789" t="str">
            <v>petroleum</v>
          </cell>
        </row>
        <row r="11790">
          <cell r="C11790" t="str">
            <v>IC</v>
          </cell>
          <cell r="D11790">
            <v>0.6</v>
          </cell>
          <cell r="H11790" t="str">
            <v>petroleum</v>
          </cell>
        </row>
        <row r="11791">
          <cell r="C11791" t="str">
            <v>IC</v>
          </cell>
          <cell r="D11791">
            <v>0.6</v>
          </cell>
          <cell r="H11791" t="str">
            <v>petroleum</v>
          </cell>
        </row>
        <row r="11792">
          <cell r="C11792" t="str">
            <v>IC</v>
          </cell>
          <cell r="D11792">
            <v>0.6</v>
          </cell>
          <cell r="H11792" t="str">
            <v>petroleum</v>
          </cell>
        </row>
        <row r="11793">
          <cell r="C11793" t="str">
            <v>IC</v>
          </cell>
          <cell r="D11793">
            <v>0.6</v>
          </cell>
          <cell r="H11793" t="str">
            <v>petroleum</v>
          </cell>
        </row>
        <row r="11794">
          <cell r="C11794" t="str">
            <v>CT</v>
          </cell>
          <cell r="D11794">
            <v>5.5</v>
          </cell>
          <cell r="H11794" t="str">
            <v>natural gas nonpeaker</v>
          </cell>
        </row>
        <row r="11795">
          <cell r="C11795" t="str">
            <v>CT</v>
          </cell>
          <cell r="D11795">
            <v>5.5</v>
          </cell>
          <cell r="H11795" t="str">
            <v>natural gas nonpeaker</v>
          </cell>
        </row>
        <row r="11796">
          <cell r="C11796" t="str">
            <v>CA</v>
          </cell>
          <cell r="D11796">
            <v>1.8</v>
          </cell>
          <cell r="H11796" t="str">
            <v>natural gas nonpeaker</v>
          </cell>
        </row>
        <row r="11797">
          <cell r="C11797" t="str">
            <v>IC</v>
          </cell>
          <cell r="D11797">
            <v>2</v>
          </cell>
          <cell r="H11797" t="str">
            <v>petroleum</v>
          </cell>
        </row>
        <row r="11798">
          <cell r="C11798" t="str">
            <v>IC</v>
          </cell>
          <cell r="D11798">
            <v>2</v>
          </cell>
          <cell r="H11798" t="str">
            <v>petroleum</v>
          </cell>
        </row>
        <row r="11799">
          <cell r="C11799" t="str">
            <v>IC</v>
          </cell>
          <cell r="D11799">
            <v>2</v>
          </cell>
          <cell r="H11799" t="str">
            <v>petroleum</v>
          </cell>
        </row>
        <row r="11800">
          <cell r="C11800" t="str">
            <v>IC</v>
          </cell>
          <cell r="D11800">
            <v>2</v>
          </cell>
          <cell r="H11800" t="str">
            <v>petroleum</v>
          </cell>
        </row>
        <row r="11801">
          <cell r="C11801" t="str">
            <v>IC</v>
          </cell>
          <cell r="D11801">
            <v>2</v>
          </cell>
          <cell r="H11801" t="str">
            <v>petroleum</v>
          </cell>
        </row>
        <row r="11802">
          <cell r="C11802" t="str">
            <v>ST</v>
          </cell>
          <cell r="D11802">
            <v>5</v>
          </cell>
          <cell r="H11802" t="str">
            <v>natural gas peaker</v>
          </cell>
        </row>
        <row r="11803">
          <cell r="C11803" t="str">
            <v>HY</v>
          </cell>
          <cell r="D11803">
            <v>0.7</v>
          </cell>
          <cell r="H11803" t="str">
            <v>hydro</v>
          </cell>
        </row>
        <row r="11804">
          <cell r="C11804" t="str">
            <v>HY</v>
          </cell>
          <cell r="D11804">
            <v>0.7</v>
          </cell>
          <cell r="H11804" t="str">
            <v>hydro</v>
          </cell>
        </row>
        <row r="11805">
          <cell r="C11805" t="str">
            <v>IC</v>
          </cell>
          <cell r="D11805">
            <v>0.6</v>
          </cell>
          <cell r="H11805" t="str">
            <v>petroleum</v>
          </cell>
        </row>
        <row r="11806">
          <cell r="C11806" t="str">
            <v>IC</v>
          </cell>
          <cell r="D11806">
            <v>0.6</v>
          </cell>
          <cell r="H11806" t="str">
            <v>petroleum</v>
          </cell>
        </row>
        <row r="11807">
          <cell r="C11807" t="str">
            <v>IC</v>
          </cell>
          <cell r="D11807">
            <v>0.2</v>
          </cell>
          <cell r="H11807" t="str">
            <v>petroleum</v>
          </cell>
        </row>
        <row r="11808">
          <cell r="C11808" t="str">
            <v>IC</v>
          </cell>
          <cell r="D11808">
            <v>0.3</v>
          </cell>
          <cell r="H11808" t="str">
            <v>petroleum</v>
          </cell>
        </row>
        <row r="11809">
          <cell r="C11809" t="str">
            <v>IC</v>
          </cell>
          <cell r="D11809">
            <v>1.1000000000000001</v>
          </cell>
          <cell r="H11809" t="str">
            <v>petroleum</v>
          </cell>
        </row>
        <row r="11810">
          <cell r="C11810" t="str">
            <v>CT</v>
          </cell>
          <cell r="D11810">
            <v>163</v>
          </cell>
          <cell r="H11810" t="str">
            <v>natural gas nonpeaker</v>
          </cell>
        </row>
        <row r="11811">
          <cell r="C11811" t="str">
            <v>CA</v>
          </cell>
          <cell r="D11811">
            <v>104</v>
          </cell>
          <cell r="H11811" t="str">
            <v>natural gas nonpeaker</v>
          </cell>
        </row>
        <row r="11812">
          <cell r="C11812" t="str">
            <v>IC</v>
          </cell>
          <cell r="D11812">
            <v>1.2</v>
          </cell>
          <cell r="H11812" t="str">
            <v>petroleum</v>
          </cell>
        </row>
        <row r="11813">
          <cell r="C11813" t="str">
            <v>IC</v>
          </cell>
          <cell r="D11813">
            <v>1.2</v>
          </cell>
          <cell r="H11813" t="str">
            <v>petroleum</v>
          </cell>
        </row>
        <row r="11814">
          <cell r="C11814" t="str">
            <v>IC</v>
          </cell>
          <cell r="D11814">
            <v>1.5</v>
          </cell>
          <cell r="H11814" t="str">
            <v>petroleum</v>
          </cell>
        </row>
        <row r="11815">
          <cell r="C11815" t="str">
            <v>IC</v>
          </cell>
          <cell r="D11815">
            <v>1.5</v>
          </cell>
          <cell r="H11815" t="str">
            <v>petroleum</v>
          </cell>
        </row>
        <row r="11816">
          <cell r="C11816" t="str">
            <v>IC</v>
          </cell>
          <cell r="D11816">
            <v>1.5</v>
          </cell>
          <cell r="H11816" t="str">
            <v>petroleum</v>
          </cell>
        </row>
        <row r="11817">
          <cell r="C11817" t="str">
            <v>IC</v>
          </cell>
          <cell r="D11817">
            <v>1.5</v>
          </cell>
          <cell r="H11817" t="str">
            <v>petroleum</v>
          </cell>
        </row>
        <row r="11818">
          <cell r="C11818" t="str">
            <v>IC</v>
          </cell>
          <cell r="D11818">
            <v>1.5</v>
          </cell>
          <cell r="H11818" t="str">
            <v>petroleum</v>
          </cell>
        </row>
        <row r="11819">
          <cell r="C11819" t="str">
            <v>IC</v>
          </cell>
          <cell r="D11819">
            <v>1.5</v>
          </cell>
          <cell r="H11819" t="str">
            <v>petroleum</v>
          </cell>
        </row>
        <row r="11820">
          <cell r="C11820" t="str">
            <v>IC</v>
          </cell>
          <cell r="D11820">
            <v>1.5</v>
          </cell>
          <cell r="H11820" t="str">
            <v>petroleum</v>
          </cell>
        </row>
        <row r="11821">
          <cell r="C11821" t="str">
            <v>IC</v>
          </cell>
          <cell r="D11821">
            <v>1.5</v>
          </cell>
          <cell r="H11821" t="str">
            <v>petroleum</v>
          </cell>
        </row>
        <row r="11822">
          <cell r="C11822" t="str">
            <v>IC</v>
          </cell>
          <cell r="D11822">
            <v>1.5</v>
          </cell>
          <cell r="H11822" t="str">
            <v>petroleum</v>
          </cell>
        </row>
        <row r="11823">
          <cell r="C11823" t="str">
            <v>IC</v>
          </cell>
          <cell r="D11823">
            <v>1.5</v>
          </cell>
          <cell r="H11823" t="str">
            <v>petroleum</v>
          </cell>
        </row>
        <row r="11824">
          <cell r="C11824" t="str">
            <v>IC</v>
          </cell>
          <cell r="D11824">
            <v>1.5</v>
          </cell>
          <cell r="H11824" t="str">
            <v>petroleum</v>
          </cell>
        </row>
        <row r="11825">
          <cell r="C11825" t="str">
            <v>IC</v>
          </cell>
          <cell r="D11825">
            <v>1.5</v>
          </cell>
          <cell r="H11825" t="str">
            <v>petroleum</v>
          </cell>
        </row>
        <row r="11826">
          <cell r="C11826" t="str">
            <v>IC</v>
          </cell>
          <cell r="D11826">
            <v>1.5</v>
          </cell>
          <cell r="H11826" t="str">
            <v>petroleum</v>
          </cell>
        </row>
        <row r="11827">
          <cell r="C11827" t="str">
            <v>IC</v>
          </cell>
          <cell r="D11827">
            <v>1.5</v>
          </cell>
          <cell r="H11827" t="str">
            <v>petroleum</v>
          </cell>
        </row>
        <row r="11828">
          <cell r="C11828" t="str">
            <v>IC</v>
          </cell>
          <cell r="D11828">
            <v>1.5</v>
          </cell>
          <cell r="H11828" t="str">
            <v>petroleum</v>
          </cell>
        </row>
        <row r="11829">
          <cell r="C11829" t="str">
            <v>IC</v>
          </cell>
          <cell r="D11829">
            <v>1.5</v>
          </cell>
          <cell r="H11829" t="str">
            <v>petroleum</v>
          </cell>
        </row>
        <row r="11830">
          <cell r="C11830" t="str">
            <v>IC</v>
          </cell>
          <cell r="D11830">
            <v>1.5</v>
          </cell>
          <cell r="H11830" t="str">
            <v>petroleum</v>
          </cell>
        </row>
        <row r="11831">
          <cell r="C11831" t="str">
            <v>IC</v>
          </cell>
          <cell r="D11831">
            <v>1.5</v>
          </cell>
          <cell r="H11831" t="str">
            <v>petroleum</v>
          </cell>
        </row>
        <row r="11832">
          <cell r="C11832" t="str">
            <v>IC</v>
          </cell>
          <cell r="D11832">
            <v>1.5</v>
          </cell>
          <cell r="H11832" t="str">
            <v>petroleum</v>
          </cell>
        </row>
        <row r="11833">
          <cell r="C11833" t="str">
            <v>HY</v>
          </cell>
          <cell r="D11833">
            <v>4.9000000000000004</v>
          </cell>
          <cell r="H11833" t="str">
            <v>hydro</v>
          </cell>
        </row>
        <row r="11834">
          <cell r="C11834" t="str">
            <v>HY</v>
          </cell>
          <cell r="D11834">
            <v>4.9000000000000004</v>
          </cell>
          <cell r="H11834" t="str">
            <v>hydro</v>
          </cell>
        </row>
        <row r="11835">
          <cell r="C11835" t="str">
            <v>GT</v>
          </cell>
          <cell r="D11835">
            <v>8.8000000000000007</v>
          </cell>
          <cell r="H11835" t="str">
            <v>natural gas peaker</v>
          </cell>
        </row>
        <row r="11836">
          <cell r="C11836" t="str">
            <v>ST</v>
          </cell>
          <cell r="D11836">
            <v>0.6</v>
          </cell>
          <cell r="H11836" t="str">
            <v>natural gas peaker</v>
          </cell>
        </row>
        <row r="11837">
          <cell r="C11837" t="str">
            <v>IC</v>
          </cell>
          <cell r="D11837">
            <v>1.2</v>
          </cell>
          <cell r="H11837" t="str">
            <v>petroleum</v>
          </cell>
        </row>
        <row r="11838">
          <cell r="C11838" t="str">
            <v>IC</v>
          </cell>
          <cell r="D11838">
            <v>1.2</v>
          </cell>
          <cell r="H11838" t="str">
            <v>petroleum</v>
          </cell>
        </row>
        <row r="11839">
          <cell r="C11839" t="str">
            <v>IC</v>
          </cell>
          <cell r="D11839">
            <v>1.2</v>
          </cell>
          <cell r="H11839" t="str">
            <v>petroleum</v>
          </cell>
        </row>
        <row r="11840">
          <cell r="C11840" t="str">
            <v>CT</v>
          </cell>
          <cell r="D11840" t="str">
            <v xml:space="preserve"> </v>
          </cell>
          <cell r="H11840" t="str">
            <v>natural gas nonpeaker</v>
          </cell>
        </row>
        <row r="11841">
          <cell r="C11841" t="str">
            <v>CT</v>
          </cell>
          <cell r="D11841" t="str">
            <v xml:space="preserve"> </v>
          </cell>
          <cell r="H11841" t="str">
            <v>natural gas nonpeaker</v>
          </cell>
        </row>
        <row r="11842">
          <cell r="C11842" t="str">
            <v>CA</v>
          </cell>
          <cell r="D11842">
            <v>230</v>
          </cell>
          <cell r="H11842" t="str">
            <v>natural gas nonpeaker</v>
          </cell>
        </row>
        <row r="11843">
          <cell r="C11843" t="str">
            <v>IC</v>
          </cell>
          <cell r="D11843">
            <v>1.2</v>
          </cell>
          <cell r="H11843" t="str">
            <v>petroleum</v>
          </cell>
        </row>
        <row r="11844">
          <cell r="C11844" t="str">
            <v>IC</v>
          </cell>
          <cell r="D11844">
            <v>1.2</v>
          </cell>
          <cell r="H11844" t="str">
            <v>petroleum</v>
          </cell>
        </row>
        <row r="11845">
          <cell r="C11845" t="str">
            <v>IC</v>
          </cell>
          <cell r="D11845">
            <v>2.5</v>
          </cell>
          <cell r="H11845" t="str">
            <v>petroleum</v>
          </cell>
        </row>
        <row r="11846">
          <cell r="C11846" t="str">
            <v>IC</v>
          </cell>
          <cell r="D11846">
            <v>2.5</v>
          </cell>
          <cell r="H11846" t="str">
            <v>petroleum</v>
          </cell>
        </row>
        <row r="11847">
          <cell r="C11847" t="str">
            <v>IC</v>
          </cell>
          <cell r="D11847">
            <v>1.2</v>
          </cell>
          <cell r="H11847" t="str">
            <v>petroleum</v>
          </cell>
        </row>
        <row r="11848">
          <cell r="C11848" t="str">
            <v>IC</v>
          </cell>
          <cell r="D11848">
            <v>1.7</v>
          </cell>
          <cell r="H11848" t="str">
            <v>petroleum</v>
          </cell>
        </row>
        <row r="11849">
          <cell r="C11849" t="str">
            <v>IC</v>
          </cell>
          <cell r="D11849">
            <v>1.7</v>
          </cell>
          <cell r="H11849" t="str">
            <v>petroleum</v>
          </cell>
        </row>
        <row r="11850">
          <cell r="C11850" t="str">
            <v>IC</v>
          </cell>
          <cell r="D11850">
            <v>1.6</v>
          </cell>
          <cell r="H11850" t="str">
            <v>biomass</v>
          </cell>
        </row>
        <row r="11851">
          <cell r="C11851" t="str">
            <v>IC</v>
          </cell>
          <cell r="D11851">
            <v>1.6</v>
          </cell>
          <cell r="H11851" t="str">
            <v>biomass</v>
          </cell>
        </row>
        <row r="11852">
          <cell r="C11852" t="str">
            <v>IC</v>
          </cell>
          <cell r="D11852">
            <v>1.6</v>
          </cell>
          <cell r="H11852" t="str">
            <v>biomass</v>
          </cell>
        </row>
        <row r="11853">
          <cell r="C11853" t="str">
            <v>IC</v>
          </cell>
          <cell r="D11853">
            <v>1.6</v>
          </cell>
          <cell r="H11853" t="str">
            <v>biomass</v>
          </cell>
        </row>
        <row r="11854">
          <cell r="C11854" t="str">
            <v>CT</v>
          </cell>
          <cell r="D11854">
            <v>68.400000000000006</v>
          </cell>
          <cell r="H11854" t="str">
            <v>natural gas nonpeaker</v>
          </cell>
        </row>
        <row r="11855">
          <cell r="C11855" t="str">
            <v>CT</v>
          </cell>
          <cell r="D11855">
            <v>68.400000000000006</v>
          </cell>
          <cell r="H11855" t="str">
            <v>natural gas nonpeaker</v>
          </cell>
        </row>
        <row r="11856">
          <cell r="C11856" t="str">
            <v>CA</v>
          </cell>
          <cell r="D11856">
            <v>40.6</v>
          </cell>
          <cell r="H11856" t="str">
            <v>natural gas nonpeaker</v>
          </cell>
        </row>
        <row r="11857">
          <cell r="C11857" t="str">
            <v>CA</v>
          </cell>
          <cell r="D11857">
            <v>40.6</v>
          </cell>
          <cell r="H11857" t="str">
            <v>natural gas nonpeaker</v>
          </cell>
        </row>
        <row r="11858">
          <cell r="C11858" t="str">
            <v>IC</v>
          </cell>
          <cell r="D11858">
            <v>1</v>
          </cell>
          <cell r="H11858" t="str">
            <v>petroleum</v>
          </cell>
        </row>
        <row r="11859">
          <cell r="C11859" t="str">
            <v>IC</v>
          </cell>
          <cell r="D11859">
            <v>1</v>
          </cell>
          <cell r="H11859" t="str">
            <v>petroleum</v>
          </cell>
        </row>
        <row r="11860">
          <cell r="C11860" t="str">
            <v>IC</v>
          </cell>
          <cell r="D11860">
            <v>0.8</v>
          </cell>
          <cell r="H11860" t="str">
            <v>petroleum</v>
          </cell>
        </row>
        <row r="11861">
          <cell r="C11861" t="str">
            <v>IC</v>
          </cell>
          <cell r="D11861">
            <v>2</v>
          </cell>
          <cell r="H11861" t="str">
            <v>petroleum</v>
          </cell>
        </row>
        <row r="11862">
          <cell r="C11862" t="str">
            <v>IC</v>
          </cell>
          <cell r="D11862">
            <v>2</v>
          </cell>
          <cell r="H11862" t="str">
            <v>petroleum</v>
          </cell>
        </row>
        <row r="11863">
          <cell r="C11863" t="str">
            <v>IC</v>
          </cell>
          <cell r="D11863">
            <v>0.7</v>
          </cell>
          <cell r="H11863" t="str">
            <v>petroleum</v>
          </cell>
        </row>
        <row r="11864">
          <cell r="C11864" t="str">
            <v>ST</v>
          </cell>
          <cell r="D11864">
            <v>3</v>
          </cell>
          <cell r="H11864" t="str">
            <v>biomass</v>
          </cell>
        </row>
        <row r="11865">
          <cell r="C11865" t="str">
            <v>ST</v>
          </cell>
          <cell r="D11865">
            <v>0.3</v>
          </cell>
          <cell r="H11865" t="str">
            <v>biomass</v>
          </cell>
        </row>
        <row r="11866">
          <cell r="C11866" t="str">
            <v>GT</v>
          </cell>
          <cell r="D11866">
            <v>13</v>
          </cell>
          <cell r="H11866" t="str">
            <v>natural gas peaker</v>
          </cell>
        </row>
        <row r="11867">
          <cell r="C11867" t="str">
            <v>GT</v>
          </cell>
          <cell r="D11867">
            <v>4.5999999999999996</v>
          </cell>
          <cell r="H11867" t="str">
            <v>biomass</v>
          </cell>
        </row>
        <row r="11868">
          <cell r="C11868" t="str">
            <v>GT</v>
          </cell>
          <cell r="D11868">
            <v>4.5999999999999996</v>
          </cell>
          <cell r="H11868" t="str">
            <v>biomass</v>
          </cell>
        </row>
        <row r="11869">
          <cell r="C11869" t="str">
            <v>GT</v>
          </cell>
          <cell r="D11869">
            <v>4.5999999999999996</v>
          </cell>
          <cell r="H11869" t="str">
            <v>biomass</v>
          </cell>
        </row>
        <row r="11870">
          <cell r="C11870" t="str">
            <v>GT</v>
          </cell>
          <cell r="D11870">
            <v>74</v>
          </cell>
          <cell r="H11870" t="str">
            <v>natural gas peaker</v>
          </cell>
        </row>
        <row r="11871">
          <cell r="C11871" t="str">
            <v>GT</v>
          </cell>
          <cell r="D11871">
            <v>74</v>
          </cell>
          <cell r="H11871" t="str">
            <v>natural gas peaker</v>
          </cell>
        </row>
        <row r="11872">
          <cell r="C11872" t="str">
            <v>GT</v>
          </cell>
          <cell r="D11872">
            <v>74</v>
          </cell>
          <cell r="H11872" t="str">
            <v>natural gas peaker</v>
          </cell>
        </row>
        <row r="11873">
          <cell r="C11873" t="str">
            <v>GT</v>
          </cell>
          <cell r="D11873">
            <v>3</v>
          </cell>
          <cell r="H11873" t="str">
            <v>natural gas peaker</v>
          </cell>
        </row>
        <row r="11874">
          <cell r="C11874" t="str">
            <v>IC</v>
          </cell>
          <cell r="D11874">
            <v>2</v>
          </cell>
          <cell r="H11874" t="str">
            <v>petroleum</v>
          </cell>
        </row>
        <row r="11875">
          <cell r="C11875" t="str">
            <v>IC</v>
          </cell>
          <cell r="D11875">
            <v>2</v>
          </cell>
          <cell r="H11875" t="str">
            <v>petroleum</v>
          </cell>
        </row>
        <row r="11876">
          <cell r="C11876" t="str">
            <v>IC</v>
          </cell>
          <cell r="D11876">
            <v>2</v>
          </cell>
          <cell r="H11876" t="str">
            <v>petroleum</v>
          </cell>
        </row>
        <row r="11877">
          <cell r="C11877" t="str">
            <v>IC</v>
          </cell>
          <cell r="D11877">
            <v>2.8</v>
          </cell>
          <cell r="H11877" t="str">
            <v>petroleum</v>
          </cell>
        </row>
        <row r="11878">
          <cell r="C11878" t="str">
            <v>IC</v>
          </cell>
          <cell r="D11878">
            <v>2.8</v>
          </cell>
          <cell r="H11878" t="str">
            <v>petroleum</v>
          </cell>
        </row>
        <row r="11879">
          <cell r="C11879" t="str">
            <v>IC</v>
          </cell>
          <cell r="D11879">
            <v>2.8</v>
          </cell>
          <cell r="H11879" t="str">
            <v>petroleum</v>
          </cell>
        </row>
        <row r="11880">
          <cell r="C11880" t="str">
            <v>IC</v>
          </cell>
          <cell r="D11880">
            <v>2.8</v>
          </cell>
          <cell r="H11880" t="str">
            <v>petroleum</v>
          </cell>
        </row>
        <row r="11881">
          <cell r="C11881" t="str">
            <v>HY</v>
          </cell>
          <cell r="D11881">
            <v>3.7</v>
          </cell>
          <cell r="H11881" t="str">
            <v>hydro</v>
          </cell>
        </row>
        <row r="11882">
          <cell r="C11882" t="str">
            <v>IC</v>
          </cell>
          <cell r="D11882">
            <v>0.8</v>
          </cell>
          <cell r="H11882" t="str">
            <v>petroleum</v>
          </cell>
        </row>
        <row r="11883">
          <cell r="C11883" t="str">
            <v>IC</v>
          </cell>
          <cell r="D11883">
            <v>0.8</v>
          </cell>
          <cell r="H11883" t="str">
            <v>petroleum</v>
          </cell>
        </row>
        <row r="11884">
          <cell r="C11884" t="str">
            <v>IC</v>
          </cell>
          <cell r="D11884">
            <v>0.8</v>
          </cell>
          <cell r="H11884" t="str">
            <v>petroleum</v>
          </cell>
        </row>
        <row r="11885">
          <cell r="C11885" t="str">
            <v>IC</v>
          </cell>
          <cell r="D11885">
            <v>1.6</v>
          </cell>
          <cell r="H11885" t="str">
            <v>petroleum</v>
          </cell>
        </row>
        <row r="11886">
          <cell r="C11886" t="str">
            <v>IC</v>
          </cell>
          <cell r="D11886">
            <v>1.6</v>
          </cell>
          <cell r="H11886" t="str">
            <v>petroleum</v>
          </cell>
        </row>
        <row r="11887">
          <cell r="C11887" t="str">
            <v>HY</v>
          </cell>
          <cell r="D11887">
            <v>1.2</v>
          </cell>
          <cell r="H11887" t="str">
            <v>hydro</v>
          </cell>
        </row>
        <row r="11888">
          <cell r="C11888" t="str">
            <v>HY</v>
          </cell>
          <cell r="D11888">
            <v>1.2</v>
          </cell>
          <cell r="H11888" t="str">
            <v>hydro</v>
          </cell>
        </row>
        <row r="11889">
          <cell r="C11889" t="str">
            <v>ST</v>
          </cell>
          <cell r="D11889">
            <v>5.8</v>
          </cell>
          <cell r="H11889" t="str">
            <v>hard coal</v>
          </cell>
        </row>
        <row r="11890">
          <cell r="C11890" t="str">
            <v>HY</v>
          </cell>
          <cell r="D11890">
            <v>1</v>
          </cell>
          <cell r="H11890" t="str">
            <v>hydro</v>
          </cell>
        </row>
        <row r="11891">
          <cell r="C11891" t="str">
            <v>IC</v>
          </cell>
          <cell r="D11891">
            <v>1.2</v>
          </cell>
          <cell r="H11891" t="str">
            <v>petroleum</v>
          </cell>
        </row>
        <row r="11892">
          <cell r="C11892" t="str">
            <v>HY</v>
          </cell>
          <cell r="D11892">
            <v>0.4</v>
          </cell>
          <cell r="H11892" t="str">
            <v>hydro</v>
          </cell>
        </row>
        <row r="11893">
          <cell r="C11893" t="str">
            <v>HY</v>
          </cell>
          <cell r="D11893">
            <v>0.3</v>
          </cell>
          <cell r="H11893" t="str">
            <v>hydro</v>
          </cell>
        </row>
        <row r="11894">
          <cell r="C11894" t="str">
            <v>HY</v>
          </cell>
          <cell r="D11894">
            <v>0.3</v>
          </cell>
          <cell r="H11894" t="str">
            <v>hydro</v>
          </cell>
        </row>
        <row r="11895">
          <cell r="C11895" t="str">
            <v>GT</v>
          </cell>
          <cell r="D11895">
            <v>1.7</v>
          </cell>
          <cell r="H11895" t="str">
            <v>natural gas peaker</v>
          </cell>
        </row>
        <row r="11896">
          <cell r="C11896" t="str">
            <v>GT</v>
          </cell>
          <cell r="D11896">
            <v>1.7</v>
          </cell>
          <cell r="H11896" t="str">
            <v>natural gas peaker</v>
          </cell>
        </row>
        <row r="11897">
          <cell r="C11897" t="str">
            <v>GT</v>
          </cell>
          <cell r="D11897">
            <v>1.7</v>
          </cell>
          <cell r="H11897" t="str">
            <v>natural gas peaker</v>
          </cell>
        </row>
        <row r="11898">
          <cell r="C11898" t="str">
            <v>IC</v>
          </cell>
          <cell r="D11898">
            <v>0.6</v>
          </cell>
          <cell r="H11898" t="str">
            <v>petroleum</v>
          </cell>
        </row>
        <row r="11899">
          <cell r="C11899" t="str">
            <v>HY</v>
          </cell>
          <cell r="D11899">
            <v>0.7</v>
          </cell>
          <cell r="H11899" t="str">
            <v>hydro</v>
          </cell>
        </row>
        <row r="11900">
          <cell r="C11900" t="str">
            <v>HY</v>
          </cell>
          <cell r="D11900">
            <v>0.7</v>
          </cell>
          <cell r="H11900" t="str">
            <v>hydro</v>
          </cell>
        </row>
        <row r="11901">
          <cell r="C11901" t="str">
            <v>HY</v>
          </cell>
          <cell r="D11901">
            <v>0.7</v>
          </cell>
          <cell r="H11901" t="str">
            <v>hydro</v>
          </cell>
        </row>
        <row r="11902">
          <cell r="C11902" t="str">
            <v>IC</v>
          </cell>
          <cell r="D11902">
            <v>0.8</v>
          </cell>
          <cell r="H11902" t="str">
            <v>natural gas peaker</v>
          </cell>
        </row>
        <row r="11903">
          <cell r="C11903" t="str">
            <v>IC</v>
          </cell>
          <cell r="D11903">
            <v>0.8</v>
          </cell>
          <cell r="H11903" t="str">
            <v>natural gas peaker</v>
          </cell>
        </row>
        <row r="11904">
          <cell r="C11904" t="str">
            <v>IC</v>
          </cell>
          <cell r="D11904">
            <v>0.9</v>
          </cell>
          <cell r="H11904" t="str">
            <v>petroleum</v>
          </cell>
        </row>
        <row r="11905">
          <cell r="C11905" t="str">
            <v>IC</v>
          </cell>
          <cell r="D11905">
            <v>0.9</v>
          </cell>
          <cell r="H11905" t="str">
            <v>petroleum</v>
          </cell>
        </row>
        <row r="11906">
          <cell r="C11906" t="str">
            <v>IC</v>
          </cell>
          <cell r="D11906">
            <v>0.8</v>
          </cell>
          <cell r="H11906" t="str">
            <v>petroleum</v>
          </cell>
        </row>
        <row r="11907">
          <cell r="C11907" t="str">
            <v>GT</v>
          </cell>
          <cell r="D11907">
            <v>3.5</v>
          </cell>
          <cell r="H11907" t="str">
            <v>natural gas peaker</v>
          </cell>
        </row>
        <row r="11908">
          <cell r="C11908" t="str">
            <v>IC</v>
          </cell>
          <cell r="D11908">
            <v>0.3</v>
          </cell>
          <cell r="H11908" t="str">
            <v>petroleum</v>
          </cell>
        </row>
        <row r="11909">
          <cell r="C11909" t="str">
            <v>IC</v>
          </cell>
          <cell r="D11909">
            <v>1.1000000000000001</v>
          </cell>
          <cell r="H11909" t="str">
            <v>petroleum</v>
          </cell>
        </row>
        <row r="11910">
          <cell r="C11910" t="str">
            <v>IC</v>
          </cell>
          <cell r="D11910">
            <v>1.2</v>
          </cell>
          <cell r="H11910" t="str">
            <v>petroleum</v>
          </cell>
        </row>
        <row r="11911">
          <cell r="C11911" t="str">
            <v>IC</v>
          </cell>
          <cell r="D11911">
            <v>1</v>
          </cell>
          <cell r="H11911" t="str">
            <v>petroleum</v>
          </cell>
        </row>
        <row r="11912">
          <cell r="C11912" t="str">
            <v>IC</v>
          </cell>
          <cell r="D11912">
            <v>1.2</v>
          </cell>
          <cell r="H11912" t="str">
            <v>petroleum</v>
          </cell>
        </row>
        <row r="11913">
          <cell r="C11913" t="str">
            <v>IC</v>
          </cell>
          <cell r="D11913">
            <v>0.1</v>
          </cell>
          <cell r="H11913" t="str">
            <v>petroleum</v>
          </cell>
        </row>
        <row r="11914">
          <cell r="C11914" t="str">
            <v>IC</v>
          </cell>
          <cell r="D11914">
            <v>0.3</v>
          </cell>
          <cell r="H11914" t="str">
            <v>petroleum</v>
          </cell>
        </row>
        <row r="11915">
          <cell r="C11915" t="str">
            <v>IC</v>
          </cell>
          <cell r="D11915">
            <v>2.2000000000000002</v>
          </cell>
          <cell r="H11915" t="str">
            <v>biomass</v>
          </cell>
        </row>
        <row r="11916">
          <cell r="C11916" t="str">
            <v>HY</v>
          </cell>
          <cell r="D11916">
            <v>30</v>
          </cell>
          <cell r="H11916" t="str">
            <v>hydro</v>
          </cell>
        </row>
        <row r="11917">
          <cell r="C11917" t="str">
            <v>HY</v>
          </cell>
          <cell r="D11917">
            <v>30</v>
          </cell>
          <cell r="H11917" t="str">
            <v>hydro</v>
          </cell>
        </row>
        <row r="11918">
          <cell r="C11918" t="str">
            <v>HY</v>
          </cell>
          <cell r="D11918">
            <v>30</v>
          </cell>
          <cell r="H11918" t="str">
            <v>hydro</v>
          </cell>
        </row>
        <row r="11919">
          <cell r="C11919" t="str">
            <v>HY</v>
          </cell>
          <cell r="D11919">
            <v>29</v>
          </cell>
          <cell r="H11919" t="str">
            <v>hydro</v>
          </cell>
        </row>
        <row r="11920">
          <cell r="C11920" t="str">
            <v>HY</v>
          </cell>
          <cell r="D11920">
            <v>9</v>
          </cell>
          <cell r="H11920" t="str">
            <v>hydro</v>
          </cell>
        </row>
        <row r="11921">
          <cell r="C11921" t="str">
            <v>HY</v>
          </cell>
          <cell r="D11921">
            <v>10</v>
          </cell>
          <cell r="H11921" t="str">
            <v>hydro</v>
          </cell>
        </row>
        <row r="11922">
          <cell r="C11922" t="str">
            <v>HY</v>
          </cell>
          <cell r="D11922">
            <v>11</v>
          </cell>
          <cell r="H11922" t="str">
            <v>hydro</v>
          </cell>
        </row>
        <row r="11923">
          <cell r="C11923" t="str">
            <v>HY</v>
          </cell>
          <cell r="D11923">
            <v>13</v>
          </cell>
          <cell r="H11923" t="str">
            <v>hydro</v>
          </cell>
        </row>
        <row r="11924">
          <cell r="C11924" t="str">
            <v>HY</v>
          </cell>
          <cell r="D11924">
            <v>11</v>
          </cell>
          <cell r="H11924" t="str">
            <v>hydro</v>
          </cell>
        </row>
        <row r="11925">
          <cell r="C11925" t="str">
            <v>HY</v>
          </cell>
          <cell r="D11925">
            <v>11</v>
          </cell>
          <cell r="H11925" t="str">
            <v>hydro</v>
          </cell>
        </row>
        <row r="11926">
          <cell r="C11926" t="str">
            <v>HY</v>
          </cell>
          <cell r="D11926">
            <v>13</v>
          </cell>
          <cell r="H11926" t="str">
            <v>hydro</v>
          </cell>
        </row>
        <row r="11927">
          <cell r="C11927" t="str">
            <v>HY</v>
          </cell>
          <cell r="D11927">
            <v>13</v>
          </cell>
          <cell r="H11927" t="str">
            <v>hydro</v>
          </cell>
        </row>
        <row r="11928">
          <cell r="C11928" t="str">
            <v>HY</v>
          </cell>
          <cell r="D11928">
            <v>13</v>
          </cell>
          <cell r="H11928" t="str">
            <v>hydro</v>
          </cell>
        </row>
        <row r="11929">
          <cell r="C11929" t="str">
            <v>HY</v>
          </cell>
          <cell r="D11929">
            <v>20</v>
          </cell>
          <cell r="H11929" t="str">
            <v>hydro</v>
          </cell>
        </row>
        <row r="11930">
          <cell r="C11930" t="str">
            <v>HY</v>
          </cell>
          <cell r="D11930">
            <v>20</v>
          </cell>
          <cell r="H11930" t="str">
            <v>hydro</v>
          </cell>
        </row>
        <row r="11931">
          <cell r="C11931" t="str">
            <v>HY</v>
          </cell>
          <cell r="D11931">
            <v>28</v>
          </cell>
          <cell r="H11931" t="str">
            <v>hydro</v>
          </cell>
        </row>
        <row r="11932">
          <cell r="C11932" t="str">
            <v>HY</v>
          </cell>
          <cell r="D11932">
            <v>28</v>
          </cell>
          <cell r="H11932" t="str">
            <v>hydro</v>
          </cell>
        </row>
        <row r="11933">
          <cell r="C11933" t="str">
            <v>HY</v>
          </cell>
          <cell r="D11933">
            <v>28</v>
          </cell>
          <cell r="H11933" t="str">
            <v>hydro</v>
          </cell>
        </row>
        <row r="11934">
          <cell r="C11934" t="str">
            <v>HY</v>
          </cell>
          <cell r="D11934">
            <v>28</v>
          </cell>
          <cell r="H11934" t="str">
            <v>hydro</v>
          </cell>
        </row>
        <row r="11935">
          <cell r="C11935" t="str">
            <v>HY</v>
          </cell>
          <cell r="D11935">
            <v>31</v>
          </cell>
          <cell r="H11935" t="str">
            <v>hydro</v>
          </cell>
        </row>
        <row r="11936">
          <cell r="C11936" t="str">
            <v>HY</v>
          </cell>
          <cell r="D11936">
            <v>52</v>
          </cell>
          <cell r="H11936" t="str">
            <v>hydro</v>
          </cell>
        </row>
        <row r="11937">
          <cell r="C11937" t="str">
            <v>HY</v>
          </cell>
          <cell r="D11937">
            <v>52</v>
          </cell>
          <cell r="H11937" t="str">
            <v>hydro</v>
          </cell>
        </row>
        <row r="11938">
          <cell r="C11938" t="str">
            <v>HY</v>
          </cell>
          <cell r="D11938">
            <v>52</v>
          </cell>
          <cell r="H11938" t="str">
            <v>hydro</v>
          </cell>
        </row>
        <row r="11939">
          <cell r="C11939" t="str">
            <v>HY</v>
          </cell>
          <cell r="D11939">
            <v>17</v>
          </cell>
          <cell r="H11939" t="str">
            <v>hydro</v>
          </cell>
        </row>
        <row r="11940">
          <cell r="C11940" t="str">
            <v>HY</v>
          </cell>
          <cell r="D11940">
            <v>17</v>
          </cell>
          <cell r="H11940" t="str">
            <v>hydro</v>
          </cell>
        </row>
        <row r="11941">
          <cell r="C11941" t="str">
            <v>HY</v>
          </cell>
          <cell r="D11941">
            <v>17</v>
          </cell>
          <cell r="H11941" t="str">
            <v>hydro</v>
          </cell>
        </row>
        <row r="11942">
          <cell r="C11942" t="str">
            <v>IC</v>
          </cell>
          <cell r="D11942">
            <v>0.8</v>
          </cell>
          <cell r="H11942" t="str">
            <v>biomass</v>
          </cell>
        </row>
        <row r="11943">
          <cell r="C11943" t="str">
            <v>IC</v>
          </cell>
          <cell r="D11943">
            <v>0.8</v>
          </cell>
          <cell r="H11943" t="str">
            <v>biomass</v>
          </cell>
        </row>
        <row r="11944">
          <cell r="C11944" t="str">
            <v>IC</v>
          </cell>
          <cell r="D11944">
            <v>0.8</v>
          </cell>
          <cell r="H11944" t="str">
            <v>biomass</v>
          </cell>
        </row>
        <row r="11945">
          <cell r="C11945" t="str">
            <v>IC</v>
          </cell>
          <cell r="D11945">
            <v>0.7</v>
          </cell>
          <cell r="H11945" t="str">
            <v>petroleum</v>
          </cell>
        </row>
        <row r="11946">
          <cell r="C11946" t="str">
            <v>IC</v>
          </cell>
          <cell r="D11946">
            <v>0.7</v>
          </cell>
          <cell r="H11946" t="str">
            <v>petroleum</v>
          </cell>
        </row>
        <row r="11947">
          <cell r="C11947" t="str">
            <v>GT</v>
          </cell>
          <cell r="D11947">
            <v>19</v>
          </cell>
          <cell r="H11947" t="str">
            <v>natural gas peaker</v>
          </cell>
        </row>
        <row r="11948">
          <cell r="C11948" t="str">
            <v>ST</v>
          </cell>
          <cell r="D11948">
            <v>5.0999999999999996</v>
          </cell>
          <cell r="H11948" t="str">
            <v>biomass</v>
          </cell>
        </row>
        <row r="11949">
          <cell r="C11949" t="str">
            <v>ST</v>
          </cell>
          <cell r="D11949">
            <v>4.7</v>
          </cell>
          <cell r="H11949" t="str">
            <v>biomass</v>
          </cell>
        </row>
        <row r="11950">
          <cell r="C11950" t="str">
            <v>WT</v>
          </cell>
          <cell r="D11950">
            <v>8.3000000000000007</v>
          </cell>
          <cell r="H11950" t="str">
            <v>onshore wind</v>
          </cell>
        </row>
        <row r="11951">
          <cell r="C11951" t="str">
            <v>WT</v>
          </cell>
          <cell r="D11951">
            <v>13.6</v>
          </cell>
          <cell r="H11951" t="str">
            <v>onshore wind</v>
          </cell>
        </row>
        <row r="11952">
          <cell r="C11952" t="str">
            <v>IC</v>
          </cell>
          <cell r="D11952">
            <v>1.6</v>
          </cell>
          <cell r="H11952" t="str">
            <v>biomass</v>
          </cell>
        </row>
        <row r="11953">
          <cell r="C11953" t="str">
            <v>IC</v>
          </cell>
          <cell r="D11953">
            <v>1.6</v>
          </cell>
          <cell r="H11953" t="str">
            <v>biomass</v>
          </cell>
        </row>
        <row r="11954">
          <cell r="C11954" t="str">
            <v>IC</v>
          </cell>
          <cell r="D11954">
            <v>0.6</v>
          </cell>
          <cell r="H11954" t="str">
            <v>biomass</v>
          </cell>
        </row>
        <row r="11955">
          <cell r="C11955" t="str">
            <v>IC</v>
          </cell>
          <cell r="D11955">
            <v>1.6</v>
          </cell>
          <cell r="H11955" t="str">
            <v>biomass</v>
          </cell>
        </row>
        <row r="11956">
          <cell r="C11956" t="str">
            <v>IC</v>
          </cell>
          <cell r="D11956">
            <v>1.6</v>
          </cell>
          <cell r="H11956" t="str">
            <v>biomass</v>
          </cell>
        </row>
        <row r="11957">
          <cell r="C11957" t="str">
            <v>CT</v>
          </cell>
          <cell r="D11957">
            <v>40</v>
          </cell>
          <cell r="H11957" t="str">
            <v>natural gas nonpeaker</v>
          </cell>
        </row>
        <row r="11958">
          <cell r="C11958" t="str">
            <v>CT</v>
          </cell>
          <cell r="D11958">
            <v>40</v>
          </cell>
          <cell r="H11958" t="str">
            <v>natural gas nonpeaker</v>
          </cell>
        </row>
        <row r="11959">
          <cell r="C11959" t="str">
            <v>CA</v>
          </cell>
          <cell r="D11959">
            <v>20</v>
          </cell>
          <cell r="H11959" t="str">
            <v>other</v>
          </cell>
        </row>
        <row r="11960">
          <cell r="C11960" t="str">
            <v>CT</v>
          </cell>
          <cell r="D11960">
            <v>90</v>
          </cell>
          <cell r="H11960" t="str">
            <v>natural gas nonpeaker</v>
          </cell>
        </row>
        <row r="11961">
          <cell r="C11961" t="str">
            <v>CT</v>
          </cell>
          <cell r="D11961">
            <v>90</v>
          </cell>
          <cell r="H11961" t="str">
            <v>natural gas nonpeaker</v>
          </cell>
        </row>
        <row r="11962">
          <cell r="C11962" t="str">
            <v>CA</v>
          </cell>
          <cell r="D11962">
            <v>35</v>
          </cell>
          <cell r="H11962" t="str">
            <v>natural gas nonpeaker</v>
          </cell>
        </row>
        <row r="11963">
          <cell r="C11963" t="str">
            <v>CA</v>
          </cell>
          <cell r="D11963">
            <v>35</v>
          </cell>
          <cell r="H11963" t="str">
            <v>natural gas nonpeaker</v>
          </cell>
        </row>
        <row r="11964">
          <cell r="C11964" t="str">
            <v>CA</v>
          </cell>
          <cell r="D11964">
            <v>58</v>
          </cell>
          <cell r="H11964" t="str">
            <v>natural gas nonpeaker</v>
          </cell>
        </row>
        <row r="11965">
          <cell r="C11965" t="str">
            <v>CT</v>
          </cell>
          <cell r="D11965">
            <v>70</v>
          </cell>
          <cell r="H11965" t="str">
            <v>natural gas nonpeaker</v>
          </cell>
        </row>
        <row r="11966">
          <cell r="C11966" t="str">
            <v>GT</v>
          </cell>
          <cell r="D11966">
            <v>4.4000000000000004</v>
          </cell>
          <cell r="H11966" t="str">
            <v>natural gas peaker</v>
          </cell>
        </row>
        <row r="11967">
          <cell r="C11967" t="str">
            <v>IC</v>
          </cell>
          <cell r="D11967">
            <v>0.8</v>
          </cell>
          <cell r="H11967" t="str">
            <v>biomass</v>
          </cell>
        </row>
        <row r="11968">
          <cell r="C11968" t="str">
            <v>IC</v>
          </cell>
          <cell r="D11968">
            <v>0.8</v>
          </cell>
          <cell r="H11968" t="str">
            <v>biomass</v>
          </cell>
        </row>
        <row r="11969">
          <cell r="C11969" t="str">
            <v>IC</v>
          </cell>
          <cell r="D11969">
            <v>0.8</v>
          </cell>
          <cell r="H11969" t="str">
            <v>biomass</v>
          </cell>
        </row>
        <row r="11970">
          <cell r="C11970" t="str">
            <v>IC</v>
          </cell>
          <cell r="D11970">
            <v>0.8</v>
          </cell>
          <cell r="H11970" t="str">
            <v>biomass</v>
          </cell>
        </row>
        <row r="11971">
          <cell r="C11971" t="str">
            <v>IC</v>
          </cell>
          <cell r="D11971">
            <v>0.8</v>
          </cell>
          <cell r="H11971" t="str">
            <v>biomass</v>
          </cell>
        </row>
        <row r="11972">
          <cell r="C11972" t="str">
            <v>IC</v>
          </cell>
          <cell r="D11972">
            <v>0.8</v>
          </cell>
          <cell r="H11972" t="str">
            <v>biomass</v>
          </cell>
        </row>
        <row r="11973">
          <cell r="C11973" t="str">
            <v>IC</v>
          </cell>
          <cell r="D11973">
            <v>0.8</v>
          </cell>
          <cell r="H11973" t="str">
            <v>biomass</v>
          </cell>
        </row>
        <row r="11974">
          <cell r="C11974" t="str">
            <v>IC</v>
          </cell>
          <cell r="D11974">
            <v>0.8</v>
          </cell>
          <cell r="H11974" t="str">
            <v>biomass</v>
          </cell>
        </row>
        <row r="11975">
          <cell r="C11975" t="str">
            <v>IC</v>
          </cell>
          <cell r="D11975">
            <v>0.8</v>
          </cell>
          <cell r="H11975" t="str">
            <v>biomass</v>
          </cell>
        </row>
        <row r="11976">
          <cell r="C11976" t="str">
            <v>IC</v>
          </cell>
          <cell r="D11976">
            <v>0.8</v>
          </cell>
          <cell r="H11976" t="str">
            <v>biomass</v>
          </cell>
        </row>
        <row r="11977">
          <cell r="C11977" t="str">
            <v>IC</v>
          </cell>
          <cell r="D11977">
            <v>0.8</v>
          </cell>
          <cell r="H11977" t="str">
            <v>biomass</v>
          </cell>
        </row>
        <row r="11978">
          <cell r="C11978" t="str">
            <v>IC</v>
          </cell>
          <cell r="D11978">
            <v>0.8</v>
          </cell>
          <cell r="H11978" t="str">
            <v>biomass</v>
          </cell>
        </row>
        <row r="11979">
          <cell r="C11979" t="str">
            <v>IC</v>
          </cell>
          <cell r="D11979">
            <v>1.6</v>
          </cell>
          <cell r="H11979" t="str">
            <v>biomass</v>
          </cell>
        </row>
        <row r="11980">
          <cell r="C11980" t="str">
            <v>IC</v>
          </cell>
          <cell r="D11980">
            <v>1.6</v>
          </cell>
          <cell r="H11980" t="str">
            <v>biomass</v>
          </cell>
        </row>
        <row r="11981">
          <cell r="C11981" t="str">
            <v>IC</v>
          </cell>
          <cell r="D11981">
            <v>0.8</v>
          </cell>
          <cell r="H11981" t="str">
            <v>biomass</v>
          </cell>
        </row>
        <row r="11982">
          <cell r="C11982" t="str">
            <v>IC</v>
          </cell>
          <cell r="D11982">
            <v>0.8</v>
          </cell>
          <cell r="H11982" t="str">
            <v>biomass</v>
          </cell>
        </row>
        <row r="11983">
          <cell r="C11983" t="str">
            <v>IC</v>
          </cell>
          <cell r="D11983">
            <v>0.8</v>
          </cell>
          <cell r="H11983" t="str">
            <v>biomass</v>
          </cell>
        </row>
        <row r="11984">
          <cell r="C11984" t="str">
            <v>IC</v>
          </cell>
          <cell r="D11984">
            <v>0.8</v>
          </cell>
          <cell r="H11984" t="str">
            <v>biomass</v>
          </cell>
        </row>
        <row r="11985">
          <cell r="C11985" t="str">
            <v>IC</v>
          </cell>
          <cell r="D11985">
            <v>0.8</v>
          </cell>
          <cell r="H11985" t="str">
            <v>biomass</v>
          </cell>
        </row>
        <row r="11986">
          <cell r="C11986" t="str">
            <v>IC</v>
          </cell>
          <cell r="D11986">
            <v>0.8</v>
          </cell>
          <cell r="H11986" t="str">
            <v>biomass</v>
          </cell>
        </row>
        <row r="11987">
          <cell r="C11987" t="str">
            <v>IC</v>
          </cell>
          <cell r="D11987">
            <v>0.8</v>
          </cell>
          <cell r="H11987" t="str">
            <v>biomass</v>
          </cell>
        </row>
        <row r="11988">
          <cell r="C11988" t="str">
            <v>IC</v>
          </cell>
          <cell r="D11988">
            <v>0.8</v>
          </cell>
          <cell r="H11988" t="str">
            <v>biomass</v>
          </cell>
        </row>
        <row r="11989">
          <cell r="C11989" t="str">
            <v>IC</v>
          </cell>
          <cell r="D11989">
            <v>2.9</v>
          </cell>
          <cell r="H11989" t="str">
            <v>natural gas peaker</v>
          </cell>
        </row>
        <row r="11990">
          <cell r="C11990" t="str">
            <v>IC</v>
          </cell>
          <cell r="D11990">
            <v>2.9</v>
          </cell>
          <cell r="H11990" t="str">
            <v>natural gas peaker</v>
          </cell>
        </row>
        <row r="11991">
          <cell r="C11991" t="str">
            <v>IC</v>
          </cell>
          <cell r="D11991">
            <v>2.9</v>
          </cell>
          <cell r="H11991" t="str">
            <v>natural gas peaker</v>
          </cell>
        </row>
        <row r="11992">
          <cell r="C11992" t="str">
            <v>IC</v>
          </cell>
          <cell r="D11992">
            <v>1.1000000000000001</v>
          </cell>
          <cell r="H11992" t="str">
            <v>petroleum</v>
          </cell>
        </row>
        <row r="11993">
          <cell r="C11993" t="str">
            <v>IC</v>
          </cell>
          <cell r="D11993">
            <v>1.5</v>
          </cell>
          <cell r="H11993" t="str">
            <v>petroleum</v>
          </cell>
        </row>
        <row r="11994">
          <cell r="C11994" t="str">
            <v>IC</v>
          </cell>
          <cell r="D11994">
            <v>1.5</v>
          </cell>
          <cell r="H11994" t="str">
            <v>petroleum</v>
          </cell>
        </row>
        <row r="11995">
          <cell r="C11995" t="str">
            <v>WT</v>
          </cell>
          <cell r="D11995">
            <v>46.9</v>
          </cell>
          <cell r="H11995" t="str">
            <v>onshore wind</v>
          </cell>
        </row>
        <row r="11996">
          <cell r="C11996" t="str">
            <v>GT</v>
          </cell>
          <cell r="D11996">
            <v>5</v>
          </cell>
          <cell r="H11996" t="str">
            <v>natural gas peaker</v>
          </cell>
        </row>
        <row r="11997">
          <cell r="C11997" t="str">
            <v>IC</v>
          </cell>
          <cell r="D11997">
            <v>0.7</v>
          </cell>
          <cell r="H11997" t="str">
            <v>biomass</v>
          </cell>
        </row>
        <row r="11998">
          <cell r="C11998" t="str">
            <v>IC</v>
          </cell>
          <cell r="D11998">
            <v>0.7</v>
          </cell>
          <cell r="H11998" t="str">
            <v>biomass</v>
          </cell>
        </row>
        <row r="11999">
          <cell r="C11999" t="str">
            <v>IC</v>
          </cell>
          <cell r="D11999">
            <v>0.7</v>
          </cell>
          <cell r="H11999" t="str">
            <v>biomass</v>
          </cell>
        </row>
        <row r="12000">
          <cell r="C12000" t="str">
            <v>IC</v>
          </cell>
          <cell r="D12000">
            <v>0.7</v>
          </cell>
          <cell r="H12000" t="str">
            <v>biomass</v>
          </cell>
        </row>
        <row r="12001">
          <cell r="C12001" t="str">
            <v>IC</v>
          </cell>
          <cell r="D12001">
            <v>0.7</v>
          </cell>
          <cell r="H12001" t="str">
            <v>biomass</v>
          </cell>
        </row>
        <row r="12002">
          <cell r="C12002" t="str">
            <v>IC</v>
          </cell>
          <cell r="D12002">
            <v>0.7</v>
          </cell>
          <cell r="H12002" t="str">
            <v>biomass</v>
          </cell>
        </row>
        <row r="12003">
          <cell r="C12003" t="str">
            <v>IC</v>
          </cell>
          <cell r="D12003">
            <v>0.7</v>
          </cell>
          <cell r="H12003" t="str">
            <v>biomass</v>
          </cell>
        </row>
        <row r="12004">
          <cell r="C12004" t="str">
            <v>GT</v>
          </cell>
          <cell r="D12004">
            <v>2.2000000000000002</v>
          </cell>
          <cell r="H12004" t="str">
            <v>natural gas peaker</v>
          </cell>
        </row>
        <row r="12005">
          <cell r="C12005" t="str">
            <v>IC</v>
          </cell>
          <cell r="D12005">
            <v>1.2</v>
          </cell>
          <cell r="H12005" t="str">
            <v>natural gas peaker</v>
          </cell>
        </row>
        <row r="12006">
          <cell r="C12006" t="str">
            <v>IC</v>
          </cell>
          <cell r="D12006">
            <v>1.2</v>
          </cell>
          <cell r="H12006" t="str">
            <v>natural gas peaker</v>
          </cell>
        </row>
        <row r="12007">
          <cell r="C12007" t="str">
            <v>IC</v>
          </cell>
          <cell r="D12007">
            <v>1.2</v>
          </cell>
          <cell r="H12007" t="str">
            <v>natural gas peaker</v>
          </cell>
        </row>
        <row r="12008">
          <cell r="C12008" t="str">
            <v>IC</v>
          </cell>
          <cell r="D12008">
            <v>1.2</v>
          </cell>
          <cell r="H12008" t="str">
            <v>natural gas peaker</v>
          </cell>
        </row>
        <row r="12009">
          <cell r="C12009" t="str">
            <v>IC</v>
          </cell>
          <cell r="D12009">
            <v>1.9</v>
          </cell>
          <cell r="H12009" t="str">
            <v>natural gas peaker</v>
          </cell>
        </row>
        <row r="12010">
          <cell r="C12010" t="str">
            <v>IC</v>
          </cell>
          <cell r="D12010">
            <v>3</v>
          </cell>
          <cell r="H12010" t="str">
            <v>petroleum</v>
          </cell>
        </row>
        <row r="12011">
          <cell r="C12011" t="str">
            <v>IC</v>
          </cell>
          <cell r="D12011">
            <v>1.5</v>
          </cell>
          <cell r="H12011" t="str">
            <v>biomass</v>
          </cell>
        </row>
        <row r="12012">
          <cell r="C12012" t="str">
            <v>IC</v>
          </cell>
          <cell r="D12012">
            <v>1.5</v>
          </cell>
          <cell r="H12012" t="str">
            <v>biomass</v>
          </cell>
        </row>
        <row r="12013">
          <cell r="C12013" t="str">
            <v>IC</v>
          </cell>
          <cell r="D12013">
            <v>1.5</v>
          </cell>
          <cell r="H12013" t="str">
            <v>biomass</v>
          </cell>
        </row>
        <row r="12014">
          <cell r="C12014" t="str">
            <v>ST</v>
          </cell>
          <cell r="D12014">
            <v>28.8</v>
          </cell>
          <cell r="H12014" t="str">
            <v>municipal solid waste</v>
          </cell>
        </row>
        <row r="12015">
          <cell r="C12015" t="str">
            <v>ST</v>
          </cell>
          <cell r="D12015">
            <v>29.7</v>
          </cell>
          <cell r="H12015" t="str">
            <v>municipal solid waste</v>
          </cell>
        </row>
        <row r="12016">
          <cell r="C12016" t="str">
            <v>CT</v>
          </cell>
          <cell r="D12016">
            <v>7.5</v>
          </cell>
          <cell r="H12016" t="str">
            <v>natural gas nonpeaker</v>
          </cell>
        </row>
        <row r="12017">
          <cell r="C12017" t="str">
            <v>CA</v>
          </cell>
          <cell r="D12017">
            <v>1.5</v>
          </cell>
          <cell r="H12017" t="str">
            <v>natural gas nonpeaker</v>
          </cell>
        </row>
        <row r="12018">
          <cell r="C12018" t="str">
            <v>IC</v>
          </cell>
          <cell r="D12018">
            <v>0.6</v>
          </cell>
          <cell r="H12018" t="str">
            <v>biomass</v>
          </cell>
        </row>
        <row r="12019">
          <cell r="C12019" t="str">
            <v>IC</v>
          </cell>
          <cell r="D12019">
            <v>0.6</v>
          </cell>
          <cell r="H12019" t="str">
            <v>biomass</v>
          </cell>
        </row>
        <row r="12020">
          <cell r="C12020" t="str">
            <v>IC</v>
          </cell>
          <cell r="D12020">
            <v>0.6</v>
          </cell>
          <cell r="H12020" t="str">
            <v>biomass</v>
          </cell>
        </row>
        <row r="12021">
          <cell r="C12021" t="str">
            <v>HY</v>
          </cell>
          <cell r="D12021">
            <v>22</v>
          </cell>
          <cell r="H12021" t="str">
            <v>hydro</v>
          </cell>
        </row>
        <row r="12022">
          <cell r="C12022" t="str">
            <v>HY</v>
          </cell>
          <cell r="D12022">
            <v>22</v>
          </cell>
          <cell r="H12022" t="str">
            <v>hydro</v>
          </cell>
        </row>
        <row r="12023">
          <cell r="C12023" t="str">
            <v>IC</v>
          </cell>
          <cell r="D12023">
            <v>0.8</v>
          </cell>
          <cell r="H12023" t="str">
            <v>natural gas peaker</v>
          </cell>
        </row>
        <row r="12024">
          <cell r="C12024" t="str">
            <v>IC</v>
          </cell>
          <cell r="D12024">
            <v>0.8</v>
          </cell>
          <cell r="H12024" t="str">
            <v>natural gas peaker</v>
          </cell>
        </row>
        <row r="12025">
          <cell r="C12025" t="str">
            <v>IC</v>
          </cell>
          <cell r="D12025">
            <v>0.8</v>
          </cell>
          <cell r="H12025" t="str">
            <v>natural gas peaker</v>
          </cell>
        </row>
        <row r="12026">
          <cell r="C12026" t="str">
            <v>IC</v>
          </cell>
          <cell r="D12026">
            <v>0.8</v>
          </cell>
          <cell r="H12026" t="str">
            <v>natural gas peaker</v>
          </cell>
        </row>
        <row r="12027">
          <cell r="C12027" t="str">
            <v>IC</v>
          </cell>
          <cell r="D12027">
            <v>0.8</v>
          </cell>
          <cell r="H12027" t="str">
            <v>biomass</v>
          </cell>
        </row>
        <row r="12028">
          <cell r="C12028" t="str">
            <v>IC</v>
          </cell>
          <cell r="D12028">
            <v>0.8</v>
          </cell>
          <cell r="H12028" t="str">
            <v>biomass</v>
          </cell>
        </row>
        <row r="12029">
          <cell r="C12029" t="str">
            <v>IC</v>
          </cell>
          <cell r="D12029">
            <v>0.8</v>
          </cell>
          <cell r="H12029" t="str">
            <v>biomass</v>
          </cell>
        </row>
        <row r="12030">
          <cell r="C12030" t="str">
            <v>IC</v>
          </cell>
          <cell r="D12030">
            <v>0.8</v>
          </cell>
          <cell r="H12030" t="str">
            <v>biomass</v>
          </cell>
        </row>
        <row r="12031">
          <cell r="C12031" t="str">
            <v>ST</v>
          </cell>
          <cell r="D12031">
            <v>2</v>
          </cell>
          <cell r="H12031" t="str">
            <v>natural gas peaker</v>
          </cell>
        </row>
        <row r="12032">
          <cell r="C12032" t="str">
            <v>ST</v>
          </cell>
          <cell r="D12032">
            <v>2.2000000000000002</v>
          </cell>
          <cell r="H12032" t="str">
            <v>natural gas peaker</v>
          </cell>
        </row>
        <row r="12033">
          <cell r="C12033" t="str">
            <v>IC</v>
          </cell>
          <cell r="D12033">
            <v>1.2</v>
          </cell>
          <cell r="H12033" t="str">
            <v>petroleum</v>
          </cell>
        </row>
        <row r="12034">
          <cell r="C12034" t="str">
            <v>IC</v>
          </cell>
          <cell r="D12034">
            <v>1.8</v>
          </cell>
          <cell r="H12034" t="str">
            <v>petroleum</v>
          </cell>
        </row>
        <row r="12035">
          <cell r="C12035" t="str">
            <v>IC</v>
          </cell>
          <cell r="D12035">
            <v>1.8</v>
          </cell>
          <cell r="H12035" t="str">
            <v>petroleum</v>
          </cell>
        </row>
        <row r="12036">
          <cell r="C12036" t="str">
            <v>IC</v>
          </cell>
          <cell r="D12036">
            <v>1.8</v>
          </cell>
          <cell r="H12036" t="str">
            <v>petroleum</v>
          </cell>
        </row>
        <row r="12037">
          <cell r="C12037" t="str">
            <v>HY</v>
          </cell>
          <cell r="D12037">
            <v>0.6</v>
          </cell>
          <cell r="H12037" t="str">
            <v>hydro</v>
          </cell>
        </row>
        <row r="12038">
          <cell r="C12038" t="str">
            <v>HY</v>
          </cell>
          <cell r="D12038">
            <v>0.6</v>
          </cell>
          <cell r="H12038" t="str">
            <v>hydro</v>
          </cell>
        </row>
        <row r="12039">
          <cell r="C12039" t="str">
            <v>HY</v>
          </cell>
          <cell r="D12039">
            <v>0.6</v>
          </cell>
          <cell r="H12039" t="str">
            <v>hydro</v>
          </cell>
        </row>
        <row r="12040">
          <cell r="C12040" t="str">
            <v>HY</v>
          </cell>
          <cell r="D12040">
            <v>0.6</v>
          </cell>
          <cell r="H12040" t="str">
            <v>hydro</v>
          </cell>
        </row>
        <row r="12041">
          <cell r="C12041" t="str">
            <v>HY</v>
          </cell>
          <cell r="D12041">
            <v>0.6</v>
          </cell>
          <cell r="H12041" t="str">
            <v>hydro</v>
          </cell>
        </row>
        <row r="12042">
          <cell r="C12042" t="str">
            <v>ST</v>
          </cell>
          <cell r="D12042">
            <v>3.6</v>
          </cell>
          <cell r="H12042" t="str">
            <v>biomass</v>
          </cell>
        </row>
        <row r="12043">
          <cell r="C12043" t="str">
            <v>ST</v>
          </cell>
          <cell r="D12043">
            <v>3.6</v>
          </cell>
          <cell r="H12043" t="str">
            <v>biomass</v>
          </cell>
        </row>
        <row r="12044">
          <cell r="C12044" t="str">
            <v>GT</v>
          </cell>
          <cell r="D12044">
            <v>4.5</v>
          </cell>
          <cell r="H12044" t="str">
            <v>natural gas peaker</v>
          </cell>
        </row>
        <row r="12045">
          <cell r="C12045" t="str">
            <v>WT</v>
          </cell>
          <cell r="D12045">
            <v>34.299999999999997</v>
          </cell>
          <cell r="H12045" t="str">
            <v>onshore wind</v>
          </cell>
        </row>
        <row r="12046">
          <cell r="C12046" t="str">
            <v>IC</v>
          </cell>
          <cell r="D12046">
            <v>0.8</v>
          </cell>
          <cell r="H12046" t="str">
            <v>biomass</v>
          </cell>
        </row>
        <row r="12047">
          <cell r="C12047" t="str">
            <v>IC</v>
          </cell>
          <cell r="D12047">
            <v>1.5</v>
          </cell>
          <cell r="H12047" t="str">
            <v>biomass</v>
          </cell>
        </row>
        <row r="12048">
          <cell r="C12048" t="str">
            <v>IC</v>
          </cell>
          <cell r="D12048">
            <v>1.5</v>
          </cell>
          <cell r="H12048" t="str">
            <v>biomass</v>
          </cell>
        </row>
        <row r="12049">
          <cell r="C12049" t="str">
            <v>IC</v>
          </cell>
          <cell r="D12049">
            <v>1.5</v>
          </cell>
          <cell r="H12049" t="str">
            <v>biomass</v>
          </cell>
        </row>
        <row r="12050">
          <cell r="C12050" t="str">
            <v>IC</v>
          </cell>
          <cell r="D12050">
            <v>0.8</v>
          </cell>
          <cell r="H12050" t="str">
            <v>biomass</v>
          </cell>
        </row>
        <row r="12051">
          <cell r="C12051" t="str">
            <v>IC</v>
          </cell>
          <cell r="D12051">
            <v>0.8</v>
          </cell>
          <cell r="H12051" t="str">
            <v>biomass</v>
          </cell>
        </row>
        <row r="12052">
          <cell r="C12052" t="str">
            <v>IC</v>
          </cell>
          <cell r="D12052">
            <v>0.8</v>
          </cell>
          <cell r="H12052" t="str">
            <v>biomass</v>
          </cell>
        </row>
        <row r="12053">
          <cell r="C12053" t="str">
            <v>IC</v>
          </cell>
          <cell r="D12053">
            <v>0.8</v>
          </cell>
          <cell r="H12053" t="str">
            <v>biomass</v>
          </cell>
        </row>
        <row r="12054">
          <cell r="C12054" t="str">
            <v>IC</v>
          </cell>
          <cell r="D12054">
            <v>0.8</v>
          </cell>
          <cell r="H12054" t="str">
            <v>biomass</v>
          </cell>
        </row>
        <row r="12055">
          <cell r="C12055" t="str">
            <v>IC</v>
          </cell>
          <cell r="D12055">
            <v>1.5</v>
          </cell>
          <cell r="H12055" t="str">
            <v>biomass</v>
          </cell>
        </row>
        <row r="12056">
          <cell r="C12056" t="str">
            <v>IC</v>
          </cell>
          <cell r="D12056">
            <v>1.5</v>
          </cell>
          <cell r="H12056" t="str">
            <v>biomass</v>
          </cell>
        </row>
        <row r="12057">
          <cell r="C12057" t="str">
            <v>IC</v>
          </cell>
          <cell r="D12057">
            <v>1.5</v>
          </cell>
          <cell r="H12057" t="str">
            <v>biomass</v>
          </cell>
        </row>
        <row r="12058">
          <cell r="C12058" t="str">
            <v>HY</v>
          </cell>
          <cell r="D12058">
            <v>0.5</v>
          </cell>
          <cell r="H12058" t="str">
            <v>hydro</v>
          </cell>
        </row>
        <row r="12059">
          <cell r="C12059" t="str">
            <v>GT</v>
          </cell>
          <cell r="D12059">
            <v>3.3</v>
          </cell>
          <cell r="H12059" t="str">
            <v>biomass</v>
          </cell>
        </row>
        <row r="12060">
          <cell r="C12060" t="str">
            <v>IC</v>
          </cell>
          <cell r="D12060">
            <v>1.2</v>
          </cell>
          <cell r="H12060" t="str">
            <v>petroleum</v>
          </cell>
        </row>
        <row r="12061">
          <cell r="C12061" t="str">
            <v>IC</v>
          </cell>
          <cell r="D12061">
            <v>1.2</v>
          </cell>
          <cell r="H12061" t="str">
            <v>petroleum</v>
          </cell>
        </row>
        <row r="12062">
          <cell r="C12062" t="str">
            <v>IC</v>
          </cell>
          <cell r="D12062">
            <v>1.5</v>
          </cell>
          <cell r="H12062" t="str">
            <v>petroleum</v>
          </cell>
        </row>
        <row r="12063">
          <cell r="C12063" t="str">
            <v>IC</v>
          </cell>
          <cell r="D12063">
            <v>1.2</v>
          </cell>
          <cell r="H12063" t="str">
            <v>petroleum</v>
          </cell>
        </row>
        <row r="12064">
          <cell r="C12064" t="str">
            <v>IC</v>
          </cell>
          <cell r="D12064">
            <v>1.2</v>
          </cell>
          <cell r="H12064" t="str">
            <v>petroleum</v>
          </cell>
        </row>
        <row r="12065">
          <cell r="C12065" t="str">
            <v>IC</v>
          </cell>
          <cell r="D12065">
            <v>0.7</v>
          </cell>
          <cell r="H12065" t="str">
            <v>petroleum</v>
          </cell>
        </row>
        <row r="12066">
          <cell r="C12066" t="str">
            <v>IC</v>
          </cell>
          <cell r="D12066">
            <v>2</v>
          </cell>
          <cell r="H12066" t="str">
            <v>petroleum</v>
          </cell>
        </row>
        <row r="12067">
          <cell r="C12067" t="str">
            <v>IC</v>
          </cell>
          <cell r="D12067">
            <v>1.5</v>
          </cell>
          <cell r="H12067" t="str">
            <v>natural gas peaker</v>
          </cell>
        </row>
        <row r="12068">
          <cell r="C12068" t="str">
            <v>IC</v>
          </cell>
          <cell r="D12068">
            <v>0.8</v>
          </cell>
          <cell r="H12068" t="str">
            <v>biomass</v>
          </cell>
        </row>
        <row r="12069">
          <cell r="C12069" t="str">
            <v>IC</v>
          </cell>
          <cell r="D12069">
            <v>0.8</v>
          </cell>
          <cell r="H12069" t="str">
            <v>biomass</v>
          </cell>
        </row>
        <row r="12070">
          <cell r="C12070" t="str">
            <v>IC</v>
          </cell>
          <cell r="D12070">
            <v>0.8</v>
          </cell>
          <cell r="H12070" t="str">
            <v>biomass</v>
          </cell>
        </row>
        <row r="12071">
          <cell r="C12071" t="str">
            <v>IC</v>
          </cell>
          <cell r="D12071">
            <v>0.8</v>
          </cell>
          <cell r="H12071" t="str">
            <v>biomass</v>
          </cell>
        </row>
        <row r="12072">
          <cell r="C12072" t="str">
            <v>IC</v>
          </cell>
          <cell r="D12072">
            <v>0.8</v>
          </cell>
          <cell r="H12072" t="str">
            <v>biomass</v>
          </cell>
        </row>
        <row r="12073">
          <cell r="C12073" t="str">
            <v>IC</v>
          </cell>
          <cell r="D12073">
            <v>0.8</v>
          </cell>
          <cell r="H12073" t="str">
            <v>biomass</v>
          </cell>
        </row>
        <row r="12074">
          <cell r="C12074" t="str">
            <v>IC</v>
          </cell>
          <cell r="D12074">
            <v>0.8</v>
          </cell>
          <cell r="H12074" t="str">
            <v>biomass</v>
          </cell>
        </row>
        <row r="12075">
          <cell r="C12075" t="str">
            <v>IC</v>
          </cell>
          <cell r="D12075">
            <v>1.6</v>
          </cell>
          <cell r="H12075" t="str">
            <v>biomass</v>
          </cell>
        </row>
        <row r="12076">
          <cell r="C12076" t="str">
            <v>IC</v>
          </cell>
          <cell r="D12076">
            <v>1.6</v>
          </cell>
          <cell r="H12076" t="str">
            <v>biomass</v>
          </cell>
        </row>
        <row r="12077">
          <cell r="C12077" t="str">
            <v>ST</v>
          </cell>
          <cell r="D12077">
            <v>90</v>
          </cell>
          <cell r="H12077" t="str">
            <v>other</v>
          </cell>
        </row>
        <row r="12078">
          <cell r="C12078" t="str">
            <v>ST</v>
          </cell>
          <cell r="D12078">
            <v>44</v>
          </cell>
          <cell r="H12078" t="str">
            <v>geothermal</v>
          </cell>
        </row>
        <row r="12079">
          <cell r="C12079" t="str">
            <v>ST</v>
          </cell>
          <cell r="D12079">
            <v>15.5</v>
          </cell>
          <cell r="H12079" t="str">
            <v>municipal solid waste</v>
          </cell>
        </row>
        <row r="12080">
          <cell r="C12080" t="str">
            <v>ST</v>
          </cell>
          <cell r="D12080">
            <v>15.5</v>
          </cell>
          <cell r="H12080" t="str">
            <v>municipal solid waste</v>
          </cell>
        </row>
        <row r="12081">
          <cell r="C12081" t="str">
            <v>ST</v>
          </cell>
          <cell r="D12081">
            <v>15.5</v>
          </cell>
          <cell r="H12081" t="str">
            <v>municipal solid waste</v>
          </cell>
        </row>
        <row r="12082">
          <cell r="C12082" t="str">
            <v>IC</v>
          </cell>
          <cell r="D12082">
            <v>1.2</v>
          </cell>
          <cell r="H12082" t="str">
            <v>petroleum</v>
          </cell>
        </row>
        <row r="12083">
          <cell r="C12083" t="str">
            <v>IC</v>
          </cell>
          <cell r="D12083">
            <v>1.2</v>
          </cell>
          <cell r="H12083" t="str">
            <v>petroleum</v>
          </cell>
        </row>
        <row r="12084">
          <cell r="C12084" t="str">
            <v>IC</v>
          </cell>
          <cell r="D12084">
            <v>0.7</v>
          </cell>
          <cell r="H12084" t="str">
            <v>natural gas peaker</v>
          </cell>
        </row>
        <row r="12085">
          <cell r="C12085" t="str">
            <v>IC</v>
          </cell>
          <cell r="D12085">
            <v>0.7</v>
          </cell>
          <cell r="H12085" t="str">
            <v>natural gas peaker</v>
          </cell>
        </row>
        <row r="12086">
          <cell r="C12086" t="str">
            <v>IC</v>
          </cell>
          <cell r="D12086">
            <v>0.5</v>
          </cell>
          <cell r="H12086" t="str">
            <v>natural gas peaker</v>
          </cell>
        </row>
        <row r="12087">
          <cell r="C12087" t="str">
            <v>IC</v>
          </cell>
          <cell r="D12087">
            <v>0.5</v>
          </cell>
          <cell r="H12087" t="str">
            <v>natural gas peaker</v>
          </cell>
        </row>
        <row r="12088">
          <cell r="C12088" t="str">
            <v>IC</v>
          </cell>
          <cell r="D12088">
            <v>0.7</v>
          </cell>
          <cell r="H12088" t="str">
            <v>biomass</v>
          </cell>
        </row>
        <row r="12089">
          <cell r="C12089" t="str">
            <v>IC</v>
          </cell>
          <cell r="D12089">
            <v>1.5</v>
          </cell>
          <cell r="H12089" t="str">
            <v>biomass</v>
          </cell>
        </row>
        <row r="12090">
          <cell r="C12090" t="str">
            <v>HY</v>
          </cell>
          <cell r="D12090">
            <v>2.6</v>
          </cell>
          <cell r="H12090" t="str">
            <v>hydro</v>
          </cell>
        </row>
        <row r="12091">
          <cell r="C12091" t="str">
            <v>CT</v>
          </cell>
          <cell r="D12091">
            <v>154</v>
          </cell>
          <cell r="H12091" t="str">
            <v>natural gas nonpeaker</v>
          </cell>
        </row>
        <row r="12092">
          <cell r="C12092" t="str">
            <v>CA</v>
          </cell>
          <cell r="D12092">
            <v>97</v>
          </cell>
          <cell r="H12092" t="str">
            <v>natural gas nonpeaker</v>
          </cell>
        </row>
        <row r="12093">
          <cell r="C12093" t="str">
            <v>CT</v>
          </cell>
          <cell r="D12093">
            <v>162</v>
          </cell>
          <cell r="H12093" t="str">
            <v>natural gas nonpeaker</v>
          </cell>
        </row>
        <row r="12094">
          <cell r="C12094" t="str">
            <v>CA</v>
          </cell>
          <cell r="D12094">
            <v>99</v>
          </cell>
          <cell r="H12094" t="str">
            <v>natural gas nonpeaker</v>
          </cell>
        </row>
        <row r="12095">
          <cell r="C12095" t="str">
            <v>GT</v>
          </cell>
          <cell r="D12095">
            <v>2.9</v>
          </cell>
          <cell r="H12095" t="str">
            <v>biomass</v>
          </cell>
        </row>
        <row r="12096">
          <cell r="C12096" t="str">
            <v>GT</v>
          </cell>
          <cell r="D12096">
            <v>2.9</v>
          </cell>
          <cell r="H12096" t="str">
            <v>biomass</v>
          </cell>
        </row>
        <row r="12097">
          <cell r="C12097" t="str">
            <v>GT</v>
          </cell>
          <cell r="D12097">
            <v>109</v>
          </cell>
          <cell r="H12097" t="str">
            <v>natural gas peaker</v>
          </cell>
        </row>
        <row r="12098">
          <cell r="C12098" t="str">
            <v>GT</v>
          </cell>
          <cell r="D12098">
            <v>109</v>
          </cell>
          <cell r="H12098" t="str">
            <v>natural gas peaker</v>
          </cell>
        </row>
        <row r="12099">
          <cell r="C12099" t="str">
            <v>GT</v>
          </cell>
          <cell r="D12099">
            <v>109</v>
          </cell>
          <cell r="H12099" t="str">
            <v>natural gas peaker</v>
          </cell>
        </row>
        <row r="12100">
          <cell r="C12100" t="str">
            <v>GT</v>
          </cell>
          <cell r="D12100">
            <v>109</v>
          </cell>
          <cell r="H12100" t="str">
            <v>natural gas peaker</v>
          </cell>
        </row>
        <row r="12101">
          <cell r="C12101" t="str">
            <v>GT</v>
          </cell>
          <cell r="D12101">
            <v>2.8</v>
          </cell>
          <cell r="H12101" t="str">
            <v>natural gas peaker</v>
          </cell>
        </row>
        <row r="12102">
          <cell r="C12102" t="str">
            <v>GT</v>
          </cell>
          <cell r="D12102">
            <v>2.8</v>
          </cell>
          <cell r="H12102" t="str">
            <v>natural gas peaker</v>
          </cell>
        </row>
        <row r="12103">
          <cell r="C12103" t="str">
            <v>CS</v>
          </cell>
          <cell r="D12103">
            <v>164</v>
          </cell>
          <cell r="H12103" t="str">
            <v>natural gas nonpeaker</v>
          </cell>
        </row>
        <row r="12104">
          <cell r="C12104" t="str">
            <v>IC</v>
          </cell>
          <cell r="D12104">
            <v>0.5</v>
          </cell>
          <cell r="H12104" t="str">
            <v>biomass</v>
          </cell>
        </row>
        <row r="12105">
          <cell r="C12105" t="str">
            <v>IC</v>
          </cell>
          <cell r="D12105">
            <v>0.5</v>
          </cell>
          <cell r="H12105" t="str">
            <v>biomass</v>
          </cell>
        </row>
        <row r="12106">
          <cell r="C12106" t="str">
            <v>IC</v>
          </cell>
          <cell r="D12106">
            <v>0.5</v>
          </cell>
          <cell r="H12106" t="str">
            <v>biomass</v>
          </cell>
        </row>
        <row r="12107">
          <cell r="C12107" t="str">
            <v>GT</v>
          </cell>
          <cell r="D12107">
            <v>166.9</v>
          </cell>
          <cell r="H12107" t="str">
            <v>natural gas peaker</v>
          </cell>
        </row>
        <row r="12108">
          <cell r="C12108" t="str">
            <v>GT</v>
          </cell>
          <cell r="D12108">
            <v>51.2</v>
          </cell>
          <cell r="H12108" t="str">
            <v>natural gas peaker</v>
          </cell>
        </row>
        <row r="12109">
          <cell r="C12109" t="str">
            <v>GT</v>
          </cell>
          <cell r="D12109">
            <v>45.2</v>
          </cell>
          <cell r="H12109" t="str">
            <v>natural gas peaker</v>
          </cell>
        </row>
        <row r="12110">
          <cell r="C12110" t="str">
            <v>GT</v>
          </cell>
          <cell r="D12110">
            <v>44.1</v>
          </cell>
          <cell r="H12110" t="str">
            <v>natural gas peaker</v>
          </cell>
        </row>
        <row r="12111">
          <cell r="C12111" t="str">
            <v>IC</v>
          </cell>
          <cell r="D12111">
            <v>1</v>
          </cell>
          <cell r="H12111" t="str">
            <v>biomass</v>
          </cell>
        </row>
        <row r="12112">
          <cell r="C12112" t="str">
            <v>IC</v>
          </cell>
          <cell r="D12112">
            <v>1</v>
          </cell>
          <cell r="H12112" t="str">
            <v>biomass</v>
          </cell>
        </row>
        <row r="12113">
          <cell r="C12113" t="str">
            <v>IC</v>
          </cell>
          <cell r="D12113">
            <v>1</v>
          </cell>
          <cell r="H12113" t="str">
            <v>biomass</v>
          </cell>
        </row>
        <row r="12114">
          <cell r="C12114" t="str">
            <v>IC</v>
          </cell>
          <cell r="D12114">
            <v>0.8</v>
          </cell>
          <cell r="H12114" t="str">
            <v>biomass</v>
          </cell>
        </row>
        <row r="12115">
          <cell r="C12115" t="str">
            <v>IC</v>
          </cell>
          <cell r="D12115">
            <v>0.8</v>
          </cell>
          <cell r="H12115" t="str">
            <v>biomass</v>
          </cell>
        </row>
        <row r="12116">
          <cell r="C12116" t="str">
            <v>GT</v>
          </cell>
          <cell r="D12116">
            <v>4.5</v>
          </cell>
          <cell r="H12116" t="str">
            <v>natural gas peaker</v>
          </cell>
        </row>
        <row r="12117">
          <cell r="C12117" t="str">
            <v>GT</v>
          </cell>
          <cell r="D12117">
            <v>3.8</v>
          </cell>
          <cell r="H12117" t="str">
            <v>natural gas peaker</v>
          </cell>
        </row>
        <row r="12118">
          <cell r="C12118" t="str">
            <v>GT</v>
          </cell>
          <cell r="D12118">
            <v>138</v>
          </cell>
          <cell r="H12118" t="str">
            <v>natural gas peaker</v>
          </cell>
        </row>
        <row r="12119">
          <cell r="C12119" t="str">
            <v>CT</v>
          </cell>
          <cell r="D12119">
            <v>101.5</v>
          </cell>
          <cell r="H12119" t="str">
            <v>natural gas nonpeaker</v>
          </cell>
        </row>
        <row r="12120">
          <cell r="C12120" t="str">
            <v>CT</v>
          </cell>
          <cell r="D12120">
            <v>101.5</v>
          </cell>
          <cell r="H12120" t="str">
            <v>natural gas nonpeaker</v>
          </cell>
        </row>
        <row r="12121">
          <cell r="C12121" t="str">
            <v>CA</v>
          </cell>
          <cell r="D12121">
            <v>100</v>
          </cell>
          <cell r="H12121" t="str">
            <v>natural gas nonpeaker</v>
          </cell>
        </row>
        <row r="12122">
          <cell r="C12122" t="str">
            <v>CS</v>
          </cell>
          <cell r="D12122">
            <v>229.3</v>
          </cell>
          <cell r="H12122" t="str">
            <v>natural gas nonpeaker</v>
          </cell>
        </row>
        <row r="12123">
          <cell r="C12123" t="str">
            <v>CT</v>
          </cell>
          <cell r="D12123">
            <v>164</v>
          </cell>
          <cell r="H12123" t="str">
            <v>natural gas nonpeaker</v>
          </cell>
        </row>
        <row r="12124">
          <cell r="C12124" t="str">
            <v>CT</v>
          </cell>
          <cell r="D12124">
            <v>164</v>
          </cell>
          <cell r="H12124" t="str">
            <v>natural gas nonpeaker</v>
          </cell>
        </row>
        <row r="12125">
          <cell r="C12125" t="str">
            <v>CA</v>
          </cell>
          <cell r="D12125">
            <v>164</v>
          </cell>
          <cell r="H12125" t="str">
            <v>natural gas nonpeaker</v>
          </cell>
        </row>
        <row r="12126">
          <cell r="C12126" t="str">
            <v>CT</v>
          </cell>
          <cell r="D12126">
            <v>51</v>
          </cell>
          <cell r="H12126" t="str">
            <v>natural gas nonpeaker</v>
          </cell>
        </row>
        <row r="12127">
          <cell r="C12127" t="str">
            <v>CA</v>
          </cell>
          <cell r="D12127">
            <v>35</v>
          </cell>
          <cell r="H12127" t="str">
            <v>natural gas nonpeaker</v>
          </cell>
        </row>
        <row r="12128">
          <cell r="C12128" t="str">
            <v>ST</v>
          </cell>
          <cell r="D12128">
            <v>15.3</v>
          </cell>
          <cell r="H12128" t="str">
            <v>biomass</v>
          </cell>
        </row>
        <row r="12129">
          <cell r="C12129" t="str">
            <v>CT</v>
          </cell>
          <cell r="D12129">
            <v>165</v>
          </cell>
          <cell r="H12129" t="str">
            <v>natural gas nonpeaker</v>
          </cell>
        </row>
        <row r="12130">
          <cell r="C12130" t="str">
            <v>CT</v>
          </cell>
          <cell r="D12130">
            <v>165</v>
          </cell>
          <cell r="H12130" t="str">
            <v>natural gas nonpeaker</v>
          </cell>
        </row>
        <row r="12131">
          <cell r="C12131" t="str">
            <v>CT</v>
          </cell>
          <cell r="D12131">
            <v>165</v>
          </cell>
          <cell r="H12131" t="str">
            <v>natural gas nonpeaker</v>
          </cell>
        </row>
        <row r="12132">
          <cell r="C12132" t="str">
            <v>CA</v>
          </cell>
          <cell r="D12132">
            <v>60</v>
          </cell>
          <cell r="H12132" t="str">
            <v>natural gas nonpeaker</v>
          </cell>
        </row>
        <row r="12133">
          <cell r="C12133" t="str">
            <v>CA</v>
          </cell>
          <cell r="D12133">
            <v>165</v>
          </cell>
          <cell r="H12133" t="str">
            <v>natural gas nonpeaker</v>
          </cell>
        </row>
        <row r="12134">
          <cell r="C12134" t="str">
            <v>CT</v>
          </cell>
          <cell r="D12134">
            <v>177.4</v>
          </cell>
          <cell r="H12134" t="str">
            <v>natural gas nonpeaker</v>
          </cell>
        </row>
        <row r="12135">
          <cell r="C12135" t="str">
            <v>CA</v>
          </cell>
          <cell r="D12135">
            <v>90.6</v>
          </cell>
          <cell r="H12135" t="str">
            <v>natural gas nonpeaker</v>
          </cell>
        </row>
        <row r="12136">
          <cell r="C12136" t="str">
            <v>GT</v>
          </cell>
          <cell r="D12136">
            <v>75</v>
          </cell>
          <cell r="H12136" t="str">
            <v>natural gas peaker</v>
          </cell>
        </row>
        <row r="12137">
          <cell r="C12137" t="str">
            <v>GT</v>
          </cell>
          <cell r="D12137">
            <v>75</v>
          </cell>
          <cell r="H12137" t="str">
            <v>natural gas peaker</v>
          </cell>
        </row>
        <row r="12138">
          <cell r="C12138" t="str">
            <v>GT</v>
          </cell>
          <cell r="D12138">
            <v>75</v>
          </cell>
          <cell r="H12138" t="str">
            <v>natural gas peaker</v>
          </cell>
        </row>
        <row r="12139">
          <cell r="C12139" t="str">
            <v>IC</v>
          </cell>
          <cell r="D12139">
            <v>0.4</v>
          </cell>
          <cell r="H12139" t="str">
            <v>natural gas peaker</v>
          </cell>
        </row>
        <row r="12140">
          <cell r="C12140" t="str">
            <v>IC</v>
          </cell>
          <cell r="D12140">
            <v>0.4</v>
          </cell>
          <cell r="H12140" t="str">
            <v>natural gas peaker</v>
          </cell>
        </row>
        <row r="12141">
          <cell r="C12141" t="str">
            <v>IC</v>
          </cell>
          <cell r="D12141">
            <v>0.5</v>
          </cell>
          <cell r="H12141" t="str">
            <v>natural gas peaker</v>
          </cell>
        </row>
        <row r="12142">
          <cell r="C12142" t="str">
            <v>IC</v>
          </cell>
          <cell r="D12142">
            <v>0.5</v>
          </cell>
          <cell r="H12142" t="str">
            <v>natural gas peaker</v>
          </cell>
        </row>
        <row r="12143">
          <cell r="C12143" t="str">
            <v>IC</v>
          </cell>
          <cell r="D12143">
            <v>0.8</v>
          </cell>
          <cell r="H12143" t="str">
            <v>natural gas peaker</v>
          </cell>
        </row>
        <row r="12144">
          <cell r="C12144" t="str">
            <v>IC</v>
          </cell>
          <cell r="D12144">
            <v>0.8</v>
          </cell>
          <cell r="H12144" t="str">
            <v>natural gas peaker</v>
          </cell>
        </row>
        <row r="12145">
          <cell r="C12145" t="str">
            <v>IC</v>
          </cell>
          <cell r="D12145">
            <v>0.8</v>
          </cell>
          <cell r="H12145" t="str">
            <v>natural gas peaker</v>
          </cell>
        </row>
        <row r="12146">
          <cell r="C12146" t="str">
            <v>IC</v>
          </cell>
          <cell r="D12146">
            <v>0.8</v>
          </cell>
          <cell r="H12146" t="str">
            <v>natural gas peaker</v>
          </cell>
        </row>
        <row r="12147">
          <cell r="C12147" t="str">
            <v>IC</v>
          </cell>
          <cell r="D12147">
            <v>0.8</v>
          </cell>
          <cell r="H12147" t="str">
            <v>natural gas peaker</v>
          </cell>
        </row>
        <row r="12148">
          <cell r="C12148" t="str">
            <v>IC</v>
          </cell>
          <cell r="D12148">
            <v>0.8</v>
          </cell>
          <cell r="H12148" t="str">
            <v>natural gas peaker</v>
          </cell>
        </row>
        <row r="12149">
          <cell r="C12149" t="str">
            <v>IC</v>
          </cell>
          <cell r="D12149">
            <v>0.8</v>
          </cell>
          <cell r="H12149" t="str">
            <v>natural gas peaker</v>
          </cell>
        </row>
        <row r="12150">
          <cell r="C12150" t="str">
            <v>IC</v>
          </cell>
          <cell r="D12150">
            <v>0.8</v>
          </cell>
          <cell r="H12150" t="str">
            <v>natural gas peaker</v>
          </cell>
        </row>
        <row r="12151">
          <cell r="C12151" t="str">
            <v>IC</v>
          </cell>
          <cell r="D12151">
            <v>0.8</v>
          </cell>
          <cell r="H12151" t="str">
            <v>natural gas peaker</v>
          </cell>
        </row>
        <row r="12152">
          <cell r="C12152" t="str">
            <v>IC</v>
          </cell>
          <cell r="D12152">
            <v>0.8</v>
          </cell>
          <cell r="H12152" t="str">
            <v>natural gas peaker</v>
          </cell>
        </row>
        <row r="12153">
          <cell r="C12153" t="str">
            <v>IC</v>
          </cell>
          <cell r="D12153">
            <v>0.8</v>
          </cell>
          <cell r="H12153" t="str">
            <v>natural gas peaker</v>
          </cell>
        </row>
        <row r="12154">
          <cell r="C12154" t="str">
            <v>IC</v>
          </cell>
          <cell r="D12154">
            <v>0.8</v>
          </cell>
          <cell r="H12154" t="str">
            <v>natural gas peaker</v>
          </cell>
        </row>
        <row r="12155">
          <cell r="C12155" t="str">
            <v>IC</v>
          </cell>
          <cell r="D12155">
            <v>0.8</v>
          </cell>
          <cell r="H12155" t="str">
            <v>natural gas peaker</v>
          </cell>
        </row>
        <row r="12156">
          <cell r="C12156" t="str">
            <v>GT</v>
          </cell>
          <cell r="D12156">
            <v>3.4</v>
          </cell>
          <cell r="H12156" t="str">
            <v>biomass</v>
          </cell>
        </row>
        <row r="12157">
          <cell r="C12157" t="str">
            <v>GT</v>
          </cell>
          <cell r="D12157">
            <v>3.4</v>
          </cell>
          <cell r="H12157" t="str">
            <v>biomass</v>
          </cell>
        </row>
        <row r="12158">
          <cell r="C12158" t="str">
            <v>GT</v>
          </cell>
          <cell r="D12158">
            <v>3.4</v>
          </cell>
          <cell r="H12158" t="str">
            <v>biomass</v>
          </cell>
        </row>
        <row r="12159">
          <cell r="C12159" t="str">
            <v>GT</v>
          </cell>
          <cell r="D12159">
            <v>157.5</v>
          </cell>
          <cell r="H12159" t="str">
            <v>natural gas peaker</v>
          </cell>
        </row>
        <row r="12160">
          <cell r="C12160" t="str">
            <v>GT</v>
          </cell>
          <cell r="D12160">
            <v>157.5</v>
          </cell>
          <cell r="H12160" t="str">
            <v>natural gas peaker</v>
          </cell>
        </row>
        <row r="12161">
          <cell r="C12161" t="str">
            <v>GT</v>
          </cell>
          <cell r="D12161">
            <v>157.5</v>
          </cell>
          <cell r="H12161" t="str">
            <v>natural gas peaker</v>
          </cell>
        </row>
        <row r="12162">
          <cell r="C12162" t="str">
            <v>GT</v>
          </cell>
          <cell r="D12162">
            <v>157.5</v>
          </cell>
          <cell r="H12162" t="str">
            <v>natural gas peaker</v>
          </cell>
        </row>
        <row r="12163">
          <cell r="C12163" t="str">
            <v>GT</v>
          </cell>
          <cell r="D12163">
            <v>157.5</v>
          </cell>
          <cell r="H12163" t="str">
            <v>natural gas peaker</v>
          </cell>
        </row>
        <row r="12164">
          <cell r="C12164" t="str">
            <v>GT</v>
          </cell>
          <cell r="D12164">
            <v>157.5</v>
          </cell>
          <cell r="H12164" t="str">
            <v>natural gas peaker</v>
          </cell>
        </row>
        <row r="12165">
          <cell r="C12165" t="str">
            <v>CT</v>
          </cell>
          <cell r="D12165">
            <v>155</v>
          </cell>
          <cell r="H12165" t="str">
            <v>natural gas nonpeaker</v>
          </cell>
        </row>
        <row r="12166">
          <cell r="C12166" t="str">
            <v>CT</v>
          </cell>
          <cell r="D12166">
            <v>155</v>
          </cell>
          <cell r="H12166" t="str">
            <v>natural gas nonpeaker</v>
          </cell>
        </row>
        <row r="12167">
          <cell r="C12167" t="str">
            <v>CT</v>
          </cell>
          <cell r="D12167">
            <v>155</v>
          </cell>
          <cell r="H12167" t="str">
            <v>natural gas nonpeaker</v>
          </cell>
        </row>
        <row r="12168">
          <cell r="C12168" t="str">
            <v>CA</v>
          </cell>
          <cell r="D12168">
            <v>395</v>
          </cell>
          <cell r="H12168" t="str">
            <v>natural gas nonpeaker</v>
          </cell>
        </row>
        <row r="12169">
          <cell r="C12169" t="str">
            <v>CT</v>
          </cell>
          <cell r="D12169">
            <v>176</v>
          </cell>
          <cell r="H12169" t="str">
            <v>natural gas nonpeaker</v>
          </cell>
        </row>
        <row r="12170">
          <cell r="C12170" t="str">
            <v>CT</v>
          </cell>
          <cell r="D12170">
            <v>176</v>
          </cell>
          <cell r="H12170" t="str">
            <v>natural gas nonpeaker</v>
          </cell>
        </row>
        <row r="12171">
          <cell r="C12171" t="str">
            <v>CT</v>
          </cell>
          <cell r="D12171">
            <v>176</v>
          </cell>
          <cell r="H12171" t="str">
            <v>natural gas nonpeaker</v>
          </cell>
        </row>
        <row r="12172">
          <cell r="C12172" t="str">
            <v>CA</v>
          </cell>
          <cell r="D12172">
            <v>110</v>
          </cell>
          <cell r="H12172" t="str">
            <v>natural gas nonpeaker</v>
          </cell>
        </row>
        <row r="12173">
          <cell r="C12173" t="str">
            <v>CA</v>
          </cell>
          <cell r="D12173">
            <v>110</v>
          </cell>
          <cell r="H12173" t="str">
            <v>natural gas nonpeaker</v>
          </cell>
        </row>
        <row r="12174">
          <cell r="C12174" t="str">
            <v>CA</v>
          </cell>
          <cell r="D12174">
            <v>110</v>
          </cell>
          <cell r="H12174" t="str">
            <v>natural gas nonpeaker</v>
          </cell>
        </row>
        <row r="12175">
          <cell r="C12175" t="str">
            <v>GT</v>
          </cell>
          <cell r="D12175">
            <v>111.2</v>
          </cell>
          <cell r="H12175" t="str">
            <v>natural gas peaker</v>
          </cell>
        </row>
        <row r="12176">
          <cell r="C12176" t="str">
            <v>GT</v>
          </cell>
          <cell r="D12176">
            <v>113.3</v>
          </cell>
          <cell r="H12176" t="str">
            <v>natural gas peaker</v>
          </cell>
        </row>
        <row r="12177">
          <cell r="C12177" t="str">
            <v>CT</v>
          </cell>
          <cell r="D12177">
            <v>153.69999999999999</v>
          </cell>
          <cell r="H12177" t="str">
            <v>natural gas nonpeaker</v>
          </cell>
        </row>
        <row r="12178">
          <cell r="C12178" t="str">
            <v>CT</v>
          </cell>
          <cell r="D12178">
            <v>152.69999999999999</v>
          </cell>
          <cell r="H12178" t="str">
            <v>natural gas nonpeaker</v>
          </cell>
        </row>
        <row r="12179">
          <cell r="C12179" t="str">
            <v>CA</v>
          </cell>
          <cell r="D12179">
            <v>157.1</v>
          </cell>
          <cell r="H12179" t="str">
            <v>natural gas nonpeaker</v>
          </cell>
        </row>
        <row r="12180">
          <cell r="C12180" t="str">
            <v>ST</v>
          </cell>
          <cell r="D12180">
            <v>88</v>
          </cell>
          <cell r="H12180" t="str">
            <v>other</v>
          </cell>
        </row>
        <row r="12181">
          <cell r="C12181" t="str">
            <v>IC</v>
          </cell>
          <cell r="D12181">
            <v>2</v>
          </cell>
          <cell r="H12181" t="str">
            <v>petroleum</v>
          </cell>
        </row>
        <row r="12182">
          <cell r="C12182" t="str">
            <v>IC</v>
          </cell>
          <cell r="D12182">
            <v>2</v>
          </cell>
          <cell r="H12182" t="str">
            <v>petroleum</v>
          </cell>
        </row>
        <row r="12183">
          <cell r="C12183" t="str">
            <v>IC</v>
          </cell>
          <cell r="D12183">
            <v>2</v>
          </cell>
          <cell r="H12183" t="str">
            <v>petroleum</v>
          </cell>
        </row>
        <row r="12184">
          <cell r="C12184" t="str">
            <v>CT</v>
          </cell>
          <cell r="D12184">
            <v>155.69999999999999</v>
          </cell>
          <cell r="H12184" t="str">
            <v>natural gas nonpeaker</v>
          </cell>
        </row>
        <row r="12185">
          <cell r="C12185" t="str">
            <v>CT</v>
          </cell>
          <cell r="D12185">
            <v>156.69999999999999</v>
          </cell>
          <cell r="H12185" t="str">
            <v>natural gas nonpeaker</v>
          </cell>
        </row>
        <row r="12186">
          <cell r="C12186" t="str">
            <v>CA</v>
          </cell>
          <cell r="D12186">
            <v>177.6</v>
          </cell>
          <cell r="H12186" t="str">
            <v>natural gas nonpeaker</v>
          </cell>
        </row>
        <row r="12187">
          <cell r="C12187" t="str">
            <v>IC</v>
          </cell>
          <cell r="D12187">
            <v>3</v>
          </cell>
          <cell r="H12187" t="str">
            <v>biomass</v>
          </cell>
        </row>
        <row r="12188">
          <cell r="C12188" t="str">
            <v>IC</v>
          </cell>
          <cell r="D12188">
            <v>3</v>
          </cell>
          <cell r="H12188" t="str">
            <v>biomass</v>
          </cell>
        </row>
        <row r="12189">
          <cell r="C12189" t="str">
            <v>CT</v>
          </cell>
          <cell r="D12189">
            <v>145</v>
          </cell>
          <cell r="H12189" t="str">
            <v>natural gas nonpeaker</v>
          </cell>
        </row>
        <row r="12190">
          <cell r="C12190" t="str">
            <v>CA</v>
          </cell>
          <cell r="D12190">
            <v>47</v>
          </cell>
          <cell r="H12190" t="str">
            <v>natural gas nonpeaker</v>
          </cell>
        </row>
        <row r="12191">
          <cell r="C12191" t="str">
            <v>ST</v>
          </cell>
          <cell r="D12191">
            <v>440</v>
          </cell>
          <cell r="H12191" t="str">
            <v>hard coal</v>
          </cell>
        </row>
        <row r="12192">
          <cell r="C12192" t="str">
            <v>CT</v>
          </cell>
          <cell r="D12192">
            <v>150</v>
          </cell>
          <cell r="H12192" t="str">
            <v>natural gas nonpeaker</v>
          </cell>
        </row>
        <row r="12193">
          <cell r="C12193" t="str">
            <v>CT</v>
          </cell>
          <cell r="D12193">
            <v>150</v>
          </cell>
          <cell r="H12193" t="str">
            <v>natural gas nonpeaker</v>
          </cell>
        </row>
        <row r="12194">
          <cell r="C12194" t="str">
            <v>CA</v>
          </cell>
          <cell r="D12194">
            <v>150</v>
          </cell>
          <cell r="H12194" t="str">
            <v>natural gas nonpeaker</v>
          </cell>
        </row>
        <row r="12195">
          <cell r="C12195" t="str">
            <v>CT</v>
          </cell>
          <cell r="D12195">
            <v>214.8</v>
          </cell>
          <cell r="H12195" t="str">
            <v>natural gas nonpeaker</v>
          </cell>
        </row>
        <row r="12196">
          <cell r="C12196" t="str">
            <v>CA</v>
          </cell>
          <cell r="D12196">
            <v>120.1</v>
          </cell>
          <cell r="H12196" t="str">
            <v>natural gas nonpeaker</v>
          </cell>
        </row>
        <row r="12197">
          <cell r="C12197" t="str">
            <v>GT</v>
          </cell>
          <cell r="D12197">
            <v>110</v>
          </cell>
          <cell r="H12197" t="str">
            <v>natural gas peaker</v>
          </cell>
        </row>
        <row r="12198">
          <cell r="C12198" t="str">
            <v>GT</v>
          </cell>
          <cell r="D12198">
            <v>110</v>
          </cell>
          <cell r="H12198" t="str">
            <v>natural gas peaker</v>
          </cell>
        </row>
        <row r="12199">
          <cell r="C12199" t="str">
            <v>GT</v>
          </cell>
          <cell r="D12199">
            <v>118</v>
          </cell>
          <cell r="H12199" t="str">
            <v>natural gas peaker</v>
          </cell>
        </row>
        <row r="12200">
          <cell r="C12200" t="str">
            <v>GT</v>
          </cell>
          <cell r="D12200">
            <v>118</v>
          </cell>
          <cell r="H12200" t="str">
            <v>natural gas peaker</v>
          </cell>
        </row>
        <row r="12201">
          <cell r="C12201" t="str">
            <v>CS</v>
          </cell>
          <cell r="D12201">
            <v>247.4</v>
          </cell>
          <cell r="H12201" t="str">
            <v>natural gas nonpeaker</v>
          </cell>
        </row>
        <row r="12202">
          <cell r="C12202" t="str">
            <v>CT</v>
          </cell>
          <cell r="D12202">
            <v>141</v>
          </cell>
          <cell r="H12202" t="str">
            <v>natural gas nonpeaker</v>
          </cell>
        </row>
        <row r="12203">
          <cell r="C12203" t="str">
            <v>CT</v>
          </cell>
          <cell r="D12203">
            <v>140</v>
          </cell>
          <cell r="H12203" t="str">
            <v>natural gas nonpeaker</v>
          </cell>
        </row>
        <row r="12204">
          <cell r="C12204" t="str">
            <v>CA</v>
          </cell>
          <cell r="D12204">
            <v>85</v>
          </cell>
          <cell r="H12204" t="str">
            <v>natural gas nonpeaker</v>
          </cell>
        </row>
        <row r="12205">
          <cell r="C12205" t="str">
            <v>GT</v>
          </cell>
          <cell r="D12205">
            <v>159.6</v>
          </cell>
          <cell r="H12205" t="str">
            <v>natural gas peaker</v>
          </cell>
        </row>
        <row r="12206">
          <cell r="C12206" t="str">
            <v>GT</v>
          </cell>
          <cell r="D12206">
            <v>158.5</v>
          </cell>
          <cell r="H12206" t="str">
            <v>natural gas peaker</v>
          </cell>
        </row>
        <row r="12207">
          <cell r="C12207" t="str">
            <v>CT</v>
          </cell>
          <cell r="D12207">
            <v>158</v>
          </cell>
          <cell r="H12207" t="str">
            <v>natural gas nonpeaker</v>
          </cell>
        </row>
        <row r="12208">
          <cell r="C12208" t="str">
            <v>CT</v>
          </cell>
          <cell r="D12208">
            <v>158</v>
          </cell>
          <cell r="H12208" t="str">
            <v>natural gas nonpeaker</v>
          </cell>
        </row>
        <row r="12209">
          <cell r="C12209" t="str">
            <v>CA</v>
          </cell>
          <cell r="D12209">
            <v>215</v>
          </cell>
          <cell r="H12209" t="str">
            <v>natural gas nonpeaker</v>
          </cell>
        </row>
        <row r="12210">
          <cell r="C12210" t="str">
            <v>GT</v>
          </cell>
          <cell r="D12210">
            <v>163</v>
          </cell>
          <cell r="H12210" t="str">
            <v>natural gas peaker</v>
          </cell>
        </row>
        <row r="12211">
          <cell r="C12211" t="str">
            <v>GT</v>
          </cell>
          <cell r="D12211">
            <v>163</v>
          </cell>
          <cell r="H12211" t="str">
            <v>natural gas peaker</v>
          </cell>
        </row>
        <row r="12212">
          <cell r="C12212" t="str">
            <v>GT</v>
          </cell>
          <cell r="D12212">
            <v>163</v>
          </cell>
          <cell r="H12212" t="str">
            <v>natural gas peaker</v>
          </cell>
        </row>
        <row r="12213">
          <cell r="C12213" t="str">
            <v>ST</v>
          </cell>
          <cell r="D12213">
            <v>250</v>
          </cell>
          <cell r="H12213" t="str">
            <v>other</v>
          </cell>
        </row>
        <row r="12214">
          <cell r="C12214" t="str">
            <v>CT</v>
          </cell>
          <cell r="D12214">
            <v>146.6</v>
          </cell>
          <cell r="H12214" t="str">
            <v>natural gas nonpeaker</v>
          </cell>
        </row>
        <row r="12215">
          <cell r="C12215" t="str">
            <v>CT</v>
          </cell>
          <cell r="D12215">
            <v>142.9</v>
          </cell>
          <cell r="H12215" t="str">
            <v>natural gas nonpeaker</v>
          </cell>
        </row>
        <row r="12216">
          <cell r="C12216" t="str">
            <v>CT</v>
          </cell>
          <cell r="D12216">
            <v>150.30000000000001</v>
          </cell>
          <cell r="H12216" t="str">
            <v>natural gas nonpeaker</v>
          </cell>
        </row>
        <row r="12217">
          <cell r="C12217" t="str">
            <v>CA</v>
          </cell>
          <cell r="D12217">
            <v>299.10000000000002</v>
          </cell>
          <cell r="H12217" t="str">
            <v>natural gas nonpeaker</v>
          </cell>
        </row>
        <row r="12218">
          <cell r="C12218" t="str">
            <v>ST</v>
          </cell>
          <cell r="D12218">
            <v>5.8</v>
          </cell>
          <cell r="H12218" t="str">
            <v>biomass</v>
          </cell>
        </row>
        <row r="12219">
          <cell r="C12219" t="str">
            <v>CS</v>
          </cell>
          <cell r="D12219">
            <v>260</v>
          </cell>
          <cell r="H12219" t="str">
            <v>natural gas nonpeaker</v>
          </cell>
        </row>
        <row r="12220">
          <cell r="C12220" t="str">
            <v>CS</v>
          </cell>
          <cell r="D12220">
            <v>260</v>
          </cell>
          <cell r="H12220" t="str">
            <v>natural gas nonpeaker</v>
          </cell>
        </row>
        <row r="12221">
          <cell r="C12221" t="str">
            <v>CS</v>
          </cell>
          <cell r="D12221">
            <v>260</v>
          </cell>
          <cell r="H12221" t="str">
            <v>natural gas nonpeaker</v>
          </cell>
        </row>
        <row r="12222">
          <cell r="C12222" t="str">
            <v>CS</v>
          </cell>
          <cell r="D12222">
            <v>259</v>
          </cell>
          <cell r="H12222" t="str">
            <v>natural gas nonpeaker</v>
          </cell>
        </row>
        <row r="12223">
          <cell r="C12223" t="str">
            <v>CS</v>
          </cell>
          <cell r="D12223">
            <v>279</v>
          </cell>
          <cell r="H12223" t="str">
            <v>natural gas nonpeaker</v>
          </cell>
        </row>
        <row r="12224">
          <cell r="C12224" t="str">
            <v>CS</v>
          </cell>
          <cell r="D12224">
            <v>284</v>
          </cell>
          <cell r="H12224" t="str">
            <v>natural gas nonpeaker</v>
          </cell>
        </row>
        <row r="12225">
          <cell r="C12225" t="str">
            <v>IC</v>
          </cell>
          <cell r="D12225">
            <v>0.9</v>
          </cell>
          <cell r="H12225" t="str">
            <v>biomass</v>
          </cell>
        </row>
        <row r="12226">
          <cell r="C12226" t="str">
            <v>IC</v>
          </cell>
          <cell r="D12226">
            <v>0.9</v>
          </cell>
          <cell r="H12226" t="str">
            <v>biomass</v>
          </cell>
        </row>
        <row r="12227">
          <cell r="C12227" t="str">
            <v>IC</v>
          </cell>
          <cell r="D12227">
            <v>0.9</v>
          </cell>
          <cell r="H12227" t="str">
            <v>biomass</v>
          </cell>
        </row>
        <row r="12228">
          <cell r="C12228" t="str">
            <v>IC</v>
          </cell>
          <cell r="D12228">
            <v>0.9</v>
          </cell>
          <cell r="H12228" t="str">
            <v>biomass</v>
          </cell>
        </row>
        <row r="12229">
          <cell r="C12229" t="str">
            <v>IC</v>
          </cell>
          <cell r="D12229">
            <v>1.6</v>
          </cell>
          <cell r="H12229" t="str">
            <v>biomass</v>
          </cell>
        </row>
        <row r="12230">
          <cell r="C12230" t="str">
            <v>IC</v>
          </cell>
          <cell r="D12230">
            <v>1.6</v>
          </cell>
          <cell r="H12230" t="str">
            <v>biomass</v>
          </cell>
        </row>
        <row r="12231">
          <cell r="C12231" t="str">
            <v>IC</v>
          </cell>
          <cell r="D12231">
            <v>1.6</v>
          </cell>
          <cell r="H12231" t="str">
            <v>biomass</v>
          </cell>
        </row>
        <row r="12232">
          <cell r="C12232" t="str">
            <v>IC</v>
          </cell>
          <cell r="D12232">
            <v>1.6</v>
          </cell>
          <cell r="H12232" t="str">
            <v>biomass</v>
          </cell>
        </row>
        <row r="12233">
          <cell r="C12233" t="str">
            <v>GT</v>
          </cell>
          <cell r="D12233">
            <v>34</v>
          </cell>
          <cell r="H12233" t="str">
            <v>natural gas peaker</v>
          </cell>
        </row>
        <row r="12234">
          <cell r="C12234" t="str">
            <v>ST</v>
          </cell>
          <cell r="D12234">
            <v>19</v>
          </cell>
          <cell r="H12234" t="str">
            <v>natural gas peaker</v>
          </cell>
        </row>
        <row r="12235">
          <cell r="C12235" t="str">
            <v>CT</v>
          </cell>
          <cell r="D12235">
            <v>161</v>
          </cell>
          <cell r="H12235" t="str">
            <v>natural gas nonpeaker</v>
          </cell>
        </row>
        <row r="12236">
          <cell r="C12236" t="str">
            <v>CT</v>
          </cell>
          <cell r="D12236">
            <v>153</v>
          </cell>
          <cell r="H12236" t="str">
            <v>natural gas nonpeaker</v>
          </cell>
        </row>
        <row r="12237">
          <cell r="C12237" t="str">
            <v>CT</v>
          </cell>
          <cell r="D12237">
            <v>153</v>
          </cell>
          <cell r="H12237" t="str">
            <v>natural gas nonpeaker</v>
          </cell>
        </row>
        <row r="12238">
          <cell r="C12238" t="str">
            <v>CT</v>
          </cell>
          <cell r="D12238">
            <v>161</v>
          </cell>
          <cell r="H12238" t="str">
            <v>natural gas nonpeaker</v>
          </cell>
        </row>
        <row r="12239">
          <cell r="C12239" t="str">
            <v>CA</v>
          </cell>
          <cell r="D12239">
            <v>204</v>
          </cell>
          <cell r="H12239" t="str">
            <v>natural gas nonpeaker</v>
          </cell>
        </row>
        <row r="12240">
          <cell r="C12240" t="str">
            <v>CA</v>
          </cell>
          <cell r="D12240">
            <v>204</v>
          </cell>
          <cell r="H12240" t="str">
            <v>natural gas nonpeaker</v>
          </cell>
        </row>
        <row r="12241">
          <cell r="C12241" t="str">
            <v>GT</v>
          </cell>
          <cell r="D12241">
            <v>24</v>
          </cell>
          <cell r="H12241" t="str">
            <v>natural gas peaker</v>
          </cell>
        </row>
        <row r="12242">
          <cell r="C12242" t="str">
            <v>GT</v>
          </cell>
          <cell r="D12242">
            <v>22</v>
          </cell>
          <cell r="H12242" t="str">
            <v>natural gas peaker</v>
          </cell>
        </row>
        <row r="12243">
          <cell r="C12243" t="str">
            <v>GT</v>
          </cell>
          <cell r="D12243">
            <v>22</v>
          </cell>
          <cell r="H12243" t="str">
            <v>natural gas peaker</v>
          </cell>
        </row>
        <row r="12244">
          <cell r="C12244" t="str">
            <v>GT</v>
          </cell>
          <cell r="D12244">
            <v>23</v>
          </cell>
          <cell r="H12244" t="str">
            <v>natural gas peaker</v>
          </cell>
        </row>
        <row r="12245">
          <cell r="C12245" t="str">
            <v>GT</v>
          </cell>
          <cell r="D12245">
            <v>18</v>
          </cell>
          <cell r="H12245" t="str">
            <v>natural gas peaker</v>
          </cell>
        </row>
        <row r="12246">
          <cell r="C12246" t="str">
            <v>GT</v>
          </cell>
          <cell r="D12246">
            <v>16</v>
          </cell>
          <cell r="H12246" t="str">
            <v>natural gas peaker</v>
          </cell>
        </row>
        <row r="12247">
          <cell r="C12247" t="str">
            <v>GT</v>
          </cell>
          <cell r="D12247">
            <v>19</v>
          </cell>
          <cell r="H12247" t="str">
            <v>natural gas peaker</v>
          </cell>
        </row>
        <row r="12248">
          <cell r="C12248" t="str">
            <v>GT</v>
          </cell>
          <cell r="D12248">
            <v>16</v>
          </cell>
          <cell r="H12248" t="str">
            <v>natural gas peaker</v>
          </cell>
        </row>
        <row r="12249">
          <cell r="C12249" t="str">
            <v>GT</v>
          </cell>
          <cell r="D12249">
            <v>16</v>
          </cell>
          <cell r="H12249" t="str">
            <v>natural gas peaker</v>
          </cell>
        </row>
        <row r="12250">
          <cell r="C12250" t="str">
            <v>CT</v>
          </cell>
          <cell r="D12250">
            <v>164</v>
          </cell>
          <cell r="H12250" t="str">
            <v>natural gas nonpeaker</v>
          </cell>
        </row>
        <row r="12251">
          <cell r="C12251" t="str">
            <v>CA</v>
          </cell>
          <cell r="D12251">
            <v>90</v>
          </cell>
          <cell r="H12251" t="str">
            <v>natural gas nonpeaker</v>
          </cell>
        </row>
        <row r="12252">
          <cell r="C12252" t="str">
            <v>GT</v>
          </cell>
          <cell r="D12252">
            <v>72</v>
          </cell>
          <cell r="H12252" t="str">
            <v>natural gas peaker</v>
          </cell>
        </row>
        <row r="12253">
          <cell r="C12253" t="str">
            <v>GT</v>
          </cell>
          <cell r="D12253">
            <v>33</v>
          </cell>
          <cell r="H12253" t="str">
            <v>natural gas peaker</v>
          </cell>
        </row>
        <row r="12254">
          <cell r="C12254" t="str">
            <v>GT</v>
          </cell>
          <cell r="D12254">
            <v>33</v>
          </cell>
          <cell r="H12254" t="str">
            <v>natural gas peaker</v>
          </cell>
        </row>
        <row r="12255">
          <cell r="C12255" t="str">
            <v>GT</v>
          </cell>
          <cell r="D12255">
            <v>33</v>
          </cell>
          <cell r="H12255" t="str">
            <v>natural gas peaker</v>
          </cell>
        </row>
        <row r="12256">
          <cell r="C12256" t="str">
            <v>GT</v>
          </cell>
          <cell r="D12256">
            <v>33</v>
          </cell>
          <cell r="H12256" t="str">
            <v>natural gas peaker</v>
          </cell>
        </row>
        <row r="12257">
          <cell r="C12257" t="str">
            <v>CT</v>
          </cell>
          <cell r="D12257">
            <v>155</v>
          </cell>
          <cell r="H12257" t="str">
            <v>natural gas nonpeaker</v>
          </cell>
        </row>
        <row r="12258">
          <cell r="C12258" t="str">
            <v>CT</v>
          </cell>
          <cell r="D12258">
            <v>155</v>
          </cell>
          <cell r="H12258" t="str">
            <v>natural gas nonpeaker</v>
          </cell>
        </row>
        <row r="12259">
          <cell r="C12259" t="str">
            <v>CA</v>
          </cell>
          <cell r="D12259">
            <v>180</v>
          </cell>
          <cell r="H12259" t="str">
            <v>natural gas nonpeaker</v>
          </cell>
        </row>
        <row r="12260">
          <cell r="C12260" t="str">
            <v>CT</v>
          </cell>
          <cell r="D12260">
            <v>33.1</v>
          </cell>
          <cell r="H12260" t="str">
            <v>natural gas nonpeaker</v>
          </cell>
        </row>
        <row r="12261">
          <cell r="C12261" t="str">
            <v>CT</v>
          </cell>
          <cell r="D12261">
            <v>33.6</v>
          </cell>
          <cell r="H12261" t="str">
            <v>natural gas nonpeaker</v>
          </cell>
        </row>
        <row r="12262">
          <cell r="C12262" t="str">
            <v>CA</v>
          </cell>
          <cell r="D12262">
            <v>20</v>
          </cell>
          <cell r="H12262" t="str">
            <v>natural gas nonpeaker</v>
          </cell>
        </row>
        <row r="12263">
          <cell r="C12263" t="str">
            <v>CT</v>
          </cell>
          <cell r="D12263">
            <v>168</v>
          </cell>
          <cell r="H12263" t="str">
            <v>natural gas nonpeaker</v>
          </cell>
        </row>
        <row r="12264">
          <cell r="C12264" t="str">
            <v>CT</v>
          </cell>
          <cell r="D12264">
            <v>168</v>
          </cell>
          <cell r="H12264" t="str">
            <v>natural gas nonpeaker</v>
          </cell>
        </row>
        <row r="12265">
          <cell r="C12265" t="str">
            <v>CA</v>
          </cell>
          <cell r="D12265">
            <v>218</v>
          </cell>
          <cell r="H12265" t="str">
            <v>natural gas nonpeaker</v>
          </cell>
        </row>
        <row r="12266">
          <cell r="C12266" t="str">
            <v>GT</v>
          </cell>
          <cell r="D12266">
            <v>106.5</v>
          </cell>
          <cell r="H12266" t="str">
            <v>natural gas peaker</v>
          </cell>
        </row>
        <row r="12267">
          <cell r="C12267" t="str">
            <v>GT</v>
          </cell>
          <cell r="D12267">
            <v>107.5</v>
          </cell>
          <cell r="H12267" t="str">
            <v>natural gas peaker</v>
          </cell>
        </row>
        <row r="12268">
          <cell r="C12268" t="str">
            <v>GT</v>
          </cell>
          <cell r="D12268">
            <v>108.6</v>
          </cell>
          <cell r="H12268" t="str">
            <v>natural gas peaker</v>
          </cell>
        </row>
        <row r="12269">
          <cell r="C12269" t="str">
            <v>GT</v>
          </cell>
          <cell r="D12269">
            <v>28.3</v>
          </cell>
          <cell r="H12269" t="str">
            <v>natural gas peaker</v>
          </cell>
        </row>
        <row r="12270">
          <cell r="C12270" t="str">
            <v>GT</v>
          </cell>
          <cell r="D12270">
            <v>71</v>
          </cell>
          <cell r="H12270" t="str">
            <v>natural gas peaker</v>
          </cell>
        </row>
        <row r="12271">
          <cell r="C12271" t="str">
            <v>GT</v>
          </cell>
          <cell r="D12271">
            <v>71</v>
          </cell>
          <cell r="H12271" t="str">
            <v>natural gas peaker</v>
          </cell>
        </row>
        <row r="12272">
          <cell r="C12272" t="str">
            <v>GT</v>
          </cell>
          <cell r="D12272">
            <v>69</v>
          </cell>
          <cell r="H12272" t="str">
            <v>natural gas peaker</v>
          </cell>
        </row>
        <row r="12273">
          <cell r="C12273" t="str">
            <v>GT</v>
          </cell>
          <cell r="D12273">
            <v>70</v>
          </cell>
          <cell r="H12273" t="str">
            <v>natural gas peaker</v>
          </cell>
        </row>
        <row r="12274">
          <cell r="C12274" t="str">
            <v>GT</v>
          </cell>
          <cell r="D12274">
            <v>70</v>
          </cell>
          <cell r="H12274" t="str">
            <v>natural gas peaker</v>
          </cell>
        </row>
        <row r="12275">
          <cell r="C12275" t="str">
            <v>GT</v>
          </cell>
          <cell r="D12275">
            <v>72</v>
          </cell>
          <cell r="H12275" t="str">
            <v>natural gas peaker</v>
          </cell>
        </row>
        <row r="12276">
          <cell r="C12276" t="str">
            <v>GT</v>
          </cell>
          <cell r="D12276">
            <v>73</v>
          </cell>
          <cell r="H12276" t="str">
            <v>natural gas peaker</v>
          </cell>
        </row>
        <row r="12277">
          <cell r="C12277" t="str">
            <v>GT</v>
          </cell>
          <cell r="D12277">
            <v>70</v>
          </cell>
          <cell r="H12277" t="str">
            <v>natural gas peaker</v>
          </cell>
        </row>
        <row r="12278">
          <cell r="C12278" t="str">
            <v>GT</v>
          </cell>
          <cell r="D12278">
            <v>72</v>
          </cell>
          <cell r="H12278" t="str">
            <v>natural gas peaker</v>
          </cell>
        </row>
        <row r="12279">
          <cell r="C12279" t="str">
            <v>GT</v>
          </cell>
          <cell r="D12279">
            <v>72</v>
          </cell>
          <cell r="H12279" t="str">
            <v>natural gas peaker</v>
          </cell>
        </row>
        <row r="12280">
          <cell r="C12280" t="str">
            <v>GT</v>
          </cell>
          <cell r="D12280">
            <v>71</v>
          </cell>
          <cell r="H12280" t="str">
            <v>natural gas peaker</v>
          </cell>
        </row>
        <row r="12281">
          <cell r="C12281" t="str">
            <v>GT</v>
          </cell>
          <cell r="D12281">
            <v>73</v>
          </cell>
          <cell r="H12281" t="str">
            <v>natural gas peaker</v>
          </cell>
        </row>
        <row r="12282">
          <cell r="C12282" t="str">
            <v>GT</v>
          </cell>
          <cell r="D12282">
            <v>71</v>
          </cell>
          <cell r="H12282" t="str">
            <v>natural gas peaker</v>
          </cell>
        </row>
        <row r="12283">
          <cell r="C12283" t="str">
            <v>GT</v>
          </cell>
          <cell r="D12283">
            <v>72</v>
          </cell>
          <cell r="H12283" t="str">
            <v>natural gas peaker</v>
          </cell>
        </row>
        <row r="12284">
          <cell r="C12284" t="str">
            <v>GT</v>
          </cell>
          <cell r="D12284">
            <v>72</v>
          </cell>
          <cell r="H12284" t="str">
            <v>natural gas peaker</v>
          </cell>
        </row>
        <row r="12285">
          <cell r="C12285" t="str">
            <v>GT</v>
          </cell>
          <cell r="D12285">
            <v>73</v>
          </cell>
          <cell r="H12285" t="str">
            <v>natural gas peaker</v>
          </cell>
        </row>
        <row r="12286">
          <cell r="C12286" t="str">
            <v>CT</v>
          </cell>
          <cell r="D12286">
            <v>175</v>
          </cell>
          <cell r="H12286" t="str">
            <v>natural gas nonpeaker</v>
          </cell>
        </row>
        <row r="12287">
          <cell r="C12287" t="str">
            <v>CT</v>
          </cell>
          <cell r="D12287">
            <v>175</v>
          </cell>
          <cell r="H12287" t="str">
            <v>natural gas nonpeaker</v>
          </cell>
        </row>
        <row r="12288">
          <cell r="C12288" t="str">
            <v>CA</v>
          </cell>
          <cell r="D12288">
            <v>180</v>
          </cell>
          <cell r="H12288" t="str">
            <v>natural gas nonpeaker</v>
          </cell>
        </row>
        <row r="12289">
          <cell r="C12289" t="str">
            <v>GT</v>
          </cell>
          <cell r="D12289">
            <v>165</v>
          </cell>
          <cell r="H12289" t="str">
            <v>natural gas peaker</v>
          </cell>
        </row>
        <row r="12290">
          <cell r="C12290" t="str">
            <v>GT</v>
          </cell>
          <cell r="D12290">
            <v>165</v>
          </cell>
          <cell r="H12290" t="str">
            <v>natural gas peaker</v>
          </cell>
        </row>
        <row r="12291">
          <cell r="C12291" t="str">
            <v>GT</v>
          </cell>
          <cell r="D12291">
            <v>165</v>
          </cell>
          <cell r="H12291" t="str">
            <v>natural gas peaker</v>
          </cell>
        </row>
        <row r="12292">
          <cell r="C12292" t="str">
            <v>GT</v>
          </cell>
          <cell r="D12292">
            <v>165</v>
          </cell>
          <cell r="H12292" t="str">
            <v>natural gas peaker</v>
          </cell>
        </row>
        <row r="12293">
          <cell r="C12293" t="str">
            <v>GT</v>
          </cell>
          <cell r="D12293">
            <v>165</v>
          </cell>
          <cell r="H12293" t="str">
            <v>natural gas peaker</v>
          </cell>
        </row>
        <row r="12294">
          <cell r="C12294" t="str">
            <v>CA</v>
          </cell>
          <cell r="D12294">
            <v>80</v>
          </cell>
          <cell r="H12294" t="str">
            <v>natural gas nonpeaker</v>
          </cell>
        </row>
        <row r="12295">
          <cell r="C12295" t="str">
            <v>CT</v>
          </cell>
          <cell r="D12295">
            <v>167.7</v>
          </cell>
          <cell r="H12295" t="str">
            <v>natural gas nonpeaker</v>
          </cell>
        </row>
        <row r="12296">
          <cell r="C12296" t="str">
            <v>CT</v>
          </cell>
          <cell r="D12296">
            <v>167.7</v>
          </cell>
          <cell r="H12296" t="str">
            <v>natural gas nonpeaker</v>
          </cell>
        </row>
        <row r="12297">
          <cell r="C12297" t="str">
            <v>GT</v>
          </cell>
          <cell r="D12297">
            <v>35</v>
          </cell>
          <cell r="H12297" t="str">
            <v>natural gas peaker</v>
          </cell>
        </row>
        <row r="12298">
          <cell r="C12298" t="str">
            <v>GT</v>
          </cell>
          <cell r="D12298">
            <v>35</v>
          </cell>
          <cell r="H12298" t="str">
            <v>natural gas peaker</v>
          </cell>
        </row>
        <row r="12299">
          <cell r="C12299" t="str">
            <v>CT</v>
          </cell>
          <cell r="D12299">
            <v>221</v>
          </cell>
          <cell r="H12299" t="str">
            <v>natural gas nonpeaker</v>
          </cell>
        </row>
        <row r="12300">
          <cell r="C12300" t="str">
            <v>CT</v>
          </cell>
          <cell r="D12300">
            <v>221</v>
          </cell>
          <cell r="H12300" t="str">
            <v>natural gas nonpeaker</v>
          </cell>
        </row>
        <row r="12301">
          <cell r="C12301" t="str">
            <v>CA</v>
          </cell>
          <cell r="D12301">
            <v>240</v>
          </cell>
          <cell r="H12301" t="str">
            <v>natural gas nonpeaker</v>
          </cell>
        </row>
        <row r="12302">
          <cell r="C12302" t="str">
            <v>CT</v>
          </cell>
          <cell r="D12302">
            <v>147</v>
          </cell>
          <cell r="H12302" t="str">
            <v>natural gas nonpeaker</v>
          </cell>
        </row>
        <row r="12303">
          <cell r="C12303" t="str">
            <v>CT</v>
          </cell>
          <cell r="D12303">
            <v>147</v>
          </cell>
          <cell r="H12303" t="str">
            <v>natural gas nonpeaker</v>
          </cell>
        </row>
        <row r="12304">
          <cell r="C12304" t="str">
            <v>CA</v>
          </cell>
          <cell r="D12304">
            <v>276</v>
          </cell>
          <cell r="H12304" t="str">
            <v>natural gas nonpeaker</v>
          </cell>
        </row>
        <row r="12305">
          <cell r="C12305" t="str">
            <v>WT</v>
          </cell>
          <cell r="D12305">
            <v>25</v>
          </cell>
          <cell r="H12305" t="str">
            <v>onshore wind</v>
          </cell>
        </row>
        <row r="12306">
          <cell r="C12306" t="str">
            <v>CS</v>
          </cell>
          <cell r="D12306">
            <v>265.89999999999998</v>
          </cell>
          <cell r="H12306" t="str">
            <v>natural gas nonpeaker</v>
          </cell>
        </row>
        <row r="12307">
          <cell r="C12307" t="str">
            <v>CS</v>
          </cell>
          <cell r="D12307">
            <v>264.3</v>
          </cell>
          <cell r="H12307" t="str">
            <v>natural gas nonpeaker</v>
          </cell>
        </row>
        <row r="12308">
          <cell r="C12308" t="str">
            <v>GT</v>
          </cell>
          <cell r="D12308">
            <v>132</v>
          </cell>
          <cell r="H12308" t="str">
            <v>natural gas peaker</v>
          </cell>
        </row>
        <row r="12309">
          <cell r="C12309" t="str">
            <v>GT</v>
          </cell>
          <cell r="D12309">
            <v>132</v>
          </cell>
          <cell r="H12309" t="str">
            <v>natural gas peaker</v>
          </cell>
        </row>
        <row r="12310">
          <cell r="C12310" t="str">
            <v>GT</v>
          </cell>
          <cell r="D12310">
            <v>151.5</v>
          </cell>
          <cell r="H12310" t="str">
            <v>natural gas peaker</v>
          </cell>
        </row>
        <row r="12311">
          <cell r="C12311" t="str">
            <v>GT</v>
          </cell>
          <cell r="D12311">
            <v>151.5</v>
          </cell>
          <cell r="H12311" t="str">
            <v>natural gas peaker</v>
          </cell>
        </row>
        <row r="12312">
          <cell r="C12312" t="str">
            <v>GT</v>
          </cell>
          <cell r="D12312">
            <v>151.5</v>
          </cell>
          <cell r="H12312" t="str">
            <v>natural gas peaker</v>
          </cell>
        </row>
        <row r="12313">
          <cell r="C12313" t="str">
            <v>CT</v>
          </cell>
          <cell r="D12313">
            <v>162</v>
          </cell>
          <cell r="H12313" t="str">
            <v>natural gas nonpeaker</v>
          </cell>
        </row>
        <row r="12314">
          <cell r="C12314" t="str">
            <v>CT</v>
          </cell>
          <cell r="D12314">
            <v>162</v>
          </cell>
          <cell r="H12314" t="str">
            <v>natural gas nonpeaker</v>
          </cell>
        </row>
        <row r="12315">
          <cell r="C12315" t="str">
            <v>CA</v>
          </cell>
          <cell r="D12315">
            <v>253</v>
          </cell>
          <cell r="H12315" t="str">
            <v>natural gas nonpeaker</v>
          </cell>
        </row>
        <row r="12316">
          <cell r="C12316" t="str">
            <v>CT</v>
          </cell>
          <cell r="D12316">
            <v>160</v>
          </cell>
          <cell r="H12316" t="str">
            <v>natural gas nonpeaker</v>
          </cell>
        </row>
        <row r="12317">
          <cell r="C12317" t="str">
            <v>CT</v>
          </cell>
          <cell r="D12317">
            <v>160</v>
          </cell>
          <cell r="H12317" t="str">
            <v>natural gas nonpeaker</v>
          </cell>
        </row>
        <row r="12318">
          <cell r="C12318" t="str">
            <v>CT</v>
          </cell>
          <cell r="D12318">
            <v>160</v>
          </cell>
          <cell r="H12318" t="str">
            <v>natural gas nonpeaker</v>
          </cell>
        </row>
        <row r="12319">
          <cell r="C12319" t="str">
            <v>CT</v>
          </cell>
          <cell r="D12319">
            <v>160</v>
          </cell>
          <cell r="H12319" t="str">
            <v>natural gas nonpeaker</v>
          </cell>
        </row>
        <row r="12320">
          <cell r="C12320" t="str">
            <v>CA</v>
          </cell>
          <cell r="D12320">
            <v>125</v>
          </cell>
          <cell r="H12320" t="str">
            <v>natural gas nonpeaker</v>
          </cell>
        </row>
        <row r="12321">
          <cell r="C12321" t="str">
            <v>CA</v>
          </cell>
          <cell r="D12321">
            <v>125</v>
          </cell>
          <cell r="H12321" t="str">
            <v>natural gas nonpeaker</v>
          </cell>
        </row>
        <row r="12322">
          <cell r="C12322" t="str">
            <v>CA</v>
          </cell>
          <cell r="D12322">
            <v>125</v>
          </cell>
          <cell r="H12322" t="str">
            <v>natural gas nonpeaker</v>
          </cell>
        </row>
        <row r="12323">
          <cell r="C12323" t="str">
            <v>CA</v>
          </cell>
          <cell r="D12323">
            <v>125</v>
          </cell>
          <cell r="H12323" t="str">
            <v>natural gas nonpeaker</v>
          </cell>
        </row>
        <row r="12324">
          <cell r="C12324" t="str">
            <v>CT</v>
          </cell>
          <cell r="D12324">
            <v>147</v>
          </cell>
          <cell r="H12324" t="str">
            <v>natural gas nonpeaker</v>
          </cell>
        </row>
        <row r="12325">
          <cell r="C12325" t="str">
            <v>CT</v>
          </cell>
          <cell r="D12325">
            <v>149</v>
          </cell>
          <cell r="H12325" t="str">
            <v>natural gas nonpeaker</v>
          </cell>
        </row>
        <row r="12326">
          <cell r="C12326" t="str">
            <v>CT</v>
          </cell>
          <cell r="D12326">
            <v>147</v>
          </cell>
          <cell r="H12326" t="str">
            <v>natural gas nonpeaker</v>
          </cell>
        </row>
        <row r="12327">
          <cell r="C12327" t="str">
            <v>CA</v>
          </cell>
          <cell r="D12327">
            <v>402</v>
          </cell>
          <cell r="H12327" t="str">
            <v>natural gas nonpeaker</v>
          </cell>
        </row>
        <row r="12328">
          <cell r="C12328" t="str">
            <v>IC</v>
          </cell>
          <cell r="D12328">
            <v>1.6</v>
          </cell>
          <cell r="H12328" t="str">
            <v>petroleum</v>
          </cell>
        </row>
        <row r="12329">
          <cell r="C12329" t="str">
            <v>IC</v>
          </cell>
          <cell r="D12329">
            <v>1.6</v>
          </cell>
          <cell r="H12329" t="str">
            <v>petroleum</v>
          </cell>
        </row>
        <row r="12330">
          <cell r="C12330" t="str">
            <v>IC</v>
          </cell>
          <cell r="D12330">
            <v>1.6</v>
          </cell>
          <cell r="H12330" t="str">
            <v>petroleum</v>
          </cell>
        </row>
        <row r="12331">
          <cell r="C12331" t="str">
            <v>IC</v>
          </cell>
          <cell r="D12331">
            <v>1.6</v>
          </cell>
          <cell r="H12331" t="str">
            <v>petroleum</v>
          </cell>
        </row>
        <row r="12332">
          <cell r="C12332" t="str">
            <v>IC</v>
          </cell>
          <cell r="D12332">
            <v>1.6</v>
          </cell>
          <cell r="H12332" t="str">
            <v>petroleum</v>
          </cell>
        </row>
        <row r="12333">
          <cell r="C12333" t="str">
            <v>IC</v>
          </cell>
          <cell r="D12333">
            <v>1.6</v>
          </cell>
          <cell r="H12333" t="str">
            <v>petroleum</v>
          </cell>
        </row>
        <row r="12334">
          <cell r="C12334" t="str">
            <v>IC</v>
          </cell>
          <cell r="D12334">
            <v>1.6</v>
          </cell>
          <cell r="H12334" t="str">
            <v>petroleum</v>
          </cell>
        </row>
        <row r="12335">
          <cell r="C12335" t="str">
            <v>GT</v>
          </cell>
          <cell r="D12335">
            <v>151</v>
          </cell>
          <cell r="H12335" t="str">
            <v>natural gas peaker</v>
          </cell>
        </row>
        <row r="12336">
          <cell r="C12336" t="str">
            <v>GT</v>
          </cell>
          <cell r="D12336">
            <v>147.80000000000001</v>
          </cell>
          <cell r="H12336" t="str">
            <v>natural gas peaker</v>
          </cell>
        </row>
        <row r="12337">
          <cell r="C12337" t="str">
            <v>CT</v>
          </cell>
          <cell r="D12337">
            <v>165</v>
          </cell>
          <cell r="H12337" t="str">
            <v>natural gas nonpeaker</v>
          </cell>
        </row>
        <row r="12338">
          <cell r="C12338" t="str">
            <v>CT</v>
          </cell>
          <cell r="D12338">
            <v>154</v>
          </cell>
          <cell r="H12338" t="str">
            <v>natural gas nonpeaker</v>
          </cell>
        </row>
        <row r="12339">
          <cell r="C12339" t="str">
            <v>CT</v>
          </cell>
          <cell r="D12339">
            <v>154</v>
          </cell>
          <cell r="H12339" t="str">
            <v>natural gas nonpeaker</v>
          </cell>
        </row>
        <row r="12340">
          <cell r="C12340" t="str">
            <v>CA</v>
          </cell>
          <cell r="D12340">
            <v>323</v>
          </cell>
          <cell r="H12340" t="str">
            <v>natural gas nonpeaker</v>
          </cell>
        </row>
        <row r="12341">
          <cell r="C12341" t="str">
            <v>GT</v>
          </cell>
          <cell r="D12341">
            <v>50</v>
          </cell>
          <cell r="H12341" t="str">
            <v>natural gas peaker</v>
          </cell>
        </row>
        <row r="12342">
          <cell r="C12342" t="str">
            <v>GT</v>
          </cell>
          <cell r="D12342">
            <v>50</v>
          </cell>
          <cell r="H12342" t="str">
            <v>natural gas peaker</v>
          </cell>
        </row>
        <row r="12343">
          <cell r="C12343" t="str">
            <v>CT</v>
          </cell>
          <cell r="D12343">
            <v>212.5</v>
          </cell>
          <cell r="H12343" t="str">
            <v>natural gas nonpeaker</v>
          </cell>
        </row>
        <row r="12344">
          <cell r="C12344" t="str">
            <v>CT</v>
          </cell>
          <cell r="D12344">
            <v>212.5</v>
          </cell>
          <cell r="H12344" t="str">
            <v>natural gas nonpeaker</v>
          </cell>
        </row>
        <row r="12345">
          <cell r="C12345" t="str">
            <v>CA</v>
          </cell>
          <cell r="D12345">
            <v>280</v>
          </cell>
          <cell r="H12345" t="str">
            <v>natural gas nonpeaker</v>
          </cell>
        </row>
        <row r="12346">
          <cell r="C12346" t="str">
            <v>GT</v>
          </cell>
          <cell r="D12346">
            <v>153</v>
          </cell>
          <cell r="H12346" t="str">
            <v>natural gas peaker</v>
          </cell>
        </row>
        <row r="12347">
          <cell r="C12347" t="str">
            <v>GT</v>
          </cell>
          <cell r="D12347">
            <v>150.30000000000001</v>
          </cell>
          <cell r="H12347" t="str">
            <v>natural gas peaker</v>
          </cell>
        </row>
        <row r="12348">
          <cell r="C12348" t="str">
            <v>GT</v>
          </cell>
          <cell r="D12348">
            <v>153</v>
          </cell>
          <cell r="H12348" t="str">
            <v>natural gas peaker</v>
          </cell>
        </row>
        <row r="12349">
          <cell r="C12349" t="str">
            <v>CS</v>
          </cell>
          <cell r="D12349">
            <v>210</v>
          </cell>
          <cell r="H12349" t="str">
            <v>natural gas nonpeaker</v>
          </cell>
        </row>
        <row r="12350">
          <cell r="C12350" t="str">
            <v>CS</v>
          </cell>
          <cell r="D12350">
            <v>211</v>
          </cell>
          <cell r="H12350" t="str">
            <v>natural gas nonpeaker</v>
          </cell>
        </row>
        <row r="12351">
          <cell r="C12351" t="str">
            <v>CS</v>
          </cell>
          <cell r="D12351">
            <v>210</v>
          </cell>
          <cell r="H12351" t="str">
            <v>natural gas nonpeaker</v>
          </cell>
        </row>
        <row r="12352">
          <cell r="C12352" t="str">
            <v>CS</v>
          </cell>
          <cell r="D12352">
            <v>213</v>
          </cell>
          <cell r="H12352" t="str">
            <v>natural gas nonpeaker</v>
          </cell>
        </row>
        <row r="12353">
          <cell r="C12353" t="str">
            <v>CT</v>
          </cell>
          <cell r="D12353">
            <v>155</v>
          </cell>
          <cell r="H12353" t="str">
            <v>natural gas nonpeaker</v>
          </cell>
        </row>
        <row r="12354">
          <cell r="C12354" t="str">
            <v>CT</v>
          </cell>
          <cell r="D12354">
            <v>155</v>
          </cell>
          <cell r="H12354" t="str">
            <v>natural gas nonpeaker</v>
          </cell>
        </row>
        <row r="12355">
          <cell r="C12355" t="str">
            <v>CT</v>
          </cell>
          <cell r="D12355">
            <v>155</v>
          </cell>
          <cell r="H12355" t="str">
            <v>natural gas nonpeaker</v>
          </cell>
        </row>
        <row r="12356">
          <cell r="C12356" t="str">
            <v>CA</v>
          </cell>
          <cell r="D12356">
            <v>106</v>
          </cell>
          <cell r="H12356" t="str">
            <v>natural gas nonpeaker</v>
          </cell>
        </row>
        <row r="12357">
          <cell r="C12357" t="str">
            <v>CA</v>
          </cell>
          <cell r="D12357">
            <v>106</v>
          </cell>
          <cell r="H12357" t="str">
            <v>natural gas nonpeaker</v>
          </cell>
        </row>
        <row r="12358">
          <cell r="C12358" t="str">
            <v>CA</v>
          </cell>
          <cell r="D12358">
            <v>106</v>
          </cell>
          <cell r="H12358" t="str">
            <v>natural gas nonpeaker</v>
          </cell>
        </row>
        <row r="12359">
          <cell r="C12359" t="str">
            <v>GT</v>
          </cell>
          <cell r="D12359">
            <v>41.5</v>
          </cell>
          <cell r="H12359" t="str">
            <v>natural gas peaker</v>
          </cell>
        </row>
        <row r="12360">
          <cell r="C12360" t="str">
            <v>GT</v>
          </cell>
          <cell r="D12360">
            <v>41.5</v>
          </cell>
          <cell r="H12360" t="str">
            <v>natural gas peaker</v>
          </cell>
        </row>
        <row r="12361">
          <cell r="C12361" t="str">
            <v>GT</v>
          </cell>
          <cell r="D12361">
            <v>41.5</v>
          </cell>
          <cell r="H12361" t="str">
            <v>natural gas peaker</v>
          </cell>
        </row>
        <row r="12362">
          <cell r="C12362" t="str">
            <v>GT</v>
          </cell>
          <cell r="D12362">
            <v>41.5</v>
          </cell>
          <cell r="H12362" t="str">
            <v>natural gas peaker</v>
          </cell>
        </row>
        <row r="12363">
          <cell r="C12363" t="str">
            <v>CS</v>
          </cell>
          <cell r="D12363">
            <v>256.3</v>
          </cell>
          <cell r="H12363" t="str">
            <v>natural gas nonpeaker</v>
          </cell>
        </row>
        <row r="12364">
          <cell r="C12364" t="str">
            <v>CS</v>
          </cell>
          <cell r="D12364">
            <v>272.89999999999998</v>
          </cell>
          <cell r="H12364" t="str">
            <v>natural gas nonpeaker</v>
          </cell>
        </row>
        <row r="12365">
          <cell r="C12365" t="str">
            <v>CS</v>
          </cell>
          <cell r="D12365">
            <v>274</v>
          </cell>
          <cell r="H12365" t="str">
            <v>natural gas nonpeaker</v>
          </cell>
        </row>
        <row r="12366">
          <cell r="C12366" t="str">
            <v>CS</v>
          </cell>
          <cell r="D12366">
            <v>243.7</v>
          </cell>
          <cell r="H12366" t="str">
            <v>natural gas nonpeaker</v>
          </cell>
        </row>
        <row r="12367">
          <cell r="C12367" t="str">
            <v>CS</v>
          </cell>
          <cell r="D12367">
            <v>241.6</v>
          </cell>
          <cell r="H12367" t="str">
            <v>natural gas nonpeaker</v>
          </cell>
        </row>
        <row r="12368">
          <cell r="C12368" t="str">
            <v>CS</v>
          </cell>
          <cell r="D12368">
            <v>237.4</v>
          </cell>
          <cell r="H12368" t="str">
            <v>natural gas nonpeaker</v>
          </cell>
        </row>
        <row r="12369">
          <cell r="C12369" t="str">
            <v>CS</v>
          </cell>
          <cell r="D12369">
            <v>242.7</v>
          </cell>
          <cell r="H12369" t="str">
            <v>natural gas nonpeaker</v>
          </cell>
        </row>
        <row r="12370">
          <cell r="C12370" t="str">
            <v>IC</v>
          </cell>
          <cell r="D12370">
            <v>1.3</v>
          </cell>
          <cell r="H12370" t="str">
            <v>petroleum</v>
          </cell>
        </row>
        <row r="12371">
          <cell r="C12371" t="str">
            <v>IC</v>
          </cell>
          <cell r="D12371">
            <v>1.3</v>
          </cell>
          <cell r="H12371" t="str">
            <v>petroleum</v>
          </cell>
        </row>
        <row r="12372">
          <cell r="C12372" t="str">
            <v>CT</v>
          </cell>
          <cell r="D12372">
            <v>148</v>
          </cell>
          <cell r="H12372" t="str">
            <v>natural gas nonpeaker</v>
          </cell>
        </row>
        <row r="12373">
          <cell r="C12373" t="str">
            <v>CT</v>
          </cell>
          <cell r="D12373">
            <v>148</v>
          </cell>
          <cell r="H12373" t="str">
            <v>natural gas nonpeaker</v>
          </cell>
        </row>
        <row r="12374">
          <cell r="C12374" t="str">
            <v>CT</v>
          </cell>
          <cell r="D12374">
            <v>148</v>
          </cell>
          <cell r="H12374" t="str">
            <v>natural gas nonpeaker</v>
          </cell>
        </row>
        <row r="12375">
          <cell r="C12375" t="str">
            <v>CT</v>
          </cell>
          <cell r="D12375">
            <v>148</v>
          </cell>
          <cell r="H12375" t="str">
            <v>natural gas nonpeaker</v>
          </cell>
        </row>
        <row r="12376">
          <cell r="C12376" t="str">
            <v>CA</v>
          </cell>
          <cell r="D12376">
            <v>197</v>
          </cell>
          <cell r="H12376" t="str">
            <v>natural gas nonpeaker</v>
          </cell>
        </row>
        <row r="12377">
          <cell r="C12377" t="str">
            <v>CA</v>
          </cell>
          <cell r="D12377">
            <v>197</v>
          </cell>
          <cell r="H12377" t="str">
            <v>natural gas nonpeaker</v>
          </cell>
        </row>
        <row r="12378">
          <cell r="C12378" t="str">
            <v>CT</v>
          </cell>
          <cell r="D12378">
            <v>169</v>
          </cell>
          <cell r="H12378" t="str">
            <v>natural gas nonpeaker</v>
          </cell>
        </row>
        <row r="12379">
          <cell r="C12379" t="str">
            <v>CT</v>
          </cell>
          <cell r="D12379">
            <v>169</v>
          </cell>
          <cell r="H12379" t="str">
            <v>natural gas nonpeaker</v>
          </cell>
        </row>
        <row r="12380">
          <cell r="C12380" t="str">
            <v>CA</v>
          </cell>
          <cell r="D12380">
            <v>172</v>
          </cell>
          <cell r="H12380" t="str">
            <v>natural gas nonpeaker</v>
          </cell>
        </row>
        <row r="12381">
          <cell r="C12381" t="str">
            <v>IC</v>
          </cell>
          <cell r="D12381">
            <v>0.9</v>
          </cell>
          <cell r="H12381" t="str">
            <v>biomass</v>
          </cell>
        </row>
        <row r="12382">
          <cell r="C12382" t="str">
            <v>IC</v>
          </cell>
          <cell r="D12382">
            <v>0.9</v>
          </cell>
          <cell r="H12382" t="str">
            <v>biomass</v>
          </cell>
        </row>
        <row r="12383">
          <cell r="C12383" t="str">
            <v>IC</v>
          </cell>
          <cell r="D12383">
            <v>0.9</v>
          </cell>
          <cell r="H12383" t="str">
            <v>biomass</v>
          </cell>
        </row>
        <row r="12384">
          <cell r="C12384" t="str">
            <v>IC</v>
          </cell>
          <cell r="D12384">
            <v>1.6</v>
          </cell>
          <cell r="H12384" t="str">
            <v>biomass</v>
          </cell>
        </row>
        <row r="12385">
          <cell r="C12385" t="str">
            <v>IC</v>
          </cell>
          <cell r="D12385">
            <v>1.6</v>
          </cell>
          <cell r="H12385" t="str">
            <v>biomass</v>
          </cell>
        </row>
        <row r="12386">
          <cell r="C12386" t="str">
            <v>IC</v>
          </cell>
          <cell r="D12386">
            <v>0.9</v>
          </cell>
          <cell r="H12386" t="str">
            <v>biomass</v>
          </cell>
        </row>
        <row r="12387">
          <cell r="C12387" t="str">
            <v>IC</v>
          </cell>
          <cell r="D12387">
            <v>0.9</v>
          </cell>
          <cell r="H12387" t="str">
            <v>biomass</v>
          </cell>
        </row>
        <row r="12388">
          <cell r="C12388" t="str">
            <v>IC</v>
          </cell>
          <cell r="D12388">
            <v>1.6</v>
          </cell>
          <cell r="H12388" t="str">
            <v>biomass</v>
          </cell>
        </row>
        <row r="12389">
          <cell r="C12389" t="str">
            <v>IC</v>
          </cell>
          <cell r="D12389">
            <v>1.6</v>
          </cell>
          <cell r="H12389" t="str">
            <v>biomass</v>
          </cell>
        </row>
        <row r="12390">
          <cell r="C12390" t="str">
            <v>IC</v>
          </cell>
          <cell r="D12390">
            <v>1.6</v>
          </cell>
          <cell r="H12390" t="str">
            <v>biomass</v>
          </cell>
        </row>
        <row r="12391">
          <cell r="C12391" t="str">
            <v>IC</v>
          </cell>
          <cell r="D12391">
            <v>0.8</v>
          </cell>
          <cell r="H12391" t="str">
            <v>biomass</v>
          </cell>
        </row>
        <row r="12392">
          <cell r="C12392" t="str">
            <v>IC</v>
          </cell>
          <cell r="D12392">
            <v>0.8</v>
          </cell>
          <cell r="H12392" t="str">
            <v>biomass</v>
          </cell>
        </row>
        <row r="12393">
          <cell r="C12393" t="str">
            <v>IC</v>
          </cell>
          <cell r="D12393">
            <v>2.7</v>
          </cell>
          <cell r="H12393" t="str">
            <v>biomass</v>
          </cell>
        </row>
        <row r="12394">
          <cell r="C12394" t="str">
            <v>GT</v>
          </cell>
          <cell r="D12394">
            <v>167</v>
          </cell>
          <cell r="H12394" t="str">
            <v>natural gas peaker</v>
          </cell>
        </row>
        <row r="12395">
          <cell r="C12395" t="str">
            <v>GT</v>
          </cell>
          <cell r="D12395">
            <v>167</v>
          </cell>
          <cell r="H12395" t="str">
            <v>natural gas peaker</v>
          </cell>
        </row>
        <row r="12396">
          <cell r="C12396" t="str">
            <v>GT</v>
          </cell>
          <cell r="D12396">
            <v>167</v>
          </cell>
          <cell r="H12396" t="str">
            <v>natural gas peaker</v>
          </cell>
        </row>
        <row r="12397">
          <cell r="C12397" t="str">
            <v>GT</v>
          </cell>
          <cell r="D12397">
            <v>144.19999999999999</v>
          </cell>
          <cell r="H12397" t="str">
            <v>natural gas peaker</v>
          </cell>
        </row>
        <row r="12398">
          <cell r="C12398" t="str">
            <v>GT</v>
          </cell>
          <cell r="D12398">
            <v>159.5</v>
          </cell>
          <cell r="H12398" t="str">
            <v>natural gas peaker</v>
          </cell>
        </row>
        <row r="12399">
          <cell r="C12399" t="str">
            <v>GT</v>
          </cell>
          <cell r="D12399">
            <v>170.4</v>
          </cell>
          <cell r="H12399" t="str">
            <v>natural gas peaker</v>
          </cell>
        </row>
        <row r="12400">
          <cell r="C12400" t="str">
            <v>GT</v>
          </cell>
          <cell r="D12400">
            <v>166.9</v>
          </cell>
          <cell r="H12400" t="str">
            <v>natural gas peaker</v>
          </cell>
        </row>
        <row r="12401">
          <cell r="C12401" t="str">
            <v>GT</v>
          </cell>
          <cell r="D12401">
            <v>167.3</v>
          </cell>
          <cell r="H12401" t="str">
            <v>natural gas peaker</v>
          </cell>
        </row>
        <row r="12402">
          <cell r="C12402" t="str">
            <v>GT</v>
          </cell>
          <cell r="D12402">
            <v>175</v>
          </cell>
          <cell r="H12402" t="str">
            <v>natural gas peaker</v>
          </cell>
        </row>
        <row r="12403">
          <cell r="C12403" t="str">
            <v>GT</v>
          </cell>
          <cell r="D12403">
            <v>175.2</v>
          </cell>
          <cell r="H12403" t="str">
            <v>natural gas peaker</v>
          </cell>
        </row>
        <row r="12404">
          <cell r="C12404" t="str">
            <v>CT</v>
          </cell>
          <cell r="D12404">
            <v>149</v>
          </cell>
          <cell r="H12404" t="str">
            <v>natural gas nonpeaker</v>
          </cell>
        </row>
        <row r="12405">
          <cell r="C12405" t="str">
            <v>CT</v>
          </cell>
          <cell r="D12405">
            <v>149</v>
          </cell>
          <cell r="H12405" t="str">
            <v>natural gas nonpeaker</v>
          </cell>
        </row>
        <row r="12406">
          <cell r="C12406" t="str">
            <v>CA</v>
          </cell>
          <cell r="D12406">
            <v>227</v>
          </cell>
          <cell r="H12406" t="str">
            <v>natural gas nonpeaker</v>
          </cell>
        </row>
        <row r="12407">
          <cell r="C12407" t="str">
            <v>CT</v>
          </cell>
          <cell r="D12407">
            <v>222</v>
          </cell>
          <cell r="H12407" t="str">
            <v>natural gas nonpeaker</v>
          </cell>
        </row>
        <row r="12408">
          <cell r="C12408" t="str">
            <v>CT</v>
          </cell>
          <cell r="D12408">
            <v>222</v>
          </cell>
          <cell r="H12408" t="str">
            <v>natural gas nonpeaker</v>
          </cell>
        </row>
        <row r="12409">
          <cell r="C12409" t="str">
            <v>CA</v>
          </cell>
          <cell r="D12409">
            <v>234</v>
          </cell>
          <cell r="H12409" t="str">
            <v>natural gas nonpeaker</v>
          </cell>
        </row>
        <row r="12410">
          <cell r="C12410" t="str">
            <v>CT</v>
          </cell>
          <cell r="D12410">
            <v>159</v>
          </cell>
          <cell r="H12410" t="str">
            <v>natural gas nonpeaker</v>
          </cell>
        </row>
        <row r="12411">
          <cell r="C12411" t="str">
            <v>CT</v>
          </cell>
          <cell r="D12411">
            <v>159</v>
          </cell>
          <cell r="H12411" t="str">
            <v>natural gas nonpeaker</v>
          </cell>
        </row>
        <row r="12412">
          <cell r="C12412" t="str">
            <v>CT</v>
          </cell>
          <cell r="D12412">
            <v>154</v>
          </cell>
          <cell r="H12412" t="str">
            <v>natural gas nonpeaker</v>
          </cell>
        </row>
        <row r="12413">
          <cell r="C12413" t="str">
            <v>CA</v>
          </cell>
          <cell r="D12413">
            <v>86</v>
          </cell>
          <cell r="H12413" t="str">
            <v>natural gas nonpeaker</v>
          </cell>
        </row>
        <row r="12414">
          <cell r="C12414" t="str">
            <v>CA</v>
          </cell>
          <cell r="D12414">
            <v>200</v>
          </cell>
          <cell r="H12414" t="str">
            <v>natural gas nonpeaker</v>
          </cell>
        </row>
        <row r="12415">
          <cell r="C12415" t="str">
            <v>CT</v>
          </cell>
          <cell r="D12415">
            <v>161.80000000000001</v>
          </cell>
          <cell r="H12415" t="str">
            <v>natural gas nonpeaker</v>
          </cell>
        </row>
        <row r="12416">
          <cell r="C12416" t="str">
            <v>CT</v>
          </cell>
          <cell r="D12416">
            <v>165.7</v>
          </cell>
          <cell r="H12416" t="str">
            <v>natural gas nonpeaker</v>
          </cell>
        </row>
        <row r="12417">
          <cell r="C12417" t="str">
            <v>CT</v>
          </cell>
          <cell r="D12417">
            <v>144.19999999999999</v>
          </cell>
          <cell r="H12417" t="str">
            <v>natural gas nonpeaker</v>
          </cell>
        </row>
        <row r="12418">
          <cell r="C12418" t="str">
            <v>CT</v>
          </cell>
          <cell r="D12418">
            <v>143.6</v>
          </cell>
          <cell r="H12418" t="str">
            <v>natural gas nonpeaker</v>
          </cell>
        </row>
        <row r="12419">
          <cell r="C12419" t="str">
            <v>CA</v>
          </cell>
          <cell r="D12419">
            <v>220.1</v>
          </cell>
          <cell r="H12419" t="str">
            <v>natural gas nonpeaker</v>
          </cell>
        </row>
        <row r="12420">
          <cell r="C12420" t="str">
            <v>CA</v>
          </cell>
          <cell r="D12420">
            <v>245.7</v>
          </cell>
          <cell r="H12420" t="str">
            <v>natural gas nonpeaker</v>
          </cell>
        </row>
        <row r="12421">
          <cell r="C12421" t="str">
            <v>CT</v>
          </cell>
          <cell r="D12421">
            <v>153.69999999999999</v>
          </cell>
          <cell r="H12421" t="str">
            <v>natural gas nonpeaker</v>
          </cell>
        </row>
        <row r="12422">
          <cell r="C12422" t="str">
            <v>CT</v>
          </cell>
          <cell r="D12422">
            <v>146.19999999999999</v>
          </cell>
          <cell r="H12422" t="str">
            <v>natural gas nonpeaker</v>
          </cell>
        </row>
        <row r="12423">
          <cell r="C12423" t="str">
            <v>CA</v>
          </cell>
          <cell r="D12423">
            <v>109.8</v>
          </cell>
          <cell r="H12423" t="str">
            <v>natural gas nonpeaker</v>
          </cell>
        </row>
        <row r="12424">
          <cell r="C12424" t="str">
            <v>CT</v>
          </cell>
          <cell r="D12424">
            <v>180</v>
          </cell>
          <cell r="H12424" t="str">
            <v>natural gas nonpeaker</v>
          </cell>
        </row>
        <row r="12425">
          <cell r="C12425" t="str">
            <v>CT</v>
          </cell>
          <cell r="D12425">
            <v>180</v>
          </cell>
          <cell r="H12425" t="str">
            <v>natural gas nonpeaker</v>
          </cell>
        </row>
        <row r="12426">
          <cell r="C12426" t="str">
            <v>CA</v>
          </cell>
          <cell r="D12426">
            <v>190</v>
          </cell>
          <cell r="H12426" t="str">
            <v>natural gas nonpeaker</v>
          </cell>
        </row>
        <row r="12427">
          <cell r="C12427" t="str">
            <v>CT</v>
          </cell>
          <cell r="D12427">
            <v>180.2</v>
          </cell>
          <cell r="H12427" t="str">
            <v>natural gas nonpeaker</v>
          </cell>
        </row>
        <row r="12428">
          <cell r="C12428" t="str">
            <v>CT</v>
          </cell>
          <cell r="D12428">
            <v>177.7</v>
          </cell>
          <cell r="H12428" t="str">
            <v>natural gas nonpeaker</v>
          </cell>
        </row>
        <row r="12429">
          <cell r="C12429" t="str">
            <v>CA</v>
          </cell>
          <cell r="D12429">
            <v>254.5</v>
          </cell>
          <cell r="H12429" t="str">
            <v>natural gas nonpeaker</v>
          </cell>
        </row>
        <row r="12430">
          <cell r="C12430" t="str">
            <v>CT</v>
          </cell>
          <cell r="D12430">
            <v>150</v>
          </cell>
          <cell r="H12430" t="str">
            <v>natural gas nonpeaker</v>
          </cell>
        </row>
        <row r="12431">
          <cell r="C12431" t="str">
            <v>CA</v>
          </cell>
          <cell r="D12431">
            <v>98</v>
          </cell>
          <cell r="H12431" t="str">
            <v>natural gas nonpeaker</v>
          </cell>
        </row>
        <row r="12432">
          <cell r="C12432" t="str">
            <v>CA</v>
          </cell>
          <cell r="D12432">
            <v>245</v>
          </cell>
          <cell r="H12432" t="str">
            <v>natural gas nonpeaker</v>
          </cell>
        </row>
        <row r="12433">
          <cell r="C12433" t="str">
            <v>CT</v>
          </cell>
          <cell r="D12433">
            <v>150</v>
          </cell>
          <cell r="H12433" t="str">
            <v>natural gas nonpeaker</v>
          </cell>
        </row>
        <row r="12434">
          <cell r="C12434" t="str">
            <v>CT</v>
          </cell>
          <cell r="D12434">
            <v>150</v>
          </cell>
          <cell r="H12434" t="str">
            <v>natural gas nonpeaker</v>
          </cell>
        </row>
        <row r="12435">
          <cell r="C12435" t="str">
            <v>CT</v>
          </cell>
          <cell r="D12435">
            <v>168</v>
          </cell>
          <cell r="H12435" t="str">
            <v>natural gas nonpeaker</v>
          </cell>
        </row>
        <row r="12436">
          <cell r="C12436" t="str">
            <v>CT</v>
          </cell>
          <cell r="D12436">
            <v>168</v>
          </cell>
          <cell r="H12436" t="str">
            <v>natural gas nonpeaker</v>
          </cell>
        </row>
        <row r="12437">
          <cell r="C12437" t="str">
            <v>CA</v>
          </cell>
          <cell r="D12437">
            <v>125</v>
          </cell>
          <cell r="H12437" t="str">
            <v>natural gas nonpeaker</v>
          </cell>
        </row>
        <row r="12438">
          <cell r="C12438" t="str">
            <v>CA</v>
          </cell>
          <cell r="D12438">
            <v>125</v>
          </cell>
          <cell r="H12438" t="str">
            <v>natural gas nonpeaker</v>
          </cell>
        </row>
        <row r="12439">
          <cell r="C12439" t="str">
            <v>GT</v>
          </cell>
          <cell r="D12439">
            <v>2.8</v>
          </cell>
          <cell r="H12439" t="str">
            <v>natural gas peaker</v>
          </cell>
        </row>
        <row r="12440">
          <cell r="C12440" t="str">
            <v>GT</v>
          </cell>
          <cell r="D12440">
            <v>2.8</v>
          </cell>
          <cell r="H12440" t="str">
            <v>natural gas peaker</v>
          </cell>
        </row>
        <row r="12441">
          <cell r="C12441" t="str">
            <v>CT</v>
          </cell>
          <cell r="D12441">
            <v>162</v>
          </cell>
          <cell r="H12441" t="str">
            <v>natural gas nonpeaker</v>
          </cell>
        </row>
        <row r="12442">
          <cell r="C12442" t="str">
            <v>CT</v>
          </cell>
          <cell r="D12442">
            <v>162</v>
          </cell>
          <cell r="H12442" t="str">
            <v>natural gas nonpeaker</v>
          </cell>
        </row>
        <row r="12443">
          <cell r="C12443" t="str">
            <v>CT</v>
          </cell>
          <cell r="D12443">
            <v>163</v>
          </cell>
          <cell r="H12443" t="str">
            <v>natural gas nonpeaker</v>
          </cell>
        </row>
        <row r="12444">
          <cell r="C12444" t="str">
            <v>CT</v>
          </cell>
          <cell r="D12444">
            <v>161</v>
          </cell>
          <cell r="H12444" t="str">
            <v>natural gas nonpeaker</v>
          </cell>
        </row>
        <row r="12445">
          <cell r="C12445" t="str">
            <v>CA</v>
          </cell>
          <cell r="D12445">
            <v>136</v>
          </cell>
          <cell r="H12445" t="str">
            <v>natural gas nonpeaker</v>
          </cell>
        </row>
        <row r="12446">
          <cell r="C12446" t="str">
            <v>CT</v>
          </cell>
          <cell r="D12446">
            <v>165</v>
          </cell>
          <cell r="H12446" t="str">
            <v>natural gas nonpeaker</v>
          </cell>
        </row>
        <row r="12447">
          <cell r="C12447" t="str">
            <v>CT</v>
          </cell>
          <cell r="D12447">
            <v>165</v>
          </cell>
          <cell r="H12447" t="str">
            <v>natural gas nonpeaker</v>
          </cell>
        </row>
        <row r="12448">
          <cell r="C12448" t="str">
            <v>CA</v>
          </cell>
          <cell r="D12448">
            <v>191.2</v>
          </cell>
          <cell r="H12448" t="str">
            <v>natural gas nonpeaker</v>
          </cell>
        </row>
        <row r="12449">
          <cell r="C12449" t="str">
            <v>GT</v>
          </cell>
          <cell r="D12449">
            <v>157</v>
          </cell>
          <cell r="H12449" t="str">
            <v>natural gas peaker</v>
          </cell>
        </row>
        <row r="12450">
          <cell r="C12450" t="str">
            <v>GT</v>
          </cell>
          <cell r="D12450">
            <v>157</v>
          </cell>
          <cell r="H12450" t="str">
            <v>natural gas peaker</v>
          </cell>
        </row>
        <row r="12451">
          <cell r="C12451" t="str">
            <v>GT</v>
          </cell>
          <cell r="D12451">
            <v>157</v>
          </cell>
          <cell r="H12451" t="str">
            <v>natural gas peaker</v>
          </cell>
        </row>
        <row r="12452">
          <cell r="C12452" t="str">
            <v>CT</v>
          </cell>
          <cell r="D12452">
            <v>181.4</v>
          </cell>
          <cell r="H12452" t="str">
            <v>natural gas nonpeaker</v>
          </cell>
        </row>
        <row r="12453">
          <cell r="C12453" t="str">
            <v>CT</v>
          </cell>
          <cell r="D12453">
            <v>180.6</v>
          </cell>
          <cell r="H12453" t="str">
            <v>natural gas nonpeaker</v>
          </cell>
        </row>
        <row r="12454">
          <cell r="C12454" t="str">
            <v>CA</v>
          </cell>
          <cell r="D12454">
            <v>181.7</v>
          </cell>
          <cell r="H12454" t="str">
            <v>natural gas nonpeaker</v>
          </cell>
        </row>
        <row r="12455">
          <cell r="C12455" t="str">
            <v>GT</v>
          </cell>
          <cell r="D12455">
            <v>44</v>
          </cell>
          <cell r="H12455" t="str">
            <v>natural gas peaker</v>
          </cell>
        </row>
        <row r="12456">
          <cell r="C12456" t="str">
            <v>GT</v>
          </cell>
          <cell r="D12456">
            <v>44</v>
          </cell>
          <cell r="H12456" t="str">
            <v>natural gas peaker</v>
          </cell>
        </row>
        <row r="12457">
          <cell r="C12457" t="str">
            <v>CT</v>
          </cell>
          <cell r="D12457">
            <v>157</v>
          </cell>
          <cell r="H12457" t="str">
            <v>natural gas nonpeaker</v>
          </cell>
        </row>
        <row r="12458">
          <cell r="C12458" t="str">
            <v>CT</v>
          </cell>
          <cell r="D12458">
            <v>157</v>
          </cell>
          <cell r="H12458" t="str">
            <v>natural gas nonpeaker</v>
          </cell>
        </row>
        <row r="12459">
          <cell r="C12459" t="str">
            <v>CT</v>
          </cell>
          <cell r="D12459">
            <v>157</v>
          </cell>
          <cell r="H12459" t="str">
            <v>natural gas nonpeaker</v>
          </cell>
        </row>
        <row r="12460">
          <cell r="C12460" t="str">
            <v>CA</v>
          </cell>
          <cell r="D12460">
            <v>98</v>
          </cell>
          <cell r="H12460" t="str">
            <v>natural gas nonpeaker</v>
          </cell>
        </row>
        <row r="12461">
          <cell r="C12461" t="str">
            <v>CA</v>
          </cell>
          <cell r="D12461">
            <v>98</v>
          </cell>
          <cell r="H12461" t="str">
            <v>natural gas nonpeaker</v>
          </cell>
        </row>
        <row r="12462">
          <cell r="C12462" t="str">
            <v>CA</v>
          </cell>
          <cell r="D12462">
            <v>98</v>
          </cell>
          <cell r="H12462" t="str">
            <v>natural gas nonpeaker</v>
          </cell>
        </row>
        <row r="12463">
          <cell r="C12463" t="str">
            <v>GT</v>
          </cell>
          <cell r="D12463">
            <v>165</v>
          </cell>
          <cell r="H12463" t="str">
            <v>natural gas peaker</v>
          </cell>
        </row>
        <row r="12464">
          <cell r="C12464" t="str">
            <v>GT</v>
          </cell>
          <cell r="D12464">
            <v>165</v>
          </cell>
          <cell r="H12464" t="str">
            <v>natural gas peaker</v>
          </cell>
        </row>
        <row r="12465">
          <cell r="C12465" t="str">
            <v>GT</v>
          </cell>
          <cell r="D12465">
            <v>165</v>
          </cell>
          <cell r="H12465" t="str">
            <v>natural gas peaker</v>
          </cell>
        </row>
        <row r="12466">
          <cell r="C12466" t="str">
            <v>GT</v>
          </cell>
          <cell r="D12466">
            <v>165</v>
          </cell>
          <cell r="H12466" t="str">
            <v>natural gas peaker</v>
          </cell>
        </row>
        <row r="12467">
          <cell r="C12467" t="str">
            <v>GT</v>
          </cell>
          <cell r="D12467">
            <v>165</v>
          </cell>
          <cell r="H12467" t="str">
            <v>natural gas peaker</v>
          </cell>
        </row>
        <row r="12468">
          <cell r="C12468" t="str">
            <v>GT</v>
          </cell>
          <cell r="D12468">
            <v>150</v>
          </cell>
          <cell r="H12468" t="str">
            <v>natural gas peaker</v>
          </cell>
        </row>
        <row r="12469">
          <cell r="C12469" t="str">
            <v>GT</v>
          </cell>
          <cell r="D12469">
            <v>150</v>
          </cell>
          <cell r="H12469" t="str">
            <v>natural gas peaker</v>
          </cell>
        </row>
        <row r="12470">
          <cell r="C12470" t="str">
            <v>GT</v>
          </cell>
          <cell r="D12470">
            <v>150</v>
          </cell>
          <cell r="H12470" t="str">
            <v>natural gas peaker</v>
          </cell>
        </row>
        <row r="12471">
          <cell r="C12471" t="str">
            <v>GT</v>
          </cell>
          <cell r="D12471">
            <v>150</v>
          </cell>
          <cell r="H12471" t="str">
            <v>natural gas peaker</v>
          </cell>
        </row>
        <row r="12472">
          <cell r="C12472" t="str">
            <v>GT</v>
          </cell>
          <cell r="D12472">
            <v>150</v>
          </cell>
          <cell r="H12472" t="str">
            <v>natural gas peaker</v>
          </cell>
        </row>
        <row r="12473">
          <cell r="C12473" t="str">
            <v>GT</v>
          </cell>
          <cell r="D12473">
            <v>150</v>
          </cell>
          <cell r="H12473" t="str">
            <v>natural gas peaker</v>
          </cell>
        </row>
        <row r="12474">
          <cell r="C12474" t="str">
            <v>GT</v>
          </cell>
          <cell r="D12474">
            <v>150</v>
          </cell>
          <cell r="H12474" t="str">
            <v>natural gas peaker</v>
          </cell>
        </row>
        <row r="12475">
          <cell r="C12475" t="str">
            <v>GT</v>
          </cell>
          <cell r="D12475">
            <v>150</v>
          </cell>
          <cell r="H12475" t="str">
            <v>natural gas peaker</v>
          </cell>
        </row>
        <row r="12476">
          <cell r="C12476" t="str">
            <v>GT</v>
          </cell>
          <cell r="D12476">
            <v>150</v>
          </cell>
          <cell r="H12476" t="str">
            <v>natural gas peaker</v>
          </cell>
        </row>
        <row r="12477">
          <cell r="C12477" t="str">
            <v>CT</v>
          </cell>
          <cell r="D12477">
            <v>39</v>
          </cell>
          <cell r="H12477" t="str">
            <v>natural gas nonpeaker</v>
          </cell>
        </row>
        <row r="12478">
          <cell r="C12478" t="str">
            <v>CT</v>
          </cell>
          <cell r="D12478">
            <v>39</v>
          </cell>
          <cell r="H12478" t="str">
            <v>natural gas nonpeaker</v>
          </cell>
        </row>
        <row r="12479">
          <cell r="C12479" t="str">
            <v>CA</v>
          </cell>
          <cell r="D12479">
            <v>44.5</v>
          </cell>
          <cell r="H12479" t="str">
            <v>natural gas nonpeaker</v>
          </cell>
        </row>
        <row r="12480">
          <cell r="C12480" t="str">
            <v>GT</v>
          </cell>
          <cell r="D12480">
            <v>116</v>
          </cell>
          <cell r="H12480" t="str">
            <v>natural gas peaker</v>
          </cell>
        </row>
        <row r="12481">
          <cell r="C12481" t="str">
            <v>GT</v>
          </cell>
          <cell r="D12481">
            <v>116</v>
          </cell>
          <cell r="H12481" t="str">
            <v>natural gas peaker</v>
          </cell>
        </row>
        <row r="12482">
          <cell r="C12482" t="str">
            <v>GT</v>
          </cell>
          <cell r="D12482">
            <v>44</v>
          </cell>
          <cell r="H12482" t="str">
            <v>natural gas peaker</v>
          </cell>
        </row>
        <row r="12483">
          <cell r="C12483" t="str">
            <v>GT</v>
          </cell>
          <cell r="D12483">
            <v>44</v>
          </cell>
          <cell r="H12483" t="str">
            <v>natural gas peaker</v>
          </cell>
        </row>
        <row r="12484">
          <cell r="C12484" t="str">
            <v>GT</v>
          </cell>
          <cell r="D12484">
            <v>44</v>
          </cell>
          <cell r="H12484" t="str">
            <v>natural gas peaker</v>
          </cell>
        </row>
        <row r="12485">
          <cell r="C12485" t="str">
            <v>GT</v>
          </cell>
          <cell r="D12485">
            <v>44</v>
          </cell>
          <cell r="H12485" t="str">
            <v>natural gas peaker</v>
          </cell>
        </row>
        <row r="12486">
          <cell r="C12486" t="str">
            <v>GT</v>
          </cell>
          <cell r="D12486">
            <v>35</v>
          </cell>
          <cell r="H12486" t="str">
            <v>natural gas peaker</v>
          </cell>
        </row>
        <row r="12487">
          <cell r="C12487" t="str">
            <v>GT</v>
          </cell>
          <cell r="D12487">
            <v>35</v>
          </cell>
          <cell r="H12487" t="str">
            <v>natural gas peaker</v>
          </cell>
        </row>
        <row r="12488">
          <cell r="C12488" t="str">
            <v>GT</v>
          </cell>
          <cell r="D12488">
            <v>35</v>
          </cell>
          <cell r="H12488" t="str">
            <v>natural gas peaker</v>
          </cell>
        </row>
        <row r="12489">
          <cell r="C12489" t="str">
            <v>GT</v>
          </cell>
          <cell r="D12489">
            <v>35</v>
          </cell>
          <cell r="H12489" t="str">
            <v>natural gas peaker</v>
          </cell>
        </row>
        <row r="12490">
          <cell r="C12490" t="str">
            <v>GT</v>
          </cell>
          <cell r="D12490">
            <v>103</v>
          </cell>
          <cell r="H12490" t="str">
            <v>natural gas peaker</v>
          </cell>
        </row>
        <row r="12491">
          <cell r="C12491" t="str">
            <v>GT</v>
          </cell>
          <cell r="D12491">
            <v>103</v>
          </cell>
          <cell r="H12491" t="str">
            <v>natural gas peaker</v>
          </cell>
        </row>
        <row r="12492">
          <cell r="C12492" t="str">
            <v>CT</v>
          </cell>
          <cell r="D12492">
            <v>152</v>
          </cell>
          <cell r="H12492" t="str">
            <v>natural gas nonpeaker</v>
          </cell>
        </row>
        <row r="12493">
          <cell r="C12493" t="str">
            <v>CT</v>
          </cell>
          <cell r="D12493">
            <v>152</v>
          </cell>
          <cell r="H12493" t="str">
            <v>natural gas nonpeaker</v>
          </cell>
        </row>
        <row r="12494">
          <cell r="C12494" t="str">
            <v>CA</v>
          </cell>
          <cell r="D12494">
            <v>165</v>
          </cell>
          <cell r="H12494" t="str">
            <v>natural gas nonpeaker</v>
          </cell>
        </row>
        <row r="12495">
          <cell r="C12495" t="str">
            <v>GT</v>
          </cell>
          <cell r="D12495">
            <v>39.9</v>
          </cell>
          <cell r="H12495" t="str">
            <v>natural gas peaker</v>
          </cell>
        </row>
        <row r="12496">
          <cell r="C12496" t="str">
            <v>GT</v>
          </cell>
          <cell r="D12496">
            <v>39.9</v>
          </cell>
          <cell r="H12496" t="str">
            <v>natural gas peaker</v>
          </cell>
        </row>
        <row r="12497">
          <cell r="C12497" t="str">
            <v>WT</v>
          </cell>
          <cell r="D12497">
            <v>104.5</v>
          </cell>
          <cell r="H12497" t="str">
            <v>onshore wind</v>
          </cell>
        </row>
        <row r="12498">
          <cell r="C12498" t="str">
            <v>CT</v>
          </cell>
          <cell r="D12498">
            <v>141</v>
          </cell>
          <cell r="H12498" t="str">
            <v>natural gas nonpeaker</v>
          </cell>
        </row>
        <row r="12499">
          <cell r="C12499" t="str">
            <v>CA</v>
          </cell>
          <cell r="D12499">
            <v>94.6</v>
          </cell>
          <cell r="H12499" t="str">
            <v>natural gas nonpeaker</v>
          </cell>
        </row>
        <row r="12500">
          <cell r="C12500" t="str">
            <v>CS</v>
          </cell>
          <cell r="D12500">
            <v>266.8</v>
          </cell>
          <cell r="H12500" t="str">
            <v>natural gas nonpeaker</v>
          </cell>
        </row>
        <row r="12501">
          <cell r="C12501" t="str">
            <v>CS</v>
          </cell>
          <cell r="D12501">
            <v>267.7</v>
          </cell>
          <cell r="H12501" t="str">
            <v>natural gas nonpeaker</v>
          </cell>
        </row>
        <row r="12502">
          <cell r="C12502" t="str">
            <v>CS</v>
          </cell>
          <cell r="D12502">
            <v>248.1</v>
          </cell>
          <cell r="H12502" t="str">
            <v>natural gas nonpeaker</v>
          </cell>
        </row>
        <row r="12503">
          <cell r="C12503" t="str">
            <v>CS</v>
          </cell>
          <cell r="D12503">
            <v>242.1</v>
          </cell>
          <cell r="H12503" t="str">
            <v>natural gas nonpeaker</v>
          </cell>
        </row>
        <row r="12504">
          <cell r="C12504" t="str">
            <v>CT</v>
          </cell>
          <cell r="D12504">
            <v>162</v>
          </cell>
          <cell r="H12504" t="str">
            <v>natural gas nonpeaker</v>
          </cell>
        </row>
        <row r="12505">
          <cell r="C12505" t="str">
            <v>CT</v>
          </cell>
          <cell r="D12505">
            <v>153.5</v>
          </cell>
          <cell r="H12505" t="str">
            <v>natural gas nonpeaker</v>
          </cell>
        </row>
        <row r="12506">
          <cell r="C12506" t="str">
            <v>CT</v>
          </cell>
          <cell r="D12506">
            <v>145.30000000000001</v>
          </cell>
          <cell r="H12506" t="str">
            <v>natural gas nonpeaker</v>
          </cell>
        </row>
        <row r="12507">
          <cell r="C12507" t="str">
            <v>CT</v>
          </cell>
          <cell r="D12507">
            <v>143.69999999999999</v>
          </cell>
          <cell r="H12507" t="str">
            <v>natural gas nonpeaker</v>
          </cell>
        </row>
        <row r="12508">
          <cell r="C12508" t="str">
            <v>CA</v>
          </cell>
          <cell r="D12508">
            <v>206</v>
          </cell>
          <cell r="H12508" t="str">
            <v>natural gas nonpeaker</v>
          </cell>
        </row>
        <row r="12509">
          <cell r="C12509" t="str">
            <v>CA</v>
          </cell>
          <cell r="D12509">
            <v>204.9</v>
          </cell>
          <cell r="H12509" t="str">
            <v>natural gas nonpeaker</v>
          </cell>
        </row>
        <row r="12510">
          <cell r="C12510" t="str">
            <v>CA</v>
          </cell>
          <cell r="D12510">
            <v>62</v>
          </cell>
          <cell r="H12510" t="str">
            <v>natural gas nonpeaker</v>
          </cell>
        </row>
        <row r="12511">
          <cell r="C12511" t="str">
            <v>CT</v>
          </cell>
          <cell r="D12511">
            <v>44</v>
          </cell>
          <cell r="H12511" t="str">
            <v>natural gas nonpeaker</v>
          </cell>
        </row>
        <row r="12512">
          <cell r="C12512" t="str">
            <v>CT</v>
          </cell>
          <cell r="D12512">
            <v>44</v>
          </cell>
          <cell r="H12512" t="str">
            <v>natural gas nonpeaker</v>
          </cell>
        </row>
        <row r="12513">
          <cell r="C12513" t="str">
            <v>CT</v>
          </cell>
          <cell r="D12513">
            <v>44</v>
          </cell>
          <cell r="H12513" t="str">
            <v>natural gas nonpeaker</v>
          </cell>
        </row>
        <row r="12514">
          <cell r="C12514" t="str">
            <v>CT</v>
          </cell>
          <cell r="D12514">
            <v>165</v>
          </cell>
          <cell r="H12514" t="str">
            <v>natural gas nonpeaker</v>
          </cell>
        </row>
        <row r="12515">
          <cell r="C12515" t="str">
            <v>CT</v>
          </cell>
          <cell r="D12515">
            <v>165</v>
          </cell>
          <cell r="H12515" t="str">
            <v>natural gas nonpeaker</v>
          </cell>
        </row>
        <row r="12516">
          <cell r="C12516" t="str">
            <v>CA</v>
          </cell>
          <cell r="D12516">
            <v>237</v>
          </cell>
          <cell r="H12516" t="str">
            <v>natural gas nonpeaker</v>
          </cell>
        </row>
        <row r="12517">
          <cell r="C12517" t="str">
            <v>CT</v>
          </cell>
          <cell r="D12517" t="str">
            <v xml:space="preserve"> </v>
          </cell>
          <cell r="H12517" t="str">
            <v>natural gas nonpeaker</v>
          </cell>
        </row>
        <row r="12518">
          <cell r="C12518" t="str">
            <v>CT</v>
          </cell>
          <cell r="D12518" t="str">
            <v xml:space="preserve"> </v>
          </cell>
          <cell r="H12518" t="str">
            <v>natural gas nonpeaker</v>
          </cell>
        </row>
        <row r="12519">
          <cell r="C12519" t="str">
            <v>CA</v>
          </cell>
          <cell r="D12519">
            <v>454.6</v>
          </cell>
          <cell r="H12519" t="str">
            <v>natural gas nonpeaker</v>
          </cell>
        </row>
        <row r="12520">
          <cell r="C12520" t="str">
            <v>CT</v>
          </cell>
          <cell r="D12520" t="str">
            <v xml:space="preserve"> </v>
          </cell>
          <cell r="H12520" t="str">
            <v>natural gas nonpeaker</v>
          </cell>
        </row>
        <row r="12521">
          <cell r="C12521" t="str">
            <v>CT</v>
          </cell>
          <cell r="D12521" t="str">
            <v xml:space="preserve"> </v>
          </cell>
          <cell r="H12521" t="str">
            <v>natural gas nonpeaker</v>
          </cell>
        </row>
        <row r="12522">
          <cell r="C12522" t="str">
            <v>CA</v>
          </cell>
          <cell r="D12522">
            <v>450.6</v>
          </cell>
          <cell r="H12522" t="str">
            <v>natural gas nonpeaker</v>
          </cell>
        </row>
        <row r="12523">
          <cell r="C12523" t="str">
            <v>CT</v>
          </cell>
          <cell r="D12523">
            <v>47</v>
          </cell>
          <cell r="H12523" t="str">
            <v>natural gas nonpeaker</v>
          </cell>
        </row>
        <row r="12524">
          <cell r="C12524" t="str">
            <v>CT</v>
          </cell>
          <cell r="D12524">
            <v>47</v>
          </cell>
          <cell r="H12524" t="str">
            <v>natural gas nonpeaker</v>
          </cell>
        </row>
        <row r="12525">
          <cell r="C12525" t="str">
            <v>CT</v>
          </cell>
          <cell r="D12525">
            <v>47</v>
          </cell>
          <cell r="H12525" t="str">
            <v>natural gas nonpeaker</v>
          </cell>
        </row>
        <row r="12526">
          <cell r="C12526" t="str">
            <v>CT</v>
          </cell>
          <cell r="D12526">
            <v>47</v>
          </cell>
          <cell r="H12526" t="str">
            <v>natural gas nonpeaker</v>
          </cell>
        </row>
        <row r="12527">
          <cell r="C12527" t="str">
            <v>CT</v>
          </cell>
          <cell r="D12527">
            <v>47</v>
          </cell>
          <cell r="H12527" t="str">
            <v>natural gas nonpeaker</v>
          </cell>
        </row>
        <row r="12528">
          <cell r="C12528" t="str">
            <v>CT</v>
          </cell>
          <cell r="D12528">
            <v>47</v>
          </cell>
          <cell r="H12528" t="str">
            <v>natural gas nonpeaker</v>
          </cell>
        </row>
        <row r="12529">
          <cell r="C12529" t="str">
            <v>CT</v>
          </cell>
          <cell r="D12529">
            <v>76</v>
          </cell>
          <cell r="H12529" t="str">
            <v>natural gas nonpeaker</v>
          </cell>
        </row>
        <row r="12530">
          <cell r="C12530" t="str">
            <v>CA</v>
          </cell>
          <cell r="D12530">
            <v>95</v>
          </cell>
          <cell r="H12530" t="str">
            <v>natural gas nonpeaker</v>
          </cell>
        </row>
        <row r="12531">
          <cell r="C12531" t="str">
            <v>CA</v>
          </cell>
          <cell r="D12531">
            <v>95</v>
          </cell>
          <cell r="H12531" t="str">
            <v>natural gas nonpeaker</v>
          </cell>
        </row>
        <row r="12532">
          <cell r="C12532" t="str">
            <v>GT</v>
          </cell>
          <cell r="D12532">
            <v>77.5</v>
          </cell>
          <cell r="H12532" t="str">
            <v>natural gas peaker</v>
          </cell>
        </row>
        <row r="12533">
          <cell r="C12533" t="str">
            <v>GT</v>
          </cell>
          <cell r="D12533">
            <v>77.8</v>
          </cell>
          <cell r="H12533" t="str">
            <v>natural gas peaker</v>
          </cell>
        </row>
        <row r="12534">
          <cell r="C12534" t="str">
            <v>GT</v>
          </cell>
          <cell r="D12534">
            <v>78</v>
          </cell>
          <cell r="H12534" t="str">
            <v>natural gas peaker</v>
          </cell>
        </row>
        <row r="12535">
          <cell r="C12535" t="str">
            <v>GT</v>
          </cell>
          <cell r="D12535">
            <v>78</v>
          </cell>
          <cell r="H12535" t="str">
            <v>natural gas peaker</v>
          </cell>
        </row>
        <row r="12536">
          <cell r="C12536" t="str">
            <v>GT</v>
          </cell>
          <cell r="D12536">
            <v>77.5</v>
          </cell>
          <cell r="H12536" t="str">
            <v>natural gas peaker</v>
          </cell>
        </row>
        <row r="12537">
          <cell r="C12537" t="str">
            <v>GT</v>
          </cell>
          <cell r="D12537">
            <v>77.3</v>
          </cell>
          <cell r="H12537" t="str">
            <v>natural gas peaker</v>
          </cell>
        </row>
        <row r="12538">
          <cell r="C12538" t="str">
            <v>GT</v>
          </cell>
          <cell r="D12538">
            <v>78.2</v>
          </cell>
          <cell r="H12538" t="str">
            <v>natural gas peaker</v>
          </cell>
        </row>
        <row r="12539">
          <cell r="C12539" t="str">
            <v>GT</v>
          </cell>
          <cell r="D12539">
            <v>78.599999999999994</v>
          </cell>
          <cell r="H12539" t="str">
            <v>natural gas peaker</v>
          </cell>
        </row>
        <row r="12540">
          <cell r="C12540" t="str">
            <v>CT</v>
          </cell>
          <cell r="D12540">
            <v>245.1</v>
          </cell>
          <cell r="H12540" t="str">
            <v>natural gas nonpeaker</v>
          </cell>
        </row>
        <row r="12541">
          <cell r="C12541" t="str">
            <v>CA</v>
          </cell>
          <cell r="D12541">
            <v>114.4</v>
          </cell>
          <cell r="H12541" t="str">
            <v>natural gas nonpeaker</v>
          </cell>
        </row>
        <row r="12542">
          <cell r="C12542" t="str">
            <v>GT</v>
          </cell>
          <cell r="D12542">
            <v>111</v>
          </cell>
          <cell r="H12542" t="str">
            <v>natural gas peaker</v>
          </cell>
        </row>
        <row r="12543">
          <cell r="C12543" t="str">
            <v>GT</v>
          </cell>
          <cell r="D12543">
            <v>114</v>
          </cell>
          <cell r="H12543" t="str">
            <v>natural gas peaker</v>
          </cell>
        </row>
        <row r="12544">
          <cell r="C12544" t="str">
            <v>GT</v>
          </cell>
          <cell r="D12544">
            <v>114</v>
          </cell>
          <cell r="H12544" t="str">
            <v>natural gas peaker</v>
          </cell>
        </row>
        <row r="12545">
          <cell r="C12545" t="str">
            <v>GT</v>
          </cell>
          <cell r="D12545">
            <v>111</v>
          </cell>
          <cell r="H12545" t="str">
            <v>natural gas peaker</v>
          </cell>
        </row>
        <row r="12546">
          <cell r="C12546" t="str">
            <v>CT</v>
          </cell>
          <cell r="D12546">
            <v>149.30000000000001</v>
          </cell>
          <cell r="H12546" t="str">
            <v>natural gas nonpeaker</v>
          </cell>
        </row>
        <row r="12547">
          <cell r="C12547" t="str">
            <v>CT</v>
          </cell>
          <cell r="D12547">
            <v>149.30000000000001</v>
          </cell>
          <cell r="H12547" t="str">
            <v>natural gas nonpeaker</v>
          </cell>
        </row>
        <row r="12548">
          <cell r="C12548" t="str">
            <v>CT</v>
          </cell>
          <cell r="D12548">
            <v>149.30000000000001</v>
          </cell>
          <cell r="H12548" t="str">
            <v>natural gas nonpeaker</v>
          </cell>
        </row>
        <row r="12549">
          <cell r="C12549" t="str">
            <v>CT</v>
          </cell>
          <cell r="D12549">
            <v>149.30000000000001</v>
          </cell>
          <cell r="H12549" t="str">
            <v>natural gas nonpeaker</v>
          </cell>
        </row>
        <row r="12550">
          <cell r="C12550" t="str">
            <v>CA</v>
          </cell>
          <cell r="D12550">
            <v>244.6</v>
          </cell>
          <cell r="H12550" t="str">
            <v>natural gas nonpeaker</v>
          </cell>
        </row>
        <row r="12551">
          <cell r="C12551" t="str">
            <v>CA</v>
          </cell>
          <cell r="D12551">
            <v>244.6</v>
          </cell>
          <cell r="H12551" t="str">
            <v>natural gas nonpeaker</v>
          </cell>
        </row>
        <row r="12552">
          <cell r="C12552" t="str">
            <v>CT</v>
          </cell>
          <cell r="D12552">
            <v>153</v>
          </cell>
          <cell r="H12552" t="str">
            <v>natural gas nonpeaker</v>
          </cell>
        </row>
        <row r="12553">
          <cell r="C12553" t="str">
            <v>CT</v>
          </cell>
          <cell r="D12553">
            <v>153</v>
          </cell>
          <cell r="H12553" t="str">
            <v>natural gas nonpeaker</v>
          </cell>
        </row>
        <row r="12554">
          <cell r="C12554" t="str">
            <v>CT</v>
          </cell>
          <cell r="D12554">
            <v>149</v>
          </cell>
          <cell r="H12554" t="str">
            <v>natural gas nonpeaker</v>
          </cell>
        </row>
        <row r="12555">
          <cell r="C12555" t="str">
            <v>CT</v>
          </cell>
          <cell r="D12555">
            <v>149</v>
          </cell>
          <cell r="H12555" t="str">
            <v>natural gas nonpeaker</v>
          </cell>
        </row>
        <row r="12556">
          <cell r="C12556" t="str">
            <v>CA</v>
          </cell>
          <cell r="D12556">
            <v>177</v>
          </cell>
          <cell r="H12556" t="str">
            <v>natural gas nonpeaker</v>
          </cell>
        </row>
        <row r="12557">
          <cell r="C12557" t="str">
            <v>CA</v>
          </cell>
          <cell r="D12557">
            <v>172</v>
          </cell>
          <cell r="H12557" t="str">
            <v>natural gas nonpeaker</v>
          </cell>
        </row>
        <row r="12558">
          <cell r="C12558" t="str">
            <v>GT</v>
          </cell>
          <cell r="D12558">
            <v>49</v>
          </cell>
          <cell r="H12558" t="str">
            <v>natural gas peaker</v>
          </cell>
        </row>
        <row r="12559">
          <cell r="C12559" t="str">
            <v>GT</v>
          </cell>
          <cell r="D12559">
            <v>49</v>
          </cell>
          <cell r="H12559" t="str">
            <v>natural gas peaker</v>
          </cell>
        </row>
        <row r="12560">
          <cell r="C12560" t="str">
            <v>GT</v>
          </cell>
          <cell r="D12560">
            <v>49</v>
          </cell>
          <cell r="H12560" t="str">
            <v>natural gas peaker</v>
          </cell>
        </row>
        <row r="12561">
          <cell r="C12561" t="str">
            <v>GT</v>
          </cell>
          <cell r="D12561">
            <v>49</v>
          </cell>
          <cell r="H12561" t="str">
            <v>natural gas peaker</v>
          </cell>
        </row>
        <row r="12562">
          <cell r="C12562" t="str">
            <v>GT</v>
          </cell>
          <cell r="D12562">
            <v>58.1</v>
          </cell>
          <cell r="H12562" t="str">
            <v>natural gas peaker</v>
          </cell>
        </row>
        <row r="12563">
          <cell r="C12563" t="str">
            <v>GT</v>
          </cell>
          <cell r="D12563">
            <v>60.3</v>
          </cell>
          <cell r="H12563" t="str">
            <v>natural gas peaker</v>
          </cell>
        </row>
        <row r="12564">
          <cell r="C12564" t="str">
            <v>GT</v>
          </cell>
          <cell r="D12564">
            <v>59.1</v>
          </cell>
          <cell r="H12564" t="str">
            <v>natural gas peaker</v>
          </cell>
        </row>
        <row r="12565">
          <cell r="C12565" t="str">
            <v>GT</v>
          </cell>
          <cell r="D12565">
            <v>60.2</v>
          </cell>
          <cell r="H12565" t="str">
            <v>natural gas peaker</v>
          </cell>
        </row>
        <row r="12566">
          <cell r="C12566" t="str">
            <v>CT</v>
          </cell>
          <cell r="D12566">
            <v>165</v>
          </cell>
          <cell r="H12566" t="str">
            <v>natural gas nonpeaker</v>
          </cell>
        </row>
        <row r="12567">
          <cell r="C12567" t="str">
            <v>CT</v>
          </cell>
          <cell r="D12567">
            <v>165</v>
          </cell>
          <cell r="H12567" t="str">
            <v>natural gas nonpeaker</v>
          </cell>
        </row>
        <row r="12568">
          <cell r="C12568" t="str">
            <v>CT</v>
          </cell>
          <cell r="D12568">
            <v>165</v>
          </cell>
          <cell r="H12568" t="str">
            <v>natural gas nonpeaker</v>
          </cell>
        </row>
        <row r="12569">
          <cell r="C12569" t="str">
            <v>CT</v>
          </cell>
          <cell r="D12569">
            <v>165</v>
          </cell>
          <cell r="H12569" t="str">
            <v>natural gas nonpeaker</v>
          </cell>
        </row>
        <row r="12570">
          <cell r="C12570" t="str">
            <v>CA</v>
          </cell>
          <cell r="D12570">
            <v>290.5</v>
          </cell>
          <cell r="H12570" t="str">
            <v>natural gas nonpeaker</v>
          </cell>
        </row>
        <row r="12571">
          <cell r="C12571" t="str">
            <v>CA</v>
          </cell>
          <cell r="D12571">
            <v>290.5</v>
          </cell>
          <cell r="H12571" t="str">
            <v>natural gas nonpeaker</v>
          </cell>
        </row>
        <row r="12572">
          <cell r="C12572" t="str">
            <v>CT</v>
          </cell>
          <cell r="D12572">
            <v>169.1</v>
          </cell>
          <cell r="H12572" t="str">
            <v>natural gas nonpeaker</v>
          </cell>
        </row>
        <row r="12573">
          <cell r="C12573" t="str">
            <v>CT</v>
          </cell>
          <cell r="D12573">
            <v>169.1</v>
          </cell>
          <cell r="H12573" t="str">
            <v>natural gas nonpeaker</v>
          </cell>
        </row>
        <row r="12574">
          <cell r="C12574" t="str">
            <v>CA</v>
          </cell>
          <cell r="D12574">
            <v>223.8</v>
          </cell>
          <cell r="H12574" t="str">
            <v>natural gas nonpeaker</v>
          </cell>
        </row>
        <row r="12575">
          <cell r="C12575" t="str">
            <v>GT</v>
          </cell>
          <cell r="D12575">
            <v>72.7</v>
          </cell>
          <cell r="H12575" t="str">
            <v>natural gas peaker</v>
          </cell>
        </row>
        <row r="12576">
          <cell r="C12576" t="str">
            <v>GT</v>
          </cell>
          <cell r="D12576">
            <v>72.7</v>
          </cell>
          <cell r="H12576" t="str">
            <v>natural gas peaker</v>
          </cell>
        </row>
        <row r="12577">
          <cell r="C12577" t="str">
            <v>GT</v>
          </cell>
          <cell r="D12577">
            <v>72.7</v>
          </cell>
          <cell r="H12577" t="str">
            <v>natural gas peaker</v>
          </cell>
        </row>
        <row r="12578">
          <cell r="C12578" t="str">
            <v>GT</v>
          </cell>
          <cell r="D12578">
            <v>72.7</v>
          </cell>
          <cell r="H12578" t="str">
            <v>natural gas peaker</v>
          </cell>
        </row>
        <row r="12579">
          <cell r="C12579" t="str">
            <v>GT</v>
          </cell>
          <cell r="D12579">
            <v>72.7</v>
          </cell>
          <cell r="H12579" t="str">
            <v>natural gas peaker</v>
          </cell>
        </row>
        <row r="12580">
          <cell r="C12580" t="str">
            <v>GT</v>
          </cell>
          <cell r="D12580">
            <v>72.7</v>
          </cell>
          <cell r="H12580" t="str">
            <v>natural gas peaker</v>
          </cell>
        </row>
        <row r="12581">
          <cell r="C12581" t="str">
            <v>GT</v>
          </cell>
          <cell r="D12581">
            <v>72.7</v>
          </cell>
          <cell r="H12581" t="str">
            <v>natural gas peaker</v>
          </cell>
        </row>
        <row r="12582">
          <cell r="C12582" t="str">
            <v>GT</v>
          </cell>
          <cell r="D12582">
            <v>72.7</v>
          </cell>
          <cell r="H12582" t="str">
            <v>natural gas peaker</v>
          </cell>
        </row>
        <row r="12583">
          <cell r="C12583" t="str">
            <v>GT</v>
          </cell>
          <cell r="D12583">
            <v>53.5</v>
          </cell>
          <cell r="H12583" t="str">
            <v>natural gas peaker</v>
          </cell>
        </row>
        <row r="12584">
          <cell r="C12584" t="str">
            <v>GT</v>
          </cell>
          <cell r="D12584">
            <v>53.5</v>
          </cell>
          <cell r="H12584" t="str">
            <v>natural gas peaker</v>
          </cell>
        </row>
        <row r="12585">
          <cell r="C12585" t="str">
            <v>GT</v>
          </cell>
          <cell r="D12585">
            <v>53.5</v>
          </cell>
          <cell r="H12585" t="str">
            <v>natural gas peaker</v>
          </cell>
        </row>
        <row r="12586">
          <cell r="C12586" t="str">
            <v>GT</v>
          </cell>
          <cell r="D12586">
            <v>53.5</v>
          </cell>
          <cell r="H12586" t="str">
            <v>natural gas peaker</v>
          </cell>
        </row>
        <row r="12587">
          <cell r="C12587" t="str">
            <v>GT</v>
          </cell>
          <cell r="D12587">
            <v>53.5</v>
          </cell>
          <cell r="H12587" t="str">
            <v>natural gas peaker</v>
          </cell>
        </row>
        <row r="12588">
          <cell r="C12588" t="str">
            <v>GT</v>
          </cell>
          <cell r="D12588">
            <v>75</v>
          </cell>
          <cell r="H12588" t="str">
            <v>natural gas peaker</v>
          </cell>
        </row>
        <row r="12589">
          <cell r="C12589" t="str">
            <v>GT</v>
          </cell>
          <cell r="D12589">
            <v>75</v>
          </cell>
          <cell r="H12589" t="str">
            <v>natural gas peaker</v>
          </cell>
        </row>
        <row r="12590">
          <cell r="C12590" t="str">
            <v>GT</v>
          </cell>
          <cell r="D12590">
            <v>75</v>
          </cell>
          <cell r="H12590" t="str">
            <v>natural gas peaker</v>
          </cell>
        </row>
        <row r="12591">
          <cell r="C12591" t="str">
            <v>GT</v>
          </cell>
          <cell r="D12591">
            <v>75</v>
          </cell>
          <cell r="H12591" t="str">
            <v>natural gas peaker</v>
          </cell>
        </row>
        <row r="12592">
          <cell r="C12592" t="str">
            <v>GT</v>
          </cell>
          <cell r="D12592">
            <v>75</v>
          </cell>
          <cell r="H12592" t="str">
            <v>natural gas peaker</v>
          </cell>
        </row>
        <row r="12593">
          <cell r="C12593" t="str">
            <v>GT</v>
          </cell>
          <cell r="D12593">
            <v>75</v>
          </cell>
          <cell r="H12593" t="str">
            <v>natural gas peaker</v>
          </cell>
        </row>
        <row r="12594">
          <cell r="C12594" t="str">
            <v>GT</v>
          </cell>
          <cell r="D12594">
            <v>75</v>
          </cell>
          <cell r="H12594" t="str">
            <v>natural gas peaker</v>
          </cell>
        </row>
        <row r="12595">
          <cell r="C12595" t="str">
            <v>GT</v>
          </cell>
          <cell r="D12595">
            <v>75</v>
          </cell>
          <cell r="H12595" t="str">
            <v>natural gas peaker</v>
          </cell>
        </row>
        <row r="12596">
          <cell r="C12596" t="str">
            <v>GT</v>
          </cell>
          <cell r="D12596">
            <v>84.9</v>
          </cell>
          <cell r="H12596" t="str">
            <v>natural gas peaker</v>
          </cell>
        </row>
        <row r="12597">
          <cell r="C12597" t="str">
            <v>GT</v>
          </cell>
          <cell r="D12597">
            <v>84.9</v>
          </cell>
          <cell r="H12597" t="str">
            <v>natural gas peaker</v>
          </cell>
        </row>
        <row r="12598">
          <cell r="C12598" t="str">
            <v>GT</v>
          </cell>
          <cell r="D12598">
            <v>84.9</v>
          </cell>
          <cell r="H12598" t="str">
            <v>natural gas peaker</v>
          </cell>
        </row>
        <row r="12599">
          <cell r="C12599" t="str">
            <v>GT</v>
          </cell>
          <cell r="D12599">
            <v>84.1</v>
          </cell>
          <cell r="H12599" t="str">
            <v>natural gas peaker</v>
          </cell>
        </row>
        <row r="12600">
          <cell r="C12600" t="str">
            <v>GT</v>
          </cell>
          <cell r="D12600">
            <v>85.1</v>
          </cell>
          <cell r="H12600" t="str">
            <v>natural gas peaker</v>
          </cell>
        </row>
        <row r="12601">
          <cell r="C12601" t="str">
            <v>GT</v>
          </cell>
          <cell r="D12601">
            <v>85.1</v>
          </cell>
          <cell r="H12601" t="str">
            <v>natural gas peaker</v>
          </cell>
        </row>
        <row r="12602">
          <cell r="C12602" t="str">
            <v>GT</v>
          </cell>
          <cell r="D12602">
            <v>83.9</v>
          </cell>
          <cell r="H12602" t="str">
            <v>natural gas peaker</v>
          </cell>
        </row>
        <row r="12603">
          <cell r="C12603" t="str">
            <v>GT</v>
          </cell>
          <cell r="D12603">
            <v>83.9</v>
          </cell>
          <cell r="H12603" t="str">
            <v>natural gas peaker</v>
          </cell>
        </row>
        <row r="12604">
          <cell r="C12604" t="str">
            <v>GT</v>
          </cell>
          <cell r="D12604">
            <v>42</v>
          </cell>
          <cell r="H12604" t="str">
            <v>natural gas peaker</v>
          </cell>
        </row>
        <row r="12605">
          <cell r="C12605" t="str">
            <v>GT</v>
          </cell>
          <cell r="D12605">
            <v>42</v>
          </cell>
          <cell r="H12605" t="str">
            <v>natural gas peaker</v>
          </cell>
        </row>
        <row r="12606">
          <cell r="C12606" t="str">
            <v>GT</v>
          </cell>
          <cell r="D12606">
            <v>42</v>
          </cell>
          <cell r="H12606" t="str">
            <v>natural gas peaker</v>
          </cell>
        </row>
        <row r="12607">
          <cell r="C12607" t="str">
            <v>GT</v>
          </cell>
          <cell r="D12607">
            <v>42</v>
          </cell>
          <cell r="H12607" t="str">
            <v>natural gas peaker</v>
          </cell>
        </row>
        <row r="12608">
          <cell r="C12608" t="str">
            <v>GT</v>
          </cell>
          <cell r="D12608">
            <v>42</v>
          </cell>
          <cell r="H12608" t="str">
            <v>natural gas peaker</v>
          </cell>
        </row>
        <row r="12609">
          <cell r="C12609" t="str">
            <v>GT</v>
          </cell>
          <cell r="D12609">
            <v>42</v>
          </cell>
          <cell r="H12609" t="str">
            <v>natural gas peaker</v>
          </cell>
        </row>
        <row r="12610">
          <cell r="C12610" t="str">
            <v>GT</v>
          </cell>
          <cell r="D12610">
            <v>42</v>
          </cell>
          <cell r="H12610" t="str">
            <v>natural gas peaker</v>
          </cell>
        </row>
        <row r="12611">
          <cell r="C12611" t="str">
            <v>GT</v>
          </cell>
          <cell r="D12611">
            <v>42</v>
          </cell>
          <cell r="H12611" t="str">
            <v>natural gas peaker</v>
          </cell>
        </row>
        <row r="12612">
          <cell r="C12612" t="str">
            <v>GT</v>
          </cell>
          <cell r="D12612">
            <v>151.30000000000001</v>
          </cell>
          <cell r="H12612" t="str">
            <v>natural gas peaker</v>
          </cell>
        </row>
        <row r="12613">
          <cell r="C12613" t="str">
            <v>GT</v>
          </cell>
          <cell r="D12613">
            <v>151.6</v>
          </cell>
          <cell r="H12613" t="str">
            <v>natural gas peaker</v>
          </cell>
        </row>
        <row r="12614">
          <cell r="C12614" t="str">
            <v>CT</v>
          </cell>
          <cell r="D12614">
            <v>167.3</v>
          </cell>
          <cell r="H12614" t="str">
            <v>natural gas nonpeaker</v>
          </cell>
        </row>
        <row r="12615">
          <cell r="C12615" t="str">
            <v>CT</v>
          </cell>
          <cell r="D12615">
            <v>167.3</v>
          </cell>
          <cell r="H12615" t="str">
            <v>natural gas nonpeaker</v>
          </cell>
        </row>
        <row r="12616">
          <cell r="C12616" t="str">
            <v>CT</v>
          </cell>
          <cell r="D12616">
            <v>167.3</v>
          </cell>
          <cell r="H12616" t="str">
            <v>natural gas nonpeaker</v>
          </cell>
        </row>
        <row r="12617">
          <cell r="C12617" t="str">
            <v>CA</v>
          </cell>
          <cell r="D12617">
            <v>274</v>
          </cell>
          <cell r="H12617" t="str">
            <v>natural gas nonpeaker</v>
          </cell>
        </row>
        <row r="12618">
          <cell r="C12618" t="str">
            <v>CT</v>
          </cell>
          <cell r="D12618">
            <v>155</v>
          </cell>
          <cell r="H12618" t="str">
            <v>natural gas nonpeaker</v>
          </cell>
        </row>
        <row r="12619">
          <cell r="C12619" t="str">
            <v>CA</v>
          </cell>
          <cell r="D12619">
            <v>75</v>
          </cell>
          <cell r="H12619" t="str">
            <v>natural gas nonpeaker</v>
          </cell>
        </row>
        <row r="12620">
          <cell r="C12620" t="str">
            <v>CT</v>
          </cell>
          <cell r="D12620">
            <v>161.4</v>
          </cell>
          <cell r="H12620" t="str">
            <v>natural gas nonpeaker</v>
          </cell>
        </row>
        <row r="12621">
          <cell r="C12621" t="str">
            <v>CA</v>
          </cell>
          <cell r="D12621">
            <v>74.5</v>
          </cell>
          <cell r="H12621" t="str">
            <v>natural gas nonpeaker</v>
          </cell>
        </row>
        <row r="12622">
          <cell r="C12622" t="str">
            <v>GT</v>
          </cell>
          <cell r="D12622">
            <v>35.6</v>
          </cell>
          <cell r="H12622" t="str">
            <v>natural gas peaker</v>
          </cell>
        </row>
        <row r="12623">
          <cell r="C12623" t="str">
            <v>GT</v>
          </cell>
          <cell r="D12623">
            <v>34.200000000000003</v>
          </cell>
          <cell r="H12623" t="str">
            <v>natural gas peaker</v>
          </cell>
        </row>
        <row r="12624">
          <cell r="C12624" t="str">
            <v>GT</v>
          </cell>
          <cell r="D12624">
            <v>36.9</v>
          </cell>
          <cell r="H12624" t="str">
            <v>natural gas peaker</v>
          </cell>
        </row>
        <row r="12625">
          <cell r="C12625" t="str">
            <v>GT</v>
          </cell>
          <cell r="D12625">
            <v>35.1</v>
          </cell>
          <cell r="H12625" t="str">
            <v>natural gas peaker</v>
          </cell>
        </row>
        <row r="12626">
          <cell r="C12626" t="str">
            <v>GT</v>
          </cell>
          <cell r="D12626">
            <v>34.6</v>
          </cell>
          <cell r="H12626" t="str">
            <v>natural gas peaker</v>
          </cell>
        </row>
        <row r="12627">
          <cell r="C12627" t="str">
            <v>GT</v>
          </cell>
          <cell r="D12627">
            <v>35.200000000000003</v>
          </cell>
          <cell r="H12627" t="str">
            <v>natural gas peaker</v>
          </cell>
        </row>
        <row r="12628">
          <cell r="C12628" t="str">
            <v>GT</v>
          </cell>
          <cell r="D12628">
            <v>34.9</v>
          </cell>
          <cell r="H12628" t="str">
            <v>natural gas peaker</v>
          </cell>
        </row>
        <row r="12629">
          <cell r="C12629" t="str">
            <v>GT</v>
          </cell>
          <cell r="D12629">
            <v>36.1</v>
          </cell>
          <cell r="H12629" t="str">
            <v>natural gas peaker</v>
          </cell>
        </row>
        <row r="12630">
          <cell r="C12630" t="str">
            <v>GT</v>
          </cell>
          <cell r="D12630">
            <v>31.9</v>
          </cell>
          <cell r="H12630" t="str">
            <v>natural gas peaker</v>
          </cell>
        </row>
        <row r="12631">
          <cell r="C12631" t="str">
            <v>GT</v>
          </cell>
          <cell r="D12631">
            <v>33.5</v>
          </cell>
          <cell r="H12631" t="str">
            <v>natural gas peaker</v>
          </cell>
        </row>
        <row r="12632">
          <cell r="C12632" t="str">
            <v>GT</v>
          </cell>
          <cell r="D12632">
            <v>34.1</v>
          </cell>
          <cell r="H12632" t="str">
            <v>natural gas peaker</v>
          </cell>
        </row>
        <row r="12633">
          <cell r="C12633" t="str">
            <v>GT</v>
          </cell>
          <cell r="D12633">
            <v>33.299999999999997</v>
          </cell>
          <cell r="H12633" t="str">
            <v>natural gas peaker</v>
          </cell>
        </row>
        <row r="12634">
          <cell r="C12634" t="str">
            <v>GT</v>
          </cell>
          <cell r="D12634">
            <v>56</v>
          </cell>
          <cell r="H12634" t="str">
            <v>natural gas peaker</v>
          </cell>
        </row>
        <row r="12635">
          <cell r="C12635" t="str">
            <v>GT</v>
          </cell>
          <cell r="D12635">
            <v>64</v>
          </cell>
          <cell r="H12635" t="str">
            <v>natural gas peaker</v>
          </cell>
        </row>
        <row r="12636">
          <cell r="C12636" t="str">
            <v>GT</v>
          </cell>
          <cell r="D12636">
            <v>58</v>
          </cell>
          <cell r="H12636" t="str">
            <v>natural gas peaker</v>
          </cell>
        </row>
        <row r="12637">
          <cell r="C12637" t="str">
            <v>GT</v>
          </cell>
          <cell r="D12637">
            <v>75</v>
          </cell>
          <cell r="H12637" t="str">
            <v>natural gas peaker</v>
          </cell>
        </row>
        <row r="12638">
          <cell r="C12638" t="str">
            <v>GT</v>
          </cell>
          <cell r="D12638">
            <v>75</v>
          </cell>
          <cell r="H12638" t="str">
            <v>natural gas peaker</v>
          </cell>
        </row>
        <row r="12639">
          <cell r="C12639" t="str">
            <v>ST</v>
          </cell>
          <cell r="D12639">
            <v>4.8</v>
          </cell>
          <cell r="H12639" t="str">
            <v>natural gas peaker</v>
          </cell>
        </row>
        <row r="12640">
          <cell r="C12640" t="str">
            <v>GT</v>
          </cell>
          <cell r="D12640">
            <v>80</v>
          </cell>
          <cell r="H12640" t="str">
            <v>natural gas peaker</v>
          </cell>
        </row>
        <row r="12641">
          <cell r="C12641" t="str">
            <v>GT</v>
          </cell>
          <cell r="D12641">
            <v>80</v>
          </cell>
          <cell r="H12641" t="str">
            <v>natural gas peaker</v>
          </cell>
        </row>
        <row r="12642">
          <cell r="C12642" t="str">
            <v>GT</v>
          </cell>
          <cell r="D12642">
            <v>80</v>
          </cell>
          <cell r="H12642" t="str">
            <v>natural gas peaker</v>
          </cell>
        </row>
        <row r="12643">
          <cell r="C12643" t="str">
            <v>GT</v>
          </cell>
          <cell r="D12643">
            <v>80</v>
          </cell>
          <cell r="H12643" t="str">
            <v>natural gas peaker</v>
          </cell>
        </row>
        <row r="12644">
          <cell r="C12644" t="str">
            <v>GT</v>
          </cell>
          <cell r="D12644">
            <v>80</v>
          </cell>
          <cell r="H12644" t="str">
            <v>natural gas peaker</v>
          </cell>
        </row>
        <row r="12645">
          <cell r="C12645" t="str">
            <v>GT</v>
          </cell>
          <cell r="D12645">
            <v>80</v>
          </cell>
          <cell r="H12645" t="str">
            <v>natural gas peaker</v>
          </cell>
        </row>
        <row r="12646">
          <cell r="C12646" t="str">
            <v>GT</v>
          </cell>
          <cell r="D12646">
            <v>50</v>
          </cell>
          <cell r="H12646" t="str">
            <v>natural gas peaker</v>
          </cell>
        </row>
        <row r="12647">
          <cell r="C12647" t="str">
            <v>GT</v>
          </cell>
          <cell r="D12647">
            <v>50</v>
          </cell>
          <cell r="H12647" t="str">
            <v>natural gas peaker</v>
          </cell>
        </row>
        <row r="12648">
          <cell r="C12648" t="str">
            <v>GT</v>
          </cell>
          <cell r="D12648">
            <v>50</v>
          </cell>
          <cell r="H12648" t="str">
            <v>natural gas peaker</v>
          </cell>
        </row>
        <row r="12649">
          <cell r="C12649" t="str">
            <v>GT</v>
          </cell>
          <cell r="D12649">
            <v>50</v>
          </cell>
          <cell r="H12649" t="str">
            <v>natural gas peaker</v>
          </cell>
        </row>
        <row r="12650">
          <cell r="C12650" t="str">
            <v>GT</v>
          </cell>
          <cell r="D12650">
            <v>50</v>
          </cell>
          <cell r="H12650" t="str">
            <v>natural gas peaker</v>
          </cell>
        </row>
        <row r="12651">
          <cell r="C12651" t="str">
            <v>GT</v>
          </cell>
          <cell r="D12651">
            <v>50</v>
          </cell>
          <cell r="H12651" t="str">
            <v>natural gas peaker</v>
          </cell>
        </row>
        <row r="12652">
          <cell r="C12652" t="str">
            <v>GT</v>
          </cell>
          <cell r="D12652">
            <v>120</v>
          </cell>
          <cell r="H12652" t="str">
            <v>natural gas peaker</v>
          </cell>
        </row>
        <row r="12653">
          <cell r="C12653" t="str">
            <v>GT</v>
          </cell>
          <cell r="D12653">
            <v>100</v>
          </cell>
          <cell r="H12653" t="str">
            <v>natural gas peaker</v>
          </cell>
        </row>
        <row r="12654">
          <cell r="C12654" t="str">
            <v>GT</v>
          </cell>
          <cell r="D12654">
            <v>140</v>
          </cell>
          <cell r="H12654" t="str">
            <v>natural gas peaker</v>
          </cell>
        </row>
        <row r="12655">
          <cell r="C12655" t="str">
            <v>GT</v>
          </cell>
          <cell r="D12655">
            <v>75</v>
          </cell>
          <cell r="H12655" t="str">
            <v>natural gas peaker</v>
          </cell>
        </row>
        <row r="12656">
          <cell r="C12656" t="str">
            <v>GT</v>
          </cell>
          <cell r="D12656">
            <v>75</v>
          </cell>
          <cell r="H12656" t="str">
            <v>natural gas peaker</v>
          </cell>
        </row>
        <row r="12657">
          <cell r="C12657" t="str">
            <v>GT</v>
          </cell>
          <cell r="D12657">
            <v>75</v>
          </cell>
          <cell r="H12657" t="str">
            <v>natural gas peaker</v>
          </cell>
        </row>
        <row r="12658">
          <cell r="C12658" t="str">
            <v>GT</v>
          </cell>
          <cell r="D12658">
            <v>75</v>
          </cell>
          <cell r="H12658" t="str">
            <v>natural gas peaker</v>
          </cell>
        </row>
        <row r="12659">
          <cell r="C12659" t="str">
            <v>CT</v>
          </cell>
          <cell r="D12659">
            <v>150</v>
          </cell>
          <cell r="H12659" t="str">
            <v>natural gas nonpeaker</v>
          </cell>
        </row>
        <row r="12660">
          <cell r="C12660" t="str">
            <v>CT</v>
          </cell>
          <cell r="D12660">
            <v>150</v>
          </cell>
          <cell r="H12660" t="str">
            <v>natural gas nonpeaker</v>
          </cell>
        </row>
        <row r="12661">
          <cell r="C12661" t="str">
            <v>CA</v>
          </cell>
          <cell r="D12661">
            <v>213</v>
          </cell>
          <cell r="H12661" t="str">
            <v>natural gas nonpeaker</v>
          </cell>
        </row>
        <row r="12662">
          <cell r="C12662" t="str">
            <v>GT</v>
          </cell>
          <cell r="D12662">
            <v>26</v>
          </cell>
          <cell r="H12662" t="str">
            <v>natural gas peaker</v>
          </cell>
        </row>
        <row r="12663">
          <cell r="C12663" t="str">
            <v>GT</v>
          </cell>
          <cell r="D12663">
            <v>12</v>
          </cell>
          <cell r="H12663" t="str">
            <v>natural gas peaker</v>
          </cell>
        </row>
        <row r="12664">
          <cell r="C12664" t="str">
            <v>GT</v>
          </cell>
          <cell r="D12664">
            <v>26</v>
          </cell>
          <cell r="H12664" t="str">
            <v>natural gas peaker</v>
          </cell>
        </row>
        <row r="12665">
          <cell r="C12665" t="str">
            <v>GT</v>
          </cell>
          <cell r="D12665">
            <v>12</v>
          </cell>
          <cell r="H12665" t="str">
            <v>natural gas peaker</v>
          </cell>
        </row>
        <row r="12666">
          <cell r="C12666" t="str">
            <v>GT</v>
          </cell>
          <cell r="D12666">
            <v>26</v>
          </cell>
          <cell r="H12666" t="str">
            <v>natural gas peaker</v>
          </cell>
        </row>
        <row r="12667">
          <cell r="C12667" t="str">
            <v>GT</v>
          </cell>
          <cell r="D12667">
            <v>12</v>
          </cell>
          <cell r="H12667" t="str">
            <v>natural gas peaker</v>
          </cell>
        </row>
        <row r="12668">
          <cell r="C12668" t="str">
            <v>WT</v>
          </cell>
          <cell r="D12668">
            <v>103.5</v>
          </cell>
          <cell r="H12668" t="str">
            <v>onshore wind</v>
          </cell>
        </row>
        <row r="12669">
          <cell r="C12669" t="str">
            <v>GT</v>
          </cell>
          <cell r="D12669">
            <v>148.5</v>
          </cell>
          <cell r="H12669" t="str">
            <v>natural gas peaker</v>
          </cell>
        </row>
        <row r="12670">
          <cell r="C12670" t="str">
            <v>GT</v>
          </cell>
          <cell r="D12670">
            <v>149</v>
          </cell>
          <cell r="H12670" t="str">
            <v>natural gas peaker</v>
          </cell>
        </row>
        <row r="12671">
          <cell r="C12671" t="str">
            <v>GT</v>
          </cell>
          <cell r="D12671">
            <v>148.5</v>
          </cell>
          <cell r="H12671" t="str">
            <v>natural gas peaker</v>
          </cell>
        </row>
        <row r="12672">
          <cell r="C12672" t="str">
            <v>GT</v>
          </cell>
          <cell r="D12672">
            <v>145.69999999999999</v>
          </cell>
          <cell r="H12672" t="str">
            <v>natural gas peaker</v>
          </cell>
        </row>
        <row r="12673">
          <cell r="C12673" t="str">
            <v>CT</v>
          </cell>
          <cell r="D12673">
            <v>157</v>
          </cell>
          <cell r="H12673" t="str">
            <v>natural gas nonpeaker</v>
          </cell>
        </row>
        <row r="12674">
          <cell r="C12674" t="str">
            <v>CT</v>
          </cell>
          <cell r="D12674">
            <v>157</v>
          </cell>
          <cell r="H12674" t="str">
            <v>natural gas nonpeaker</v>
          </cell>
        </row>
        <row r="12675">
          <cell r="C12675" t="str">
            <v>CT</v>
          </cell>
          <cell r="D12675">
            <v>157</v>
          </cell>
          <cell r="H12675" t="str">
            <v>natural gas nonpeaker</v>
          </cell>
        </row>
        <row r="12676">
          <cell r="C12676" t="str">
            <v>CA</v>
          </cell>
          <cell r="D12676">
            <v>103</v>
          </cell>
          <cell r="H12676" t="str">
            <v>natural gas nonpeaker</v>
          </cell>
        </row>
        <row r="12677">
          <cell r="C12677" t="str">
            <v>CA</v>
          </cell>
          <cell r="D12677">
            <v>103</v>
          </cell>
          <cell r="H12677" t="str">
            <v>natural gas nonpeaker</v>
          </cell>
        </row>
        <row r="12678">
          <cell r="C12678" t="str">
            <v>CA</v>
          </cell>
          <cell r="D12678">
            <v>103</v>
          </cell>
          <cell r="H12678" t="str">
            <v>natural gas nonpeaker</v>
          </cell>
        </row>
        <row r="12679">
          <cell r="C12679" t="str">
            <v>CT</v>
          </cell>
          <cell r="D12679">
            <v>73.7</v>
          </cell>
          <cell r="H12679" t="str">
            <v>natural gas nonpeaker</v>
          </cell>
        </row>
        <row r="12680">
          <cell r="C12680" t="str">
            <v>CT</v>
          </cell>
          <cell r="D12680">
            <v>47</v>
          </cell>
          <cell r="H12680" t="str">
            <v>natural gas nonpeaker</v>
          </cell>
        </row>
        <row r="12681">
          <cell r="C12681" t="str">
            <v>CT</v>
          </cell>
          <cell r="D12681">
            <v>45.7</v>
          </cell>
          <cell r="H12681" t="str">
            <v>natural gas nonpeaker</v>
          </cell>
        </row>
        <row r="12682">
          <cell r="C12682" t="str">
            <v>CT</v>
          </cell>
          <cell r="D12682">
            <v>45</v>
          </cell>
          <cell r="H12682" t="str">
            <v>natural gas nonpeaker</v>
          </cell>
        </row>
        <row r="12683">
          <cell r="C12683" t="str">
            <v>CT</v>
          </cell>
          <cell r="D12683">
            <v>45.1</v>
          </cell>
          <cell r="H12683" t="str">
            <v>natural gas nonpeaker</v>
          </cell>
        </row>
        <row r="12684">
          <cell r="C12684" t="str">
            <v>CT</v>
          </cell>
          <cell r="D12684">
            <v>43.6</v>
          </cell>
          <cell r="H12684" t="str">
            <v>natural gas nonpeaker</v>
          </cell>
        </row>
        <row r="12685">
          <cell r="C12685" t="str">
            <v>CT</v>
          </cell>
          <cell r="D12685">
            <v>45.3</v>
          </cell>
          <cell r="H12685" t="str">
            <v>natural gas nonpeaker</v>
          </cell>
        </row>
        <row r="12686">
          <cell r="C12686" t="str">
            <v>CA</v>
          </cell>
          <cell r="D12686">
            <v>102.3</v>
          </cell>
          <cell r="H12686" t="str">
            <v>natural gas nonpeaker</v>
          </cell>
        </row>
        <row r="12687">
          <cell r="C12687" t="str">
            <v>CA</v>
          </cell>
          <cell r="D12687">
            <v>99</v>
          </cell>
          <cell r="H12687" t="str">
            <v>natural gas nonpeaker</v>
          </cell>
        </row>
        <row r="12688">
          <cell r="C12688" t="str">
            <v>CT</v>
          </cell>
          <cell r="D12688">
            <v>152</v>
          </cell>
          <cell r="H12688" t="str">
            <v>natural gas nonpeaker</v>
          </cell>
        </row>
        <row r="12689">
          <cell r="C12689" t="str">
            <v>CT</v>
          </cell>
          <cell r="D12689">
            <v>152</v>
          </cell>
          <cell r="H12689" t="str">
            <v>natural gas nonpeaker</v>
          </cell>
        </row>
        <row r="12690">
          <cell r="C12690" t="str">
            <v>CT</v>
          </cell>
          <cell r="D12690">
            <v>152</v>
          </cell>
          <cell r="H12690" t="str">
            <v>natural gas nonpeaker</v>
          </cell>
        </row>
        <row r="12691">
          <cell r="C12691" t="str">
            <v>CA</v>
          </cell>
          <cell r="D12691">
            <v>392</v>
          </cell>
          <cell r="H12691" t="str">
            <v>natural gas nonpeaker</v>
          </cell>
        </row>
        <row r="12692">
          <cell r="C12692" t="str">
            <v>IC</v>
          </cell>
          <cell r="D12692">
            <v>1.8</v>
          </cell>
          <cell r="H12692" t="str">
            <v>petroleum</v>
          </cell>
        </row>
        <row r="12693">
          <cell r="C12693" t="str">
            <v>IC</v>
          </cell>
          <cell r="D12693">
            <v>1.8</v>
          </cell>
          <cell r="H12693" t="str">
            <v>petroleum</v>
          </cell>
        </row>
        <row r="12694">
          <cell r="C12694" t="str">
            <v>IC</v>
          </cell>
          <cell r="D12694">
            <v>1.8</v>
          </cell>
          <cell r="H12694" t="str">
            <v>petroleum</v>
          </cell>
        </row>
        <row r="12695">
          <cell r="C12695" t="str">
            <v>IC</v>
          </cell>
          <cell r="D12695">
            <v>1.8</v>
          </cell>
          <cell r="H12695" t="str">
            <v>petroleum</v>
          </cell>
        </row>
        <row r="12696">
          <cell r="C12696" t="str">
            <v>IC</v>
          </cell>
          <cell r="D12696">
            <v>1.8</v>
          </cell>
          <cell r="H12696" t="str">
            <v>petroleum</v>
          </cell>
        </row>
        <row r="12697">
          <cell r="C12697" t="str">
            <v>IC</v>
          </cell>
          <cell r="D12697">
            <v>1.8</v>
          </cell>
          <cell r="H12697" t="str">
            <v>petroleum</v>
          </cell>
        </row>
        <row r="12698">
          <cell r="C12698" t="str">
            <v>GT</v>
          </cell>
          <cell r="D12698">
            <v>75</v>
          </cell>
          <cell r="H12698" t="str">
            <v>natural gas peaker</v>
          </cell>
        </row>
        <row r="12699">
          <cell r="C12699" t="str">
            <v>GT</v>
          </cell>
          <cell r="D12699">
            <v>75</v>
          </cell>
          <cell r="H12699" t="str">
            <v>natural gas peaker</v>
          </cell>
        </row>
        <row r="12700">
          <cell r="C12700" t="str">
            <v>GT</v>
          </cell>
          <cell r="D12700">
            <v>75</v>
          </cell>
          <cell r="H12700" t="str">
            <v>natural gas peaker</v>
          </cell>
        </row>
        <row r="12701">
          <cell r="C12701" t="str">
            <v>GT</v>
          </cell>
          <cell r="D12701">
            <v>75</v>
          </cell>
          <cell r="H12701" t="str">
            <v>natural gas peaker</v>
          </cell>
        </row>
        <row r="12702">
          <cell r="C12702" t="str">
            <v>GT</v>
          </cell>
          <cell r="D12702">
            <v>75</v>
          </cell>
          <cell r="H12702" t="str">
            <v>natural gas peaker</v>
          </cell>
        </row>
        <row r="12703">
          <cell r="C12703" t="str">
            <v>GT</v>
          </cell>
          <cell r="D12703">
            <v>75</v>
          </cell>
          <cell r="H12703" t="str">
            <v>natural gas peaker</v>
          </cell>
        </row>
        <row r="12704">
          <cell r="C12704" t="str">
            <v>GT</v>
          </cell>
          <cell r="D12704">
            <v>1.8</v>
          </cell>
          <cell r="H12704" t="str">
            <v>natural gas peaker</v>
          </cell>
        </row>
        <row r="12705">
          <cell r="C12705" t="str">
            <v>GT</v>
          </cell>
          <cell r="D12705">
            <v>1.8</v>
          </cell>
          <cell r="H12705" t="str">
            <v>natural gas peaker</v>
          </cell>
        </row>
        <row r="12706">
          <cell r="C12706" t="str">
            <v>ST</v>
          </cell>
          <cell r="D12706">
            <v>0.9</v>
          </cell>
          <cell r="H12706" t="str">
            <v>other</v>
          </cell>
        </row>
        <row r="12707">
          <cell r="C12707" t="str">
            <v>GT</v>
          </cell>
          <cell r="D12707">
            <v>167.1</v>
          </cell>
          <cell r="H12707" t="str">
            <v>natural gas peaker</v>
          </cell>
        </row>
        <row r="12708">
          <cell r="C12708" t="str">
            <v>GT</v>
          </cell>
          <cell r="D12708">
            <v>49</v>
          </cell>
          <cell r="H12708" t="str">
            <v>natural gas peaker</v>
          </cell>
        </row>
        <row r="12709">
          <cell r="C12709" t="str">
            <v>GT</v>
          </cell>
          <cell r="D12709">
            <v>165.3</v>
          </cell>
          <cell r="H12709" t="str">
            <v>natural gas peaker</v>
          </cell>
        </row>
        <row r="12710">
          <cell r="C12710" t="str">
            <v>GT</v>
          </cell>
          <cell r="D12710">
            <v>162.5</v>
          </cell>
          <cell r="H12710" t="str">
            <v>natural gas peaker</v>
          </cell>
        </row>
        <row r="12711">
          <cell r="C12711" t="str">
            <v>GT</v>
          </cell>
          <cell r="D12711">
            <v>162</v>
          </cell>
          <cell r="H12711" t="str">
            <v>natural gas peaker</v>
          </cell>
        </row>
        <row r="12712">
          <cell r="C12712" t="str">
            <v>GT</v>
          </cell>
          <cell r="D12712">
            <v>48.8</v>
          </cell>
          <cell r="H12712" t="str">
            <v>natural gas peaker</v>
          </cell>
        </row>
        <row r="12713">
          <cell r="C12713" t="str">
            <v>GT</v>
          </cell>
          <cell r="D12713">
            <v>46.5</v>
          </cell>
          <cell r="H12713" t="str">
            <v>natural gas peaker</v>
          </cell>
        </row>
        <row r="12714">
          <cell r="C12714" t="str">
            <v>GT</v>
          </cell>
          <cell r="D12714">
            <v>48.3</v>
          </cell>
          <cell r="H12714" t="str">
            <v>natural gas peaker</v>
          </cell>
        </row>
        <row r="12715">
          <cell r="C12715" t="str">
            <v>GT</v>
          </cell>
          <cell r="D12715">
            <v>50.2</v>
          </cell>
          <cell r="H12715" t="str">
            <v>natural gas peaker</v>
          </cell>
        </row>
        <row r="12716">
          <cell r="C12716" t="str">
            <v>GT</v>
          </cell>
          <cell r="D12716">
            <v>49.4</v>
          </cell>
          <cell r="H12716" t="str">
            <v>natural gas peaker</v>
          </cell>
        </row>
        <row r="12717">
          <cell r="C12717" t="str">
            <v>GT</v>
          </cell>
          <cell r="D12717">
            <v>37</v>
          </cell>
          <cell r="H12717" t="str">
            <v>natural gas peaker</v>
          </cell>
        </row>
        <row r="12718">
          <cell r="C12718" t="str">
            <v>GT</v>
          </cell>
          <cell r="D12718">
            <v>37</v>
          </cell>
          <cell r="H12718" t="str">
            <v>natural gas peaker</v>
          </cell>
        </row>
        <row r="12719">
          <cell r="C12719" t="str">
            <v>GT</v>
          </cell>
          <cell r="D12719">
            <v>37</v>
          </cell>
          <cell r="H12719" t="str">
            <v>natural gas peaker</v>
          </cell>
        </row>
        <row r="12720">
          <cell r="C12720" t="str">
            <v>GT</v>
          </cell>
          <cell r="D12720">
            <v>37</v>
          </cell>
          <cell r="H12720" t="str">
            <v>natural gas peaker</v>
          </cell>
        </row>
        <row r="12721">
          <cell r="C12721" t="str">
            <v>GT</v>
          </cell>
          <cell r="D12721">
            <v>37</v>
          </cell>
          <cell r="H12721" t="str">
            <v>natural gas peaker</v>
          </cell>
        </row>
        <row r="12722">
          <cell r="C12722" t="str">
            <v>GT</v>
          </cell>
          <cell r="D12722">
            <v>37</v>
          </cell>
          <cell r="H12722" t="str">
            <v>natural gas peaker</v>
          </cell>
        </row>
        <row r="12723">
          <cell r="C12723" t="str">
            <v>GT</v>
          </cell>
          <cell r="D12723">
            <v>37</v>
          </cell>
          <cell r="H12723" t="str">
            <v>natural gas peaker</v>
          </cell>
        </row>
        <row r="12724">
          <cell r="C12724" t="str">
            <v>GT</v>
          </cell>
          <cell r="D12724">
            <v>37</v>
          </cell>
          <cell r="H12724" t="str">
            <v>natural gas peaker</v>
          </cell>
        </row>
        <row r="12725">
          <cell r="C12725" t="str">
            <v>CT</v>
          </cell>
          <cell r="D12725">
            <v>162</v>
          </cell>
          <cell r="H12725" t="str">
            <v>natural gas nonpeaker</v>
          </cell>
        </row>
        <row r="12726">
          <cell r="C12726" t="str">
            <v>CT</v>
          </cell>
          <cell r="D12726">
            <v>163</v>
          </cell>
          <cell r="H12726" t="str">
            <v>natural gas nonpeaker</v>
          </cell>
        </row>
        <row r="12727">
          <cell r="C12727" t="str">
            <v>CA</v>
          </cell>
          <cell r="D12727">
            <v>255</v>
          </cell>
          <cell r="H12727" t="str">
            <v>natural gas nonpeaker</v>
          </cell>
        </row>
        <row r="12728">
          <cell r="C12728" t="str">
            <v>CT</v>
          </cell>
          <cell r="D12728">
            <v>135</v>
          </cell>
          <cell r="H12728" t="str">
            <v>natural gas nonpeaker</v>
          </cell>
        </row>
        <row r="12729">
          <cell r="C12729" t="str">
            <v>CT</v>
          </cell>
          <cell r="D12729">
            <v>135</v>
          </cell>
          <cell r="H12729" t="str">
            <v>natural gas nonpeaker</v>
          </cell>
        </row>
        <row r="12730">
          <cell r="C12730" t="str">
            <v>CA</v>
          </cell>
          <cell r="D12730">
            <v>190</v>
          </cell>
          <cell r="H12730" t="str">
            <v>natural gas nonpeaker</v>
          </cell>
        </row>
        <row r="12731">
          <cell r="C12731" t="str">
            <v>GT</v>
          </cell>
          <cell r="D12731">
            <v>50</v>
          </cell>
          <cell r="H12731" t="str">
            <v>natural gas peaker</v>
          </cell>
        </row>
        <row r="12732">
          <cell r="C12732" t="str">
            <v>GT</v>
          </cell>
          <cell r="D12732">
            <v>50</v>
          </cell>
          <cell r="H12732" t="str">
            <v>natural gas peaker</v>
          </cell>
        </row>
        <row r="12733">
          <cell r="C12733" t="str">
            <v>GT</v>
          </cell>
          <cell r="D12733">
            <v>50</v>
          </cell>
          <cell r="H12733" t="str">
            <v>natural gas peaker</v>
          </cell>
        </row>
        <row r="12734">
          <cell r="C12734" t="str">
            <v>GT</v>
          </cell>
          <cell r="D12734">
            <v>50</v>
          </cell>
          <cell r="H12734" t="str">
            <v>natural gas peaker</v>
          </cell>
        </row>
        <row r="12735">
          <cell r="C12735" t="str">
            <v>GT</v>
          </cell>
          <cell r="D12735">
            <v>50</v>
          </cell>
          <cell r="H12735" t="str">
            <v>natural gas peaker</v>
          </cell>
        </row>
        <row r="12736">
          <cell r="C12736" t="str">
            <v>GT</v>
          </cell>
          <cell r="D12736">
            <v>50</v>
          </cell>
          <cell r="H12736" t="str">
            <v>natural gas peaker</v>
          </cell>
        </row>
        <row r="12737">
          <cell r="C12737" t="str">
            <v>GT</v>
          </cell>
          <cell r="D12737">
            <v>50</v>
          </cell>
          <cell r="H12737" t="str">
            <v>natural gas peaker</v>
          </cell>
        </row>
        <row r="12738">
          <cell r="C12738" t="str">
            <v>GT</v>
          </cell>
          <cell r="D12738">
            <v>50</v>
          </cell>
          <cell r="H12738" t="str">
            <v>natural gas peaker</v>
          </cell>
        </row>
        <row r="12739">
          <cell r="C12739" t="str">
            <v>GT</v>
          </cell>
          <cell r="D12739">
            <v>50</v>
          </cell>
          <cell r="H12739" t="str">
            <v>natural gas peaker</v>
          </cell>
        </row>
        <row r="12740">
          <cell r="C12740" t="str">
            <v>GT</v>
          </cell>
          <cell r="D12740">
            <v>50</v>
          </cell>
          <cell r="H12740" t="str">
            <v>natural gas peaker</v>
          </cell>
        </row>
        <row r="12741">
          <cell r="C12741" t="str">
            <v>GT</v>
          </cell>
          <cell r="D12741">
            <v>50</v>
          </cell>
          <cell r="H12741" t="str">
            <v>natural gas peaker</v>
          </cell>
        </row>
        <row r="12742">
          <cell r="C12742" t="str">
            <v>GT</v>
          </cell>
          <cell r="D12742">
            <v>163.80000000000001</v>
          </cell>
          <cell r="H12742" t="str">
            <v>natural gas peaker</v>
          </cell>
        </row>
        <row r="12743">
          <cell r="C12743" t="str">
            <v>GT</v>
          </cell>
          <cell r="D12743">
            <v>163</v>
          </cell>
          <cell r="H12743" t="str">
            <v>natural gas peaker</v>
          </cell>
        </row>
        <row r="12744">
          <cell r="C12744" t="str">
            <v>GT</v>
          </cell>
          <cell r="D12744">
            <v>163</v>
          </cell>
          <cell r="H12744" t="str">
            <v>natural gas peaker</v>
          </cell>
        </row>
        <row r="12745">
          <cell r="C12745" t="str">
            <v>GT</v>
          </cell>
          <cell r="D12745">
            <v>163</v>
          </cell>
          <cell r="H12745" t="str">
            <v>natural gas peaker</v>
          </cell>
        </row>
        <row r="12746">
          <cell r="C12746" t="str">
            <v>GT</v>
          </cell>
          <cell r="D12746">
            <v>163</v>
          </cell>
          <cell r="H12746" t="str">
            <v>natural gas peaker</v>
          </cell>
        </row>
        <row r="12747">
          <cell r="C12747" t="str">
            <v>WT</v>
          </cell>
          <cell r="D12747">
            <v>76.5</v>
          </cell>
          <cell r="H12747" t="str">
            <v>onshore wind</v>
          </cell>
        </row>
        <row r="12748">
          <cell r="C12748" t="str">
            <v>HY</v>
          </cell>
          <cell r="D12748">
            <v>0.7</v>
          </cell>
          <cell r="H12748" t="str">
            <v>hydro</v>
          </cell>
        </row>
        <row r="12749">
          <cell r="C12749" t="str">
            <v>HY</v>
          </cell>
          <cell r="D12749">
            <v>0.7</v>
          </cell>
          <cell r="H12749" t="str">
            <v>hydro</v>
          </cell>
        </row>
        <row r="12750">
          <cell r="C12750" t="str">
            <v>HY</v>
          </cell>
          <cell r="D12750">
            <v>0.7</v>
          </cell>
          <cell r="H12750" t="str">
            <v>hydro</v>
          </cell>
        </row>
        <row r="12751">
          <cell r="C12751" t="str">
            <v>HY</v>
          </cell>
          <cell r="D12751">
            <v>0.9</v>
          </cell>
          <cell r="H12751" t="str">
            <v>hydro</v>
          </cell>
        </row>
        <row r="12752">
          <cell r="C12752" t="str">
            <v>HY</v>
          </cell>
          <cell r="D12752">
            <v>0.9</v>
          </cell>
          <cell r="H12752" t="str">
            <v>hydro</v>
          </cell>
        </row>
        <row r="12753">
          <cell r="C12753" t="str">
            <v>CT</v>
          </cell>
          <cell r="D12753">
            <v>155</v>
          </cell>
          <cell r="H12753" t="str">
            <v>natural gas nonpeaker</v>
          </cell>
        </row>
        <row r="12754">
          <cell r="C12754" t="str">
            <v>CT</v>
          </cell>
          <cell r="D12754">
            <v>180</v>
          </cell>
          <cell r="H12754" t="str">
            <v>natural gas nonpeaker</v>
          </cell>
        </row>
        <row r="12755">
          <cell r="C12755" t="str">
            <v>CT</v>
          </cell>
          <cell r="D12755">
            <v>155</v>
          </cell>
          <cell r="H12755" t="str">
            <v>natural gas nonpeaker</v>
          </cell>
        </row>
        <row r="12756">
          <cell r="C12756" t="str">
            <v>CA</v>
          </cell>
          <cell r="D12756">
            <v>260</v>
          </cell>
          <cell r="H12756" t="str">
            <v>natural gas nonpeaker</v>
          </cell>
        </row>
        <row r="12757">
          <cell r="C12757" t="str">
            <v>CT</v>
          </cell>
          <cell r="D12757">
            <v>161</v>
          </cell>
          <cell r="H12757" t="str">
            <v>natural gas nonpeaker</v>
          </cell>
        </row>
        <row r="12758">
          <cell r="C12758" t="str">
            <v>CT</v>
          </cell>
          <cell r="D12758">
            <v>161</v>
          </cell>
          <cell r="H12758" t="str">
            <v>natural gas nonpeaker</v>
          </cell>
        </row>
        <row r="12759">
          <cell r="C12759" t="str">
            <v>CT</v>
          </cell>
          <cell r="D12759">
            <v>161</v>
          </cell>
          <cell r="H12759" t="str">
            <v>natural gas nonpeaker</v>
          </cell>
        </row>
        <row r="12760">
          <cell r="C12760" t="str">
            <v>CA</v>
          </cell>
          <cell r="D12760">
            <v>266</v>
          </cell>
          <cell r="H12760" t="str">
            <v>natural gas nonpeaker</v>
          </cell>
        </row>
        <row r="12761">
          <cell r="C12761" t="str">
            <v>CT</v>
          </cell>
          <cell r="D12761">
            <v>175</v>
          </cell>
          <cell r="H12761" t="str">
            <v>natural gas nonpeaker</v>
          </cell>
        </row>
        <row r="12762">
          <cell r="C12762" t="str">
            <v>CT</v>
          </cell>
          <cell r="D12762">
            <v>172.4</v>
          </cell>
          <cell r="H12762" t="str">
            <v>natural gas nonpeaker</v>
          </cell>
        </row>
        <row r="12763">
          <cell r="C12763" t="str">
            <v>CA</v>
          </cell>
          <cell r="D12763">
            <v>190.2</v>
          </cell>
          <cell r="H12763" t="str">
            <v>natural gas nonpeaker</v>
          </cell>
        </row>
        <row r="12764">
          <cell r="C12764" t="str">
            <v>CT</v>
          </cell>
          <cell r="D12764">
            <v>156.5</v>
          </cell>
          <cell r="H12764" t="str">
            <v>natural gas nonpeaker</v>
          </cell>
        </row>
        <row r="12765">
          <cell r="C12765" t="str">
            <v>CT</v>
          </cell>
          <cell r="D12765">
            <v>156.5</v>
          </cell>
          <cell r="H12765" t="str">
            <v>natural gas nonpeaker</v>
          </cell>
        </row>
        <row r="12766">
          <cell r="C12766" t="str">
            <v>CA</v>
          </cell>
          <cell r="D12766">
            <v>201</v>
          </cell>
          <cell r="H12766" t="str">
            <v>natural gas nonpeaker</v>
          </cell>
        </row>
        <row r="12767">
          <cell r="C12767" t="str">
            <v>GT</v>
          </cell>
          <cell r="D12767">
            <v>162</v>
          </cell>
          <cell r="H12767" t="str">
            <v>natural gas peaker</v>
          </cell>
        </row>
        <row r="12768">
          <cell r="C12768" t="str">
            <v>GT</v>
          </cell>
          <cell r="D12768">
            <v>165</v>
          </cell>
          <cell r="H12768" t="str">
            <v>natural gas peaker</v>
          </cell>
        </row>
        <row r="12769">
          <cell r="C12769" t="str">
            <v>CT</v>
          </cell>
          <cell r="D12769">
            <v>220.5</v>
          </cell>
          <cell r="H12769" t="str">
            <v>natural gas nonpeaker</v>
          </cell>
        </row>
        <row r="12770">
          <cell r="C12770" t="str">
            <v>CA</v>
          </cell>
          <cell r="D12770">
            <v>134</v>
          </cell>
          <cell r="H12770" t="str">
            <v>natural gas nonpeaker</v>
          </cell>
        </row>
        <row r="12771">
          <cell r="C12771" t="str">
            <v>CT</v>
          </cell>
          <cell r="D12771">
            <v>225.5</v>
          </cell>
          <cell r="H12771" t="str">
            <v>natural gas nonpeaker</v>
          </cell>
        </row>
        <row r="12772">
          <cell r="C12772" t="str">
            <v>CA</v>
          </cell>
          <cell r="D12772">
            <v>137</v>
          </cell>
          <cell r="H12772" t="str">
            <v>natural gas nonpeaker</v>
          </cell>
        </row>
        <row r="12773">
          <cell r="C12773" t="str">
            <v>CT</v>
          </cell>
          <cell r="D12773">
            <v>224.8</v>
          </cell>
          <cell r="H12773" t="str">
            <v>natural gas nonpeaker</v>
          </cell>
        </row>
        <row r="12774">
          <cell r="C12774" t="str">
            <v>CA</v>
          </cell>
          <cell r="D12774">
            <v>135.30000000000001</v>
          </cell>
          <cell r="H12774" t="str">
            <v>natural gas nonpeaker</v>
          </cell>
        </row>
        <row r="12775">
          <cell r="C12775" t="str">
            <v>CT</v>
          </cell>
          <cell r="D12775">
            <v>183</v>
          </cell>
          <cell r="H12775" t="str">
            <v>natural gas nonpeaker</v>
          </cell>
        </row>
        <row r="12776">
          <cell r="C12776" t="str">
            <v>CT</v>
          </cell>
          <cell r="D12776">
            <v>191</v>
          </cell>
          <cell r="H12776" t="str">
            <v>natural gas nonpeaker</v>
          </cell>
        </row>
        <row r="12777">
          <cell r="C12777" t="str">
            <v>CT</v>
          </cell>
          <cell r="D12777">
            <v>198</v>
          </cell>
          <cell r="H12777" t="str">
            <v>natural gas nonpeaker</v>
          </cell>
        </row>
        <row r="12778">
          <cell r="C12778" t="str">
            <v>CT</v>
          </cell>
          <cell r="D12778">
            <v>198</v>
          </cell>
          <cell r="H12778" t="str">
            <v>natural gas nonpeaker</v>
          </cell>
        </row>
        <row r="12779">
          <cell r="C12779" t="str">
            <v>CA</v>
          </cell>
          <cell r="D12779">
            <v>258</v>
          </cell>
          <cell r="H12779" t="str">
            <v>natural gas nonpeaker</v>
          </cell>
        </row>
        <row r="12780">
          <cell r="C12780" t="str">
            <v>CA</v>
          </cell>
          <cell r="D12780">
            <v>258</v>
          </cell>
          <cell r="H12780" t="str">
            <v>natural gas nonpeaker</v>
          </cell>
        </row>
        <row r="12781">
          <cell r="C12781" t="str">
            <v>CT</v>
          </cell>
          <cell r="D12781">
            <v>185</v>
          </cell>
          <cell r="H12781" t="str">
            <v>natural gas nonpeaker</v>
          </cell>
        </row>
        <row r="12782">
          <cell r="C12782" t="str">
            <v>CT</v>
          </cell>
          <cell r="D12782">
            <v>185</v>
          </cell>
          <cell r="H12782" t="str">
            <v>natural gas nonpeaker</v>
          </cell>
        </row>
        <row r="12783">
          <cell r="C12783" t="str">
            <v>CT</v>
          </cell>
          <cell r="D12783">
            <v>183</v>
          </cell>
          <cell r="H12783" t="str">
            <v>natural gas nonpeaker</v>
          </cell>
        </row>
        <row r="12784">
          <cell r="C12784" t="str">
            <v>CA</v>
          </cell>
          <cell r="D12784">
            <v>215</v>
          </cell>
          <cell r="H12784" t="str">
            <v>natural gas nonpeaker</v>
          </cell>
        </row>
        <row r="12785">
          <cell r="C12785" t="str">
            <v>GT</v>
          </cell>
          <cell r="D12785">
            <v>49</v>
          </cell>
          <cell r="H12785" t="str">
            <v>natural gas peaker</v>
          </cell>
        </row>
        <row r="12786">
          <cell r="C12786" t="str">
            <v>GT</v>
          </cell>
          <cell r="D12786">
            <v>49</v>
          </cell>
          <cell r="H12786" t="str">
            <v>natural gas peaker</v>
          </cell>
        </row>
        <row r="12787">
          <cell r="C12787" t="str">
            <v>GT</v>
          </cell>
          <cell r="D12787">
            <v>49</v>
          </cell>
          <cell r="H12787" t="str">
            <v>natural gas peaker</v>
          </cell>
        </row>
        <row r="12788">
          <cell r="C12788" t="str">
            <v>GT</v>
          </cell>
          <cell r="D12788">
            <v>49</v>
          </cell>
          <cell r="H12788" t="str">
            <v>natural gas peaker</v>
          </cell>
        </row>
        <row r="12789">
          <cell r="C12789" t="str">
            <v>CT</v>
          </cell>
          <cell r="D12789">
            <v>146</v>
          </cell>
          <cell r="H12789" t="str">
            <v>natural gas nonpeaker</v>
          </cell>
        </row>
        <row r="12790">
          <cell r="C12790" t="str">
            <v>CT</v>
          </cell>
          <cell r="D12790">
            <v>146</v>
          </cell>
          <cell r="H12790" t="str">
            <v>natural gas nonpeaker</v>
          </cell>
        </row>
        <row r="12791">
          <cell r="C12791" t="str">
            <v>CA</v>
          </cell>
          <cell r="D12791">
            <v>223</v>
          </cell>
          <cell r="H12791" t="str">
            <v>natural gas nonpeaker</v>
          </cell>
        </row>
        <row r="12792">
          <cell r="C12792" t="str">
            <v>GT</v>
          </cell>
          <cell r="D12792">
            <v>23</v>
          </cell>
          <cell r="H12792" t="str">
            <v>natural gas peaker</v>
          </cell>
        </row>
        <row r="12793">
          <cell r="C12793" t="str">
            <v>GT</v>
          </cell>
          <cell r="D12793">
            <v>32.799999999999997</v>
          </cell>
          <cell r="H12793" t="str">
            <v>natural gas peaker</v>
          </cell>
        </row>
        <row r="12794">
          <cell r="C12794" t="str">
            <v>GT</v>
          </cell>
          <cell r="D12794">
            <v>33.200000000000003</v>
          </cell>
          <cell r="H12794" t="str">
            <v>natural gas peaker</v>
          </cell>
        </row>
        <row r="12795">
          <cell r="C12795" t="str">
            <v>ST</v>
          </cell>
          <cell r="D12795">
            <v>20.5</v>
          </cell>
          <cell r="H12795" t="str">
            <v>natural gas peaker</v>
          </cell>
        </row>
        <row r="12796">
          <cell r="C12796" t="str">
            <v>GT</v>
          </cell>
          <cell r="D12796">
            <v>72.400000000000006</v>
          </cell>
          <cell r="H12796" t="str">
            <v>natural gas peaker</v>
          </cell>
        </row>
        <row r="12797">
          <cell r="C12797" t="str">
            <v>GT</v>
          </cell>
          <cell r="D12797">
            <v>75</v>
          </cell>
          <cell r="H12797" t="str">
            <v>natural gas peaker</v>
          </cell>
        </row>
        <row r="12798">
          <cell r="C12798" t="str">
            <v>ST</v>
          </cell>
          <cell r="D12798">
            <v>11.7</v>
          </cell>
          <cell r="H12798" t="str">
            <v>other</v>
          </cell>
        </row>
        <row r="12799">
          <cell r="C12799" t="str">
            <v>CT</v>
          </cell>
          <cell r="D12799">
            <v>155</v>
          </cell>
          <cell r="H12799" t="str">
            <v>natural gas nonpeaker</v>
          </cell>
        </row>
        <row r="12800">
          <cell r="C12800" t="str">
            <v>CT</v>
          </cell>
          <cell r="D12800">
            <v>155</v>
          </cell>
          <cell r="H12800" t="str">
            <v>natural gas nonpeaker</v>
          </cell>
        </row>
        <row r="12801">
          <cell r="C12801" t="str">
            <v>CA</v>
          </cell>
          <cell r="D12801">
            <v>150</v>
          </cell>
          <cell r="H12801" t="str">
            <v>other</v>
          </cell>
        </row>
        <row r="12802">
          <cell r="C12802" t="str">
            <v>CT</v>
          </cell>
          <cell r="D12802">
            <v>228.8</v>
          </cell>
          <cell r="H12802" t="str">
            <v>natural gas nonpeaker</v>
          </cell>
        </row>
        <row r="12803">
          <cell r="C12803" t="str">
            <v>CT</v>
          </cell>
          <cell r="D12803">
            <v>228.1</v>
          </cell>
          <cell r="H12803" t="str">
            <v>natural gas nonpeaker</v>
          </cell>
        </row>
        <row r="12804">
          <cell r="C12804" t="str">
            <v>CA</v>
          </cell>
          <cell r="D12804">
            <v>269.10000000000002</v>
          </cell>
          <cell r="H12804" t="str">
            <v>natural gas nonpeaker</v>
          </cell>
        </row>
        <row r="12805">
          <cell r="C12805" t="str">
            <v>ST</v>
          </cell>
          <cell r="D12805">
            <v>75.5</v>
          </cell>
          <cell r="H12805" t="str">
            <v>natural gas peaker</v>
          </cell>
        </row>
        <row r="12806">
          <cell r="C12806" t="str">
            <v>ST</v>
          </cell>
          <cell r="D12806">
            <v>181.3</v>
          </cell>
          <cell r="H12806" t="str">
            <v>natural gas peaker</v>
          </cell>
        </row>
        <row r="12807">
          <cell r="C12807" t="str">
            <v>ST</v>
          </cell>
          <cell r="D12807">
            <v>319.60000000000002</v>
          </cell>
          <cell r="H12807" t="str">
            <v>natural gas peaker</v>
          </cell>
        </row>
        <row r="12808">
          <cell r="C12808" t="str">
            <v>IC</v>
          </cell>
          <cell r="D12808">
            <v>0.7</v>
          </cell>
          <cell r="H12808" t="str">
            <v>petroleum</v>
          </cell>
        </row>
        <row r="12809">
          <cell r="C12809" t="str">
            <v>IC</v>
          </cell>
          <cell r="D12809">
            <v>0.7</v>
          </cell>
          <cell r="H12809" t="str">
            <v>petroleum</v>
          </cell>
        </row>
        <row r="12810">
          <cell r="C12810" t="str">
            <v>IC</v>
          </cell>
          <cell r="D12810">
            <v>0.8</v>
          </cell>
          <cell r="H12810" t="str">
            <v>petroleum</v>
          </cell>
        </row>
        <row r="12811">
          <cell r="C12811" t="str">
            <v>IC</v>
          </cell>
          <cell r="D12811">
            <v>0.8</v>
          </cell>
          <cell r="H12811" t="str">
            <v>petroleum</v>
          </cell>
        </row>
        <row r="12812">
          <cell r="C12812" t="str">
            <v>IC</v>
          </cell>
          <cell r="D12812">
            <v>0.8</v>
          </cell>
          <cell r="H12812" t="str">
            <v>petroleum</v>
          </cell>
        </row>
        <row r="12813">
          <cell r="C12813" t="str">
            <v>IC</v>
          </cell>
          <cell r="D12813">
            <v>0.8</v>
          </cell>
          <cell r="H12813" t="str">
            <v>petroleum</v>
          </cell>
        </row>
        <row r="12814">
          <cell r="C12814" t="str">
            <v>CT</v>
          </cell>
          <cell r="D12814">
            <v>225</v>
          </cell>
          <cell r="H12814" t="str">
            <v>natural gas nonpeaker</v>
          </cell>
        </row>
        <row r="12815">
          <cell r="C12815" t="str">
            <v>CT</v>
          </cell>
          <cell r="D12815">
            <v>225</v>
          </cell>
          <cell r="H12815" t="str">
            <v>natural gas nonpeaker</v>
          </cell>
        </row>
        <row r="12816">
          <cell r="C12816" t="str">
            <v>CA</v>
          </cell>
          <cell r="D12816">
            <v>230</v>
          </cell>
          <cell r="H12816" t="str">
            <v>natural gas nonpeaker</v>
          </cell>
        </row>
        <row r="12817">
          <cell r="C12817" t="str">
            <v>CT</v>
          </cell>
          <cell r="D12817">
            <v>165</v>
          </cell>
          <cell r="H12817" t="str">
            <v>natural gas nonpeaker</v>
          </cell>
        </row>
        <row r="12818">
          <cell r="C12818" t="str">
            <v>CT</v>
          </cell>
          <cell r="D12818">
            <v>165</v>
          </cell>
          <cell r="H12818" t="str">
            <v>natural gas nonpeaker</v>
          </cell>
        </row>
        <row r="12819">
          <cell r="C12819" t="str">
            <v>CT</v>
          </cell>
          <cell r="D12819">
            <v>165</v>
          </cell>
          <cell r="H12819" t="str">
            <v>natural gas nonpeaker</v>
          </cell>
        </row>
        <row r="12820">
          <cell r="C12820" t="str">
            <v>CT</v>
          </cell>
          <cell r="D12820">
            <v>165</v>
          </cell>
          <cell r="H12820" t="str">
            <v>natural gas nonpeaker</v>
          </cell>
        </row>
        <row r="12821">
          <cell r="C12821" t="str">
            <v>CA</v>
          </cell>
          <cell r="D12821">
            <v>255</v>
          </cell>
          <cell r="H12821" t="str">
            <v>natural gas nonpeaker</v>
          </cell>
        </row>
        <row r="12822">
          <cell r="C12822" t="str">
            <v>CA</v>
          </cell>
          <cell r="D12822">
            <v>255</v>
          </cell>
          <cell r="H12822" t="str">
            <v>natural gas nonpeaker</v>
          </cell>
        </row>
        <row r="12823">
          <cell r="C12823" t="str">
            <v>CT</v>
          </cell>
          <cell r="D12823">
            <v>175</v>
          </cell>
          <cell r="H12823" t="str">
            <v>natural gas nonpeaker</v>
          </cell>
        </row>
        <row r="12824">
          <cell r="C12824" t="str">
            <v>CT</v>
          </cell>
          <cell r="D12824">
            <v>175</v>
          </cell>
          <cell r="H12824" t="str">
            <v>natural gas nonpeaker</v>
          </cell>
        </row>
        <row r="12825">
          <cell r="C12825" t="str">
            <v>CT</v>
          </cell>
          <cell r="D12825">
            <v>175</v>
          </cell>
          <cell r="H12825" t="str">
            <v>natural gas nonpeaker</v>
          </cell>
        </row>
        <row r="12826">
          <cell r="C12826" t="str">
            <v>CA</v>
          </cell>
          <cell r="D12826">
            <v>275</v>
          </cell>
          <cell r="H12826" t="str">
            <v>natural gas nonpeaker</v>
          </cell>
        </row>
        <row r="12827">
          <cell r="C12827" t="str">
            <v>CT</v>
          </cell>
          <cell r="D12827">
            <v>184</v>
          </cell>
          <cell r="H12827" t="str">
            <v>natural gas nonpeaker</v>
          </cell>
        </row>
        <row r="12828">
          <cell r="C12828" t="str">
            <v>CT</v>
          </cell>
          <cell r="D12828">
            <v>184</v>
          </cell>
          <cell r="H12828" t="str">
            <v>natural gas nonpeaker</v>
          </cell>
        </row>
        <row r="12829">
          <cell r="C12829" t="str">
            <v>CA</v>
          </cell>
          <cell r="D12829">
            <v>247</v>
          </cell>
          <cell r="H12829" t="str">
            <v>natural gas nonpeaker</v>
          </cell>
        </row>
        <row r="12830">
          <cell r="C12830" t="str">
            <v>GT</v>
          </cell>
          <cell r="D12830">
            <v>151</v>
          </cell>
          <cell r="H12830" t="str">
            <v>natural gas peaker</v>
          </cell>
        </row>
        <row r="12831">
          <cell r="C12831" t="str">
            <v>GT</v>
          </cell>
          <cell r="D12831">
            <v>157.9</v>
          </cell>
          <cell r="H12831" t="str">
            <v>natural gas peaker</v>
          </cell>
        </row>
        <row r="12832">
          <cell r="C12832" t="str">
            <v>GT</v>
          </cell>
          <cell r="D12832">
            <v>150</v>
          </cell>
          <cell r="H12832" t="str">
            <v>natural gas peaker</v>
          </cell>
        </row>
        <row r="12833">
          <cell r="C12833" t="str">
            <v>GT</v>
          </cell>
          <cell r="D12833">
            <v>156.6</v>
          </cell>
          <cell r="H12833" t="str">
            <v>natural gas peaker</v>
          </cell>
        </row>
        <row r="12834">
          <cell r="C12834" t="str">
            <v>CT</v>
          </cell>
          <cell r="D12834">
            <v>176</v>
          </cell>
          <cell r="H12834" t="str">
            <v>natural gas nonpeaker</v>
          </cell>
        </row>
        <row r="12835">
          <cell r="C12835" t="str">
            <v>CT</v>
          </cell>
          <cell r="D12835">
            <v>165</v>
          </cell>
          <cell r="H12835" t="str">
            <v>natural gas nonpeaker</v>
          </cell>
        </row>
        <row r="12836">
          <cell r="C12836" t="str">
            <v>CT</v>
          </cell>
          <cell r="D12836">
            <v>165</v>
          </cell>
          <cell r="H12836" t="str">
            <v>natural gas nonpeaker</v>
          </cell>
        </row>
        <row r="12837">
          <cell r="C12837" t="str">
            <v>CA</v>
          </cell>
          <cell r="D12837">
            <v>263.10000000000002</v>
          </cell>
          <cell r="H12837" t="str">
            <v>natural gas nonpeaker</v>
          </cell>
        </row>
        <row r="12838">
          <cell r="C12838" t="str">
            <v>CT</v>
          </cell>
          <cell r="D12838">
            <v>150.9</v>
          </cell>
          <cell r="H12838" t="str">
            <v>natural gas nonpeaker</v>
          </cell>
        </row>
        <row r="12839">
          <cell r="C12839" t="str">
            <v>CT</v>
          </cell>
          <cell r="D12839">
            <v>153</v>
          </cell>
          <cell r="H12839" t="str">
            <v>natural gas nonpeaker</v>
          </cell>
        </row>
        <row r="12840">
          <cell r="C12840" t="str">
            <v>CA</v>
          </cell>
          <cell r="D12840">
            <v>317.89999999999998</v>
          </cell>
          <cell r="H12840" t="str">
            <v>natural gas nonpeaker</v>
          </cell>
        </row>
        <row r="12841">
          <cell r="C12841" t="str">
            <v>CT</v>
          </cell>
          <cell r="D12841">
            <v>233.5</v>
          </cell>
          <cell r="H12841" t="str">
            <v>natural gas nonpeaker</v>
          </cell>
        </row>
        <row r="12842">
          <cell r="C12842" t="str">
            <v>CT</v>
          </cell>
          <cell r="D12842">
            <v>233.5</v>
          </cell>
          <cell r="H12842" t="str">
            <v>natural gas nonpeaker</v>
          </cell>
        </row>
        <row r="12843">
          <cell r="C12843" t="str">
            <v>CA</v>
          </cell>
          <cell r="D12843">
            <v>223.2</v>
          </cell>
          <cell r="H12843" t="str">
            <v>natural gas nonpeaker</v>
          </cell>
        </row>
        <row r="12844">
          <cell r="C12844" t="str">
            <v>CT</v>
          </cell>
          <cell r="D12844">
            <v>148</v>
          </cell>
          <cell r="H12844" t="str">
            <v>natural gas nonpeaker</v>
          </cell>
        </row>
        <row r="12845">
          <cell r="C12845" t="str">
            <v>CT</v>
          </cell>
          <cell r="D12845">
            <v>147</v>
          </cell>
          <cell r="H12845" t="str">
            <v>natural gas nonpeaker</v>
          </cell>
        </row>
        <row r="12846">
          <cell r="C12846" t="str">
            <v>CA</v>
          </cell>
          <cell r="D12846">
            <v>152</v>
          </cell>
          <cell r="H12846" t="str">
            <v>natural gas nonpeaker</v>
          </cell>
        </row>
        <row r="12847">
          <cell r="C12847" t="str">
            <v>WT</v>
          </cell>
          <cell r="D12847">
            <v>9.1999999999999993</v>
          </cell>
          <cell r="H12847" t="str">
            <v>onshore wind</v>
          </cell>
        </row>
        <row r="12848">
          <cell r="C12848" t="str">
            <v>CT</v>
          </cell>
          <cell r="D12848">
            <v>150.5</v>
          </cell>
          <cell r="H12848" t="str">
            <v>natural gas nonpeaker</v>
          </cell>
        </row>
        <row r="12849">
          <cell r="C12849" t="str">
            <v>CT</v>
          </cell>
          <cell r="D12849">
            <v>150.5</v>
          </cell>
          <cell r="H12849" t="str">
            <v>natural gas nonpeaker</v>
          </cell>
        </row>
        <row r="12850">
          <cell r="C12850" t="str">
            <v>CA</v>
          </cell>
          <cell r="D12850">
            <v>258</v>
          </cell>
          <cell r="H12850" t="str">
            <v>natural gas nonpeaker</v>
          </cell>
        </row>
        <row r="12851">
          <cell r="C12851" t="str">
            <v>CT</v>
          </cell>
          <cell r="D12851">
            <v>152.80000000000001</v>
          </cell>
          <cell r="H12851" t="str">
            <v>natural gas nonpeaker</v>
          </cell>
        </row>
        <row r="12852">
          <cell r="C12852" t="str">
            <v>CT</v>
          </cell>
          <cell r="D12852">
            <v>152.80000000000001</v>
          </cell>
          <cell r="H12852" t="str">
            <v>natural gas nonpeaker</v>
          </cell>
        </row>
        <row r="12853">
          <cell r="C12853" t="str">
            <v>CA</v>
          </cell>
          <cell r="D12853">
            <v>265.39999999999998</v>
          </cell>
          <cell r="H12853" t="str">
            <v>natural gas nonpeaker</v>
          </cell>
        </row>
        <row r="12854">
          <cell r="C12854" t="str">
            <v>GT</v>
          </cell>
          <cell r="D12854">
            <v>168.4</v>
          </cell>
          <cell r="H12854" t="str">
            <v>natural gas peaker</v>
          </cell>
        </row>
        <row r="12855">
          <cell r="C12855" t="str">
            <v>GT</v>
          </cell>
          <cell r="D12855">
            <v>163.6</v>
          </cell>
          <cell r="H12855" t="str">
            <v>natural gas peaker</v>
          </cell>
        </row>
        <row r="12856">
          <cell r="C12856" t="str">
            <v>GT</v>
          </cell>
          <cell r="D12856">
            <v>169</v>
          </cell>
          <cell r="H12856" t="str">
            <v>natural gas peaker</v>
          </cell>
        </row>
        <row r="12857">
          <cell r="C12857" t="str">
            <v>GT</v>
          </cell>
          <cell r="D12857">
            <v>169.7</v>
          </cell>
          <cell r="H12857" t="str">
            <v>natural gas peaker</v>
          </cell>
        </row>
        <row r="12858">
          <cell r="C12858" t="str">
            <v>GT</v>
          </cell>
          <cell r="D12858">
            <v>178.5</v>
          </cell>
          <cell r="H12858" t="str">
            <v>natural gas peaker</v>
          </cell>
        </row>
        <row r="12859">
          <cell r="C12859" t="str">
            <v>GT</v>
          </cell>
          <cell r="D12859">
            <v>174.2</v>
          </cell>
          <cell r="H12859" t="str">
            <v>natural gas peaker</v>
          </cell>
        </row>
        <row r="12860">
          <cell r="C12860" t="str">
            <v>GT</v>
          </cell>
          <cell r="D12860">
            <v>174.2</v>
          </cell>
          <cell r="H12860" t="str">
            <v>natural gas peaker</v>
          </cell>
        </row>
        <row r="12861">
          <cell r="C12861" t="str">
            <v>GT</v>
          </cell>
          <cell r="D12861">
            <v>176.1</v>
          </cell>
          <cell r="H12861" t="str">
            <v>natural gas peaker</v>
          </cell>
        </row>
        <row r="12862">
          <cell r="C12862" t="str">
            <v>GT</v>
          </cell>
          <cell r="D12862">
            <v>171.7</v>
          </cell>
          <cell r="H12862" t="str">
            <v>natural gas peaker</v>
          </cell>
        </row>
        <row r="12863">
          <cell r="C12863" t="str">
            <v>GT</v>
          </cell>
          <cell r="D12863">
            <v>171.7</v>
          </cell>
          <cell r="H12863" t="str">
            <v>natural gas peaker</v>
          </cell>
        </row>
        <row r="12864">
          <cell r="C12864" t="str">
            <v>CT</v>
          </cell>
          <cell r="D12864">
            <v>158.30000000000001</v>
          </cell>
          <cell r="H12864" t="str">
            <v>natural gas nonpeaker</v>
          </cell>
        </row>
        <row r="12865">
          <cell r="C12865" t="str">
            <v>CT</v>
          </cell>
          <cell r="D12865">
            <v>158.30000000000001</v>
          </cell>
          <cell r="H12865" t="str">
            <v>natural gas nonpeaker</v>
          </cell>
        </row>
        <row r="12866">
          <cell r="C12866" t="str">
            <v>CA</v>
          </cell>
          <cell r="D12866">
            <v>223.4</v>
          </cell>
          <cell r="H12866" t="str">
            <v>natural gas nonpeaker</v>
          </cell>
        </row>
        <row r="12867">
          <cell r="C12867" t="str">
            <v>WT</v>
          </cell>
          <cell r="D12867">
            <v>11.2</v>
          </cell>
          <cell r="H12867" t="str">
            <v>onshore wind</v>
          </cell>
        </row>
        <row r="12868">
          <cell r="C12868" t="str">
            <v>WT</v>
          </cell>
          <cell r="D12868">
            <v>11.8</v>
          </cell>
          <cell r="H12868" t="str">
            <v>onshore wind</v>
          </cell>
        </row>
        <row r="12869">
          <cell r="C12869" t="str">
            <v>CT</v>
          </cell>
          <cell r="D12869">
            <v>166</v>
          </cell>
          <cell r="H12869" t="str">
            <v>natural gas nonpeaker</v>
          </cell>
        </row>
        <row r="12870">
          <cell r="C12870" t="str">
            <v>CT</v>
          </cell>
          <cell r="D12870">
            <v>166</v>
          </cell>
          <cell r="H12870" t="str">
            <v>natural gas nonpeaker</v>
          </cell>
        </row>
        <row r="12871">
          <cell r="C12871" t="str">
            <v>CA</v>
          </cell>
          <cell r="D12871">
            <v>193</v>
          </cell>
          <cell r="H12871" t="str">
            <v>natural gas nonpeaker</v>
          </cell>
        </row>
        <row r="12872">
          <cell r="C12872" t="str">
            <v>CT</v>
          </cell>
          <cell r="D12872">
            <v>163.69999999999999</v>
          </cell>
          <cell r="H12872" t="str">
            <v>natural gas nonpeaker</v>
          </cell>
        </row>
        <row r="12873">
          <cell r="C12873" t="str">
            <v>CT</v>
          </cell>
          <cell r="D12873">
            <v>163.69999999999999</v>
          </cell>
          <cell r="H12873" t="str">
            <v>natural gas nonpeaker</v>
          </cell>
        </row>
        <row r="12874">
          <cell r="C12874" t="str">
            <v>CT</v>
          </cell>
          <cell r="D12874">
            <v>163.69999999999999</v>
          </cell>
          <cell r="H12874" t="str">
            <v>natural gas nonpeaker</v>
          </cell>
        </row>
        <row r="12875">
          <cell r="C12875" t="str">
            <v>CT</v>
          </cell>
          <cell r="D12875">
            <v>163.69999999999999</v>
          </cell>
          <cell r="H12875" t="str">
            <v>natural gas nonpeaker</v>
          </cell>
        </row>
        <row r="12876">
          <cell r="C12876" t="str">
            <v>CA</v>
          </cell>
          <cell r="D12876">
            <v>131.30000000000001</v>
          </cell>
          <cell r="H12876" t="str">
            <v>natural gas nonpeaker</v>
          </cell>
        </row>
        <row r="12877">
          <cell r="C12877" t="str">
            <v>CA</v>
          </cell>
          <cell r="D12877">
            <v>131.30000000000001</v>
          </cell>
          <cell r="H12877" t="str">
            <v>natural gas nonpeaker</v>
          </cell>
        </row>
        <row r="12878">
          <cell r="C12878" t="str">
            <v>CA</v>
          </cell>
          <cell r="D12878">
            <v>131.30000000000001</v>
          </cell>
          <cell r="H12878" t="str">
            <v>natural gas nonpeaker</v>
          </cell>
        </row>
        <row r="12879">
          <cell r="C12879" t="str">
            <v>CA</v>
          </cell>
          <cell r="D12879">
            <v>131.30000000000001</v>
          </cell>
          <cell r="H12879" t="str">
            <v>natural gas nonpeaker</v>
          </cell>
        </row>
        <row r="12880">
          <cell r="C12880" t="str">
            <v>CT</v>
          </cell>
          <cell r="D12880">
            <v>164.4</v>
          </cell>
          <cell r="H12880" t="str">
            <v>natural gas nonpeaker</v>
          </cell>
        </row>
        <row r="12881">
          <cell r="C12881" t="str">
            <v>CT</v>
          </cell>
          <cell r="D12881">
            <v>166.6</v>
          </cell>
          <cell r="H12881" t="str">
            <v>natural gas nonpeaker</v>
          </cell>
        </row>
        <row r="12882">
          <cell r="C12882" t="str">
            <v>CA</v>
          </cell>
          <cell r="D12882">
            <v>218</v>
          </cell>
          <cell r="H12882" t="str">
            <v>natural gas nonpeaker</v>
          </cell>
        </row>
        <row r="12883">
          <cell r="C12883" t="str">
            <v>GT</v>
          </cell>
          <cell r="D12883">
            <v>38</v>
          </cell>
          <cell r="H12883" t="str">
            <v>natural gas peaker</v>
          </cell>
        </row>
        <row r="12884">
          <cell r="C12884" t="str">
            <v>GT</v>
          </cell>
          <cell r="D12884">
            <v>38</v>
          </cell>
          <cell r="H12884" t="str">
            <v>natural gas peaker</v>
          </cell>
        </row>
        <row r="12885">
          <cell r="C12885" t="str">
            <v>GT</v>
          </cell>
          <cell r="D12885">
            <v>38</v>
          </cell>
          <cell r="H12885" t="str">
            <v>natural gas peaker</v>
          </cell>
        </row>
        <row r="12886">
          <cell r="C12886" t="str">
            <v>GT</v>
          </cell>
          <cell r="D12886">
            <v>38</v>
          </cell>
          <cell r="H12886" t="str">
            <v>natural gas peaker</v>
          </cell>
        </row>
        <row r="12887">
          <cell r="C12887" t="str">
            <v>WT</v>
          </cell>
          <cell r="D12887">
            <v>6.6</v>
          </cell>
          <cell r="H12887" t="str">
            <v>onshore wind</v>
          </cell>
        </row>
        <row r="12888">
          <cell r="C12888" t="str">
            <v>CT</v>
          </cell>
          <cell r="D12888">
            <v>21.7</v>
          </cell>
          <cell r="H12888" t="str">
            <v>petroleum</v>
          </cell>
        </row>
        <row r="12889">
          <cell r="C12889" t="str">
            <v>CT</v>
          </cell>
          <cell r="D12889">
            <v>21.7</v>
          </cell>
          <cell r="H12889" t="str">
            <v>petroleum</v>
          </cell>
        </row>
        <row r="12890">
          <cell r="C12890" t="str">
            <v>CA</v>
          </cell>
          <cell r="D12890">
            <v>17.399999999999999</v>
          </cell>
          <cell r="H12890" t="str">
            <v>petroleum</v>
          </cell>
        </row>
        <row r="12891">
          <cell r="C12891" t="str">
            <v>BA</v>
          </cell>
          <cell r="D12891">
            <v>10.4</v>
          </cell>
          <cell r="H12891" t="str">
            <v>other</v>
          </cell>
        </row>
        <row r="12892">
          <cell r="C12892" t="str">
            <v>CT</v>
          </cell>
          <cell r="D12892">
            <v>239.9</v>
          </cell>
          <cell r="H12892" t="str">
            <v>natural gas nonpeaker</v>
          </cell>
        </row>
        <row r="12893">
          <cell r="C12893" t="str">
            <v>CT</v>
          </cell>
          <cell r="D12893">
            <v>226.6</v>
          </cell>
          <cell r="H12893" t="str">
            <v>natural gas nonpeaker</v>
          </cell>
        </row>
        <row r="12894">
          <cell r="C12894" t="str">
            <v>CT</v>
          </cell>
          <cell r="D12894">
            <v>226.2</v>
          </cell>
          <cell r="H12894" t="str">
            <v>natural gas nonpeaker</v>
          </cell>
        </row>
        <row r="12895">
          <cell r="C12895" t="str">
            <v>CA</v>
          </cell>
          <cell r="D12895">
            <v>119.8</v>
          </cell>
          <cell r="H12895" t="str">
            <v>natural gas nonpeaker</v>
          </cell>
        </row>
        <row r="12896">
          <cell r="C12896" t="str">
            <v>CA</v>
          </cell>
          <cell r="D12896">
            <v>114.9</v>
          </cell>
          <cell r="H12896" t="str">
            <v>natural gas nonpeaker</v>
          </cell>
        </row>
        <row r="12897">
          <cell r="C12897" t="str">
            <v>CA</v>
          </cell>
          <cell r="D12897">
            <v>115.5</v>
          </cell>
          <cell r="H12897" t="str">
            <v>natural gas nonpeaker</v>
          </cell>
        </row>
        <row r="12898">
          <cell r="C12898" t="str">
            <v>CT</v>
          </cell>
          <cell r="D12898">
            <v>165</v>
          </cell>
          <cell r="H12898" t="str">
            <v>natural gas nonpeaker</v>
          </cell>
        </row>
        <row r="12899">
          <cell r="C12899" t="str">
            <v>CT</v>
          </cell>
          <cell r="D12899">
            <v>165</v>
          </cell>
          <cell r="H12899" t="str">
            <v>natural gas nonpeaker</v>
          </cell>
        </row>
        <row r="12900">
          <cell r="C12900" t="str">
            <v>CA</v>
          </cell>
          <cell r="D12900">
            <v>228</v>
          </cell>
          <cell r="H12900" t="str">
            <v>natural gas nonpeaker</v>
          </cell>
        </row>
        <row r="12901">
          <cell r="C12901" t="str">
            <v>GT</v>
          </cell>
          <cell r="D12901">
            <v>44</v>
          </cell>
          <cell r="H12901" t="str">
            <v>natural gas peaker</v>
          </cell>
        </row>
        <row r="12902">
          <cell r="C12902" t="str">
            <v>GT</v>
          </cell>
          <cell r="D12902">
            <v>44</v>
          </cell>
          <cell r="H12902" t="str">
            <v>natural gas peaker</v>
          </cell>
        </row>
        <row r="12903">
          <cell r="C12903" t="str">
            <v>CT</v>
          </cell>
          <cell r="D12903" t="str">
            <v xml:space="preserve"> </v>
          </cell>
          <cell r="H12903" t="str">
            <v>natural gas nonpeaker</v>
          </cell>
        </row>
        <row r="12904">
          <cell r="C12904" t="str">
            <v>CT</v>
          </cell>
          <cell r="D12904" t="str">
            <v xml:space="preserve"> </v>
          </cell>
          <cell r="H12904" t="str">
            <v>natural gas nonpeaker</v>
          </cell>
        </row>
        <row r="12905">
          <cell r="C12905" t="str">
            <v>CT</v>
          </cell>
          <cell r="D12905" t="str">
            <v xml:space="preserve"> </v>
          </cell>
          <cell r="H12905" t="str">
            <v>natural gas nonpeaker</v>
          </cell>
        </row>
        <row r="12906">
          <cell r="C12906" t="str">
            <v>CT</v>
          </cell>
          <cell r="D12906" t="str">
            <v xml:space="preserve"> </v>
          </cell>
          <cell r="H12906" t="str">
            <v>natural gas nonpeaker</v>
          </cell>
        </row>
        <row r="12907">
          <cell r="C12907" t="str">
            <v>CT</v>
          </cell>
          <cell r="D12907" t="str">
            <v xml:space="preserve"> </v>
          </cell>
          <cell r="H12907" t="str">
            <v>natural gas nonpeaker</v>
          </cell>
        </row>
        <row r="12908">
          <cell r="C12908" t="str">
            <v>CT</v>
          </cell>
          <cell r="D12908" t="str">
            <v xml:space="preserve"> </v>
          </cell>
          <cell r="H12908" t="str">
            <v>natural gas nonpeaker</v>
          </cell>
        </row>
        <row r="12909">
          <cell r="C12909" t="str">
            <v>CT</v>
          </cell>
          <cell r="D12909" t="str">
            <v xml:space="preserve"> </v>
          </cell>
          <cell r="H12909" t="str">
            <v>natural gas nonpeaker</v>
          </cell>
        </row>
        <row r="12910">
          <cell r="C12910" t="str">
            <v>CT</v>
          </cell>
          <cell r="D12910" t="str">
            <v xml:space="preserve"> </v>
          </cell>
          <cell r="H12910" t="str">
            <v>natural gas nonpeaker</v>
          </cell>
        </row>
        <row r="12911">
          <cell r="C12911" t="str">
            <v>CA</v>
          </cell>
          <cell r="D12911">
            <v>507.2</v>
          </cell>
          <cell r="H12911" t="str">
            <v>natural gas nonpeaker</v>
          </cell>
        </row>
        <row r="12912">
          <cell r="C12912" t="str">
            <v>CA</v>
          </cell>
          <cell r="D12912">
            <v>498</v>
          </cell>
          <cell r="H12912" t="str">
            <v>natural gas nonpeaker</v>
          </cell>
        </row>
        <row r="12913">
          <cell r="C12913" t="str">
            <v>CA</v>
          </cell>
          <cell r="D12913">
            <v>505.6</v>
          </cell>
          <cell r="H12913" t="str">
            <v>natural gas nonpeaker</v>
          </cell>
        </row>
        <row r="12914">
          <cell r="C12914" t="str">
            <v>CA</v>
          </cell>
          <cell r="D12914">
            <v>503.2</v>
          </cell>
          <cell r="H12914" t="str">
            <v>natural gas nonpeaker</v>
          </cell>
        </row>
        <row r="12915">
          <cell r="C12915" t="str">
            <v>GT</v>
          </cell>
          <cell r="D12915">
            <v>46</v>
          </cell>
          <cell r="H12915" t="str">
            <v>petroleum</v>
          </cell>
        </row>
        <row r="12916">
          <cell r="C12916" t="str">
            <v>GT</v>
          </cell>
          <cell r="D12916">
            <v>46.3</v>
          </cell>
          <cell r="H12916" t="str">
            <v>petroleum</v>
          </cell>
        </row>
        <row r="12917">
          <cell r="C12917" t="str">
            <v>GT</v>
          </cell>
          <cell r="D12917">
            <v>45.8</v>
          </cell>
          <cell r="H12917" t="str">
            <v>petroleum</v>
          </cell>
        </row>
        <row r="12918">
          <cell r="C12918" t="str">
            <v>GT</v>
          </cell>
          <cell r="D12918">
            <v>44.7</v>
          </cell>
          <cell r="H12918" t="str">
            <v>petroleum</v>
          </cell>
        </row>
        <row r="12919">
          <cell r="C12919" t="str">
            <v>GT</v>
          </cell>
          <cell r="D12919">
            <v>46.7</v>
          </cell>
          <cell r="H12919" t="str">
            <v>petroleum</v>
          </cell>
        </row>
        <row r="12920">
          <cell r="C12920" t="str">
            <v>GT</v>
          </cell>
          <cell r="D12920">
            <v>45</v>
          </cell>
          <cell r="H12920" t="str">
            <v>petroleum</v>
          </cell>
        </row>
        <row r="12921">
          <cell r="C12921" t="str">
            <v>GT</v>
          </cell>
          <cell r="D12921">
            <v>46.4</v>
          </cell>
          <cell r="H12921" t="str">
            <v>petroleum</v>
          </cell>
        </row>
        <row r="12922">
          <cell r="C12922" t="str">
            <v>CT</v>
          </cell>
          <cell r="D12922">
            <v>210</v>
          </cell>
          <cell r="H12922" t="str">
            <v>natural gas nonpeaker</v>
          </cell>
        </row>
        <row r="12923">
          <cell r="C12923" t="str">
            <v>CT</v>
          </cell>
          <cell r="D12923">
            <v>210</v>
          </cell>
          <cell r="H12923" t="str">
            <v>natural gas nonpeaker</v>
          </cell>
        </row>
        <row r="12924">
          <cell r="C12924" t="str">
            <v>CA</v>
          </cell>
          <cell r="D12924">
            <v>210</v>
          </cell>
          <cell r="H12924" t="str">
            <v>natural gas nonpeaker</v>
          </cell>
        </row>
        <row r="12925">
          <cell r="C12925" t="str">
            <v>CT</v>
          </cell>
          <cell r="D12925">
            <v>210</v>
          </cell>
          <cell r="H12925" t="str">
            <v>natural gas nonpeaker</v>
          </cell>
        </row>
        <row r="12926">
          <cell r="C12926" t="str">
            <v>CT</v>
          </cell>
          <cell r="D12926">
            <v>210</v>
          </cell>
          <cell r="H12926" t="str">
            <v>natural gas nonpeaker</v>
          </cell>
        </row>
        <row r="12927">
          <cell r="C12927" t="str">
            <v>CA</v>
          </cell>
          <cell r="D12927">
            <v>210</v>
          </cell>
          <cell r="H12927" t="str">
            <v>natural gas nonpeaker</v>
          </cell>
        </row>
        <row r="12928">
          <cell r="C12928" t="str">
            <v>CT</v>
          </cell>
          <cell r="D12928">
            <v>151.5</v>
          </cell>
          <cell r="H12928" t="str">
            <v>natural gas nonpeaker</v>
          </cell>
        </row>
        <row r="12929">
          <cell r="C12929" t="str">
            <v>CT</v>
          </cell>
          <cell r="D12929">
            <v>151.5</v>
          </cell>
          <cell r="H12929" t="str">
            <v>natural gas nonpeaker</v>
          </cell>
        </row>
        <row r="12930">
          <cell r="C12930" t="str">
            <v>CA</v>
          </cell>
          <cell r="D12930">
            <v>240</v>
          </cell>
          <cell r="H12930" t="str">
            <v>natural gas nonpeaker</v>
          </cell>
        </row>
        <row r="12931">
          <cell r="C12931" t="str">
            <v>IC</v>
          </cell>
          <cell r="D12931">
            <v>1.8</v>
          </cell>
          <cell r="H12931" t="str">
            <v>petroleum</v>
          </cell>
        </row>
        <row r="12932">
          <cell r="C12932" t="str">
            <v>IC</v>
          </cell>
          <cell r="D12932">
            <v>1.8</v>
          </cell>
          <cell r="H12932" t="str">
            <v>petroleum</v>
          </cell>
        </row>
        <row r="12933">
          <cell r="C12933" t="str">
            <v>IC</v>
          </cell>
          <cell r="D12933">
            <v>1.8</v>
          </cell>
          <cell r="H12933" t="str">
            <v>petroleum</v>
          </cell>
        </row>
        <row r="12934">
          <cell r="C12934" t="str">
            <v>IC</v>
          </cell>
          <cell r="D12934">
            <v>1.8</v>
          </cell>
          <cell r="H12934" t="str">
            <v>petroleum</v>
          </cell>
        </row>
        <row r="12935">
          <cell r="C12935" t="str">
            <v>IC</v>
          </cell>
          <cell r="D12935">
            <v>1.8</v>
          </cell>
          <cell r="H12935" t="str">
            <v>petroleum</v>
          </cell>
        </row>
        <row r="12936">
          <cell r="C12936" t="str">
            <v>IC</v>
          </cell>
          <cell r="D12936">
            <v>1.8</v>
          </cell>
          <cell r="H12936" t="str">
            <v>petroleum</v>
          </cell>
        </row>
        <row r="12937">
          <cell r="C12937" t="str">
            <v>GT</v>
          </cell>
          <cell r="D12937">
            <v>163</v>
          </cell>
          <cell r="H12937" t="str">
            <v>natural gas peaker</v>
          </cell>
        </row>
        <row r="12938">
          <cell r="C12938" t="str">
            <v>GT</v>
          </cell>
          <cell r="D12938">
            <v>163</v>
          </cell>
          <cell r="H12938" t="str">
            <v>natural gas peaker</v>
          </cell>
        </row>
        <row r="12939">
          <cell r="C12939" t="str">
            <v>GT</v>
          </cell>
          <cell r="D12939">
            <v>163</v>
          </cell>
          <cell r="H12939" t="str">
            <v>natural gas peaker</v>
          </cell>
        </row>
        <row r="12940">
          <cell r="C12940" t="str">
            <v>GT</v>
          </cell>
          <cell r="D12940">
            <v>152</v>
          </cell>
          <cell r="H12940" t="str">
            <v>natural gas peaker</v>
          </cell>
        </row>
        <row r="12941">
          <cell r="C12941" t="str">
            <v>GT</v>
          </cell>
          <cell r="D12941">
            <v>152</v>
          </cell>
          <cell r="H12941" t="str">
            <v>natural gas peaker</v>
          </cell>
        </row>
        <row r="12942">
          <cell r="C12942" t="str">
            <v>GT</v>
          </cell>
          <cell r="D12942">
            <v>152</v>
          </cell>
          <cell r="H12942" t="str">
            <v>natural gas peaker</v>
          </cell>
        </row>
        <row r="12943">
          <cell r="C12943" t="str">
            <v>CT</v>
          </cell>
          <cell r="D12943">
            <v>172</v>
          </cell>
          <cell r="H12943" t="str">
            <v>natural gas nonpeaker</v>
          </cell>
        </row>
        <row r="12944">
          <cell r="C12944" t="str">
            <v>CT</v>
          </cell>
          <cell r="D12944">
            <v>172</v>
          </cell>
          <cell r="H12944" t="str">
            <v>natural gas nonpeaker</v>
          </cell>
        </row>
        <row r="12945">
          <cell r="C12945" t="str">
            <v>CA</v>
          </cell>
          <cell r="D12945">
            <v>202.1</v>
          </cell>
          <cell r="H12945" t="str">
            <v>natural gas nonpeaker</v>
          </cell>
        </row>
        <row r="12946">
          <cell r="C12946" t="str">
            <v>GT</v>
          </cell>
          <cell r="D12946">
            <v>77</v>
          </cell>
          <cell r="H12946" t="str">
            <v>natural gas peaker</v>
          </cell>
        </row>
        <row r="12947">
          <cell r="C12947" t="str">
            <v>GT</v>
          </cell>
          <cell r="D12947">
            <v>77</v>
          </cell>
          <cell r="H12947" t="str">
            <v>natural gas peaker</v>
          </cell>
        </row>
        <row r="12948">
          <cell r="C12948" t="str">
            <v>GT</v>
          </cell>
          <cell r="D12948">
            <v>77</v>
          </cell>
          <cell r="H12948" t="str">
            <v>natural gas peaker</v>
          </cell>
        </row>
        <row r="12949">
          <cell r="C12949" t="str">
            <v>GT</v>
          </cell>
          <cell r="D12949">
            <v>77</v>
          </cell>
          <cell r="H12949" t="str">
            <v>natural gas peaker</v>
          </cell>
        </row>
        <row r="12950">
          <cell r="C12950" t="str">
            <v>WT</v>
          </cell>
          <cell r="D12950">
            <v>16.5</v>
          </cell>
          <cell r="H12950" t="str">
            <v>onshore wind</v>
          </cell>
        </row>
        <row r="12951">
          <cell r="C12951" t="str">
            <v>CT</v>
          </cell>
          <cell r="D12951">
            <v>179</v>
          </cell>
          <cell r="H12951" t="str">
            <v>natural gas nonpeaker</v>
          </cell>
        </row>
        <row r="12952">
          <cell r="C12952" t="str">
            <v>CT</v>
          </cell>
          <cell r="D12952">
            <v>179</v>
          </cell>
          <cell r="H12952" t="str">
            <v>natural gas nonpeaker</v>
          </cell>
        </row>
        <row r="12953">
          <cell r="C12953" t="str">
            <v>CA</v>
          </cell>
          <cell r="D12953">
            <v>303</v>
          </cell>
          <cell r="H12953" t="str">
            <v>natural gas nonpeaker</v>
          </cell>
        </row>
        <row r="12954">
          <cell r="C12954" t="str">
            <v>CT</v>
          </cell>
          <cell r="D12954">
            <v>156</v>
          </cell>
          <cell r="H12954" t="str">
            <v>natural gas nonpeaker</v>
          </cell>
        </row>
        <row r="12955">
          <cell r="C12955" t="str">
            <v>CT</v>
          </cell>
          <cell r="D12955">
            <v>156</v>
          </cell>
          <cell r="H12955" t="str">
            <v>natural gas nonpeaker</v>
          </cell>
        </row>
        <row r="12956">
          <cell r="C12956" t="str">
            <v>CA</v>
          </cell>
          <cell r="D12956">
            <v>213</v>
          </cell>
          <cell r="H12956" t="str">
            <v>natural gas nonpeaker</v>
          </cell>
        </row>
        <row r="12957">
          <cell r="C12957" t="str">
            <v>GT</v>
          </cell>
          <cell r="D12957">
            <v>166.5</v>
          </cell>
          <cell r="H12957" t="str">
            <v>natural gas peaker</v>
          </cell>
        </row>
        <row r="12958">
          <cell r="C12958" t="str">
            <v>GT</v>
          </cell>
          <cell r="D12958">
            <v>166.9</v>
          </cell>
          <cell r="H12958" t="str">
            <v>natural gas peaker</v>
          </cell>
        </row>
        <row r="12959">
          <cell r="C12959" t="str">
            <v>GT</v>
          </cell>
          <cell r="D12959">
            <v>169.9</v>
          </cell>
          <cell r="H12959" t="str">
            <v>natural gas peaker</v>
          </cell>
        </row>
        <row r="12960">
          <cell r="C12960" t="str">
            <v>GT</v>
          </cell>
          <cell r="D12960">
            <v>165.7</v>
          </cell>
          <cell r="H12960" t="str">
            <v>natural gas peaker</v>
          </cell>
        </row>
        <row r="12961">
          <cell r="C12961" t="str">
            <v>GT</v>
          </cell>
          <cell r="D12961">
            <v>169</v>
          </cell>
          <cell r="H12961" t="str">
            <v>natural gas peaker</v>
          </cell>
        </row>
        <row r="12962">
          <cell r="C12962" t="str">
            <v>GT</v>
          </cell>
          <cell r="D12962">
            <v>163</v>
          </cell>
          <cell r="H12962" t="str">
            <v>natural gas peaker</v>
          </cell>
        </row>
        <row r="12963">
          <cell r="C12963" t="str">
            <v>GT</v>
          </cell>
          <cell r="D12963">
            <v>163</v>
          </cell>
          <cell r="H12963" t="str">
            <v>natural gas peaker</v>
          </cell>
        </row>
        <row r="12964">
          <cell r="C12964" t="str">
            <v>GT</v>
          </cell>
          <cell r="D12964">
            <v>163</v>
          </cell>
          <cell r="H12964" t="str">
            <v>natural gas peaker</v>
          </cell>
        </row>
        <row r="12965">
          <cell r="C12965" t="str">
            <v>GT</v>
          </cell>
          <cell r="D12965">
            <v>163</v>
          </cell>
          <cell r="H12965" t="str">
            <v>natural gas peaker</v>
          </cell>
        </row>
        <row r="12966">
          <cell r="C12966" t="str">
            <v>CT</v>
          </cell>
          <cell r="D12966">
            <v>170</v>
          </cell>
          <cell r="H12966" t="str">
            <v>natural gas nonpeaker</v>
          </cell>
        </row>
        <row r="12967">
          <cell r="C12967" t="str">
            <v>CT</v>
          </cell>
          <cell r="D12967">
            <v>170</v>
          </cell>
          <cell r="H12967" t="str">
            <v>natural gas nonpeaker</v>
          </cell>
        </row>
        <row r="12968">
          <cell r="C12968" t="str">
            <v>CA</v>
          </cell>
          <cell r="D12968">
            <v>181</v>
          </cell>
          <cell r="H12968" t="str">
            <v>natural gas nonpeaker</v>
          </cell>
        </row>
        <row r="12969">
          <cell r="C12969" t="str">
            <v>CT</v>
          </cell>
          <cell r="D12969">
            <v>216.4</v>
          </cell>
          <cell r="H12969" t="str">
            <v>natural gas nonpeaker</v>
          </cell>
        </row>
        <row r="12970">
          <cell r="C12970" t="str">
            <v>CT</v>
          </cell>
          <cell r="D12970">
            <v>223.5</v>
          </cell>
          <cell r="H12970" t="str">
            <v>natural gas nonpeaker</v>
          </cell>
        </row>
        <row r="12971">
          <cell r="C12971" t="str">
            <v>CT</v>
          </cell>
          <cell r="D12971">
            <v>221.8</v>
          </cell>
          <cell r="H12971" t="str">
            <v>natural gas nonpeaker</v>
          </cell>
        </row>
        <row r="12972">
          <cell r="C12972" t="str">
            <v>CA</v>
          </cell>
          <cell r="D12972">
            <v>103.2</v>
          </cell>
          <cell r="H12972" t="str">
            <v>natural gas nonpeaker</v>
          </cell>
        </row>
        <row r="12973">
          <cell r="C12973" t="str">
            <v>CA</v>
          </cell>
          <cell r="D12973">
            <v>106.7</v>
          </cell>
          <cell r="H12973" t="str">
            <v>natural gas nonpeaker</v>
          </cell>
        </row>
        <row r="12974">
          <cell r="C12974" t="str">
            <v>CA</v>
          </cell>
          <cell r="D12974">
            <v>105.8</v>
          </cell>
          <cell r="H12974" t="str">
            <v>natural gas nonpeaker</v>
          </cell>
        </row>
        <row r="12975">
          <cell r="C12975" t="str">
            <v>CA</v>
          </cell>
          <cell r="D12975">
            <v>176</v>
          </cell>
          <cell r="H12975" t="str">
            <v>natural gas nonpeaker</v>
          </cell>
        </row>
        <row r="12976">
          <cell r="C12976" t="str">
            <v>CT</v>
          </cell>
          <cell r="D12976">
            <v>169</v>
          </cell>
          <cell r="H12976" t="str">
            <v>natural gas nonpeaker</v>
          </cell>
        </row>
        <row r="12977">
          <cell r="C12977" t="str">
            <v>CT</v>
          </cell>
          <cell r="D12977">
            <v>169</v>
          </cell>
          <cell r="H12977" t="str">
            <v>natural gas nonpeaker</v>
          </cell>
        </row>
        <row r="12978">
          <cell r="C12978" t="str">
            <v>GT</v>
          </cell>
          <cell r="D12978">
            <v>158</v>
          </cell>
          <cell r="H12978" t="str">
            <v>natural gas peaker</v>
          </cell>
        </row>
        <row r="12979">
          <cell r="C12979" t="str">
            <v>GT</v>
          </cell>
          <cell r="D12979">
            <v>158</v>
          </cell>
          <cell r="H12979" t="str">
            <v>natural gas peaker</v>
          </cell>
        </row>
        <row r="12980">
          <cell r="C12980" t="str">
            <v>GT</v>
          </cell>
          <cell r="D12980">
            <v>158</v>
          </cell>
          <cell r="H12980" t="str">
            <v>natural gas peaker</v>
          </cell>
        </row>
        <row r="12981">
          <cell r="C12981" t="str">
            <v>GT</v>
          </cell>
          <cell r="D12981">
            <v>158</v>
          </cell>
          <cell r="H12981" t="str">
            <v>natural gas peaker</v>
          </cell>
        </row>
        <row r="12982">
          <cell r="C12982" t="str">
            <v>CT</v>
          </cell>
          <cell r="D12982">
            <v>242</v>
          </cell>
          <cell r="H12982" t="str">
            <v>natural gas nonpeaker</v>
          </cell>
        </row>
        <row r="12983">
          <cell r="C12983" t="str">
            <v>CT</v>
          </cell>
          <cell r="D12983">
            <v>242</v>
          </cell>
          <cell r="H12983" t="str">
            <v>natural gas nonpeaker</v>
          </cell>
        </row>
        <row r="12984">
          <cell r="C12984" t="str">
            <v>CA</v>
          </cell>
          <cell r="D12984">
            <v>281</v>
          </cell>
          <cell r="H12984" t="str">
            <v>natural gas nonpeaker</v>
          </cell>
        </row>
        <row r="12985">
          <cell r="C12985" t="str">
            <v>CT</v>
          </cell>
          <cell r="D12985">
            <v>175</v>
          </cell>
          <cell r="H12985" t="str">
            <v>natural gas nonpeaker</v>
          </cell>
        </row>
        <row r="12986">
          <cell r="C12986" t="str">
            <v>CT</v>
          </cell>
          <cell r="D12986">
            <v>175</v>
          </cell>
          <cell r="H12986" t="str">
            <v>natural gas nonpeaker</v>
          </cell>
        </row>
        <row r="12987">
          <cell r="C12987" t="str">
            <v>CA</v>
          </cell>
          <cell r="D12987">
            <v>233</v>
          </cell>
          <cell r="H12987" t="str">
            <v>natural gas nonpeaker</v>
          </cell>
        </row>
        <row r="12988">
          <cell r="C12988" t="str">
            <v>GT</v>
          </cell>
          <cell r="D12988">
            <v>154.4</v>
          </cell>
          <cell r="H12988" t="str">
            <v>natural gas peaker</v>
          </cell>
        </row>
        <row r="12989">
          <cell r="C12989" t="str">
            <v>GT</v>
          </cell>
          <cell r="D12989">
            <v>154.4</v>
          </cell>
          <cell r="H12989" t="str">
            <v>natural gas peaker</v>
          </cell>
        </row>
        <row r="12990">
          <cell r="C12990" t="str">
            <v>GT</v>
          </cell>
          <cell r="D12990">
            <v>154.4</v>
          </cell>
          <cell r="H12990" t="str">
            <v>natural gas peaker</v>
          </cell>
        </row>
        <row r="12991">
          <cell r="C12991" t="str">
            <v>GT</v>
          </cell>
          <cell r="D12991">
            <v>165.5</v>
          </cell>
          <cell r="H12991" t="str">
            <v>natural gas peaker</v>
          </cell>
        </row>
        <row r="12992">
          <cell r="C12992" t="str">
            <v>GT</v>
          </cell>
          <cell r="D12992">
            <v>165.5</v>
          </cell>
          <cell r="H12992" t="str">
            <v>natural gas peaker</v>
          </cell>
        </row>
        <row r="12993">
          <cell r="C12993" t="str">
            <v>GT</v>
          </cell>
          <cell r="D12993">
            <v>165.5</v>
          </cell>
          <cell r="H12993" t="str">
            <v>natural gas peaker</v>
          </cell>
        </row>
        <row r="12994">
          <cell r="C12994" t="str">
            <v>GT</v>
          </cell>
          <cell r="D12994">
            <v>161.5</v>
          </cell>
          <cell r="H12994" t="str">
            <v>natural gas peaker</v>
          </cell>
        </row>
        <row r="12995">
          <cell r="C12995" t="str">
            <v>GT</v>
          </cell>
          <cell r="D12995">
            <v>75</v>
          </cell>
          <cell r="H12995" t="str">
            <v>natural gas peaker</v>
          </cell>
        </row>
        <row r="12996">
          <cell r="C12996" t="str">
            <v>GT</v>
          </cell>
          <cell r="D12996">
            <v>75</v>
          </cell>
          <cell r="H12996" t="str">
            <v>natural gas peaker</v>
          </cell>
        </row>
        <row r="12997">
          <cell r="C12997" t="str">
            <v>GT</v>
          </cell>
          <cell r="D12997">
            <v>75</v>
          </cell>
          <cell r="H12997" t="str">
            <v>natural gas peaker</v>
          </cell>
        </row>
        <row r="12998">
          <cell r="C12998" t="str">
            <v>GT</v>
          </cell>
          <cell r="D12998">
            <v>75</v>
          </cell>
          <cell r="H12998" t="str">
            <v>natural gas peaker</v>
          </cell>
        </row>
        <row r="12999">
          <cell r="C12999" t="str">
            <v>CT</v>
          </cell>
          <cell r="D12999" t="str">
            <v xml:space="preserve"> </v>
          </cell>
          <cell r="H12999" t="str">
            <v>natural gas nonpeaker</v>
          </cell>
        </row>
        <row r="13000">
          <cell r="C13000" t="str">
            <v>CT</v>
          </cell>
          <cell r="D13000" t="str">
            <v xml:space="preserve"> </v>
          </cell>
          <cell r="H13000" t="str">
            <v>natural gas nonpeaker</v>
          </cell>
        </row>
        <row r="13001">
          <cell r="C13001" t="str">
            <v>CA</v>
          </cell>
          <cell r="D13001">
            <v>605.29999999999995</v>
          </cell>
          <cell r="H13001" t="str">
            <v>natural gas nonpeaker</v>
          </cell>
        </row>
        <row r="13002">
          <cell r="C13002" t="str">
            <v>CT</v>
          </cell>
          <cell r="D13002">
            <v>151</v>
          </cell>
          <cell r="H13002" t="str">
            <v>natural gas nonpeaker</v>
          </cell>
        </row>
        <row r="13003">
          <cell r="C13003" t="str">
            <v>CT</v>
          </cell>
          <cell r="D13003">
            <v>151</v>
          </cell>
          <cell r="H13003" t="str">
            <v>natural gas nonpeaker</v>
          </cell>
        </row>
        <row r="13004">
          <cell r="C13004" t="str">
            <v>CT</v>
          </cell>
          <cell r="D13004">
            <v>151</v>
          </cell>
          <cell r="H13004" t="str">
            <v>natural gas nonpeaker</v>
          </cell>
        </row>
        <row r="13005">
          <cell r="C13005" t="str">
            <v>CT</v>
          </cell>
          <cell r="D13005">
            <v>151</v>
          </cell>
          <cell r="H13005" t="str">
            <v>natural gas nonpeaker</v>
          </cell>
        </row>
        <row r="13006">
          <cell r="C13006" t="str">
            <v>CA</v>
          </cell>
          <cell r="D13006">
            <v>189</v>
          </cell>
          <cell r="H13006" t="str">
            <v>natural gas nonpeaker</v>
          </cell>
        </row>
        <row r="13007">
          <cell r="C13007" t="str">
            <v>ST</v>
          </cell>
          <cell r="D13007">
            <v>49</v>
          </cell>
          <cell r="H13007" t="str">
            <v>biomass</v>
          </cell>
        </row>
        <row r="13008">
          <cell r="C13008" t="str">
            <v>GT</v>
          </cell>
          <cell r="D13008">
            <v>72</v>
          </cell>
          <cell r="H13008" t="str">
            <v>natural gas peaker</v>
          </cell>
        </row>
        <row r="13009">
          <cell r="C13009" t="str">
            <v>GT</v>
          </cell>
          <cell r="D13009">
            <v>72</v>
          </cell>
          <cell r="H13009" t="str">
            <v>natural gas peaker</v>
          </cell>
        </row>
        <row r="13010">
          <cell r="C13010" t="str">
            <v>GT</v>
          </cell>
          <cell r="D13010">
            <v>72</v>
          </cell>
          <cell r="H13010" t="str">
            <v>natural gas peaker</v>
          </cell>
        </row>
        <row r="13011">
          <cell r="C13011" t="str">
            <v>GT</v>
          </cell>
          <cell r="D13011">
            <v>72</v>
          </cell>
          <cell r="H13011" t="str">
            <v>natural gas peaker</v>
          </cell>
        </row>
        <row r="13012">
          <cell r="C13012" t="str">
            <v>GT</v>
          </cell>
          <cell r="D13012">
            <v>122.3</v>
          </cell>
          <cell r="H13012" t="str">
            <v>natural gas peaker</v>
          </cell>
        </row>
        <row r="13013">
          <cell r="C13013" t="str">
            <v>GT</v>
          </cell>
          <cell r="D13013">
            <v>122.7</v>
          </cell>
          <cell r="H13013" t="str">
            <v>natural gas peaker</v>
          </cell>
        </row>
        <row r="13014">
          <cell r="C13014" t="str">
            <v>GT</v>
          </cell>
          <cell r="D13014">
            <v>122.1</v>
          </cell>
          <cell r="H13014" t="str">
            <v>natural gas peaker</v>
          </cell>
        </row>
        <row r="13015">
          <cell r="C13015" t="str">
            <v>GT</v>
          </cell>
          <cell r="D13015">
            <v>122.3</v>
          </cell>
          <cell r="H13015" t="str">
            <v>natural gas peaker</v>
          </cell>
        </row>
        <row r="13016">
          <cell r="C13016" t="str">
            <v>CT</v>
          </cell>
          <cell r="D13016">
            <v>172.7</v>
          </cell>
          <cell r="H13016" t="str">
            <v>natural gas nonpeaker</v>
          </cell>
        </row>
        <row r="13017">
          <cell r="C13017" t="str">
            <v>CT</v>
          </cell>
          <cell r="D13017">
            <v>177.6</v>
          </cell>
          <cell r="H13017" t="str">
            <v>natural gas nonpeaker</v>
          </cell>
        </row>
        <row r="13018">
          <cell r="C13018" t="str">
            <v>CT</v>
          </cell>
          <cell r="D13018">
            <v>183.9</v>
          </cell>
          <cell r="H13018" t="str">
            <v>natural gas nonpeaker</v>
          </cell>
        </row>
        <row r="13019">
          <cell r="C13019" t="str">
            <v>CA</v>
          </cell>
          <cell r="D13019">
            <v>401.4</v>
          </cell>
          <cell r="H13019" t="str">
            <v>natural gas nonpeaker</v>
          </cell>
        </row>
        <row r="13020">
          <cell r="C13020" t="str">
            <v>CT</v>
          </cell>
          <cell r="D13020">
            <v>170.4</v>
          </cell>
          <cell r="H13020" t="str">
            <v>natural gas nonpeaker</v>
          </cell>
        </row>
        <row r="13021">
          <cell r="C13021" t="str">
            <v>CT</v>
          </cell>
          <cell r="D13021">
            <v>175.8</v>
          </cell>
          <cell r="H13021" t="str">
            <v>natural gas nonpeaker</v>
          </cell>
        </row>
        <row r="13022">
          <cell r="C13022" t="str">
            <v>CT</v>
          </cell>
          <cell r="D13022">
            <v>171.4</v>
          </cell>
          <cell r="H13022" t="str">
            <v>natural gas nonpeaker</v>
          </cell>
        </row>
        <row r="13023">
          <cell r="C13023" t="str">
            <v>CA</v>
          </cell>
          <cell r="D13023">
            <v>399.4</v>
          </cell>
          <cell r="H13023" t="str">
            <v>natural gas nonpeaker</v>
          </cell>
        </row>
        <row r="13024">
          <cell r="C13024" t="str">
            <v>GT</v>
          </cell>
          <cell r="D13024">
            <v>35</v>
          </cell>
          <cell r="H13024" t="str">
            <v>natural gas peaker</v>
          </cell>
        </row>
        <row r="13025">
          <cell r="C13025" t="str">
            <v>GT</v>
          </cell>
          <cell r="D13025">
            <v>35</v>
          </cell>
          <cell r="H13025" t="str">
            <v>natural gas peaker</v>
          </cell>
        </row>
        <row r="13026">
          <cell r="C13026" t="str">
            <v>GT</v>
          </cell>
          <cell r="D13026">
            <v>35</v>
          </cell>
          <cell r="H13026" t="str">
            <v>natural gas peaker</v>
          </cell>
        </row>
        <row r="13027">
          <cell r="C13027" t="str">
            <v>GT</v>
          </cell>
          <cell r="D13027">
            <v>35</v>
          </cell>
          <cell r="H13027" t="str">
            <v>natural gas peaker</v>
          </cell>
        </row>
        <row r="13028">
          <cell r="C13028" t="str">
            <v>CT</v>
          </cell>
          <cell r="D13028">
            <v>156</v>
          </cell>
          <cell r="H13028" t="str">
            <v>natural gas nonpeaker</v>
          </cell>
        </row>
        <row r="13029">
          <cell r="C13029" t="str">
            <v>CT</v>
          </cell>
          <cell r="D13029">
            <v>156</v>
          </cell>
          <cell r="H13029" t="str">
            <v>natural gas nonpeaker</v>
          </cell>
        </row>
        <row r="13030">
          <cell r="C13030" t="str">
            <v>CT</v>
          </cell>
          <cell r="D13030">
            <v>156</v>
          </cell>
          <cell r="H13030" t="str">
            <v>natural gas nonpeaker</v>
          </cell>
        </row>
        <row r="13031">
          <cell r="C13031" t="str">
            <v>CA</v>
          </cell>
          <cell r="D13031">
            <v>150</v>
          </cell>
          <cell r="H13031" t="str">
            <v>natural gas nonpeaker</v>
          </cell>
        </row>
        <row r="13032">
          <cell r="C13032" t="str">
            <v>CA</v>
          </cell>
          <cell r="D13032">
            <v>150</v>
          </cell>
          <cell r="H13032" t="str">
            <v>natural gas nonpeaker</v>
          </cell>
        </row>
        <row r="13033">
          <cell r="C13033" t="str">
            <v>CA</v>
          </cell>
          <cell r="D13033">
            <v>150</v>
          </cell>
          <cell r="H13033" t="str">
            <v>natural gas nonpeaker</v>
          </cell>
        </row>
        <row r="13034">
          <cell r="C13034" t="str">
            <v>GT</v>
          </cell>
          <cell r="D13034">
            <v>39</v>
          </cell>
          <cell r="H13034" t="str">
            <v>natural gas peaker</v>
          </cell>
        </row>
        <row r="13035">
          <cell r="C13035" t="str">
            <v>GT</v>
          </cell>
          <cell r="D13035">
            <v>39</v>
          </cell>
          <cell r="H13035" t="str">
            <v>natural gas peaker</v>
          </cell>
        </row>
        <row r="13036">
          <cell r="C13036" t="str">
            <v>GT</v>
          </cell>
          <cell r="D13036">
            <v>39</v>
          </cell>
          <cell r="H13036" t="str">
            <v>natural gas peaker</v>
          </cell>
        </row>
        <row r="13037">
          <cell r="C13037" t="str">
            <v>GT</v>
          </cell>
          <cell r="D13037">
            <v>39</v>
          </cell>
          <cell r="H13037" t="str">
            <v>natural gas peaker</v>
          </cell>
        </row>
        <row r="13038">
          <cell r="C13038" t="str">
            <v>GT</v>
          </cell>
          <cell r="D13038">
            <v>39</v>
          </cell>
          <cell r="H13038" t="str">
            <v>natural gas peaker</v>
          </cell>
        </row>
        <row r="13039">
          <cell r="C13039" t="str">
            <v>GT</v>
          </cell>
          <cell r="D13039">
            <v>39</v>
          </cell>
          <cell r="H13039" t="str">
            <v>natural gas peaker</v>
          </cell>
        </row>
        <row r="13040">
          <cell r="C13040" t="str">
            <v>CT</v>
          </cell>
          <cell r="D13040">
            <v>148</v>
          </cell>
          <cell r="H13040" t="str">
            <v>natural gas nonpeaker</v>
          </cell>
        </row>
        <row r="13041">
          <cell r="C13041" t="str">
            <v>CT</v>
          </cell>
          <cell r="D13041">
            <v>148</v>
          </cell>
          <cell r="H13041" t="str">
            <v>natural gas nonpeaker</v>
          </cell>
        </row>
        <row r="13042">
          <cell r="C13042" t="str">
            <v>CT</v>
          </cell>
          <cell r="D13042">
            <v>148</v>
          </cell>
          <cell r="H13042" t="str">
            <v>natural gas nonpeaker</v>
          </cell>
        </row>
        <row r="13043">
          <cell r="C13043" t="str">
            <v>CT</v>
          </cell>
          <cell r="D13043">
            <v>148</v>
          </cell>
          <cell r="H13043" t="str">
            <v>natural gas nonpeaker</v>
          </cell>
        </row>
        <row r="13044">
          <cell r="C13044" t="str">
            <v>CA</v>
          </cell>
          <cell r="D13044">
            <v>171</v>
          </cell>
          <cell r="H13044" t="str">
            <v>natural gas nonpeaker</v>
          </cell>
        </row>
        <row r="13045">
          <cell r="C13045" t="str">
            <v>CA</v>
          </cell>
          <cell r="D13045">
            <v>171</v>
          </cell>
          <cell r="H13045" t="str">
            <v>natural gas nonpeaker</v>
          </cell>
        </row>
        <row r="13046">
          <cell r="C13046" t="str">
            <v>CT</v>
          </cell>
          <cell r="D13046">
            <v>171.2</v>
          </cell>
          <cell r="H13046" t="str">
            <v>natural gas nonpeaker</v>
          </cell>
        </row>
        <row r="13047">
          <cell r="C13047" t="str">
            <v>CT</v>
          </cell>
          <cell r="D13047">
            <v>159</v>
          </cell>
          <cell r="H13047" t="str">
            <v>natural gas nonpeaker</v>
          </cell>
        </row>
        <row r="13048">
          <cell r="C13048" t="str">
            <v>CA</v>
          </cell>
          <cell r="D13048">
            <v>160.80000000000001</v>
          </cell>
          <cell r="H13048" t="str">
            <v>natural gas nonpeaker</v>
          </cell>
        </row>
        <row r="13049">
          <cell r="C13049" t="str">
            <v>CT</v>
          </cell>
          <cell r="D13049" t="str">
            <v xml:space="preserve"> </v>
          </cell>
          <cell r="H13049" t="str">
            <v>natural gas nonpeaker</v>
          </cell>
        </row>
        <row r="13050">
          <cell r="C13050" t="str">
            <v>CT</v>
          </cell>
          <cell r="D13050" t="str">
            <v xml:space="preserve"> </v>
          </cell>
          <cell r="H13050" t="str">
            <v>natural gas nonpeaker</v>
          </cell>
        </row>
        <row r="13051">
          <cell r="C13051" t="str">
            <v>CT</v>
          </cell>
          <cell r="D13051" t="str">
            <v xml:space="preserve"> </v>
          </cell>
          <cell r="H13051" t="str">
            <v>natural gas nonpeaker</v>
          </cell>
        </row>
        <row r="13052">
          <cell r="C13052" t="str">
            <v>CT</v>
          </cell>
          <cell r="D13052" t="str">
            <v xml:space="preserve"> </v>
          </cell>
          <cell r="H13052" t="str">
            <v>natural gas nonpeaker</v>
          </cell>
        </row>
        <row r="13053">
          <cell r="C13053" t="str">
            <v>CA</v>
          </cell>
          <cell r="D13053">
            <v>302</v>
          </cell>
          <cell r="H13053" t="str">
            <v>natural gas nonpeaker</v>
          </cell>
        </row>
        <row r="13054">
          <cell r="C13054" t="str">
            <v>CA</v>
          </cell>
          <cell r="D13054">
            <v>302</v>
          </cell>
          <cell r="H13054" t="str">
            <v>natural gas nonpeaker</v>
          </cell>
        </row>
        <row r="13055">
          <cell r="C13055" t="str">
            <v>CA</v>
          </cell>
          <cell r="D13055">
            <v>300</v>
          </cell>
          <cell r="H13055" t="str">
            <v>natural gas nonpeaker</v>
          </cell>
        </row>
        <row r="13056">
          <cell r="C13056" t="str">
            <v>CA</v>
          </cell>
          <cell r="D13056">
            <v>301</v>
          </cell>
          <cell r="H13056" t="str">
            <v>natural gas nonpeaker</v>
          </cell>
        </row>
        <row r="13057">
          <cell r="C13057" t="str">
            <v>CT</v>
          </cell>
          <cell r="D13057">
            <v>169.8</v>
          </cell>
          <cell r="H13057" t="str">
            <v>natural gas nonpeaker</v>
          </cell>
        </row>
        <row r="13058">
          <cell r="C13058" t="str">
            <v>CT</v>
          </cell>
          <cell r="D13058">
            <v>169.8</v>
          </cell>
          <cell r="H13058" t="str">
            <v>natural gas nonpeaker</v>
          </cell>
        </row>
        <row r="13059">
          <cell r="C13059" t="str">
            <v>CT</v>
          </cell>
          <cell r="D13059">
            <v>169.8</v>
          </cell>
          <cell r="H13059" t="str">
            <v>natural gas nonpeaker</v>
          </cell>
        </row>
        <row r="13060">
          <cell r="C13060" t="str">
            <v>CT</v>
          </cell>
          <cell r="D13060">
            <v>169.8</v>
          </cell>
          <cell r="H13060" t="str">
            <v>natural gas nonpeaker</v>
          </cell>
        </row>
        <row r="13061">
          <cell r="C13061" t="str">
            <v>CT</v>
          </cell>
          <cell r="D13061">
            <v>154.80000000000001</v>
          </cell>
          <cell r="H13061" t="str">
            <v>natural gas nonpeaker</v>
          </cell>
        </row>
        <row r="13062">
          <cell r="C13062" t="str">
            <v>CA</v>
          </cell>
          <cell r="D13062">
            <v>282</v>
          </cell>
          <cell r="H13062" t="str">
            <v>natural gas nonpeaker</v>
          </cell>
        </row>
        <row r="13063">
          <cell r="C13063" t="str">
            <v>CT</v>
          </cell>
          <cell r="D13063" t="str">
            <v xml:space="preserve"> </v>
          </cell>
          <cell r="H13063" t="str">
            <v>natural gas nonpeaker</v>
          </cell>
        </row>
        <row r="13064">
          <cell r="C13064" t="str">
            <v>CT</v>
          </cell>
          <cell r="D13064" t="str">
            <v xml:space="preserve"> </v>
          </cell>
          <cell r="H13064" t="str">
            <v>natural gas nonpeaker</v>
          </cell>
        </row>
        <row r="13065">
          <cell r="C13065" t="str">
            <v>CT</v>
          </cell>
          <cell r="D13065" t="str">
            <v xml:space="preserve"> </v>
          </cell>
          <cell r="H13065" t="str">
            <v>natural gas nonpeaker</v>
          </cell>
        </row>
        <row r="13066">
          <cell r="C13066" t="str">
            <v>CA</v>
          </cell>
          <cell r="D13066">
            <v>241.7</v>
          </cell>
          <cell r="H13066" t="str">
            <v>natural gas nonpeaker</v>
          </cell>
        </row>
        <row r="13067">
          <cell r="C13067" t="str">
            <v>CA</v>
          </cell>
          <cell r="D13067">
            <v>244.3</v>
          </cell>
          <cell r="H13067" t="str">
            <v>natural gas nonpeaker</v>
          </cell>
        </row>
        <row r="13068">
          <cell r="C13068" t="str">
            <v>CA</v>
          </cell>
          <cell r="D13068">
            <v>240.8</v>
          </cell>
          <cell r="H13068" t="str">
            <v>natural gas nonpeaker</v>
          </cell>
        </row>
        <row r="13069">
          <cell r="C13069" t="str">
            <v>CA</v>
          </cell>
          <cell r="D13069">
            <v>75</v>
          </cell>
          <cell r="H13069" t="str">
            <v>natural gas nonpeaker</v>
          </cell>
        </row>
        <row r="13070">
          <cell r="C13070" t="str">
            <v>CA</v>
          </cell>
          <cell r="D13070">
            <v>75</v>
          </cell>
          <cell r="H13070" t="str">
            <v>natural gas nonpeaker</v>
          </cell>
        </row>
        <row r="13071">
          <cell r="C13071" t="str">
            <v>CT</v>
          </cell>
          <cell r="D13071">
            <v>158</v>
          </cell>
          <cell r="H13071" t="str">
            <v>natural gas nonpeaker</v>
          </cell>
        </row>
        <row r="13072">
          <cell r="C13072" t="str">
            <v>CT</v>
          </cell>
          <cell r="D13072">
            <v>158</v>
          </cell>
          <cell r="H13072" t="str">
            <v>natural gas nonpeaker</v>
          </cell>
        </row>
        <row r="13073">
          <cell r="C13073" t="str">
            <v>CT</v>
          </cell>
          <cell r="D13073">
            <v>158</v>
          </cell>
          <cell r="H13073" t="str">
            <v>natural gas nonpeaker</v>
          </cell>
        </row>
        <row r="13074">
          <cell r="C13074" t="str">
            <v>GT</v>
          </cell>
          <cell r="D13074">
            <v>34</v>
          </cell>
          <cell r="H13074" t="str">
            <v>natural gas peaker</v>
          </cell>
        </row>
        <row r="13075">
          <cell r="C13075" t="str">
            <v>GT</v>
          </cell>
          <cell r="D13075">
            <v>34</v>
          </cell>
          <cell r="H13075" t="str">
            <v>natural gas peaker</v>
          </cell>
        </row>
        <row r="13076">
          <cell r="C13076" t="str">
            <v>ST</v>
          </cell>
          <cell r="D13076">
            <v>85</v>
          </cell>
          <cell r="H13076" t="str">
            <v>hard coal</v>
          </cell>
        </row>
        <row r="13077">
          <cell r="C13077" t="str">
            <v>CA</v>
          </cell>
          <cell r="D13077">
            <v>408</v>
          </cell>
          <cell r="H13077" t="str">
            <v>natural gas nonpeaker</v>
          </cell>
        </row>
        <row r="13078">
          <cell r="C13078" t="str">
            <v>CA</v>
          </cell>
          <cell r="D13078">
            <v>408</v>
          </cell>
          <cell r="H13078" t="str">
            <v>natural gas nonpeaker</v>
          </cell>
        </row>
        <row r="13079">
          <cell r="C13079" t="str">
            <v>CT</v>
          </cell>
          <cell r="D13079">
            <v>167</v>
          </cell>
          <cell r="H13079" t="str">
            <v>natural gas nonpeaker</v>
          </cell>
        </row>
        <row r="13080">
          <cell r="C13080" t="str">
            <v>CT</v>
          </cell>
          <cell r="D13080">
            <v>159</v>
          </cell>
          <cell r="H13080" t="str">
            <v>natural gas nonpeaker</v>
          </cell>
        </row>
        <row r="13081">
          <cell r="C13081" t="str">
            <v>CT</v>
          </cell>
          <cell r="D13081">
            <v>159</v>
          </cell>
          <cell r="H13081" t="str">
            <v>natural gas nonpeaker</v>
          </cell>
        </row>
        <row r="13082">
          <cell r="C13082" t="str">
            <v>CT</v>
          </cell>
          <cell r="D13082">
            <v>167</v>
          </cell>
          <cell r="H13082" t="str">
            <v>natural gas nonpeaker</v>
          </cell>
        </row>
        <row r="13083">
          <cell r="C13083" t="str">
            <v>CT</v>
          </cell>
          <cell r="D13083">
            <v>159</v>
          </cell>
          <cell r="H13083" t="str">
            <v>natural gas nonpeaker</v>
          </cell>
        </row>
        <row r="13084">
          <cell r="C13084" t="str">
            <v>CT</v>
          </cell>
          <cell r="D13084">
            <v>159</v>
          </cell>
          <cell r="H13084" t="str">
            <v>natural gas nonpeaker</v>
          </cell>
        </row>
        <row r="13085">
          <cell r="C13085" t="str">
            <v>CT</v>
          </cell>
          <cell r="D13085">
            <v>162</v>
          </cell>
          <cell r="H13085" t="str">
            <v>natural gas nonpeaker</v>
          </cell>
        </row>
        <row r="13086">
          <cell r="C13086" t="str">
            <v>CT</v>
          </cell>
          <cell r="D13086">
            <v>162</v>
          </cell>
          <cell r="H13086" t="str">
            <v>natural gas nonpeaker</v>
          </cell>
        </row>
        <row r="13087">
          <cell r="C13087" t="str">
            <v>CA</v>
          </cell>
          <cell r="D13087">
            <v>300</v>
          </cell>
          <cell r="H13087" t="str">
            <v>natural gas nonpeaker</v>
          </cell>
        </row>
        <row r="13088">
          <cell r="C13088" t="str">
            <v>CT</v>
          </cell>
          <cell r="D13088">
            <v>153.1</v>
          </cell>
          <cell r="H13088" t="str">
            <v>natural gas nonpeaker</v>
          </cell>
        </row>
        <row r="13089">
          <cell r="C13089" t="str">
            <v>CA</v>
          </cell>
          <cell r="D13089">
            <v>110.6</v>
          </cell>
          <cell r="H13089" t="str">
            <v>natural gas nonpeaker</v>
          </cell>
        </row>
        <row r="13090">
          <cell r="C13090" t="str">
            <v>IC</v>
          </cell>
          <cell r="D13090">
            <v>1</v>
          </cell>
          <cell r="H13090" t="str">
            <v>biomass</v>
          </cell>
        </row>
        <row r="13091">
          <cell r="C13091" t="str">
            <v>IC</v>
          </cell>
          <cell r="D13091">
            <v>1</v>
          </cell>
          <cell r="H13091" t="str">
            <v>biomass</v>
          </cell>
        </row>
        <row r="13092">
          <cell r="C13092" t="str">
            <v>IC</v>
          </cell>
          <cell r="D13092">
            <v>0.9</v>
          </cell>
          <cell r="H13092" t="str">
            <v>biomass</v>
          </cell>
        </row>
        <row r="13093">
          <cell r="C13093" t="str">
            <v>GT</v>
          </cell>
          <cell r="D13093">
            <v>72</v>
          </cell>
          <cell r="H13093" t="str">
            <v>natural gas peaker</v>
          </cell>
        </row>
        <row r="13094">
          <cell r="C13094" t="str">
            <v>GT</v>
          </cell>
          <cell r="D13094">
            <v>72</v>
          </cell>
          <cell r="H13094" t="str">
            <v>natural gas peaker</v>
          </cell>
        </row>
        <row r="13095">
          <cell r="C13095" t="str">
            <v>GT</v>
          </cell>
          <cell r="D13095">
            <v>72</v>
          </cell>
          <cell r="H13095" t="str">
            <v>natural gas peaker</v>
          </cell>
        </row>
        <row r="13096">
          <cell r="C13096" t="str">
            <v>GT</v>
          </cell>
          <cell r="D13096">
            <v>72</v>
          </cell>
          <cell r="H13096" t="str">
            <v>natural gas peaker</v>
          </cell>
        </row>
        <row r="13097">
          <cell r="C13097" t="str">
            <v>GT</v>
          </cell>
          <cell r="D13097">
            <v>72</v>
          </cell>
          <cell r="H13097" t="str">
            <v>natural gas peaker</v>
          </cell>
        </row>
        <row r="13098">
          <cell r="C13098" t="str">
            <v>GT</v>
          </cell>
          <cell r="D13098">
            <v>72</v>
          </cell>
          <cell r="H13098" t="str">
            <v>natural gas peaker</v>
          </cell>
        </row>
        <row r="13099">
          <cell r="C13099" t="str">
            <v>GT</v>
          </cell>
          <cell r="D13099">
            <v>48</v>
          </cell>
          <cell r="H13099" t="str">
            <v>natural gas peaker</v>
          </cell>
        </row>
        <row r="13100">
          <cell r="C13100" t="str">
            <v>CT</v>
          </cell>
          <cell r="D13100">
            <v>148</v>
          </cell>
          <cell r="H13100" t="str">
            <v>natural gas nonpeaker</v>
          </cell>
        </row>
        <row r="13101">
          <cell r="C13101" t="str">
            <v>CT</v>
          </cell>
          <cell r="D13101">
            <v>151</v>
          </cell>
          <cell r="H13101" t="str">
            <v>natural gas nonpeaker</v>
          </cell>
        </row>
        <row r="13102">
          <cell r="C13102" t="str">
            <v>CT</v>
          </cell>
          <cell r="D13102">
            <v>152</v>
          </cell>
          <cell r="H13102" t="str">
            <v>natural gas nonpeaker</v>
          </cell>
        </row>
        <row r="13103">
          <cell r="C13103" t="str">
            <v>CT</v>
          </cell>
          <cell r="D13103">
            <v>150</v>
          </cell>
          <cell r="H13103" t="str">
            <v>natural gas nonpeaker</v>
          </cell>
        </row>
        <row r="13104">
          <cell r="C13104" t="str">
            <v>CA</v>
          </cell>
          <cell r="D13104">
            <v>310</v>
          </cell>
          <cell r="H13104" t="str">
            <v>natural gas nonpeaker</v>
          </cell>
        </row>
        <row r="13105">
          <cell r="C13105" t="str">
            <v>CA</v>
          </cell>
          <cell r="D13105">
            <v>311</v>
          </cell>
          <cell r="H13105" t="str">
            <v>natural gas nonpeaker</v>
          </cell>
        </row>
        <row r="13106">
          <cell r="C13106" t="str">
            <v>CA</v>
          </cell>
          <cell r="D13106">
            <v>258</v>
          </cell>
          <cell r="H13106" t="str">
            <v>natural gas nonpeaker</v>
          </cell>
        </row>
        <row r="13107">
          <cell r="C13107" t="str">
            <v>CA</v>
          </cell>
          <cell r="D13107">
            <v>258</v>
          </cell>
          <cell r="H13107" t="str">
            <v>natural gas nonpeaker</v>
          </cell>
        </row>
        <row r="13108">
          <cell r="C13108" t="str">
            <v>CT</v>
          </cell>
          <cell r="D13108">
            <v>166</v>
          </cell>
          <cell r="H13108" t="str">
            <v>natural gas nonpeaker</v>
          </cell>
        </row>
        <row r="13109">
          <cell r="C13109" t="str">
            <v>CT</v>
          </cell>
          <cell r="D13109">
            <v>171</v>
          </cell>
          <cell r="H13109" t="str">
            <v>natural gas nonpeaker</v>
          </cell>
        </row>
        <row r="13110">
          <cell r="C13110" t="str">
            <v>CT</v>
          </cell>
          <cell r="D13110">
            <v>166</v>
          </cell>
          <cell r="H13110" t="str">
            <v>natural gas nonpeaker</v>
          </cell>
        </row>
        <row r="13111">
          <cell r="C13111" t="str">
            <v>CT</v>
          </cell>
          <cell r="D13111">
            <v>171</v>
          </cell>
          <cell r="H13111" t="str">
            <v>natural gas nonpeaker</v>
          </cell>
        </row>
        <row r="13112">
          <cell r="C13112" t="str">
            <v>CT</v>
          </cell>
          <cell r="D13112">
            <v>168</v>
          </cell>
          <cell r="H13112" t="str">
            <v>natural gas nonpeaker</v>
          </cell>
        </row>
        <row r="13113">
          <cell r="C13113" t="str">
            <v>CT</v>
          </cell>
          <cell r="D13113">
            <v>168</v>
          </cell>
          <cell r="H13113" t="str">
            <v>natural gas nonpeaker</v>
          </cell>
        </row>
        <row r="13114">
          <cell r="C13114" t="str">
            <v>CT</v>
          </cell>
          <cell r="D13114">
            <v>168</v>
          </cell>
          <cell r="H13114" t="str">
            <v>natural gas nonpeaker</v>
          </cell>
        </row>
        <row r="13115">
          <cell r="C13115" t="str">
            <v>CA</v>
          </cell>
          <cell r="D13115">
            <v>362</v>
          </cell>
          <cell r="H13115" t="str">
            <v>natural gas nonpeaker</v>
          </cell>
        </row>
        <row r="13116">
          <cell r="C13116" t="str">
            <v>GT</v>
          </cell>
          <cell r="D13116">
            <v>67</v>
          </cell>
          <cell r="H13116" t="str">
            <v>natural gas peaker</v>
          </cell>
        </row>
        <row r="13117">
          <cell r="C13117" t="str">
            <v>GT</v>
          </cell>
          <cell r="D13117">
            <v>67</v>
          </cell>
          <cell r="H13117" t="str">
            <v>natural gas peaker</v>
          </cell>
        </row>
        <row r="13118">
          <cell r="C13118" t="str">
            <v>GT</v>
          </cell>
          <cell r="D13118">
            <v>67</v>
          </cell>
          <cell r="H13118" t="str">
            <v>natural gas peaker</v>
          </cell>
        </row>
        <row r="13119">
          <cell r="C13119" t="str">
            <v>GT</v>
          </cell>
          <cell r="D13119">
            <v>67</v>
          </cell>
          <cell r="H13119" t="str">
            <v>natural gas peaker</v>
          </cell>
        </row>
        <row r="13120">
          <cell r="C13120" t="str">
            <v>GT</v>
          </cell>
          <cell r="D13120">
            <v>48</v>
          </cell>
          <cell r="H13120" t="str">
            <v>natural gas peaker</v>
          </cell>
        </row>
        <row r="13121">
          <cell r="C13121" t="str">
            <v>GT</v>
          </cell>
          <cell r="D13121">
            <v>48</v>
          </cell>
          <cell r="H13121" t="str">
            <v>natural gas peaker</v>
          </cell>
        </row>
        <row r="13122">
          <cell r="C13122" t="str">
            <v>GT</v>
          </cell>
          <cell r="D13122">
            <v>48.7</v>
          </cell>
          <cell r="H13122" t="str">
            <v>natural gas peaker</v>
          </cell>
        </row>
        <row r="13123">
          <cell r="C13123" t="str">
            <v>GT</v>
          </cell>
          <cell r="D13123">
            <v>48</v>
          </cell>
          <cell r="H13123" t="str">
            <v>natural gas peaker</v>
          </cell>
        </row>
        <row r="13124">
          <cell r="C13124" t="str">
            <v>CT</v>
          </cell>
          <cell r="D13124">
            <v>164.6</v>
          </cell>
          <cell r="H13124" t="str">
            <v>natural gas nonpeaker</v>
          </cell>
        </row>
        <row r="13125">
          <cell r="C13125" t="str">
            <v>CT</v>
          </cell>
          <cell r="D13125">
            <v>164.6</v>
          </cell>
          <cell r="H13125" t="str">
            <v>natural gas nonpeaker</v>
          </cell>
        </row>
        <row r="13126">
          <cell r="C13126" t="str">
            <v>CA</v>
          </cell>
          <cell r="D13126">
            <v>195.2</v>
          </cell>
          <cell r="H13126" t="str">
            <v>natural gas nonpeaker</v>
          </cell>
        </row>
        <row r="13127">
          <cell r="C13127" t="str">
            <v>CT</v>
          </cell>
          <cell r="D13127">
            <v>174</v>
          </cell>
          <cell r="H13127" t="str">
            <v>natural gas nonpeaker</v>
          </cell>
        </row>
        <row r="13128">
          <cell r="C13128" t="str">
            <v>CT</v>
          </cell>
          <cell r="D13128">
            <v>174</v>
          </cell>
          <cell r="H13128" t="str">
            <v>natural gas nonpeaker</v>
          </cell>
        </row>
        <row r="13129">
          <cell r="C13129" t="str">
            <v>CA</v>
          </cell>
          <cell r="D13129">
            <v>314</v>
          </cell>
          <cell r="H13129" t="str">
            <v>natural gas nonpeaker</v>
          </cell>
        </row>
        <row r="13130">
          <cell r="C13130" t="str">
            <v>GT</v>
          </cell>
          <cell r="D13130">
            <v>45.4</v>
          </cell>
          <cell r="H13130" t="str">
            <v>natural gas peaker</v>
          </cell>
        </row>
        <row r="13131">
          <cell r="C13131" t="str">
            <v>GT</v>
          </cell>
          <cell r="D13131">
            <v>44.8</v>
          </cell>
          <cell r="H13131" t="str">
            <v>natural gas peaker</v>
          </cell>
        </row>
        <row r="13132">
          <cell r="C13132" t="str">
            <v>GT</v>
          </cell>
          <cell r="D13132">
            <v>44.4</v>
          </cell>
          <cell r="H13132" t="str">
            <v>natural gas peaker</v>
          </cell>
        </row>
        <row r="13133">
          <cell r="C13133" t="str">
            <v>GT</v>
          </cell>
          <cell r="D13133">
            <v>44.7</v>
          </cell>
          <cell r="H13133" t="str">
            <v>natural gas peaker</v>
          </cell>
        </row>
        <row r="13134">
          <cell r="C13134" t="str">
            <v>GT</v>
          </cell>
          <cell r="D13134">
            <v>45.6</v>
          </cell>
          <cell r="H13134" t="str">
            <v>natural gas peaker</v>
          </cell>
        </row>
        <row r="13135">
          <cell r="C13135" t="str">
            <v>GT</v>
          </cell>
          <cell r="D13135">
            <v>46.1</v>
          </cell>
          <cell r="H13135" t="str">
            <v>natural gas peaker</v>
          </cell>
        </row>
        <row r="13136">
          <cell r="C13136" t="str">
            <v>GT</v>
          </cell>
          <cell r="D13136">
            <v>45.7</v>
          </cell>
          <cell r="H13136" t="str">
            <v>natural gas peaker</v>
          </cell>
        </row>
        <row r="13137">
          <cell r="C13137" t="str">
            <v>CT</v>
          </cell>
          <cell r="D13137">
            <v>157.6</v>
          </cell>
          <cell r="H13137" t="str">
            <v>natural gas nonpeaker</v>
          </cell>
        </row>
        <row r="13138">
          <cell r="C13138" t="str">
            <v>CT</v>
          </cell>
          <cell r="D13138">
            <v>157.6</v>
          </cell>
          <cell r="H13138" t="str">
            <v>natural gas nonpeaker</v>
          </cell>
        </row>
        <row r="13139">
          <cell r="C13139" t="str">
            <v>CT</v>
          </cell>
          <cell r="D13139">
            <v>156.5</v>
          </cell>
          <cell r="H13139" t="str">
            <v>natural gas nonpeaker</v>
          </cell>
        </row>
        <row r="13140">
          <cell r="C13140" t="str">
            <v>CA</v>
          </cell>
          <cell r="D13140">
            <v>304.8</v>
          </cell>
          <cell r="H13140" t="str">
            <v>natural gas nonpeaker</v>
          </cell>
        </row>
        <row r="13141">
          <cell r="C13141" t="str">
            <v>GT</v>
          </cell>
          <cell r="D13141">
            <v>41</v>
          </cell>
          <cell r="H13141" t="str">
            <v>natural gas peaker</v>
          </cell>
        </row>
        <row r="13142">
          <cell r="C13142" t="str">
            <v>GT</v>
          </cell>
          <cell r="D13142">
            <v>41</v>
          </cell>
          <cell r="H13142" t="str">
            <v>natural gas peaker</v>
          </cell>
        </row>
        <row r="13143">
          <cell r="C13143" t="str">
            <v>GT</v>
          </cell>
          <cell r="D13143">
            <v>41</v>
          </cell>
          <cell r="H13143" t="str">
            <v>natural gas peaker</v>
          </cell>
        </row>
        <row r="13144">
          <cell r="C13144" t="str">
            <v>GT</v>
          </cell>
          <cell r="D13144">
            <v>41</v>
          </cell>
          <cell r="H13144" t="str">
            <v>natural gas peaker</v>
          </cell>
        </row>
        <row r="13145">
          <cell r="C13145" t="str">
            <v>GT</v>
          </cell>
          <cell r="D13145">
            <v>41</v>
          </cell>
          <cell r="H13145" t="str">
            <v>natural gas peaker</v>
          </cell>
        </row>
        <row r="13146">
          <cell r="C13146" t="str">
            <v>GT</v>
          </cell>
          <cell r="D13146">
            <v>41</v>
          </cell>
          <cell r="H13146" t="str">
            <v>natural gas peaker</v>
          </cell>
        </row>
        <row r="13147">
          <cell r="C13147" t="str">
            <v>GT</v>
          </cell>
          <cell r="D13147">
            <v>41</v>
          </cell>
          <cell r="H13147" t="str">
            <v>natural gas peaker</v>
          </cell>
        </row>
        <row r="13148">
          <cell r="C13148" t="str">
            <v>GT</v>
          </cell>
          <cell r="D13148">
            <v>41</v>
          </cell>
          <cell r="H13148" t="str">
            <v>natural gas peaker</v>
          </cell>
        </row>
        <row r="13149">
          <cell r="C13149" t="str">
            <v>GT</v>
          </cell>
          <cell r="D13149">
            <v>41</v>
          </cell>
          <cell r="H13149" t="str">
            <v>natural gas peaker</v>
          </cell>
        </row>
        <row r="13150">
          <cell r="C13150" t="str">
            <v>GT</v>
          </cell>
          <cell r="D13150">
            <v>41</v>
          </cell>
          <cell r="H13150" t="str">
            <v>natural gas peaker</v>
          </cell>
        </row>
        <row r="13151">
          <cell r="C13151" t="str">
            <v>CT</v>
          </cell>
          <cell r="D13151">
            <v>113</v>
          </cell>
          <cell r="H13151" t="str">
            <v>natural gas nonpeaker</v>
          </cell>
        </row>
        <row r="13152">
          <cell r="C13152" t="str">
            <v>CT</v>
          </cell>
          <cell r="D13152">
            <v>122</v>
          </cell>
          <cell r="H13152" t="str">
            <v>natural gas nonpeaker</v>
          </cell>
        </row>
        <row r="13153">
          <cell r="C13153" t="str">
            <v>CT</v>
          </cell>
          <cell r="D13153">
            <v>122</v>
          </cell>
          <cell r="H13153" t="str">
            <v>natural gas nonpeaker</v>
          </cell>
        </row>
        <row r="13154">
          <cell r="C13154" t="str">
            <v>CT</v>
          </cell>
          <cell r="D13154">
            <v>216.3</v>
          </cell>
          <cell r="H13154" t="str">
            <v>natural gas nonpeaker</v>
          </cell>
        </row>
        <row r="13155">
          <cell r="C13155" t="str">
            <v>CT</v>
          </cell>
          <cell r="D13155">
            <v>216.3</v>
          </cell>
          <cell r="H13155" t="str">
            <v>natural gas nonpeaker</v>
          </cell>
        </row>
        <row r="13156">
          <cell r="C13156" t="str">
            <v>CA</v>
          </cell>
          <cell r="D13156">
            <v>188</v>
          </cell>
          <cell r="H13156" t="str">
            <v>natural gas nonpeaker</v>
          </cell>
        </row>
        <row r="13157">
          <cell r="C13157" t="str">
            <v>CA</v>
          </cell>
          <cell r="D13157">
            <v>395.1</v>
          </cell>
          <cell r="H13157" t="str">
            <v>natural gas nonpeaker</v>
          </cell>
        </row>
        <row r="13158">
          <cell r="C13158" t="str">
            <v>IC</v>
          </cell>
          <cell r="D13158">
            <v>1.4</v>
          </cell>
          <cell r="H13158" t="str">
            <v>biomass</v>
          </cell>
        </row>
        <row r="13159">
          <cell r="C13159" t="str">
            <v>IC</v>
          </cell>
          <cell r="D13159">
            <v>0.9</v>
          </cell>
          <cell r="H13159" t="str">
            <v>biomass</v>
          </cell>
        </row>
        <row r="13160">
          <cell r="C13160" t="str">
            <v>IC</v>
          </cell>
          <cell r="D13160">
            <v>0.9</v>
          </cell>
          <cell r="H13160" t="str">
            <v>biomass</v>
          </cell>
        </row>
        <row r="13161">
          <cell r="C13161" t="str">
            <v>IC</v>
          </cell>
          <cell r="D13161">
            <v>0.9</v>
          </cell>
          <cell r="H13161" t="str">
            <v>biomass</v>
          </cell>
        </row>
        <row r="13162">
          <cell r="C13162" t="str">
            <v>IC</v>
          </cell>
          <cell r="D13162">
            <v>0.9</v>
          </cell>
          <cell r="H13162" t="str">
            <v>biomass</v>
          </cell>
        </row>
        <row r="13163">
          <cell r="C13163" t="str">
            <v>IC</v>
          </cell>
          <cell r="D13163">
            <v>1.7</v>
          </cell>
          <cell r="H13163" t="str">
            <v>petroleum</v>
          </cell>
        </row>
        <row r="13164">
          <cell r="C13164" t="str">
            <v>GT</v>
          </cell>
          <cell r="D13164">
            <v>45</v>
          </cell>
          <cell r="H13164" t="str">
            <v>natural gas peaker</v>
          </cell>
        </row>
        <row r="13165">
          <cell r="C13165" t="str">
            <v>GT</v>
          </cell>
          <cell r="D13165">
            <v>33.6</v>
          </cell>
          <cell r="H13165" t="str">
            <v>natural gas peaker</v>
          </cell>
        </row>
        <row r="13166">
          <cell r="C13166" t="str">
            <v>GT</v>
          </cell>
          <cell r="D13166">
            <v>46.7</v>
          </cell>
          <cell r="H13166" t="str">
            <v>natural gas peaker</v>
          </cell>
        </row>
        <row r="13167">
          <cell r="C13167" t="str">
            <v>GT</v>
          </cell>
          <cell r="D13167">
            <v>47.6</v>
          </cell>
          <cell r="H13167" t="str">
            <v>natural gas peaker</v>
          </cell>
        </row>
        <row r="13168">
          <cell r="C13168" t="str">
            <v>GT</v>
          </cell>
          <cell r="D13168">
            <v>48.2</v>
          </cell>
          <cell r="H13168" t="str">
            <v>natural gas peaker</v>
          </cell>
        </row>
        <row r="13169">
          <cell r="C13169" t="str">
            <v>GT</v>
          </cell>
          <cell r="D13169">
            <v>45.6</v>
          </cell>
          <cell r="H13169" t="str">
            <v>natural gas peaker</v>
          </cell>
        </row>
        <row r="13170">
          <cell r="C13170" t="str">
            <v>GT</v>
          </cell>
          <cell r="D13170">
            <v>46</v>
          </cell>
          <cell r="H13170" t="str">
            <v>natural gas peaker</v>
          </cell>
        </row>
        <row r="13171">
          <cell r="C13171" t="str">
            <v>GT</v>
          </cell>
          <cell r="D13171">
            <v>25</v>
          </cell>
          <cell r="H13171" t="str">
            <v>natural gas peaker</v>
          </cell>
        </row>
        <row r="13172">
          <cell r="C13172" t="str">
            <v>GT</v>
          </cell>
          <cell r="D13172">
            <v>25</v>
          </cell>
          <cell r="H13172" t="str">
            <v>natural gas peaker</v>
          </cell>
        </row>
        <row r="13173">
          <cell r="C13173" t="str">
            <v>GT</v>
          </cell>
          <cell r="D13173">
            <v>25</v>
          </cell>
          <cell r="H13173" t="str">
            <v>natural gas peaker</v>
          </cell>
        </row>
        <row r="13174">
          <cell r="C13174" t="str">
            <v>GT</v>
          </cell>
          <cell r="D13174">
            <v>25</v>
          </cell>
          <cell r="H13174" t="str">
            <v>natural gas peaker</v>
          </cell>
        </row>
        <row r="13175">
          <cell r="C13175" t="str">
            <v>CT</v>
          </cell>
          <cell r="D13175">
            <v>149</v>
          </cell>
          <cell r="H13175" t="str">
            <v>natural gas nonpeaker</v>
          </cell>
        </row>
        <row r="13176">
          <cell r="C13176" t="str">
            <v>CT</v>
          </cell>
          <cell r="D13176">
            <v>149</v>
          </cell>
          <cell r="H13176" t="str">
            <v>natural gas nonpeaker</v>
          </cell>
        </row>
        <row r="13177">
          <cell r="C13177" t="str">
            <v>CA</v>
          </cell>
          <cell r="D13177">
            <v>172</v>
          </cell>
          <cell r="H13177" t="str">
            <v>natural gas nonpeaker</v>
          </cell>
        </row>
        <row r="13178">
          <cell r="C13178" t="str">
            <v>IC</v>
          </cell>
          <cell r="D13178">
            <v>1.7</v>
          </cell>
          <cell r="H13178" t="str">
            <v>biomass</v>
          </cell>
        </row>
        <row r="13179">
          <cell r="C13179" t="str">
            <v>IC</v>
          </cell>
          <cell r="D13179">
            <v>1.7</v>
          </cell>
          <cell r="H13179" t="str">
            <v>biomass</v>
          </cell>
        </row>
        <row r="13180">
          <cell r="C13180" t="str">
            <v>ST</v>
          </cell>
          <cell r="D13180">
            <v>28.1</v>
          </cell>
          <cell r="H13180" t="str">
            <v>other</v>
          </cell>
        </row>
        <row r="13181">
          <cell r="C13181" t="str">
            <v>CT</v>
          </cell>
          <cell r="D13181">
            <v>45.9</v>
          </cell>
          <cell r="H13181" t="str">
            <v>natural gas nonpeaker</v>
          </cell>
        </row>
        <row r="13182">
          <cell r="C13182" t="str">
            <v>CA</v>
          </cell>
          <cell r="D13182">
            <v>6</v>
          </cell>
          <cell r="H13182" t="str">
            <v>natural gas nonpeaker</v>
          </cell>
        </row>
        <row r="13183">
          <cell r="C13183" t="str">
            <v>WT</v>
          </cell>
          <cell r="D13183">
            <v>176.9</v>
          </cell>
          <cell r="H13183" t="str">
            <v>onshore wind</v>
          </cell>
        </row>
        <row r="13184">
          <cell r="C13184" t="str">
            <v>WT</v>
          </cell>
          <cell r="D13184">
            <v>1.9</v>
          </cell>
          <cell r="H13184" t="str">
            <v>onshore wind</v>
          </cell>
        </row>
        <row r="13185">
          <cell r="C13185" t="str">
            <v>WT</v>
          </cell>
          <cell r="D13185">
            <v>1.9</v>
          </cell>
          <cell r="H13185" t="str">
            <v>onshore wind</v>
          </cell>
        </row>
        <row r="13186">
          <cell r="C13186" t="str">
            <v>WT</v>
          </cell>
          <cell r="D13186">
            <v>1.9</v>
          </cell>
          <cell r="H13186" t="str">
            <v>onshore wind</v>
          </cell>
        </row>
        <row r="13187">
          <cell r="C13187" t="str">
            <v>WT</v>
          </cell>
          <cell r="D13187">
            <v>1.9</v>
          </cell>
          <cell r="H13187" t="str">
            <v>onshore wind</v>
          </cell>
        </row>
        <row r="13188">
          <cell r="C13188" t="str">
            <v>WT</v>
          </cell>
          <cell r="D13188">
            <v>1.9</v>
          </cell>
          <cell r="H13188" t="str">
            <v>onshore wind</v>
          </cell>
        </row>
        <row r="13189">
          <cell r="C13189" t="str">
            <v>WT</v>
          </cell>
          <cell r="D13189">
            <v>1.9</v>
          </cell>
          <cell r="H13189" t="str">
            <v>onshore wind</v>
          </cell>
        </row>
        <row r="13190">
          <cell r="C13190" t="str">
            <v>WT</v>
          </cell>
          <cell r="D13190">
            <v>1.9</v>
          </cell>
          <cell r="H13190" t="str">
            <v>onshore wind</v>
          </cell>
        </row>
        <row r="13191">
          <cell r="C13191" t="str">
            <v>WT</v>
          </cell>
          <cell r="D13191">
            <v>1.9</v>
          </cell>
          <cell r="H13191" t="str">
            <v>onshore wind</v>
          </cell>
        </row>
        <row r="13192">
          <cell r="C13192" t="str">
            <v>WT</v>
          </cell>
          <cell r="D13192">
            <v>1.9</v>
          </cell>
          <cell r="H13192" t="str">
            <v>onshore wind</v>
          </cell>
        </row>
        <row r="13193">
          <cell r="C13193" t="str">
            <v>WT</v>
          </cell>
          <cell r="D13193">
            <v>1.9</v>
          </cell>
          <cell r="H13193" t="str">
            <v>onshore wind</v>
          </cell>
        </row>
        <row r="13194">
          <cell r="C13194" t="str">
            <v>WT</v>
          </cell>
          <cell r="D13194">
            <v>1.9</v>
          </cell>
          <cell r="H13194" t="str">
            <v>onshore wind</v>
          </cell>
        </row>
        <row r="13195">
          <cell r="C13195" t="str">
            <v>WT</v>
          </cell>
          <cell r="D13195">
            <v>1.9</v>
          </cell>
          <cell r="H13195" t="str">
            <v>onshore wind</v>
          </cell>
        </row>
        <row r="13196">
          <cell r="C13196" t="str">
            <v>WT</v>
          </cell>
          <cell r="D13196">
            <v>1.9</v>
          </cell>
          <cell r="H13196" t="str">
            <v>onshore wind</v>
          </cell>
        </row>
        <row r="13197">
          <cell r="C13197" t="str">
            <v>WT</v>
          </cell>
          <cell r="D13197">
            <v>1.9</v>
          </cell>
          <cell r="H13197" t="str">
            <v>onshore wind</v>
          </cell>
        </row>
        <row r="13198">
          <cell r="C13198" t="str">
            <v>WT</v>
          </cell>
          <cell r="D13198">
            <v>1.9</v>
          </cell>
          <cell r="H13198" t="str">
            <v>onshore wind</v>
          </cell>
        </row>
        <row r="13199">
          <cell r="C13199" t="str">
            <v>WT</v>
          </cell>
          <cell r="D13199">
            <v>80</v>
          </cell>
          <cell r="H13199" t="str">
            <v>onshore wind</v>
          </cell>
        </row>
        <row r="13200">
          <cell r="C13200" t="str">
            <v>WT</v>
          </cell>
          <cell r="D13200">
            <v>278</v>
          </cell>
          <cell r="H13200" t="str">
            <v>onshore wind</v>
          </cell>
        </row>
        <row r="13201">
          <cell r="C13201" t="str">
            <v>GT</v>
          </cell>
          <cell r="D13201">
            <v>4.4000000000000004</v>
          </cell>
          <cell r="H13201" t="str">
            <v>biomass</v>
          </cell>
        </row>
        <row r="13202">
          <cell r="C13202" t="str">
            <v>CT</v>
          </cell>
          <cell r="D13202">
            <v>3.8</v>
          </cell>
          <cell r="H13202" t="str">
            <v>biomass</v>
          </cell>
        </row>
        <row r="13203">
          <cell r="C13203" t="str">
            <v>CT</v>
          </cell>
          <cell r="D13203">
            <v>3.8</v>
          </cell>
          <cell r="H13203" t="str">
            <v>biomass</v>
          </cell>
        </row>
        <row r="13204">
          <cell r="C13204" t="str">
            <v>CT</v>
          </cell>
          <cell r="D13204">
            <v>3.8</v>
          </cell>
          <cell r="H13204" t="str">
            <v>biomass</v>
          </cell>
        </row>
        <row r="13205">
          <cell r="C13205" t="str">
            <v>CA</v>
          </cell>
          <cell r="D13205">
            <v>7.6</v>
          </cell>
          <cell r="H13205" t="str">
            <v>biomass</v>
          </cell>
        </row>
        <row r="13206">
          <cell r="C13206" t="str">
            <v>CT</v>
          </cell>
          <cell r="D13206">
            <v>4.8</v>
          </cell>
          <cell r="H13206" t="str">
            <v>biomass</v>
          </cell>
        </row>
        <row r="13207">
          <cell r="C13207" t="str">
            <v>IC</v>
          </cell>
          <cell r="D13207">
            <v>0.9</v>
          </cell>
          <cell r="H13207" t="str">
            <v>biomass</v>
          </cell>
        </row>
        <row r="13208">
          <cell r="C13208" t="str">
            <v>IC</v>
          </cell>
          <cell r="D13208">
            <v>0.9</v>
          </cell>
          <cell r="H13208" t="str">
            <v>biomass</v>
          </cell>
        </row>
        <row r="13209">
          <cell r="C13209" t="str">
            <v>IC</v>
          </cell>
          <cell r="D13209">
            <v>0.9</v>
          </cell>
          <cell r="H13209" t="str">
            <v>biomass</v>
          </cell>
        </row>
        <row r="13210">
          <cell r="C13210" t="str">
            <v>GT</v>
          </cell>
          <cell r="D13210">
            <v>2.2999999999999998</v>
          </cell>
          <cell r="H13210" t="str">
            <v>biomass</v>
          </cell>
        </row>
        <row r="13211">
          <cell r="C13211" t="str">
            <v>GT</v>
          </cell>
          <cell r="D13211">
            <v>4.3</v>
          </cell>
          <cell r="H13211" t="str">
            <v>biomass</v>
          </cell>
        </row>
        <row r="13212">
          <cell r="C13212" t="str">
            <v>GT</v>
          </cell>
          <cell r="D13212">
            <v>42</v>
          </cell>
          <cell r="H13212" t="str">
            <v>natural gas peaker</v>
          </cell>
        </row>
        <row r="13213">
          <cell r="C13213" t="str">
            <v>IC</v>
          </cell>
          <cell r="D13213">
            <v>2.7</v>
          </cell>
          <cell r="H13213" t="str">
            <v>biomass</v>
          </cell>
        </row>
        <row r="13214">
          <cell r="C13214" t="str">
            <v>IC</v>
          </cell>
          <cell r="D13214">
            <v>2.7</v>
          </cell>
          <cell r="H13214" t="str">
            <v>biomass</v>
          </cell>
        </row>
        <row r="13215">
          <cell r="C13215" t="str">
            <v>IC</v>
          </cell>
          <cell r="D13215">
            <v>0.9</v>
          </cell>
          <cell r="H13215" t="str">
            <v>biomass</v>
          </cell>
        </row>
        <row r="13216">
          <cell r="C13216" t="str">
            <v>IC</v>
          </cell>
          <cell r="D13216">
            <v>0.9</v>
          </cell>
          <cell r="H13216" t="str">
            <v>biomass</v>
          </cell>
        </row>
        <row r="13217">
          <cell r="C13217" t="str">
            <v>IC</v>
          </cell>
          <cell r="D13217">
            <v>0.9</v>
          </cell>
          <cell r="H13217" t="str">
            <v>biomass</v>
          </cell>
        </row>
        <row r="13218">
          <cell r="C13218" t="str">
            <v>IC</v>
          </cell>
          <cell r="D13218">
            <v>0.9</v>
          </cell>
          <cell r="H13218" t="str">
            <v>biomass</v>
          </cell>
        </row>
        <row r="13219">
          <cell r="C13219" t="str">
            <v>IC</v>
          </cell>
          <cell r="D13219">
            <v>2.7</v>
          </cell>
          <cell r="H13219" t="str">
            <v>biomass</v>
          </cell>
        </row>
        <row r="13220">
          <cell r="C13220" t="str">
            <v>WT</v>
          </cell>
          <cell r="D13220">
            <v>41.4</v>
          </cell>
          <cell r="H13220" t="str">
            <v>onshore wind</v>
          </cell>
        </row>
        <row r="13221">
          <cell r="C13221" t="str">
            <v>WT</v>
          </cell>
          <cell r="D13221">
            <v>1.8</v>
          </cell>
          <cell r="H13221" t="str">
            <v>onshore wind</v>
          </cell>
        </row>
        <row r="13222">
          <cell r="C13222" t="str">
            <v>WT</v>
          </cell>
          <cell r="D13222">
            <v>24.8</v>
          </cell>
          <cell r="H13222" t="str">
            <v>onshore wind</v>
          </cell>
        </row>
        <row r="13223">
          <cell r="C13223" t="str">
            <v>WT</v>
          </cell>
          <cell r="D13223">
            <v>16.8</v>
          </cell>
          <cell r="H13223" t="str">
            <v>onshore wind</v>
          </cell>
        </row>
        <row r="13224">
          <cell r="C13224" t="str">
            <v>IC</v>
          </cell>
          <cell r="D13224">
            <v>0.7</v>
          </cell>
          <cell r="H13224" t="str">
            <v>natural gas peaker</v>
          </cell>
        </row>
        <row r="13225">
          <cell r="C13225" t="str">
            <v>IC</v>
          </cell>
          <cell r="D13225">
            <v>0.7</v>
          </cell>
          <cell r="H13225" t="str">
            <v>petroleum</v>
          </cell>
        </row>
        <row r="13226">
          <cell r="C13226" t="str">
            <v>IC</v>
          </cell>
          <cell r="D13226">
            <v>0.7</v>
          </cell>
          <cell r="H13226" t="str">
            <v>natural gas peaker</v>
          </cell>
        </row>
        <row r="13227">
          <cell r="C13227" t="str">
            <v>GT</v>
          </cell>
          <cell r="D13227">
            <v>151.69999999999999</v>
          </cell>
          <cell r="H13227" t="str">
            <v>natural gas peaker</v>
          </cell>
        </row>
        <row r="13228">
          <cell r="C13228" t="str">
            <v>CT</v>
          </cell>
          <cell r="D13228" t="str">
            <v xml:space="preserve"> </v>
          </cell>
          <cell r="H13228" t="str">
            <v>natural gas nonpeaker</v>
          </cell>
        </row>
        <row r="13229">
          <cell r="C13229" t="str">
            <v>CT</v>
          </cell>
          <cell r="D13229" t="str">
            <v xml:space="preserve"> </v>
          </cell>
          <cell r="H13229" t="str">
            <v>natural gas nonpeaker</v>
          </cell>
        </row>
        <row r="13230">
          <cell r="C13230" t="str">
            <v>CA</v>
          </cell>
          <cell r="D13230">
            <v>526.20000000000005</v>
          </cell>
          <cell r="H13230" t="str">
            <v>natural gas nonpeaker</v>
          </cell>
        </row>
        <row r="13231">
          <cell r="C13231" t="str">
            <v>GT</v>
          </cell>
          <cell r="D13231">
            <v>37</v>
          </cell>
          <cell r="H13231" t="str">
            <v>natural gas peaker</v>
          </cell>
        </row>
        <row r="13232">
          <cell r="C13232" t="str">
            <v>GT</v>
          </cell>
          <cell r="D13232">
            <v>37</v>
          </cell>
          <cell r="H13232" t="str">
            <v>natural gas peaker</v>
          </cell>
        </row>
        <row r="13233">
          <cell r="C13233" t="str">
            <v>GT</v>
          </cell>
          <cell r="D13233">
            <v>37</v>
          </cell>
          <cell r="H13233" t="str">
            <v>natural gas peaker</v>
          </cell>
        </row>
        <row r="13234">
          <cell r="C13234" t="str">
            <v>GT</v>
          </cell>
          <cell r="D13234">
            <v>37</v>
          </cell>
          <cell r="H13234" t="str">
            <v>natural gas peaker</v>
          </cell>
        </row>
        <row r="13235">
          <cell r="C13235" t="str">
            <v>GT</v>
          </cell>
          <cell r="D13235">
            <v>37</v>
          </cell>
          <cell r="H13235" t="str">
            <v>natural gas peaker</v>
          </cell>
        </row>
        <row r="13236">
          <cell r="C13236" t="str">
            <v>GT</v>
          </cell>
          <cell r="D13236">
            <v>45</v>
          </cell>
          <cell r="H13236" t="str">
            <v>natural gas peaker</v>
          </cell>
        </row>
        <row r="13237">
          <cell r="C13237" t="str">
            <v>GT</v>
          </cell>
          <cell r="D13237">
            <v>45</v>
          </cell>
          <cell r="H13237" t="str">
            <v>natural gas peaker</v>
          </cell>
        </row>
        <row r="13238">
          <cell r="C13238" t="str">
            <v>GT</v>
          </cell>
          <cell r="D13238">
            <v>45</v>
          </cell>
          <cell r="H13238" t="str">
            <v>natural gas peaker</v>
          </cell>
        </row>
        <row r="13239">
          <cell r="C13239" t="str">
            <v>GT</v>
          </cell>
          <cell r="D13239">
            <v>45</v>
          </cell>
          <cell r="H13239" t="str">
            <v>natural gas peaker</v>
          </cell>
        </row>
        <row r="13240">
          <cell r="C13240" t="str">
            <v>GT</v>
          </cell>
          <cell r="D13240">
            <v>45</v>
          </cell>
          <cell r="H13240" t="str">
            <v>natural gas peaker</v>
          </cell>
        </row>
        <row r="13241">
          <cell r="C13241" t="str">
            <v>GT</v>
          </cell>
          <cell r="D13241">
            <v>45</v>
          </cell>
          <cell r="H13241" t="str">
            <v>natural gas peaker</v>
          </cell>
        </row>
        <row r="13242">
          <cell r="C13242" t="str">
            <v>GT</v>
          </cell>
          <cell r="D13242">
            <v>45</v>
          </cell>
          <cell r="H13242" t="str">
            <v>natural gas peaker</v>
          </cell>
        </row>
        <row r="13243">
          <cell r="C13243" t="str">
            <v>GT</v>
          </cell>
          <cell r="D13243">
            <v>45</v>
          </cell>
          <cell r="H13243" t="str">
            <v>natural gas peaker</v>
          </cell>
        </row>
        <row r="13244">
          <cell r="C13244" t="str">
            <v>GT</v>
          </cell>
          <cell r="D13244">
            <v>45</v>
          </cell>
          <cell r="H13244" t="str">
            <v>natural gas peaker</v>
          </cell>
        </row>
        <row r="13245">
          <cell r="C13245" t="str">
            <v>GT</v>
          </cell>
          <cell r="D13245">
            <v>45</v>
          </cell>
          <cell r="H13245" t="str">
            <v>natural gas peaker</v>
          </cell>
        </row>
        <row r="13246">
          <cell r="C13246" t="str">
            <v>GT</v>
          </cell>
          <cell r="D13246">
            <v>45</v>
          </cell>
          <cell r="H13246" t="str">
            <v>natural gas peaker</v>
          </cell>
        </row>
        <row r="13247">
          <cell r="C13247" t="str">
            <v>GT</v>
          </cell>
          <cell r="D13247">
            <v>45</v>
          </cell>
          <cell r="H13247" t="str">
            <v>natural gas peaker</v>
          </cell>
        </row>
        <row r="13248">
          <cell r="C13248" t="str">
            <v>GT</v>
          </cell>
          <cell r="D13248">
            <v>45</v>
          </cell>
          <cell r="H13248" t="str">
            <v>natural gas peaker</v>
          </cell>
        </row>
        <row r="13249">
          <cell r="C13249" t="str">
            <v>GT</v>
          </cell>
          <cell r="D13249">
            <v>45</v>
          </cell>
          <cell r="H13249" t="str">
            <v>natural gas peaker</v>
          </cell>
        </row>
        <row r="13250">
          <cell r="C13250" t="str">
            <v>GT</v>
          </cell>
          <cell r="D13250">
            <v>45</v>
          </cell>
          <cell r="H13250" t="str">
            <v>natural gas peaker</v>
          </cell>
        </row>
        <row r="13251">
          <cell r="C13251" t="str">
            <v>CT</v>
          </cell>
          <cell r="D13251">
            <v>156.19999999999999</v>
          </cell>
          <cell r="H13251" t="str">
            <v>natural gas nonpeaker</v>
          </cell>
        </row>
        <row r="13252">
          <cell r="C13252" t="str">
            <v>CT</v>
          </cell>
          <cell r="D13252">
            <v>154.30000000000001</v>
          </cell>
          <cell r="H13252" t="str">
            <v>natural gas nonpeaker</v>
          </cell>
        </row>
        <row r="13253">
          <cell r="C13253" t="str">
            <v>CA</v>
          </cell>
          <cell r="D13253">
            <v>256.89999999999998</v>
          </cell>
          <cell r="H13253" t="str">
            <v>natural gas nonpeaker</v>
          </cell>
        </row>
        <row r="13254">
          <cell r="C13254" t="str">
            <v>GT</v>
          </cell>
          <cell r="D13254">
            <v>130</v>
          </cell>
          <cell r="H13254" t="str">
            <v>natural gas peaker</v>
          </cell>
        </row>
        <row r="13255">
          <cell r="C13255" t="str">
            <v>GT</v>
          </cell>
          <cell r="D13255">
            <v>134</v>
          </cell>
          <cell r="H13255" t="str">
            <v>natural gas peaker</v>
          </cell>
        </row>
        <row r="13256">
          <cell r="C13256" t="str">
            <v>IC</v>
          </cell>
          <cell r="D13256">
            <v>5.7</v>
          </cell>
          <cell r="H13256" t="str">
            <v>natural gas peaker</v>
          </cell>
        </row>
        <row r="13257">
          <cell r="C13257" t="str">
            <v>IC</v>
          </cell>
          <cell r="D13257">
            <v>5.7</v>
          </cell>
          <cell r="H13257" t="str">
            <v>natural gas peaker</v>
          </cell>
        </row>
        <row r="13258">
          <cell r="C13258" t="str">
            <v>IC</v>
          </cell>
          <cell r="D13258">
            <v>5.7</v>
          </cell>
          <cell r="H13258" t="str">
            <v>natural gas peaker</v>
          </cell>
        </row>
        <row r="13259">
          <cell r="C13259" t="str">
            <v>IC</v>
          </cell>
          <cell r="D13259">
            <v>5.7</v>
          </cell>
          <cell r="H13259" t="str">
            <v>natural gas peaker</v>
          </cell>
        </row>
        <row r="13260">
          <cell r="C13260" t="str">
            <v>IC</v>
          </cell>
          <cell r="D13260">
            <v>5.7</v>
          </cell>
          <cell r="H13260" t="str">
            <v>natural gas peaker</v>
          </cell>
        </row>
        <row r="13261">
          <cell r="C13261" t="str">
            <v>IC</v>
          </cell>
          <cell r="D13261">
            <v>5.7</v>
          </cell>
          <cell r="H13261" t="str">
            <v>natural gas peaker</v>
          </cell>
        </row>
        <row r="13262">
          <cell r="C13262" t="str">
            <v>IC</v>
          </cell>
          <cell r="D13262">
            <v>5.7</v>
          </cell>
          <cell r="H13262" t="str">
            <v>natural gas peaker</v>
          </cell>
        </row>
        <row r="13263">
          <cell r="C13263" t="str">
            <v>IC</v>
          </cell>
          <cell r="D13263">
            <v>5.7</v>
          </cell>
          <cell r="H13263" t="str">
            <v>natural gas peaker</v>
          </cell>
        </row>
        <row r="13264">
          <cell r="C13264" t="str">
            <v>IC</v>
          </cell>
          <cell r="D13264">
            <v>5.7</v>
          </cell>
          <cell r="H13264" t="str">
            <v>natural gas peaker</v>
          </cell>
        </row>
        <row r="13265">
          <cell r="C13265" t="str">
            <v>IC</v>
          </cell>
          <cell r="D13265">
            <v>5.7</v>
          </cell>
          <cell r="H13265" t="str">
            <v>natural gas peaker</v>
          </cell>
        </row>
        <row r="13266">
          <cell r="C13266" t="str">
            <v>IC</v>
          </cell>
          <cell r="D13266">
            <v>5.7</v>
          </cell>
          <cell r="H13266" t="str">
            <v>natural gas peaker</v>
          </cell>
        </row>
        <row r="13267">
          <cell r="C13267" t="str">
            <v>IC</v>
          </cell>
          <cell r="D13267">
            <v>5.7</v>
          </cell>
          <cell r="H13267" t="str">
            <v>natural gas peaker</v>
          </cell>
        </row>
        <row r="13268">
          <cell r="C13268" t="str">
            <v>IC</v>
          </cell>
          <cell r="D13268">
            <v>5.7</v>
          </cell>
          <cell r="H13268" t="str">
            <v>natural gas peaker</v>
          </cell>
        </row>
        <row r="13269">
          <cell r="C13269" t="str">
            <v>IC</v>
          </cell>
          <cell r="D13269">
            <v>5.7</v>
          </cell>
          <cell r="H13269" t="str">
            <v>natural gas peaker</v>
          </cell>
        </row>
        <row r="13270">
          <cell r="C13270" t="str">
            <v>IC</v>
          </cell>
          <cell r="D13270">
            <v>5.7</v>
          </cell>
          <cell r="H13270" t="str">
            <v>natural gas peaker</v>
          </cell>
        </row>
        <row r="13271">
          <cell r="C13271" t="str">
            <v>IC</v>
          </cell>
          <cell r="D13271">
            <v>5.7</v>
          </cell>
          <cell r="H13271" t="str">
            <v>natural gas peaker</v>
          </cell>
        </row>
        <row r="13272">
          <cell r="C13272" t="str">
            <v>IC</v>
          </cell>
          <cell r="D13272">
            <v>5.7</v>
          </cell>
          <cell r="H13272" t="str">
            <v>natural gas peaker</v>
          </cell>
        </row>
        <row r="13273">
          <cell r="C13273" t="str">
            <v>IC</v>
          </cell>
          <cell r="D13273">
            <v>5.7</v>
          </cell>
          <cell r="H13273" t="str">
            <v>natural gas peaker</v>
          </cell>
        </row>
        <row r="13274">
          <cell r="C13274" t="str">
            <v>IC</v>
          </cell>
          <cell r="D13274">
            <v>5.7</v>
          </cell>
          <cell r="H13274" t="str">
            <v>natural gas peaker</v>
          </cell>
        </row>
        <row r="13275">
          <cell r="C13275" t="str">
            <v>IC</v>
          </cell>
          <cell r="D13275">
            <v>5.7</v>
          </cell>
          <cell r="H13275" t="str">
            <v>natural gas peaker</v>
          </cell>
        </row>
        <row r="13276">
          <cell r="C13276" t="str">
            <v>GT</v>
          </cell>
          <cell r="D13276">
            <v>68.599999999999994</v>
          </cell>
          <cell r="H13276" t="str">
            <v>natural gas peaker</v>
          </cell>
        </row>
        <row r="13277">
          <cell r="C13277" t="str">
            <v>GT</v>
          </cell>
          <cell r="D13277">
            <v>68.599999999999994</v>
          </cell>
          <cell r="H13277" t="str">
            <v>natural gas peaker</v>
          </cell>
        </row>
        <row r="13278">
          <cell r="C13278" t="str">
            <v>GT</v>
          </cell>
          <cell r="D13278">
            <v>67</v>
          </cell>
          <cell r="H13278" t="str">
            <v>natural gas peaker</v>
          </cell>
        </row>
        <row r="13279">
          <cell r="C13279" t="str">
            <v>GT</v>
          </cell>
          <cell r="D13279">
            <v>67.400000000000006</v>
          </cell>
          <cell r="H13279" t="str">
            <v>natural gas peaker</v>
          </cell>
        </row>
        <row r="13280">
          <cell r="C13280" t="str">
            <v>GT</v>
          </cell>
          <cell r="D13280">
            <v>44</v>
          </cell>
          <cell r="H13280" t="str">
            <v>natural gas peaker</v>
          </cell>
        </row>
        <row r="13281">
          <cell r="C13281" t="str">
            <v>GT</v>
          </cell>
          <cell r="D13281">
            <v>44</v>
          </cell>
          <cell r="H13281" t="str">
            <v>natural gas peaker</v>
          </cell>
        </row>
        <row r="13282">
          <cell r="C13282" t="str">
            <v>GT</v>
          </cell>
          <cell r="D13282">
            <v>45</v>
          </cell>
          <cell r="H13282" t="str">
            <v>natural gas peaker</v>
          </cell>
        </row>
        <row r="13283">
          <cell r="C13283" t="str">
            <v>GT</v>
          </cell>
          <cell r="D13283">
            <v>45</v>
          </cell>
          <cell r="H13283" t="str">
            <v>natural gas peaker</v>
          </cell>
        </row>
        <row r="13284">
          <cell r="C13284" t="str">
            <v>CT</v>
          </cell>
          <cell r="D13284">
            <v>175</v>
          </cell>
          <cell r="H13284" t="str">
            <v>natural gas nonpeaker</v>
          </cell>
        </row>
        <row r="13285">
          <cell r="C13285" t="str">
            <v>CT</v>
          </cell>
          <cell r="D13285">
            <v>173</v>
          </cell>
          <cell r="H13285" t="str">
            <v>natural gas nonpeaker</v>
          </cell>
        </row>
        <row r="13286">
          <cell r="C13286" t="str">
            <v>CT</v>
          </cell>
          <cell r="D13286">
            <v>171</v>
          </cell>
          <cell r="H13286" t="str">
            <v>natural gas nonpeaker</v>
          </cell>
        </row>
        <row r="13287">
          <cell r="C13287" t="str">
            <v>CA</v>
          </cell>
          <cell r="D13287">
            <v>174</v>
          </cell>
          <cell r="H13287" t="str">
            <v>natural gas nonpeaker</v>
          </cell>
        </row>
        <row r="13288">
          <cell r="C13288" t="str">
            <v>CA</v>
          </cell>
          <cell r="D13288">
            <v>87</v>
          </cell>
          <cell r="H13288" t="str">
            <v>natural gas nonpeaker</v>
          </cell>
        </row>
        <row r="13289">
          <cell r="C13289" t="str">
            <v>CT</v>
          </cell>
          <cell r="D13289">
            <v>176</v>
          </cell>
          <cell r="H13289" t="str">
            <v>natural gas nonpeaker</v>
          </cell>
        </row>
        <row r="13290">
          <cell r="C13290" t="str">
            <v>CT</v>
          </cell>
          <cell r="D13290">
            <v>176</v>
          </cell>
          <cell r="H13290" t="str">
            <v>natural gas nonpeaker</v>
          </cell>
        </row>
        <row r="13291">
          <cell r="C13291" t="str">
            <v>CA</v>
          </cell>
          <cell r="D13291">
            <v>228</v>
          </cell>
          <cell r="H13291" t="str">
            <v>natural gas nonpeaker</v>
          </cell>
        </row>
        <row r="13292">
          <cell r="C13292" t="str">
            <v>CA</v>
          </cell>
          <cell r="D13292">
            <v>157</v>
          </cell>
          <cell r="H13292" t="str">
            <v>natural gas nonpeaker</v>
          </cell>
        </row>
        <row r="13293">
          <cell r="C13293" t="str">
            <v>CT</v>
          </cell>
          <cell r="D13293">
            <v>160</v>
          </cell>
          <cell r="H13293" t="str">
            <v>natural gas nonpeaker</v>
          </cell>
        </row>
        <row r="13294">
          <cell r="C13294" t="str">
            <v>CT</v>
          </cell>
          <cell r="D13294">
            <v>160</v>
          </cell>
          <cell r="H13294" t="str">
            <v>natural gas nonpeaker</v>
          </cell>
        </row>
        <row r="13295">
          <cell r="C13295" t="str">
            <v>CT</v>
          </cell>
          <cell r="D13295">
            <v>144.5</v>
          </cell>
          <cell r="H13295" t="str">
            <v>natural gas nonpeaker</v>
          </cell>
        </row>
        <row r="13296">
          <cell r="C13296" t="str">
            <v>CT</v>
          </cell>
          <cell r="D13296">
            <v>144.5</v>
          </cell>
          <cell r="H13296" t="str">
            <v>natural gas nonpeaker</v>
          </cell>
        </row>
        <row r="13297">
          <cell r="C13297" t="str">
            <v>CA</v>
          </cell>
          <cell r="D13297">
            <v>225.4</v>
          </cell>
          <cell r="H13297" t="str">
            <v>natural gas nonpeaker</v>
          </cell>
        </row>
        <row r="13298">
          <cell r="C13298" t="str">
            <v>CT</v>
          </cell>
          <cell r="D13298">
            <v>167</v>
          </cell>
          <cell r="H13298" t="str">
            <v>natural gas nonpeaker</v>
          </cell>
        </row>
        <row r="13299">
          <cell r="C13299" t="str">
            <v>CT</v>
          </cell>
          <cell r="D13299">
            <v>167</v>
          </cell>
          <cell r="H13299" t="str">
            <v>natural gas nonpeaker</v>
          </cell>
        </row>
        <row r="13300">
          <cell r="C13300" t="str">
            <v>CA</v>
          </cell>
          <cell r="D13300">
            <v>219.2</v>
          </cell>
          <cell r="H13300" t="str">
            <v>natural gas nonpeaker</v>
          </cell>
        </row>
        <row r="13301">
          <cell r="C13301" t="str">
            <v>GT</v>
          </cell>
          <cell r="D13301">
            <v>72.099999999999994</v>
          </cell>
          <cell r="H13301" t="str">
            <v>natural gas peaker</v>
          </cell>
        </row>
        <row r="13302">
          <cell r="C13302" t="str">
            <v>GT</v>
          </cell>
          <cell r="D13302">
            <v>72.099999999999994</v>
          </cell>
          <cell r="H13302" t="str">
            <v>natural gas peaker</v>
          </cell>
        </row>
        <row r="13303">
          <cell r="C13303" t="str">
            <v>GT</v>
          </cell>
          <cell r="D13303">
            <v>72</v>
          </cell>
          <cell r="H13303" t="str">
            <v>natural gas peaker</v>
          </cell>
        </row>
        <row r="13304">
          <cell r="C13304" t="str">
            <v>GT</v>
          </cell>
          <cell r="D13304">
            <v>72</v>
          </cell>
          <cell r="H13304" t="str">
            <v>natural gas peaker</v>
          </cell>
        </row>
        <row r="13305">
          <cell r="C13305" t="str">
            <v>GT</v>
          </cell>
          <cell r="D13305">
            <v>72.099999999999994</v>
          </cell>
          <cell r="H13305" t="str">
            <v>natural gas peaker</v>
          </cell>
        </row>
        <row r="13306">
          <cell r="C13306" t="str">
            <v>GT</v>
          </cell>
          <cell r="D13306">
            <v>72.099999999999994</v>
          </cell>
          <cell r="H13306" t="str">
            <v>natural gas peaker</v>
          </cell>
        </row>
        <row r="13307">
          <cell r="C13307" t="str">
            <v>GT</v>
          </cell>
          <cell r="D13307">
            <v>72</v>
          </cell>
          <cell r="H13307" t="str">
            <v>natural gas peaker</v>
          </cell>
        </row>
        <row r="13308">
          <cell r="C13308" t="str">
            <v>GT</v>
          </cell>
          <cell r="D13308">
            <v>72</v>
          </cell>
          <cell r="H13308" t="str">
            <v>natural gas peaker</v>
          </cell>
        </row>
        <row r="13309">
          <cell r="C13309" t="str">
            <v>HY</v>
          </cell>
          <cell r="D13309">
            <v>1</v>
          </cell>
          <cell r="H13309" t="str">
            <v>hydro</v>
          </cell>
        </row>
        <row r="13310">
          <cell r="C13310" t="str">
            <v>HY</v>
          </cell>
          <cell r="D13310">
            <v>0.5</v>
          </cell>
          <cell r="H13310" t="str">
            <v>hydro</v>
          </cell>
        </row>
        <row r="13311">
          <cell r="C13311" t="str">
            <v>HY</v>
          </cell>
          <cell r="D13311">
            <v>0.4</v>
          </cell>
          <cell r="H13311" t="str">
            <v>hydro</v>
          </cell>
        </row>
        <row r="13312">
          <cell r="C13312" t="str">
            <v>HY</v>
          </cell>
          <cell r="D13312">
            <v>0.4</v>
          </cell>
          <cell r="H13312" t="str">
            <v>hydro</v>
          </cell>
        </row>
        <row r="13313">
          <cell r="C13313" t="str">
            <v>HY</v>
          </cell>
          <cell r="D13313">
            <v>0.4</v>
          </cell>
          <cell r="H13313" t="str">
            <v>hydro</v>
          </cell>
        </row>
        <row r="13314">
          <cell r="C13314" t="str">
            <v>CT</v>
          </cell>
          <cell r="D13314">
            <v>157</v>
          </cell>
          <cell r="H13314" t="str">
            <v>natural gas nonpeaker</v>
          </cell>
        </row>
        <row r="13315">
          <cell r="C13315" t="str">
            <v>CT</v>
          </cell>
          <cell r="D13315">
            <v>157</v>
          </cell>
          <cell r="H13315" t="str">
            <v>natural gas nonpeaker</v>
          </cell>
        </row>
        <row r="13316">
          <cell r="C13316" t="str">
            <v>CA</v>
          </cell>
          <cell r="D13316">
            <v>236</v>
          </cell>
          <cell r="H13316" t="str">
            <v>natural gas nonpeaker</v>
          </cell>
        </row>
        <row r="13317">
          <cell r="C13317" t="str">
            <v>CT</v>
          </cell>
          <cell r="D13317">
            <v>118</v>
          </cell>
          <cell r="H13317" t="str">
            <v>natural gas nonpeaker</v>
          </cell>
        </row>
        <row r="13318">
          <cell r="C13318" t="str">
            <v>CT</v>
          </cell>
          <cell r="D13318">
            <v>127</v>
          </cell>
          <cell r="H13318" t="str">
            <v>natural gas nonpeaker</v>
          </cell>
        </row>
        <row r="13319">
          <cell r="C13319" t="str">
            <v>CT</v>
          </cell>
          <cell r="D13319">
            <v>127</v>
          </cell>
          <cell r="H13319" t="str">
            <v>natural gas nonpeaker</v>
          </cell>
        </row>
        <row r="13320">
          <cell r="C13320" t="str">
            <v>CT</v>
          </cell>
          <cell r="D13320">
            <v>118</v>
          </cell>
          <cell r="H13320" t="str">
            <v>natural gas nonpeaker</v>
          </cell>
        </row>
        <row r="13321">
          <cell r="C13321" t="str">
            <v>CT</v>
          </cell>
          <cell r="D13321">
            <v>127</v>
          </cell>
          <cell r="H13321" t="str">
            <v>natural gas nonpeaker</v>
          </cell>
        </row>
        <row r="13322">
          <cell r="C13322" t="str">
            <v>CT</v>
          </cell>
          <cell r="D13322">
            <v>127</v>
          </cell>
          <cell r="H13322" t="str">
            <v>natural gas nonpeaker</v>
          </cell>
        </row>
        <row r="13323">
          <cell r="C13323" t="str">
            <v>CA</v>
          </cell>
          <cell r="D13323">
            <v>195</v>
          </cell>
          <cell r="H13323" t="str">
            <v>natural gas nonpeaker</v>
          </cell>
        </row>
        <row r="13324">
          <cell r="C13324" t="str">
            <v>CA</v>
          </cell>
          <cell r="D13324">
            <v>195</v>
          </cell>
          <cell r="H13324" t="str">
            <v>natural gas nonpeaker</v>
          </cell>
        </row>
        <row r="13325">
          <cell r="C13325" t="str">
            <v>CT</v>
          </cell>
          <cell r="D13325">
            <v>220</v>
          </cell>
          <cell r="H13325" t="str">
            <v>natural gas nonpeaker</v>
          </cell>
        </row>
        <row r="13326">
          <cell r="C13326" t="str">
            <v>CT</v>
          </cell>
          <cell r="D13326">
            <v>220</v>
          </cell>
          <cell r="H13326" t="str">
            <v>natural gas nonpeaker</v>
          </cell>
        </row>
        <row r="13327">
          <cell r="C13327" t="str">
            <v>CA</v>
          </cell>
          <cell r="D13327">
            <v>270</v>
          </cell>
          <cell r="H13327" t="str">
            <v>natural gas nonpeaker</v>
          </cell>
        </row>
        <row r="13328">
          <cell r="C13328" t="str">
            <v>GT</v>
          </cell>
          <cell r="D13328">
            <v>45.9</v>
          </cell>
          <cell r="H13328" t="str">
            <v>natural gas peaker</v>
          </cell>
        </row>
        <row r="13329">
          <cell r="C13329" t="str">
            <v>GT</v>
          </cell>
          <cell r="D13329">
            <v>45.9</v>
          </cell>
          <cell r="H13329" t="str">
            <v>natural gas peaker</v>
          </cell>
        </row>
        <row r="13330">
          <cell r="C13330" t="str">
            <v>GT</v>
          </cell>
          <cell r="D13330">
            <v>52.8</v>
          </cell>
          <cell r="H13330" t="str">
            <v>natural gas peaker</v>
          </cell>
        </row>
        <row r="13331">
          <cell r="C13331" t="str">
            <v>CA</v>
          </cell>
          <cell r="D13331">
            <v>120</v>
          </cell>
          <cell r="H13331" t="str">
            <v>natural gas nonpeaker</v>
          </cell>
        </row>
        <row r="13332">
          <cell r="C13332" t="str">
            <v>CT</v>
          </cell>
          <cell r="D13332">
            <v>150</v>
          </cell>
          <cell r="H13332" t="str">
            <v>natural gas nonpeaker</v>
          </cell>
        </row>
        <row r="13333">
          <cell r="C13333" t="str">
            <v>CA</v>
          </cell>
          <cell r="D13333">
            <v>345.1</v>
          </cell>
          <cell r="H13333" t="str">
            <v>natural gas nonpeaker</v>
          </cell>
        </row>
        <row r="13334">
          <cell r="C13334" t="str">
            <v>CT</v>
          </cell>
          <cell r="D13334">
            <v>162.6</v>
          </cell>
          <cell r="H13334" t="str">
            <v>natural gas nonpeaker</v>
          </cell>
        </row>
        <row r="13335">
          <cell r="C13335" t="str">
            <v>CT</v>
          </cell>
          <cell r="D13335">
            <v>162.6</v>
          </cell>
          <cell r="H13335" t="str">
            <v>natural gas nonpeaker</v>
          </cell>
        </row>
        <row r="13336">
          <cell r="C13336" t="str">
            <v>CT</v>
          </cell>
          <cell r="D13336">
            <v>164</v>
          </cell>
          <cell r="H13336" t="str">
            <v>natural gas nonpeaker</v>
          </cell>
        </row>
        <row r="13337">
          <cell r="C13337" t="str">
            <v>CT</v>
          </cell>
          <cell r="D13337">
            <v>164</v>
          </cell>
          <cell r="H13337" t="str">
            <v>natural gas nonpeaker</v>
          </cell>
        </row>
        <row r="13338">
          <cell r="C13338" t="str">
            <v>CT</v>
          </cell>
          <cell r="D13338">
            <v>164</v>
          </cell>
          <cell r="H13338" t="str">
            <v>natural gas nonpeaker</v>
          </cell>
        </row>
        <row r="13339">
          <cell r="C13339" t="str">
            <v>CA</v>
          </cell>
          <cell r="D13339">
            <v>289</v>
          </cell>
          <cell r="H13339" t="str">
            <v>natural gas nonpeaker</v>
          </cell>
        </row>
        <row r="13340">
          <cell r="C13340" t="str">
            <v>ST</v>
          </cell>
          <cell r="D13340">
            <v>100</v>
          </cell>
          <cell r="H13340" t="str">
            <v>biomass</v>
          </cell>
        </row>
        <row r="13341">
          <cell r="C13341" t="str">
            <v>CT</v>
          </cell>
          <cell r="D13341">
            <v>167</v>
          </cell>
          <cell r="H13341" t="str">
            <v>natural gas nonpeaker</v>
          </cell>
        </row>
        <row r="13342">
          <cell r="C13342" t="str">
            <v>CT</v>
          </cell>
          <cell r="D13342">
            <v>167</v>
          </cell>
          <cell r="H13342" t="str">
            <v>natural gas nonpeaker</v>
          </cell>
        </row>
        <row r="13343">
          <cell r="C13343" t="str">
            <v>CA</v>
          </cell>
          <cell r="D13343">
            <v>175</v>
          </cell>
          <cell r="H13343" t="str">
            <v>natural gas nonpeaker</v>
          </cell>
        </row>
        <row r="13344">
          <cell r="C13344" t="str">
            <v>CT</v>
          </cell>
          <cell r="D13344">
            <v>208.1</v>
          </cell>
          <cell r="H13344" t="str">
            <v>natural gas nonpeaker</v>
          </cell>
        </row>
        <row r="13345">
          <cell r="C13345" t="str">
            <v>CT</v>
          </cell>
          <cell r="D13345">
            <v>208.1</v>
          </cell>
          <cell r="H13345" t="str">
            <v>natural gas nonpeaker</v>
          </cell>
        </row>
        <row r="13346">
          <cell r="C13346" t="str">
            <v>CA</v>
          </cell>
          <cell r="D13346">
            <v>225.3</v>
          </cell>
          <cell r="H13346" t="str">
            <v>natural gas nonpeaker</v>
          </cell>
        </row>
        <row r="13347">
          <cell r="C13347" t="str">
            <v>GT</v>
          </cell>
          <cell r="D13347">
            <v>78</v>
          </cell>
          <cell r="H13347" t="str">
            <v>natural gas peaker</v>
          </cell>
        </row>
        <row r="13348">
          <cell r="C13348" t="str">
            <v>GT</v>
          </cell>
          <cell r="D13348">
            <v>78</v>
          </cell>
          <cell r="H13348" t="str">
            <v>natural gas peaker</v>
          </cell>
        </row>
        <row r="13349">
          <cell r="C13349" t="str">
            <v>GT</v>
          </cell>
          <cell r="D13349">
            <v>78</v>
          </cell>
          <cell r="H13349" t="str">
            <v>natural gas peaker</v>
          </cell>
        </row>
        <row r="13350">
          <cell r="C13350" t="str">
            <v>GT</v>
          </cell>
          <cell r="D13350">
            <v>78</v>
          </cell>
          <cell r="H13350" t="str">
            <v>natural gas peaker</v>
          </cell>
        </row>
        <row r="13351">
          <cell r="C13351" t="str">
            <v>WT</v>
          </cell>
          <cell r="D13351">
            <v>22.2</v>
          </cell>
          <cell r="H13351" t="str">
            <v>onshore wind</v>
          </cell>
        </row>
        <row r="13352">
          <cell r="C13352" t="str">
            <v>WT</v>
          </cell>
          <cell r="D13352">
            <v>42.6</v>
          </cell>
          <cell r="H13352" t="str">
            <v>onshore wind</v>
          </cell>
        </row>
        <row r="13353">
          <cell r="C13353" t="str">
            <v>GT</v>
          </cell>
          <cell r="D13353">
            <v>164</v>
          </cell>
          <cell r="H13353" t="str">
            <v>natural gas peaker</v>
          </cell>
        </row>
        <row r="13354">
          <cell r="C13354" t="str">
            <v>WT</v>
          </cell>
          <cell r="D13354">
            <v>112</v>
          </cell>
          <cell r="H13354" t="str">
            <v>onshore wind</v>
          </cell>
        </row>
        <row r="13355">
          <cell r="C13355" t="str">
            <v>CT</v>
          </cell>
          <cell r="D13355">
            <v>181</v>
          </cell>
          <cell r="H13355" t="str">
            <v>natural gas nonpeaker</v>
          </cell>
        </row>
        <row r="13356">
          <cell r="C13356" t="str">
            <v>CT</v>
          </cell>
          <cell r="D13356">
            <v>183</v>
          </cell>
          <cell r="H13356" t="str">
            <v>natural gas nonpeaker</v>
          </cell>
        </row>
        <row r="13357">
          <cell r="C13357" t="str">
            <v>CA</v>
          </cell>
          <cell r="D13357">
            <v>316</v>
          </cell>
          <cell r="H13357" t="str">
            <v>natural gas nonpeaker</v>
          </cell>
        </row>
        <row r="13358">
          <cell r="C13358" t="str">
            <v>CT</v>
          </cell>
          <cell r="D13358">
            <v>185</v>
          </cell>
          <cell r="H13358" t="str">
            <v>natural gas nonpeaker</v>
          </cell>
        </row>
        <row r="13359">
          <cell r="C13359" t="str">
            <v>CT</v>
          </cell>
          <cell r="D13359">
            <v>186</v>
          </cell>
          <cell r="H13359" t="str">
            <v>natural gas nonpeaker</v>
          </cell>
        </row>
        <row r="13360">
          <cell r="C13360" t="str">
            <v>CA</v>
          </cell>
          <cell r="D13360">
            <v>314</v>
          </cell>
          <cell r="H13360" t="str">
            <v>natural gas nonpeaker</v>
          </cell>
        </row>
        <row r="13361">
          <cell r="C13361" t="str">
            <v>GT</v>
          </cell>
          <cell r="D13361">
            <v>40</v>
          </cell>
          <cell r="H13361" t="str">
            <v>natural gas peaker</v>
          </cell>
        </row>
        <row r="13362">
          <cell r="C13362" t="str">
            <v>GT</v>
          </cell>
          <cell r="D13362">
            <v>40</v>
          </cell>
          <cell r="H13362" t="str">
            <v>natural gas peaker</v>
          </cell>
        </row>
        <row r="13363">
          <cell r="C13363" t="str">
            <v>WT</v>
          </cell>
          <cell r="D13363">
            <v>24.6</v>
          </cell>
          <cell r="H13363" t="str">
            <v>onshore wind</v>
          </cell>
        </row>
        <row r="13364">
          <cell r="C13364" t="str">
            <v>WT</v>
          </cell>
          <cell r="D13364">
            <v>25.2</v>
          </cell>
          <cell r="H13364" t="str">
            <v>onshore wind</v>
          </cell>
        </row>
        <row r="13365">
          <cell r="C13365" t="str">
            <v>WT</v>
          </cell>
          <cell r="D13365">
            <v>50</v>
          </cell>
          <cell r="H13365" t="str">
            <v>onshore wind</v>
          </cell>
        </row>
        <row r="13366">
          <cell r="C13366" t="str">
            <v>WT</v>
          </cell>
          <cell r="D13366">
            <v>29.7</v>
          </cell>
          <cell r="H13366" t="str">
            <v>onshore wind</v>
          </cell>
        </row>
        <row r="13367">
          <cell r="C13367" t="str">
            <v>WT</v>
          </cell>
          <cell r="D13367">
            <v>2.6</v>
          </cell>
          <cell r="H13367" t="str">
            <v>onshore wind</v>
          </cell>
        </row>
        <row r="13368">
          <cell r="C13368" t="str">
            <v>WT</v>
          </cell>
          <cell r="D13368">
            <v>82.5</v>
          </cell>
          <cell r="H13368" t="str">
            <v>onshore wind</v>
          </cell>
        </row>
        <row r="13369">
          <cell r="C13369" t="str">
            <v>CA</v>
          </cell>
          <cell r="D13369">
            <v>126.1</v>
          </cell>
          <cell r="H13369" t="str">
            <v>natural gas nonpeaker</v>
          </cell>
        </row>
        <row r="13370">
          <cell r="C13370" t="str">
            <v>CT</v>
          </cell>
          <cell r="D13370">
            <v>45</v>
          </cell>
          <cell r="H13370" t="str">
            <v>natural gas nonpeaker</v>
          </cell>
        </row>
        <row r="13371">
          <cell r="C13371" t="str">
            <v>CT</v>
          </cell>
          <cell r="D13371">
            <v>45</v>
          </cell>
          <cell r="H13371" t="str">
            <v>natural gas nonpeaker</v>
          </cell>
        </row>
        <row r="13372">
          <cell r="C13372" t="str">
            <v>CT</v>
          </cell>
          <cell r="D13372">
            <v>45</v>
          </cell>
          <cell r="H13372" t="str">
            <v>natural gas nonpeaker</v>
          </cell>
        </row>
        <row r="13373">
          <cell r="C13373" t="str">
            <v>CT</v>
          </cell>
          <cell r="D13373">
            <v>45</v>
          </cell>
          <cell r="H13373" t="str">
            <v>natural gas nonpeaker</v>
          </cell>
        </row>
        <row r="13374">
          <cell r="C13374" t="str">
            <v>ST</v>
          </cell>
          <cell r="D13374">
            <v>107</v>
          </cell>
          <cell r="H13374" t="str">
            <v>hard coal</v>
          </cell>
        </row>
        <row r="13375">
          <cell r="C13375" t="str">
            <v>IC</v>
          </cell>
          <cell r="D13375">
            <v>0.7</v>
          </cell>
          <cell r="H13375" t="str">
            <v>biomass</v>
          </cell>
        </row>
        <row r="13376">
          <cell r="C13376" t="str">
            <v>IC</v>
          </cell>
          <cell r="D13376">
            <v>0.7</v>
          </cell>
          <cell r="H13376" t="str">
            <v>biomass</v>
          </cell>
        </row>
        <row r="13377">
          <cell r="C13377" t="str">
            <v>IC</v>
          </cell>
          <cell r="D13377">
            <v>0.7</v>
          </cell>
          <cell r="H13377" t="str">
            <v>biomass</v>
          </cell>
        </row>
        <row r="13378">
          <cell r="C13378" t="str">
            <v>IC</v>
          </cell>
          <cell r="D13378">
            <v>0.7</v>
          </cell>
          <cell r="H13378" t="str">
            <v>biomass</v>
          </cell>
        </row>
        <row r="13379">
          <cell r="C13379" t="str">
            <v>IC</v>
          </cell>
          <cell r="D13379">
            <v>0.7</v>
          </cell>
          <cell r="H13379" t="str">
            <v>biomass</v>
          </cell>
        </row>
        <row r="13380">
          <cell r="C13380" t="str">
            <v>IC</v>
          </cell>
          <cell r="D13380">
            <v>0.7</v>
          </cell>
          <cell r="H13380" t="str">
            <v>biomass</v>
          </cell>
        </row>
        <row r="13381">
          <cell r="C13381" t="str">
            <v>IC</v>
          </cell>
          <cell r="D13381">
            <v>0.7</v>
          </cell>
          <cell r="H13381" t="str">
            <v>biomass</v>
          </cell>
        </row>
        <row r="13382">
          <cell r="C13382" t="str">
            <v>IC</v>
          </cell>
          <cell r="D13382">
            <v>0.7</v>
          </cell>
          <cell r="H13382" t="str">
            <v>biomass</v>
          </cell>
        </row>
        <row r="13383">
          <cell r="C13383" t="str">
            <v>IC</v>
          </cell>
          <cell r="D13383">
            <v>0.8</v>
          </cell>
          <cell r="H13383" t="str">
            <v>biomass</v>
          </cell>
        </row>
        <row r="13384">
          <cell r="C13384" t="str">
            <v>IC</v>
          </cell>
          <cell r="D13384">
            <v>0.8</v>
          </cell>
          <cell r="H13384" t="str">
            <v>biomass</v>
          </cell>
        </row>
        <row r="13385">
          <cell r="C13385" t="str">
            <v>IC</v>
          </cell>
          <cell r="D13385">
            <v>0.8</v>
          </cell>
          <cell r="H13385" t="str">
            <v>biomass</v>
          </cell>
        </row>
        <row r="13386">
          <cell r="C13386" t="str">
            <v>IC</v>
          </cell>
          <cell r="D13386">
            <v>0.8</v>
          </cell>
          <cell r="H13386" t="str">
            <v>biomass</v>
          </cell>
        </row>
        <row r="13387">
          <cell r="C13387" t="str">
            <v>IC</v>
          </cell>
          <cell r="D13387">
            <v>0.8</v>
          </cell>
          <cell r="H13387" t="str">
            <v>biomass</v>
          </cell>
        </row>
        <row r="13388">
          <cell r="C13388" t="str">
            <v>IC</v>
          </cell>
          <cell r="D13388">
            <v>0.8</v>
          </cell>
          <cell r="H13388" t="str">
            <v>biomass</v>
          </cell>
        </row>
        <row r="13389">
          <cell r="C13389" t="str">
            <v>IC</v>
          </cell>
          <cell r="D13389">
            <v>0.8</v>
          </cell>
          <cell r="H13389" t="str">
            <v>biomass</v>
          </cell>
        </row>
        <row r="13390">
          <cell r="C13390" t="str">
            <v>GT</v>
          </cell>
          <cell r="D13390">
            <v>2.4</v>
          </cell>
          <cell r="H13390" t="str">
            <v>biomass</v>
          </cell>
        </row>
        <row r="13391">
          <cell r="C13391" t="str">
            <v>GT</v>
          </cell>
          <cell r="D13391">
            <v>2.4</v>
          </cell>
          <cell r="H13391" t="str">
            <v>biomass</v>
          </cell>
        </row>
        <row r="13392">
          <cell r="C13392" t="str">
            <v>GT</v>
          </cell>
          <cell r="D13392">
            <v>2.4</v>
          </cell>
          <cell r="H13392" t="str">
            <v>biomass</v>
          </cell>
        </row>
        <row r="13393">
          <cell r="C13393" t="str">
            <v>IC</v>
          </cell>
          <cell r="D13393">
            <v>2.8</v>
          </cell>
          <cell r="H13393" t="str">
            <v>biomass</v>
          </cell>
        </row>
        <row r="13394">
          <cell r="C13394" t="str">
            <v>IC</v>
          </cell>
          <cell r="D13394">
            <v>2.8</v>
          </cell>
          <cell r="H13394" t="str">
            <v>biomass</v>
          </cell>
        </row>
        <row r="13395">
          <cell r="C13395" t="str">
            <v>IC</v>
          </cell>
          <cell r="D13395">
            <v>2.8</v>
          </cell>
          <cell r="H13395" t="str">
            <v>biomass</v>
          </cell>
        </row>
        <row r="13396">
          <cell r="C13396" t="str">
            <v>WT</v>
          </cell>
          <cell r="D13396">
            <v>11.5</v>
          </cell>
          <cell r="H13396" t="str">
            <v>onshore wind</v>
          </cell>
        </row>
        <row r="13397">
          <cell r="C13397" t="str">
            <v>GT</v>
          </cell>
          <cell r="D13397">
            <v>2</v>
          </cell>
          <cell r="H13397" t="str">
            <v>biomass</v>
          </cell>
        </row>
        <row r="13398">
          <cell r="C13398" t="str">
            <v>GT</v>
          </cell>
          <cell r="D13398">
            <v>2</v>
          </cell>
          <cell r="H13398" t="str">
            <v>biomass</v>
          </cell>
        </row>
        <row r="13399">
          <cell r="C13399" t="str">
            <v>GT</v>
          </cell>
          <cell r="D13399">
            <v>2</v>
          </cell>
          <cell r="H13399" t="str">
            <v>biomass</v>
          </cell>
        </row>
        <row r="13400">
          <cell r="C13400" t="str">
            <v>GT</v>
          </cell>
          <cell r="D13400">
            <v>2</v>
          </cell>
          <cell r="H13400" t="str">
            <v>biomass</v>
          </cell>
        </row>
        <row r="13401">
          <cell r="C13401" t="str">
            <v>WT</v>
          </cell>
          <cell r="D13401">
            <v>1.5</v>
          </cell>
          <cell r="H13401" t="str">
            <v>onshore wind</v>
          </cell>
        </row>
        <row r="13402">
          <cell r="C13402" t="str">
            <v>GT</v>
          </cell>
          <cell r="D13402">
            <v>42.5</v>
          </cell>
          <cell r="H13402" t="str">
            <v>natural gas peaker</v>
          </cell>
        </row>
        <row r="13403">
          <cell r="C13403" t="str">
            <v>GT</v>
          </cell>
          <cell r="D13403">
            <v>42.5</v>
          </cell>
          <cell r="H13403" t="str">
            <v>natural gas peaker</v>
          </cell>
        </row>
        <row r="13404">
          <cell r="C13404" t="str">
            <v>GT</v>
          </cell>
          <cell r="D13404">
            <v>42.5</v>
          </cell>
          <cell r="H13404" t="str">
            <v>petroleum</v>
          </cell>
        </row>
        <row r="13405">
          <cell r="C13405" t="str">
            <v>GT</v>
          </cell>
          <cell r="D13405">
            <v>42.5</v>
          </cell>
          <cell r="H13405" t="str">
            <v>petroleum</v>
          </cell>
        </row>
        <row r="13406">
          <cell r="C13406" t="str">
            <v>WT</v>
          </cell>
          <cell r="D13406">
            <v>30</v>
          </cell>
          <cell r="H13406" t="str">
            <v>onshore wind</v>
          </cell>
        </row>
        <row r="13407">
          <cell r="C13407" t="str">
            <v>WT</v>
          </cell>
          <cell r="D13407">
            <v>78</v>
          </cell>
          <cell r="H13407" t="str">
            <v>onshore wind</v>
          </cell>
        </row>
        <row r="13408">
          <cell r="C13408" t="str">
            <v>WT</v>
          </cell>
          <cell r="D13408">
            <v>82</v>
          </cell>
          <cell r="H13408" t="str">
            <v>onshore wind</v>
          </cell>
        </row>
        <row r="13409">
          <cell r="C13409" t="str">
            <v>GT</v>
          </cell>
          <cell r="D13409">
            <v>8.8000000000000007</v>
          </cell>
          <cell r="H13409" t="str">
            <v>natural gas peaker</v>
          </cell>
        </row>
        <row r="13410">
          <cell r="C13410" t="str">
            <v>GT</v>
          </cell>
          <cell r="D13410">
            <v>8.8000000000000007</v>
          </cell>
          <cell r="H13410" t="str">
            <v>natural gas peaker</v>
          </cell>
        </row>
        <row r="13411">
          <cell r="C13411" t="str">
            <v>CT</v>
          </cell>
          <cell r="D13411">
            <v>184</v>
          </cell>
          <cell r="H13411" t="str">
            <v>natural gas nonpeaker</v>
          </cell>
        </row>
        <row r="13412">
          <cell r="C13412" t="str">
            <v>CT</v>
          </cell>
          <cell r="D13412">
            <v>178.7</v>
          </cell>
          <cell r="H13412" t="str">
            <v>natural gas nonpeaker</v>
          </cell>
        </row>
        <row r="13413">
          <cell r="C13413" t="str">
            <v>CT</v>
          </cell>
          <cell r="D13413">
            <v>185</v>
          </cell>
          <cell r="H13413" t="str">
            <v>natural gas nonpeaker</v>
          </cell>
        </row>
        <row r="13414">
          <cell r="C13414" t="str">
            <v>CA</v>
          </cell>
          <cell r="D13414">
            <v>299</v>
          </cell>
          <cell r="H13414" t="str">
            <v>natural gas nonpeaker</v>
          </cell>
        </row>
        <row r="13415">
          <cell r="C13415" t="str">
            <v>GT</v>
          </cell>
          <cell r="D13415">
            <v>144.30000000000001</v>
          </cell>
          <cell r="H13415" t="str">
            <v>natural gas peaker</v>
          </cell>
        </row>
        <row r="13416">
          <cell r="C13416" t="str">
            <v>WT</v>
          </cell>
          <cell r="D13416">
            <v>9</v>
          </cell>
          <cell r="H13416" t="str">
            <v>onshore wind</v>
          </cell>
        </row>
        <row r="13417">
          <cell r="C13417" t="str">
            <v>WT</v>
          </cell>
          <cell r="D13417">
            <v>80</v>
          </cell>
          <cell r="H13417" t="str">
            <v>onshore wind</v>
          </cell>
        </row>
        <row r="13418">
          <cell r="C13418" t="str">
            <v>WT</v>
          </cell>
          <cell r="D13418">
            <v>15</v>
          </cell>
          <cell r="H13418" t="str">
            <v>onshore wind</v>
          </cell>
        </row>
        <row r="13419">
          <cell r="C13419" t="str">
            <v>GT</v>
          </cell>
          <cell r="D13419">
            <v>46.3</v>
          </cell>
          <cell r="H13419" t="str">
            <v>natural gas peaker</v>
          </cell>
        </row>
        <row r="13420">
          <cell r="C13420" t="str">
            <v>GT</v>
          </cell>
          <cell r="D13420">
            <v>46.1</v>
          </cell>
          <cell r="H13420" t="str">
            <v>natural gas peaker</v>
          </cell>
        </row>
        <row r="13421">
          <cell r="C13421" t="str">
            <v>WT</v>
          </cell>
          <cell r="D13421">
            <v>1.5</v>
          </cell>
          <cell r="H13421" t="str">
            <v>onshore wind</v>
          </cell>
        </row>
        <row r="13422">
          <cell r="C13422" t="str">
            <v>GT</v>
          </cell>
          <cell r="D13422">
            <v>45</v>
          </cell>
          <cell r="H13422" t="str">
            <v>natural gas peaker</v>
          </cell>
        </row>
        <row r="13423">
          <cell r="C13423" t="str">
            <v>GT</v>
          </cell>
          <cell r="D13423">
            <v>45</v>
          </cell>
          <cell r="H13423" t="str">
            <v>natural gas peaker</v>
          </cell>
        </row>
        <row r="13424">
          <cell r="C13424" t="str">
            <v>GT</v>
          </cell>
          <cell r="D13424">
            <v>45</v>
          </cell>
          <cell r="H13424" t="str">
            <v>natural gas peaker</v>
          </cell>
        </row>
        <row r="13425">
          <cell r="C13425" t="str">
            <v>GT</v>
          </cell>
          <cell r="D13425">
            <v>44</v>
          </cell>
          <cell r="H13425" t="str">
            <v>natural gas peaker</v>
          </cell>
        </row>
        <row r="13426">
          <cell r="C13426" t="str">
            <v>GT</v>
          </cell>
          <cell r="D13426">
            <v>45</v>
          </cell>
          <cell r="H13426" t="str">
            <v>natural gas peaker</v>
          </cell>
        </row>
        <row r="13427">
          <cell r="C13427" t="str">
            <v>WT</v>
          </cell>
          <cell r="D13427">
            <v>42</v>
          </cell>
          <cell r="H13427" t="str">
            <v>onshore wind</v>
          </cell>
        </row>
        <row r="13428">
          <cell r="C13428" t="str">
            <v>CT</v>
          </cell>
          <cell r="D13428">
            <v>164</v>
          </cell>
          <cell r="H13428" t="str">
            <v>natural gas nonpeaker</v>
          </cell>
        </row>
        <row r="13429">
          <cell r="C13429" t="str">
            <v>CA</v>
          </cell>
          <cell r="D13429">
            <v>82</v>
          </cell>
          <cell r="H13429" t="str">
            <v>natural gas nonpeaker</v>
          </cell>
        </row>
        <row r="13430">
          <cell r="C13430" t="str">
            <v>CT</v>
          </cell>
          <cell r="D13430">
            <v>188</v>
          </cell>
          <cell r="H13430" t="str">
            <v>natural gas nonpeaker</v>
          </cell>
        </row>
        <row r="13431">
          <cell r="C13431" t="str">
            <v>CT</v>
          </cell>
          <cell r="D13431">
            <v>188</v>
          </cell>
          <cell r="H13431" t="str">
            <v>natural gas nonpeaker</v>
          </cell>
        </row>
        <row r="13432">
          <cell r="C13432" t="str">
            <v>CA</v>
          </cell>
          <cell r="D13432">
            <v>281</v>
          </cell>
          <cell r="H13432" t="str">
            <v>natural gas nonpeaker</v>
          </cell>
        </row>
        <row r="13433">
          <cell r="C13433" t="str">
            <v>IC</v>
          </cell>
          <cell r="D13433">
            <v>1.9</v>
          </cell>
          <cell r="H13433" t="str">
            <v>petroleum</v>
          </cell>
        </row>
        <row r="13434">
          <cell r="C13434" t="str">
            <v>CT</v>
          </cell>
          <cell r="D13434">
            <v>145</v>
          </cell>
          <cell r="H13434" t="str">
            <v>natural gas nonpeaker</v>
          </cell>
        </row>
        <row r="13435">
          <cell r="C13435" t="str">
            <v>CT</v>
          </cell>
          <cell r="D13435">
            <v>145</v>
          </cell>
          <cell r="H13435" t="str">
            <v>natural gas nonpeaker</v>
          </cell>
        </row>
        <row r="13436">
          <cell r="C13436" t="str">
            <v>CA</v>
          </cell>
          <cell r="D13436">
            <v>290</v>
          </cell>
          <cell r="H13436" t="str">
            <v>natural gas nonpeaker</v>
          </cell>
        </row>
        <row r="13437">
          <cell r="C13437" t="str">
            <v>GT</v>
          </cell>
          <cell r="D13437">
            <v>52.8</v>
          </cell>
          <cell r="H13437" t="str">
            <v>natural gas peaker</v>
          </cell>
        </row>
        <row r="13438">
          <cell r="C13438" t="str">
            <v>CT</v>
          </cell>
          <cell r="D13438">
            <v>157</v>
          </cell>
          <cell r="H13438" t="str">
            <v>natural gas nonpeaker</v>
          </cell>
        </row>
        <row r="13439">
          <cell r="C13439" t="str">
            <v>CT</v>
          </cell>
          <cell r="D13439">
            <v>157</v>
          </cell>
          <cell r="H13439" t="str">
            <v>natural gas nonpeaker</v>
          </cell>
        </row>
        <row r="13440">
          <cell r="C13440" t="str">
            <v>CA</v>
          </cell>
          <cell r="D13440">
            <v>246</v>
          </cell>
          <cell r="H13440" t="str">
            <v>natural gas nonpeaker</v>
          </cell>
        </row>
        <row r="13441">
          <cell r="C13441" t="str">
            <v>GT</v>
          </cell>
          <cell r="D13441">
            <v>45</v>
          </cell>
          <cell r="H13441" t="str">
            <v>natural gas peaker</v>
          </cell>
        </row>
        <row r="13442">
          <cell r="C13442" t="str">
            <v>GT</v>
          </cell>
          <cell r="D13442">
            <v>45.4</v>
          </cell>
          <cell r="H13442" t="str">
            <v>natural gas peaker</v>
          </cell>
        </row>
        <row r="13443">
          <cell r="C13443" t="str">
            <v>CS</v>
          </cell>
          <cell r="D13443">
            <v>345</v>
          </cell>
          <cell r="H13443" t="str">
            <v>natural gas nonpeaker</v>
          </cell>
        </row>
        <row r="13444">
          <cell r="C13444" t="str">
            <v>CS</v>
          </cell>
          <cell r="D13444">
            <v>345</v>
          </cell>
          <cell r="H13444" t="str">
            <v>natural gas nonpeaker</v>
          </cell>
        </row>
        <row r="13445">
          <cell r="C13445" t="str">
            <v>GT</v>
          </cell>
          <cell r="D13445">
            <v>45</v>
          </cell>
          <cell r="H13445" t="str">
            <v>natural gas peaker</v>
          </cell>
        </row>
        <row r="13446">
          <cell r="C13446" t="str">
            <v>ST</v>
          </cell>
          <cell r="D13446">
            <v>815</v>
          </cell>
          <cell r="H13446" t="str">
            <v>hard coal</v>
          </cell>
        </row>
        <row r="13447">
          <cell r="C13447" t="str">
            <v>ST</v>
          </cell>
          <cell r="D13447">
            <v>815</v>
          </cell>
          <cell r="H13447" t="str">
            <v>hard coal</v>
          </cell>
        </row>
        <row r="13448">
          <cell r="C13448" t="str">
            <v>GT</v>
          </cell>
          <cell r="D13448">
            <v>4</v>
          </cell>
          <cell r="H13448" t="str">
            <v>natural gas peaker</v>
          </cell>
        </row>
        <row r="13449">
          <cell r="C13449" t="str">
            <v>GT</v>
          </cell>
          <cell r="D13449">
            <v>4</v>
          </cell>
          <cell r="H13449" t="str">
            <v>natural gas peaker</v>
          </cell>
        </row>
        <row r="13450">
          <cell r="C13450" t="str">
            <v>GT</v>
          </cell>
          <cell r="D13450">
            <v>4</v>
          </cell>
          <cell r="H13450" t="str">
            <v>natural gas peaker</v>
          </cell>
        </row>
        <row r="13451">
          <cell r="C13451" t="str">
            <v>GT</v>
          </cell>
          <cell r="D13451">
            <v>4</v>
          </cell>
          <cell r="H13451" t="str">
            <v>natural gas peaker</v>
          </cell>
        </row>
        <row r="13452">
          <cell r="C13452" t="str">
            <v>GT</v>
          </cell>
          <cell r="D13452">
            <v>4</v>
          </cell>
          <cell r="H13452" t="str">
            <v>natural gas peaker</v>
          </cell>
        </row>
        <row r="13453">
          <cell r="C13453" t="str">
            <v>HY</v>
          </cell>
          <cell r="D13453">
            <v>0.3</v>
          </cell>
          <cell r="H13453" t="str">
            <v>hydro</v>
          </cell>
        </row>
        <row r="13454">
          <cell r="C13454" t="str">
            <v>HY</v>
          </cell>
          <cell r="D13454">
            <v>0.1</v>
          </cell>
          <cell r="H13454" t="str">
            <v>hydro</v>
          </cell>
        </row>
        <row r="13455">
          <cell r="C13455" t="str">
            <v>HY</v>
          </cell>
          <cell r="D13455">
            <v>0.8</v>
          </cell>
          <cell r="H13455" t="str">
            <v>hydro</v>
          </cell>
        </row>
        <row r="13456">
          <cell r="C13456" t="str">
            <v>HY</v>
          </cell>
          <cell r="D13456">
            <v>1.2</v>
          </cell>
          <cell r="H13456" t="str">
            <v>hydro</v>
          </cell>
        </row>
        <row r="13457">
          <cell r="C13457" t="str">
            <v>ST</v>
          </cell>
          <cell r="D13457">
            <v>7</v>
          </cell>
          <cell r="H13457" t="str">
            <v>natural gas peaker</v>
          </cell>
        </row>
        <row r="13458">
          <cell r="C13458" t="str">
            <v>HY</v>
          </cell>
          <cell r="D13458">
            <v>1.5</v>
          </cell>
          <cell r="H13458" t="str">
            <v>hydro</v>
          </cell>
        </row>
        <row r="13459">
          <cell r="C13459" t="str">
            <v>HY</v>
          </cell>
          <cell r="D13459">
            <v>1.5</v>
          </cell>
          <cell r="H13459" t="str">
            <v>hydro</v>
          </cell>
        </row>
        <row r="13460">
          <cell r="C13460" t="str">
            <v>HY</v>
          </cell>
          <cell r="D13460">
            <v>1.5</v>
          </cell>
          <cell r="H13460" t="str">
            <v>hydro</v>
          </cell>
        </row>
        <row r="13461">
          <cell r="C13461" t="str">
            <v>IC</v>
          </cell>
          <cell r="D13461">
            <v>6</v>
          </cell>
          <cell r="H13461" t="str">
            <v>natural gas peaker</v>
          </cell>
        </row>
        <row r="13462">
          <cell r="C13462" t="str">
            <v>IC</v>
          </cell>
          <cell r="D13462">
            <v>6</v>
          </cell>
          <cell r="H13462" t="str">
            <v>natural gas peaker</v>
          </cell>
        </row>
        <row r="13463">
          <cell r="C13463" t="str">
            <v>IC</v>
          </cell>
          <cell r="D13463">
            <v>6</v>
          </cell>
          <cell r="H13463" t="str">
            <v>natural gas peaker</v>
          </cell>
        </row>
        <row r="13464">
          <cell r="C13464" t="str">
            <v>IC</v>
          </cell>
          <cell r="D13464">
            <v>6</v>
          </cell>
          <cell r="H13464" t="str">
            <v>natural gas peaker</v>
          </cell>
        </row>
        <row r="13465">
          <cell r="C13465" t="str">
            <v>IC</v>
          </cell>
          <cell r="D13465">
            <v>6</v>
          </cell>
          <cell r="H13465" t="str">
            <v>natural gas peaker</v>
          </cell>
        </row>
        <row r="13466">
          <cell r="C13466" t="str">
            <v>IC</v>
          </cell>
          <cell r="D13466">
            <v>6</v>
          </cell>
          <cell r="H13466" t="str">
            <v>natural gas peaker</v>
          </cell>
        </row>
        <row r="13467">
          <cell r="C13467" t="str">
            <v>IC</v>
          </cell>
          <cell r="D13467">
            <v>6</v>
          </cell>
          <cell r="H13467" t="str">
            <v>natural gas peaker</v>
          </cell>
        </row>
        <row r="13468">
          <cell r="C13468" t="str">
            <v>IC</v>
          </cell>
          <cell r="D13468">
            <v>6</v>
          </cell>
          <cell r="H13468" t="str">
            <v>natural gas peaker</v>
          </cell>
        </row>
        <row r="13469">
          <cell r="C13469" t="str">
            <v>IC</v>
          </cell>
          <cell r="D13469">
            <v>6</v>
          </cell>
          <cell r="H13469" t="str">
            <v>natural gas peaker</v>
          </cell>
        </row>
        <row r="13470">
          <cell r="C13470" t="str">
            <v>WT</v>
          </cell>
          <cell r="D13470">
            <v>24</v>
          </cell>
          <cell r="H13470" t="str">
            <v>onshore wind</v>
          </cell>
        </row>
        <row r="13471">
          <cell r="C13471" t="str">
            <v>GT</v>
          </cell>
          <cell r="D13471">
            <v>40</v>
          </cell>
          <cell r="H13471" t="str">
            <v>natural gas peaker</v>
          </cell>
        </row>
        <row r="13472">
          <cell r="C13472" t="str">
            <v>IC</v>
          </cell>
          <cell r="D13472">
            <v>0.7</v>
          </cell>
          <cell r="H13472" t="str">
            <v>biomass</v>
          </cell>
        </row>
        <row r="13473">
          <cell r="C13473" t="str">
            <v>IC</v>
          </cell>
          <cell r="D13473">
            <v>0.7</v>
          </cell>
          <cell r="H13473" t="str">
            <v>biomass</v>
          </cell>
        </row>
        <row r="13474">
          <cell r="C13474" t="str">
            <v>ST</v>
          </cell>
          <cell r="D13474">
            <v>17.399999999999999</v>
          </cell>
          <cell r="H13474" t="str">
            <v>biomass</v>
          </cell>
        </row>
        <row r="13475">
          <cell r="C13475" t="str">
            <v>IC</v>
          </cell>
          <cell r="D13475">
            <v>1.5</v>
          </cell>
          <cell r="H13475" t="str">
            <v>biomass</v>
          </cell>
        </row>
        <row r="13476">
          <cell r="C13476" t="str">
            <v>IC</v>
          </cell>
          <cell r="D13476">
            <v>0.8</v>
          </cell>
          <cell r="H13476" t="str">
            <v>biomass</v>
          </cell>
        </row>
        <row r="13477">
          <cell r="C13477" t="str">
            <v>IC</v>
          </cell>
          <cell r="D13477">
            <v>0.8</v>
          </cell>
          <cell r="H13477" t="str">
            <v>biomass</v>
          </cell>
        </row>
        <row r="13478">
          <cell r="C13478" t="str">
            <v>IC</v>
          </cell>
          <cell r="D13478">
            <v>0.8</v>
          </cell>
          <cell r="H13478" t="str">
            <v>biomass</v>
          </cell>
        </row>
        <row r="13479">
          <cell r="C13479" t="str">
            <v>IC</v>
          </cell>
          <cell r="D13479">
            <v>0.8</v>
          </cell>
          <cell r="H13479" t="str">
            <v>biomass</v>
          </cell>
        </row>
        <row r="13480">
          <cell r="C13480" t="str">
            <v>IC</v>
          </cell>
          <cell r="D13480">
            <v>0.8</v>
          </cell>
          <cell r="H13480" t="str">
            <v>biomass</v>
          </cell>
        </row>
        <row r="13481">
          <cell r="C13481" t="str">
            <v>IC</v>
          </cell>
          <cell r="D13481">
            <v>0.8</v>
          </cell>
          <cell r="H13481" t="str">
            <v>biomass</v>
          </cell>
        </row>
        <row r="13482">
          <cell r="C13482" t="str">
            <v>IC</v>
          </cell>
          <cell r="D13482">
            <v>0.8</v>
          </cell>
          <cell r="H13482" t="str">
            <v>biomass</v>
          </cell>
        </row>
        <row r="13483">
          <cell r="C13483" t="str">
            <v>IC</v>
          </cell>
          <cell r="D13483">
            <v>0.8</v>
          </cell>
          <cell r="H13483" t="str">
            <v>biomass</v>
          </cell>
        </row>
        <row r="13484">
          <cell r="C13484" t="str">
            <v>IC</v>
          </cell>
          <cell r="D13484">
            <v>0.8</v>
          </cell>
          <cell r="H13484" t="str">
            <v>biomass</v>
          </cell>
        </row>
        <row r="13485">
          <cell r="C13485" t="str">
            <v>CT</v>
          </cell>
          <cell r="D13485">
            <v>156</v>
          </cell>
          <cell r="H13485" t="str">
            <v>natural gas nonpeaker</v>
          </cell>
        </row>
        <row r="13486">
          <cell r="C13486" t="str">
            <v>CT</v>
          </cell>
          <cell r="D13486">
            <v>164</v>
          </cell>
          <cell r="H13486" t="str">
            <v>natural gas nonpeaker</v>
          </cell>
        </row>
        <row r="13487">
          <cell r="C13487" t="str">
            <v>CT</v>
          </cell>
          <cell r="D13487">
            <v>147</v>
          </cell>
          <cell r="H13487" t="str">
            <v>natural gas nonpeaker</v>
          </cell>
        </row>
        <row r="13488">
          <cell r="C13488" t="str">
            <v>CA</v>
          </cell>
          <cell r="D13488">
            <v>385</v>
          </cell>
          <cell r="H13488" t="str">
            <v>natural gas nonpeaker</v>
          </cell>
        </row>
        <row r="13489">
          <cell r="C13489" t="str">
            <v>IC</v>
          </cell>
          <cell r="D13489">
            <v>1.8</v>
          </cell>
          <cell r="H13489" t="str">
            <v>petroleum</v>
          </cell>
        </row>
        <row r="13490">
          <cell r="C13490" t="str">
            <v>IC</v>
          </cell>
          <cell r="D13490">
            <v>1.8</v>
          </cell>
          <cell r="H13490" t="str">
            <v>petroleum</v>
          </cell>
        </row>
        <row r="13491">
          <cell r="C13491" t="str">
            <v>IC</v>
          </cell>
          <cell r="D13491">
            <v>1.8</v>
          </cell>
          <cell r="H13491" t="str">
            <v>petroleum</v>
          </cell>
        </row>
        <row r="13492">
          <cell r="C13492" t="str">
            <v>IC</v>
          </cell>
          <cell r="D13492">
            <v>1.8</v>
          </cell>
          <cell r="H13492" t="str">
            <v>biomass</v>
          </cell>
        </row>
        <row r="13493">
          <cell r="C13493" t="str">
            <v>IC</v>
          </cell>
          <cell r="D13493">
            <v>1.8</v>
          </cell>
          <cell r="H13493" t="str">
            <v>petroleum</v>
          </cell>
        </row>
        <row r="13494">
          <cell r="C13494" t="str">
            <v>IC</v>
          </cell>
          <cell r="D13494">
            <v>1.8</v>
          </cell>
          <cell r="H13494" t="str">
            <v>petroleum</v>
          </cell>
        </row>
        <row r="13495">
          <cell r="C13495" t="str">
            <v>IC</v>
          </cell>
          <cell r="D13495">
            <v>1.8</v>
          </cell>
          <cell r="H13495" t="str">
            <v>petroleum</v>
          </cell>
        </row>
        <row r="13496">
          <cell r="C13496" t="str">
            <v>IC</v>
          </cell>
          <cell r="D13496">
            <v>1.8</v>
          </cell>
          <cell r="H13496" t="str">
            <v>petroleum</v>
          </cell>
        </row>
        <row r="13497">
          <cell r="C13497" t="str">
            <v>IC</v>
          </cell>
          <cell r="D13497">
            <v>1.8</v>
          </cell>
          <cell r="H13497" t="str">
            <v>petroleum</v>
          </cell>
        </row>
        <row r="13498">
          <cell r="C13498" t="str">
            <v>IC</v>
          </cell>
          <cell r="D13498">
            <v>1.8</v>
          </cell>
          <cell r="H13498" t="str">
            <v>petroleum</v>
          </cell>
        </row>
        <row r="13499">
          <cell r="C13499" t="str">
            <v>IC</v>
          </cell>
          <cell r="D13499">
            <v>1.8</v>
          </cell>
          <cell r="H13499" t="str">
            <v>petroleum</v>
          </cell>
        </row>
        <row r="13500">
          <cell r="C13500" t="str">
            <v>IC</v>
          </cell>
          <cell r="D13500">
            <v>1.8</v>
          </cell>
          <cell r="H13500" t="str">
            <v>petroleum</v>
          </cell>
        </row>
        <row r="13501">
          <cell r="C13501" t="str">
            <v>HY</v>
          </cell>
          <cell r="D13501">
            <v>3.3</v>
          </cell>
          <cell r="H13501" t="str">
            <v>hydro</v>
          </cell>
        </row>
        <row r="13502">
          <cell r="C13502" t="str">
            <v>CA</v>
          </cell>
          <cell r="D13502">
            <v>156.19999999999999</v>
          </cell>
          <cell r="H13502" t="str">
            <v>natural gas nonpeaker</v>
          </cell>
        </row>
        <row r="13503">
          <cell r="C13503" t="str">
            <v>CT</v>
          </cell>
          <cell r="D13503">
            <v>82.1</v>
          </cell>
          <cell r="H13503" t="str">
            <v>natural gas nonpeaker</v>
          </cell>
        </row>
        <row r="13504">
          <cell r="C13504" t="str">
            <v>CT</v>
          </cell>
          <cell r="D13504">
            <v>81.8</v>
          </cell>
          <cell r="H13504" t="str">
            <v>natural gas nonpeaker</v>
          </cell>
        </row>
        <row r="13505">
          <cell r="C13505" t="str">
            <v>GT</v>
          </cell>
          <cell r="D13505">
            <v>9.5</v>
          </cell>
          <cell r="H13505" t="str">
            <v>natural gas peaker</v>
          </cell>
        </row>
        <row r="13506">
          <cell r="C13506" t="str">
            <v>GT</v>
          </cell>
          <cell r="D13506">
            <v>9.5</v>
          </cell>
          <cell r="H13506" t="str">
            <v>natural gas peaker</v>
          </cell>
        </row>
        <row r="13507">
          <cell r="C13507" t="str">
            <v>GT</v>
          </cell>
          <cell r="D13507">
            <v>9.5</v>
          </cell>
          <cell r="H13507" t="str">
            <v>natural gas peaker</v>
          </cell>
        </row>
        <row r="13508">
          <cell r="C13508" t="str">
            <v>GT</v>
          </cell>
          <cell r="D13508">
            <v>9.5</v>
          </cell>
          <cell r="H13508" t="str">
            <v>natural gas peaker</v>
          </cell>
        </row>
        <row r="13509">
          <cell r="C13509" t="str">
            <v>GT</v>
          </cell>
          <cell r="D13509">
            <v>9.5</v>
          </cell>
          <cell r="H13509" t="str">
            <v>natural gas peaker</v>
          </cell>
        </row>
        <row r="13510">
          <cell r="C13510" t="str">
            <v>GT</v>
          </cell>
          <cell r="D13510">
            <v>9.5</v>
          </cell>
          <cell r="H13510" t="str">
            <v>natural gas peaker</v>
          </cell>
        </row>
        <row r="13511">
          <cell r="C13511" t="str">
            <v>GT</v>
          </cell>
          <cell r="D13511">
            <v>9.5</v>
          </cell>
          <cell r="H13511" t="str">
            <v>natural gas peaker</v>
          </cell>
        </row>
        <row r="13512">
          <cell r="C13512" t="str">
            <v>GT</v>
          </cell>
          <cell r="D13512">
            <v>9.5</v>
          </cell>
          <cell r="H13512" t="str">
            <v>natural gas peaker</v>
          </cell>
        </row>
        <row r="13513">
          <cell r="C13513" t="str">
            <v>GT</v>
          </cell>
          <cell r="D13513">
            <v>163.4</v>
          </cell>
          <cell r="H13513" t="str">
            <v>natural gas peaker</v>
          </cell>
        </row>
        <row r="13514">
          <cell r="C13514" t="str">
            <v>GT</v>
          </cell>
          <cell r="D13514">
            <v>162.80000000000001</v>
          </cell>
          <cell r="H13514" t="str">
            <v>natural gas peaker</v>
          </cell>
        </row>
        <row r="13515">
          <cell r="C13515" t="str">
            <v>GT</v>
          </cell>
          <cell r="D13515">
            <v>162.80000000000001</v>
          </cell>
          <cell r="H13515" t="str">
            <v>natural gas peaker</v>
          </cell>
        </row>
        <row r="13516">
          <cell r="C13516" t="str">
            <v>CT</v>
          </cell>
          <cell r="D13516">
            <v>297.5</v>
          </cell>
          <cell r="H13516" t="str">
            <v>natural gas nonpeaker</v>
          </cell>
        </row>
        <row r="13517">
          <cell r="C13517" t="str">
            <v>CT</v>
          </cell>
          <cell r="D13517">
            <v>297.5</v>
          </cell>
          <cell r="H13517" t="str">
            <v>natural gas nonpeaker</v>
          </cell>
        </row>
        <row r="13518">
          <cell r="C13518" t="str">
            <v>CT</v>
          </cell>
          <cell r="D13518">
            <v>297.5</v>
          </cell>
          <cell r="H13518" t="str">
            <v>natural gas nonpeaker</v>
          </cell>
        </row>
        <row r="13519">
          <cell r="C13519" t="str">
            <v>CA</v>
          </cell>
          <cell r="D13519">
            <v>579.70000000000005</v>
          </cell>
          <cell r="H13519" t="str">
            <v>natural gas nonpeaker</v>
          </cell>
        </row>
        <row r="13520">
          <cell r="C13520" t="str">
            <v>WT</v>
          </cell>
          <cell r="D13520">
            <v>1.8</v>
          </cell>
          <cell r="H13520" t="str">
            <v>onshore wind</v>
          </cell>
        </row>
        <row r="13521">
          <cell r="C13521" t="str">
            <v>GT</v>
          </cell>
          <cell r="D13521">
            <v>23.3</v>
          </cell>
          <cell r="H13521" t="str">
            <v>natural gas peaker</v>
          </cell>
        </row>
        <row r="13522">
          <cell r="C13522" t="str">
            <v>GT</v>
          </cell>
          <cell r="D13522">
            <v>23.3</v>
          </cell>
          <cell r="H13522" t="str">
            <v>natural gas peaker</v>
          </cell>
        </row>
        <row r="13523">
          <cell r="C13523" t="str">
            <v>GT</v>
          </cell>
          <cell r="D13523">
            <v>40</v>
          </cell>
          <cell r="H13523" t="str">
            <v>natural gas peaker</v>
          </cell>
        </row>
        <row r="13524">
          <cell r="C13524" t="str">
            <v>IC</v>
          </cell>
          <cell r="D13524">
            <v>1.6</v>
          </cell>
          <cell r="H13524" t="str">
            <v>petroleum</v>
          </cell>
        </row>
        <row r="13525">
          <cell r="C13525" t="str">
            <v>IC</v>
          </cell>
          <cell r="D13525">
            <v>1.6</v>
          </cell>
          <cell r="H13525" t="str">
            <v>petroleum</v>
          </cell>
        </row>
        <row r="13526">
          <cell r="C13526" t="str">
            <v>IC</v>
          </cell>
          <cell r="D13526">
            <v>1.6</v>
          </cell>
          <cell r="H13526" t="str">
            <v>petroleum</v>
          </cell>
        </row>
        <row r="13527">
          <cell r="C13527" t="str">
            <v>IC</v>
          </cell>
          <cell r="D13527">
            <v>1.6</v>
          </cell>
          <cell r="H13527" t="str">
            <v>petroleum</v>
          </cell>
        </row>
        <row r="13528">
          <cell r="C13528" t="str">
            <v>GT</v>
          </cell>
          <cell r="D13528">
            <v>46.1</v>
          </cell>
          <cell r="H13528" t="str">
            <v>natural gas peaker</v>
          </cell>
        </row>
        <row r="13529">
          <cell r="C13529" t="str">
            <v>IC</v>
          </cell>
          <cell r="D13529">
            <v>0.8</v>
          </cell>
          <cell r="H13529" t="str">
            <v>biomass</v>
          </cell>
        </row>
        <row r="13530">
          <cell r="C13530" t="str">
            <v>IC</v>
          </cell>
          <cell r="D13530">
            <v>0.8</v>
          </cell>
          <cell r="H13530" t="str">
            <v>biomass</v>
          </cell>
        </row>
        <row r="13531">
          <cell r="C13531" t="str">
            <v>IC</v>
          </cell>
          <cell r="D13531">
            <v>0.8</v>
          </cell>
          <cell r="H13531" t="str">
            <v>biomass</v>
          </cell>
        </row>
        <row r="13532">
          <cell r="C13532" t="str">
            <v>IC</v>
          </cell>
          <cell r="D13532">
            <v>0.8</v>
          </cell>
          <cell r="H13532" t="str">
            <v>biomass</v>
          </cell>
        </row>
        <row r="13533">
          <cell r="C13533" t="str">
            <v>CT</v>
          </cell>
          <cell r="D13533">
            <v>176.8</v>
          </cell>
          <cell r="H13533" t="str">
            <v>natural gas nonpeaker</v>
          </cell>
        </row>
        <row r="13534">
          <cell r="C13534" t="str">
            <v>CT</v>
          </cell>
          <cell r="D13534">
            <v>176.8</v>
          </cell>
          <cell r="H13534" t="str">
            <v>natural gas nonpeaker</v>
          </cell>
        </row>
        <row r="13535">
          <cell r="C13535" t="str">
            <v>CT</v>
          </cell>
          <cell r="D13535">
            <v>175.6</v>
          </cell>
          <cell r="H13535" t="str">
            <v>natural gas nonpeaker</v>
          </cell>
        </row>
        <row r="13536">
          <cell r="C13536" t="str">
            <v>CT</v>
          </cell>
          <cell r="D13536">
            <v>175.6</v>
          </cell>
          <cell r="H13536" t="str">
            <v>natural gas nonpeaker</v>
          </cell>
        </row>
        <row r="13537">
          <cell r="C13537" t="str">
            <v>CA</v>
          </cell>
          <cell r="D13537">
            <v>240</v>
          </cell>
          <cell r="H13537" t="str">
            <v>natural gas nonpeaker</v>
          </cell>
        </row>
        <row r="13538">
          <cell r="C13538" t="str">
            <v>CA</v>
          </cell>
          <cell r="D13538">
            <v>240</v>
          </cell>
          <cell r="H13538" t="str">
            <v>natural gas nonpeaker</v>
          </cell>
        </row>
        <row r="13539">
          <cell r="C13539" t="str">
            <v>CT</v>
          </cell>
          <cell r="D13539">
            <v>37.9</v>
          </cell>
          <cell r="H13539" t="str">
            <v>natural gas nonpeaker</v>
          </cell>
        </row>
        <row r="13540">
          <cell r="C13540" t="str">
            <v>CA</v>
          </cell>
          <cell r="D13540">
            <v>38</v>
          </cell>
          <cell r="H13540" t="str">
            <v>natural gas nonpeaker</v>
          </cell>
        </row>
        <row r="13541">
          <cell r="C13541" t="str">
            <v>WT</v>
          </cell>
          <cell r="D13541">
            <v>152</v>
          </cell>
          <cell r="H13541" t="str">
            <v>onshore wind</v>
          </cell>
        </row>
        <row r="13542">
          <cell r="C13542" t="str">
            <v>GT</v>
          </cell>
          <cell r="D13542">
            <v>53.5</v>
          </cell>
          <cell r="H13542" t="str">
            <v>other</v>
          </cell>
        </row>
        <row r="13543">
          <cell r="C13543" t="str">
            <v>CA</v>
          </cell>
          <cell r="D13543">
            <v>171</v>
          </cell>
          <cell r="H13543" t="str">
            <v>natural gas nonpeaker</v>
          </cell>
        </row>
        <row r="13544">
          <cell r="C13544" t="str">
            <v>CT</v>
          </cell>
          <cell r="D13544">
            <v>185</v>
          </cell>
          <cell r="H13544" t="str">
            <v>natural gas nonpeaker</v>
          </cell>
        </row>
        <row r="13545">
          <cell r="C13545" t="str">
            <v>CT</v>
          </cell>
          <cell r="D13545">
            <v>189</v>
          </cell>
          <cell r="H13545" t="str">
            <v>natural gas nonpeaker</v>
          </cell>
        </row>
        <row r="13546">
          <cell r="C13546" t="str">
            <v>GT</v>
          </cell>
          <cell r="D13546">
            <v>161.69999999999999</v>
          </cell>
          <cell r="H13546" t="str">
            <v>natural gas peaker</v>
          </cell>
        </row>
        <row r="13547">
          <cell r="C13547" t="str">
            <v>GT</v>
          </cell>
          <cell r="D13547">
            <v>161.1</v>
          </cell>
          <cell r="H13547" t="str">
            <v>natural gas peaker</v>
          </cell>
        </row>
        <row r="13548">
          <cell r="C13548" t="str">
            <v>CT</v>
          </cell>
          <cell r="D13548">
            <v>165</v>
          </cell>
          <cell r="H13548" t="str">
            <v>natural gas nonpeaker</v>
          </cell>
        </row>
        <row r="13549">
          <cell r="C13549" t="str">
            <v>CT</v>
          </cell>
          <cell r="D13549">
            <v>165</v>
          </cell>
          <cell r="H13549" t="str">
            <v>natural gas nonpeaker</v>
          </cell>
        </row>
        <row r="13550">
          <cell r="C13550" t="str">
            <v>CT</v>
          </cell>
          <cell r="D13550">
            <v>165</v>
          </cell>
          <cell r="H13550" t="str">
            <v>natural gas nonpeaker</v>
          </cell>
        </row>
        <row r="13551">
          <cell r="C13551" t="str">
            <v>CA</v>
          </cell>
          <cell r="D13551">
            <v>315</v>
          </cell>
          <cell r="H13551" t="str">
            <v>natural gas nonpeaker</v>
          </cell>
        </row>
        <row r="13552">
          <cell r="C13552" t="str">
            <v>CT</v>
          </cell>
          <cell r="D13552">
            <v>31</v>
          </cell>
          <cell r="H13552" t="str">
            <v>natural gas nonpeaker</v>
          </cell>
        </row>
        <row r="13553">
          <cell r="C13553" t="str">
            <v>CA</v>
          </cell>
          <cell r="D13553">
            <v>27</v>
          </cell>
          <cell r="H13553" t="str">
            <v>natural gas nonpeaker</v>
          </cell>
        </row>
        <row r="13554">
          <cell r="C13554" t="str">
            <v>WT</v>
          </cell>
          <cell r="D13554">
            <v>2</v>
          </cell>
          <cell r="H13554" t="str">
            <v>onshore wind</v>
          </cell>
        </row>
        <row r="13555">
          <cell r="C13555" t="str">
            <v>WT</v>
          </cell>
          <cell r="D13555">
            <v>2</v>
          </cell>
          <cell r="H13555" t="str">
            <v>onshore wind</v>
          </cell>
        </row>
        <row r="13556">
          <cell r="C13556" t="str">
            <v>ST</v>
          </cell>
          <cell r="D13556">
            <v>46</v>
          </cell>
          <cell r="H13556" t="str">
            <v>geothermal</v>
          </cell>
        </row>
        <row r="13557">
          <cell r="C13557" t="str">
            <v>ST</v>
          </cell>
          <cell r="D13557">
            <v>10</v>
          </cell>
          <cell r="H13557" t="str">
            <v>geothermal</v>
          </cell>
        </row>
        <row r="13558">
          <cell r="C13558" t="str">
            <v>CT</v>
          </cell>
          <cell r="D13558">
            <v>170</v>
          </cell>
          <cell r="H13558" t="str">
            <v>natural gas nonpeaker</v>
          </cell>
        </row>
        <row r="13559">
          <cell r="C13559" t="str">
            <v>CT</v>
          </cell>
          <cell r="D13559">
            <v>170</v>
          </cell>
          <cell r="H13559" t="str">
            <v>natural gas nonpeaker</v>
          </cell>
        </row>
        <row r="13560">
          <cell r="C13560" t="str">
            <v>CA</v>
          </cell>
          <cell r="D13560">
            <v>222</v>
          </cell>
          <cell r="H13560" t="str">
            <v>natural gas nonpeaker</v>
          </cell>
        </row>
        <row r="13561">
          <cell r="C13561" t="str">
            <v>WT</v>
          </cell>
          <cell r="D13561">
            <v>66</v>
          </cell>
          <cell r="H13561" t="str">
            <v>onshore wind</v>
          </cell>
        </row>
        <row r="13562">
          <cell r="C13562" t="str">
            <v>IC</v>
          </cell>
          <cell r="D13562">
            <v>2</v>
          </cell>
          <cell r="H13562" t="str">
            <v>petroleum</v>
          </cell>
        </row>
        <row r="13563">
          <cell r="C13563" t="str">
            <v>WT</v>
          </cell>
          <cell r="D13563">
            <v>122.8</v>
          </cell>
          <cell r="H13563" t="str">
            <v>onshore wind</v>
          </cell>
        </row>
        <row r="13564">
          <cell r="C13564" t="str">
            <v>CT</v>
          </cell>
          <cell r="D13564">
            <v>4.4000000000000004</v>
          </cell>
          <cell r="H13564" t="str">
            <v>natural gas nonpeaker</v>
          </cell>
        </row>
        <row r="13565">
          <cell r="C13565" t="str">
            <v>CT</v>
          </cell>
          <cell r="D13565">
            <v>4.4000000000000004</v>
          </cell>
          <cell r="H13565" t="str">
            <v>natural gas nonpeaker</v>
          </cell>
        </row>
        <row r="13566">
          <cell r="C13566" t="str">
            <v>CT</v>
          </cell>
          <cell r="D13566">
            <v>4.4000000000000004</v>
          </cell>
          <cell r="H13566" t="str">
            <v>natural gas nonpeaker</v>
          </cell>
        </row>
        <row r="13567">
          <cell r="C13567" t="str">
            <v>CT</v>
          </cell>
          <cell r="D13567">
            <v>4.4000000000000004</v>
          </cell>
          <cell r="H13567" t="str">
            <v>natural gas nonpeaker</v>
          </cell>
        </row>
        <row r="13568">
          <cell r="C13568" t="str">
            <v>CT</v>
          </cell>
          <cell r="D13568">
            <v>4.4000000000000004</v>
          </cell>
          <cell r="H13568" t="str">
            <v>natural gas nonpeaker</v>
          </cell>
        </row>
        <row r="13569">
          <cell r="C13569" t="str">
            <v>CA</v>
          </cell>
          <cell r="D13569">
            <v>0.7</v>
          </cell>
          <cell r="H13569" t="str">
            <v>natural gas nonpeaker</v>
          </cell>
        </row>
        <row r="13570">
          <cell r="C13570" t="str">
            <v>CA</v>
          </cell>
          <cell r="D13570">
            <v>0.7</v>
          </cell>
          <cell r="H13570" t="str">
            <v>natural gas nonpeaker</v>
          </cell>
        </row>
        <row r="13571">
          <cell r="C13571" t="str">
            <v>BT</v>
          </cell>
          <cell r="D13571">
            <v>4.3</v>
          </cell>
          <cell r="H13571" t="str">
            <v>geothermal</v>
          </cell>
        </row>
        <row r="13572">
          <cell r="C13572" t="str">
            <v>BT</v>
          </cell>
          <cell r="D13572">
            <v>10</v>
          </cell>
          <cell r="H13572" t="str">
            <v>geothermal</v>
          </cell>
        </row>
        <row r="13573">
          <cell r="C13573" t="str">
            <v>WT</v>
          </cell>
          <cell r="D13573">
            <v>167.7</v>
          </cell>
          <cell r="H13573" t="str">
            <v>onshore wind</v>
          </cell>
        </row>
        <row r="13574">
          <cell r="C13574" t="str">
            <v>WT</v>
          </cell>
          <cell r="D13574">
            <v>2.6</v>
          </cell>
          <cell r="H13574" t="str">
            <v>onshore wind</v>
          </cell>
        </row>
        <row r="13575">
          <cell r="C13575" t="str">
            <v>WT</v>
          </cell>
          <cell r="D13575">
            <v>4.5</v>
          </cell>
          <cell r="H13575" t="str">
            <v>onshore wind</v>
          </cell>
        </row>
        <row r="13576">
          <cell r="C13576" t="str">
            <v>IC</v>
          </cell>
          <cell r="D13576">
            <v>1.8</v>
          </cell>
          <cell r="H13576" t="str">
            <v>petroleum</v>
          </cell>
        </row>
        <row r="13577">
          <cell r="C13577" t="str">
            <v>IC</v>
          </cell>
          <cell r="D13577">
            <v>1.6</v>
          </cell>
          <cell r="H13577" t="str">
            <v>petroleum</v>
          </cell>
        </row>
        <row r="13578">
          <cell r="C13578" t="str">
            <v>IC</v>
          </cell>
          <cell r="D13578">
            <v>1.6</v>
          </cell>
          <cell r="H13578" t="str">
            <v>petroleum</v>
          </cell>
        </row>
        <row r="13579">
          <cell r="C13579" t="str">
            <v>IC</v>
          </cell>
          <cell r="D13579">
            <v>1.1000000000000001</v>
          </cell>
          <cell r="H13579" t="str">
            <v>petroleum</v>
          </cell>
        </row>
        <row r="13580">
          <cell r="C13580" t="str">
            <v>IC</v>
          </cell>
          <cell r="D13580">
            <v>5.8</v>
          </cell>
          <cell r="H13580" t="str">
            <v>natural gas peaker</v>
          </cell>
        </row>
        <row r="13581">
          <cell r="C13581" t="str">
            <v>IC</v>
          </cell>
          <cell r="D13581">
            <v>5.8</v>
          </cell>
          <cell r="H13581" t="str">
            <v>natural gas peaker</v>
          </cell>
        </row>
        <row r="13582">
          <cell r="C13582" t="str">
            <v>IC</v>
          </cell>
          <cell r="D13582">
            <v>5.8</v>
          </cell>
          <cell r="H13582" t="str">
            <v>natural gas peaker</v>
          </cell>
        </row>
        <row r="13583">
          <cell r="C13583" t="str">
            <v>IC</v>
          </cell>
          <cell r="D13583">
            <v>5.8</v>
          </cell>
          <cell r="H13583" t="str">
            <v>natural gas peaker</v>
          </cell>
        </row>
        <row r="13584">
          <cell r="C13584" t="str">
            <v>GT</v>
          </cell>
          <cell r="D13584">
            <v>4</v>
          </cell>
          <cell r="H13584" t="str">
            <v>petroleum</v>
          </cell>
        </row>
        <row r="13585">
          <cell r="C13585" t="str">
            <v>IC</v>
          </cell>
          <cell r="D13585">
            <v>0.5</v>
          </cell>
          <cell r="H13585" t="str">
            <v>petroleum</v>
          </cell>
        </row>
        <row r="13586">
          <cell r="C13586" t="str">
            <v>IC</v>
          </cell>
          <cell r="D13586">
            <v>0.5</v>
          </cell>
          <cell r="H13586" t="str">
            <v>petroleum</v>
          </cell>
        </row>
        <row r="13587">
          <cell r="C13587" t="str">
            <v>IC</v>
          </cell>
          <cell r="D13587">
            <v>2.8</v>
          </cell>
          <cell r="H13587" t="str">
            <v>natural gas peaker</v>
          </cell>
        </row>
        <row r="13588">
          <cell r="C13588" t="str">
            <v>IC</v>
          </cell>
          <cell r="D13588">
            <v>2.8</v>
          </cell>
          <cell r="H13588" t="str">
            <v>natural gas peaker</v>
          </cell>
        </row>
        <row r="13589">
          <cell r="C13589" t="str">
            <v>WT</v>
          </cell>
          <cell r="D13589">
            <v>64.5</v>
          </cell>
          <cell r="H13589" t="str">
            <v>onshore wind</v>
          </cell>
        </row>
        <row r="13590">
          <cell r="C13590" t="str">
            <v>WT</v>
          </cell>
          <cell r="D13590">
            <v>3.8</v>
          </cell>
          <cell r="H13590" t="str">
            <v>onshore wind</v>
          </cell>
        </row>
        <row r="13591">
          <cell r="C13591" t="str">
            <v>IC</v>
          </cell>
          <cell r="D13591">
            <v>2</v>
          </cell>
          <cell r="H13591" t="str">
            <v>petroleum</v>
          </cell>
        </row>
        <row r="13592">
          <cell r="C13592" t="str">
            <v>IC</v>
          </cell>
          <cell r="D13592">
            <v>2</v>
          </cell>
          <cell r="H13592" t="str">
            <v>petroleum</v>
          </cell>
        </row>
        <row r="13593">
          <cell r="C13593" t="str">
            <v>IC</v>
          </cell>
          <cell r="D13593">
            <v>2</v>
          </cell>
          <cell r="H13593" t="str">
            <v>petroleum</v>
          </cell>
        </row>
        <row r="13594">
          <cell r="C13594" t="str">
            <v>IC</v>
          </cell>
          <cell r="D13594">
            <v>2</v>
          </cell>
          <cell r="H13594" t="str">
            <v>petroleum</v>
          </cell>
        </row>
        <row r="13595">
          <cell r="C13595" t="str">
            <v>IC</v>
          </cell>
          <cell r="D13595">
            <v>2</v>
          </cell>
          <cell r="H13595" t="str">
            <v>petroleum</v>
          </cell>
        </row>
        <row r="13596">
          <cell r="C13596" t="str">
            <v>GT</v>
          </cell>
          <cell r="D13596">
            <v>9</v>
          </cell>
          <cell r="H13596" t="str">
            <v>petroleum</v>
          </cell>
        </row>
        <row r="13597">
          <cell r="C13597" t="str">
            <v>IC</v>
          </cell>
          <cell r="D13597">
            <v>2</v>
          </cell>
          <cell r="H13597" t="str">
            <v>petroleum</v>
          </cell>
        </row>
        <row r="13598">
          <cell r="C13598" t="str">
            <v>IC</v>
          </cell>
          <cell r="D13598">
            <v>2</v>
          </cell>
          <cell r="H13598" t="str">
            <v>petroleum</v>
          </cell>
        </row>
        <row r="13599">
          <cell r="C13599" t="str">
            <v>GT</v>
          </cell>
          <cell r="D13599">
            <v>9</v>
          </cell>
          <cell r="H13599" t="str">
            <v>petroleum</v>
          </cell>
        </row>
        <row r="13600">
          <cell r="C13600" t="str">
            <v>WT</v>
          </cell>
          <cell r="D13600">
            <v>98</v>
          </cell>
          <cell r="H13600" t="str">
            <v>onshore wind</v>
          </cell>
        </row>
        <row r="13601">
          <cell r="C13601" t="str">
            <v>WT</v>
          </cell>
          <cell r="D13601">
            <v>41</v>
          </cell>
          <cell r="H13601" t="str">
            <v>onshore wind</v>
          </cell>
        </row>
        <row r="13602">
          <cell r="C13602" t="str">
            <v>WT</v>
          </cell>
          <cell r="D13602">
            <v>61.5</v>
          </cell>
          <cell r="H13602" t="str">
            <v>onshore wind</v>
          </cell>
        </row>
        <row r="13603">
          <cell r="C13603" t="str">
            <v>GT</v>
          </cell>
          <cell r="D13603">
            <v>46.7</v>
          </cell>
          <cell r="H13603" t="str">
            <v>natural gas peaker</v>
          </cell>
        </row>
        <row r="13604">
          <cell r="C13604" t="str">
            <v>GT</v>
          </cell>
          <cell r="D13604">
            <v>46.7</v>
          </cell>
          <cell r="H13604" t="str">
            <v>natural gas peaker</v>
          </cell>
        </row>
        <row r="13605">
          <cell r="C13605" t="str">
            <v>GT</v>
          </cell>
          <cell r="D13605">
            <v>46.6</v>
          </cell>
          <cell r="H13605" t="str">
            <v>natural gas peaker</v>
          </cell>
        </row>
        <row r="13606">
          <cell r="C13606" t="str">
            <v>GT</v>
          </cell>
          <cell r="D13606">
            <v>37</v>
          </cell>
          <cell r="H13606" t="str">
            <v>petroleum</v>
          </cell>
        </row>
        <row r="13607">
          <cell r="C13607" t="str">
            <v>GT</v>
          </cell>
          <cell r="D13607">
            <v>37</v>
          </cell>
          <cell r="H13607" t="str">
            <v>petroleum</v>
          </cell>
        </row>
        <row r="13608">
          <cell r="C13608" t="str">
            <v>IC</v>
          </cell>
          <cell r="D13608">
            <v>1</v>
          </cell>
          <cell r="H13608" t="str">
            <v>natural gas peaker</v>
          </cell>
        </row>
        <row r="13609">
          <cell r="C13609" t="str">
            <v>IC</v>
          </cell>
          <cell r="D13609">
            <v>1</v>
          </cell>
          <cell r="H13609" t="str">
            <v>natural gas peaker</v>
          </cell>
        </row>
        <row r="13610">
          <cell r="C13610" t="str">
            <v>IC</v>
          </cell>
          <cell r="D13610">
            <v>1.7</v>
          </cell>
          <cell r="H13610" t="str">
            <v>petroleum</v>
          </cell>
        </row>
        <row r="13611">
          <cell r="C13611" t="str">
            <v>GT</v>
          </cell>
          <cell r="D13611">
            <v>47.5</v>
          </cell>
          <cell r="H13611" t="str">
            <v>natural gas peaker</v>
          </cell>
        </row>
        <row r="13612">
          <cell r="C13612" t="str">
            <v>GT</v>
          </cell>
          <cell r="D13612">
            <v>47.5</v>
          </cell>
          <cell r="H13612" t="str">
            <v>natural gas peaker</v>
          </cell>
        </row>
        <row r="13613">
          <cell r="C13613" t="str">
            <v>IC</v>
          </cell>
          <cell r="D13613">
            <v>1.6</v>
          </cell>
          <cell r="H13613" t="str">
            <v>petroleum</v>
          </cell>
        </row>
        <row r="13614">
          <cell r="C13614" t="str">
            <v>IC</v>
          </cell>
          <cell r="D13614">
            <v>2</v>
          </cell>
          <cell r="H13614" t="str">
            <v>petroleum</v>
          </cell>
        </row>
        <row r="13615">
          <cell r="C13615" t="str">
            <v>IC</v>
          </cell>
          <cell r="D13615">
            <v>2</v>
          </cell>
          <cell r="H13615" t="str">
            <v>petroleum</v>
          </cell>
        </row>
        <row r="13616">
          <cell r="C13616" t="str">
            <v>CT</v>
          </cell>
          <cell r="D13616">
            <v>50</v>
          </cell>
          <cell r="H13616" t="str">
            <v>natural gas nonpeaker</v>
          </cell>
        </row>
        <row r="13617">
          <cell r="C13617" t="str">
            <v>CT</v>
          </cell>
          <cell r="D13617">
            <v>50</v>
          </cell>
          <cell r="H13617" t="str">
            <v>natural gas nonpeaker</v>
          </cell>
        </row>
        <row r="13618">
          <cell r="C13618" t="str">
            <v>CA</v>
          </cell>
          <cell r="D13618">
            <v>47.8</v>
          </cell>
          <cell r="H13618" t="str">
            <v>natural gas nonpeaker</v>
          </cell>
        </row>
        <row r="13619">
          <cell r="C13619" t="str">
            <v>CT</v>
          </cell>
          <cell r="D13619">
            <v>162.19999999999999</v>
          </cell>
          <cell r="H13619" t="str">
            <v>natural gas nonpeaker</v>
          </cell>
        </row>
        <row r="13620">
          <cell r="C13620" t="str">
            <v>CT</v>
          </cell>
          <cell r="D13620">
            <v>163.9</v>
          </cell>
          <cell r="H13620" t="str">
            <v>natural gas nonpeaker</v>
          </cell>
        </row>
        <row r="13621">
          <cell r="C13621" t="str">
            <v>CA</v>
          </cell>
          <cell r="D13621">
            <v>241.9</v>
          </cell>
          <cell r="H13621" t="str">
            <v>natural gas nonpeaker</v>
          </cell>
        </row>
        <row r="13622">
          <cell r="C13622" t="str">
            <v>GT</v>
          </cell>
          <cell r="D13622">
            <v>46.2</v>
          </cell>
          <cell r="H13622" t="str">
            <v>natural gas peaker</v>
          </cell>
        </row>
        <row r="13623">
          <cell r="C13623" t="str">
            <v>GT</v>
          </cell>
          <cell r="D13623">
            <v>48.1</v>
          </cell>
          <cell r="H13623" t="str">
            <v>natural gas peaker</v>
          </cell>
        </row>
        <row r="13624">
          <cell r="C13624" t="str">
            <v>IC</v>
          </cell>
          <cell r="D13624">
            <v>1.3</v>
          </cell>
          <cell r="H13624" t="str">
            <v>petroleum</v>
          </cell>
        </row>
        <row r="13625">
          <cell r="C13625" t="str">
            <v>IC</v>
          </cell>
          <cell r="D13625">
            <v>1.3</v>
          </cell>
          <cell r="H13625" t="str">
            <v>petroleum</v>
          </cell>
        </row>
        <row r="13626">
          <cell r="C13626" t="str">
            <v>IC</v>
          </cell>
          <cell r="D13626">
            <v>2</v>
          </cell>
          <cell r="H13626" t="str">
            <v>biomass</v>
          </cell>
        </row>
        <row r="13627">
          <cell r="C13627" t="str">
            <v>IC</v>
          </cell>
          <cell r="D13627">
            <v>2</v>
          </cell>
          <cell r="H13627" t="str">
            <v>biomass</v>
          </cell>
        </row>
        <row r="13628">
          <cell r="C13628" t="str">
            <v>IC</v>
          </cell>
          <cell r="D13628">
            <v>2</v>
          </cell>
          <cell r="H13628" t="str">
            <v>biomass</v>
          </cell>
        </row>
        <row r="13629">
          <cell r="C13629" t="str">
            <v>GT</v>
          </cell>
          <cell r="D13629">
            <v>9.4</v>
          </cell>
          <cell r="H13629" t="str">
            <v>natural gas peaker</v>
          </cell>
        </row>
        <row r="13630">
          <cell r="C13630" t="str">
            <v>GT</v>
          </cell>
          <cell r="D13630">
            <v>9.4</v>
          </cell>
          <cell r="H13630" t="str">
            <v>natural gas peaker</v>
          </cell>
        </row>
        <row r="13631">
          <cell r="C13631" t="str">
            <v>ST</v>
          </cell>
          <cell r="D13631">
            <v>2</v>
          </cell>
          <cell r="H13631" t="str">
            <v>natural gas peaker</v>
          </cell>
        </row>
        <row r="13632">
          <cell r="C13632" t="str">
            <v>GT</v>
          </cell>
          <cell r="D13632">
            <v>5.4</v>
          </cell>
          <cell r="H13632" t="str">
            <v>natural gas peaker</v>
          </cell>
        </row>
        <row r="13633">
          <cell r="C13633" t="str">
            <v>GT</v>
          </cell>
          <cell r="D13633">
            <v>5.4</v>
          </cell>
          <cell r="H13633" t="str">
            <v>natural gas peaker</v>
          </cell>
        </row>
        <row r="13634">
          <cell r="C13634" t="str">
            <v>CT</v>
          </cell>
          <cell r="D13634">
            <v>42</v>
          </cell>
          <cell r="H13634" t="str">
            <v>natural gas nonpeaker</v>
          </cell>
        </row>
        <row r="13635">
          <cell r="C13635" t="str">
            <v>CT</v>
          </cell>
          <cell r="D13635">
            <v>42</v>
          </cell>
          <cell r="H13635" t="str">
            <v>natural gas nonpeaker</v>
          </cell>
        </row>
        <row r="13636">
          <cell r="C13636" t="str">
            <v>CA</v>
          </cell>
          <cell r="D13636">
            <v>50</v>
          </cell>
          <cell r="H13636" t="str">
            <v>natural gas nonpeaker</v>
          </cell>
        </row>
        <row r="13637">
          <cell r="C13637" t="str">
            <v>CT</v>
          </cell>
          <cell r="D13637">
            <v>161</v>
          </cell>
          <cell r="H13637" t="str">
            <v>natural gas nonpeaker</v>
          </cell>
        </row>
        <row r="13638">
          <cell r="C13638" t="str">
            <v>CA</v>
          </cell>
          <cell r="D13638">
            <v>140</v>
          </cell>
          <cell r="H13638" t="str">
            <v>natural gas nonpeaker</v>
          </cell>
        </row>
        <row r="13639">
          <cell r="C13639" t="str">
            <v>CT</v>
          </cell>
          <cell r="D13639">
            <v>253</v>
          </cell>
          <cell r="H13639" t="str">
            <v>natural gas nonpeaker</v>
          </cell>
        </row>
        <row r="13640">
          <cell r="C13640" t="str">
            <v>CT</v>
          </cell>
          <cell r="D13640">
            <v>253.8</v>
          </cell>
          <cell r="H13640" t="str">
            <v>natural gas nonpeaker</v>
          </cell>
        </row>
        <row r="13641">
          <cell r="C13641" t="str">
            <v>CA</v>
          </cell>
          <cell r="D13641">
            <v>271.5</v>
          </cell>
          <cell r="H13641" t="str">
            <v>natural gas nonpeaker</v>
          </cell>
        </row>
        <row r="13642">
          <cell r="C13642" t="str">
            <v>IC</v>
          </cell>
          <cell r="D13642">
            <v>2.1</v>
          </cell>
          <cell r="H13642" t="str">
            <v>natural gas peaker</v>
          </cell>
        </row>
        <row r="13643">
          <cell r="C13643" t="str">
            <v>GT</v>
          </cell>
          <cell r="D13643">
            <v>45</v>
          </cell>
          <cell r="H13643" t="str">
            <v>natural gas peaker</v>
          </cell>
        </row>
        <row r="13644">
          <cell r="C13644" t="str">
            <v>WT</v>
          </cell>
          <cell r="D13644">
            <v>30</v>
          </cell>
          <cell r="H13644" t="str">
            <v>onshore wind</v>
          </cell>
        </row>
        <row r="13645">
          <cell r="C13645" t="str">
            <v>IC</v>
          </cell>
          <cell r="D13645">
            <v>1.8</v>
          </cell>
          <cell r="H13645" t="str">
            <v>petroleum</v>
          </cell>
        </row>
        <row r="13646">
          <cell r="C13646" t="str">
            <v>IC</v>
          </cell>
          <cell r="D13646">
            <v>1.8</v>
          </cell>
          <cell r="H13646" t="str">
            <v>petroleum</v>
          </cell>
        </row>
        <row r="13647">
          <cell r="C13647" t="str">
            <v>IC</v>
          </cell>
          <cell r="D13647">
            <v>1.8</v>
          </cell>
          <cell r="H13647" t="str">
            <v>petroleum</v>
          </cell>
        </row>
        <row r="13648">
          <cell r="C13648" t="str">
            <v>WT</v>
          </cell>
          <cell r="D13648">
            <v>32</v>
          </cell>
          <cell r="H13648" t="str">
            <v>onshore wind</v>
          </cell>
        </row>
        <row r="13649">
          <cell r="C13649" t="str">
            <v>WT</v>
          </cell>
          <cell r="D13649">
            <v>8</v>
          </cell>
          <cell r="H13649" t="str">
            <v>onshore wind</v>
          </cell>
        </row>
        <row r="13650">
          <cell r="C13650" t="str">
            <v>WT</v>
          </cell>
          <cell r="D13650">
            <v>3</v>
          </cell>
          <cell r="H13650" t="str">
            <v>onshore wind</v>
          </cell>
        </row>
        <row r="13651">
          <cell r="C13651" t="str">
            <v>IC</v>
          </cell>
          <cell r="D13651">
            <v>1</v>
          </cell>
          <cell r="H13651" t="str">
            <v>petroleum</v>
          </cell>
        </row>
        <row r="13652">
          <cell r="C13652" t="str">
            <v>IC</v>
          </cell>
          <cell r="D13652">
            <v>1</v>
          </cell>
          <cell r="H13652" t="str">
            <v>petroleum</v>
          </cell>
        </row>
        <row r="13653">
          <cell r="C13653" t="str">
            <v>IC</v>
          </cell>
          <cell r="D13653">
            <v>1.8</v>
          </cell>
          <cell r="H13653" t="str">
            <v>petroleum</v>
          </cell>
        </row>
        <row r="13654">
          <cell r="C13654" t="str">
            <v>IC</v>
          </cell>
          <cell r="D13654">
            <v>1.8</v>
          </cell>
          <cell r="H13654" t="str">
            <v>petroleum</v>
          </cell>
        </row>
        <row r="13655">
          <cell r="C13655" t="str">
            <v>IC</v>
          </cell>
          <cell r="D13655">
            <v>1.8</v>
          </cell>
          <cell r="H13655" t="str">
            <v>petroleum</v>
          </cell>
        </row>
        <row r="13656">
          <cell r="C13656" t="str">
            <v>IC</v>
          </cell>
          <cell r="D13656">
            <v>1.8</v>
          </cell>
          <cell r="H13656" t="str">
            <v>petroleum</v>
          </cell>
        </row>
        <row r="13657">
          <cell r="C13657" t="str">
            <v>IC</v>
          </cell>
          <cell r="D13657">
            <v>1.8</v>
          </cell>
          <cell r="H13657" t="str">
            <v>petroleum</v>
          </cell>
        </row>
        <row r="13658">
          <cell r="C13658" t="str">
            <v>ST</v>
          </cell>
          <cell r="D13658">
            <v>633.5</v>
          </cell>
          <cell r="H13658" t="str">
            <v>hard coal</v>
          </cell>
        </row>
        <row r="13659">
          <cell r="C13659" t="str">
            <v>ST</v>
          </cell>
          <cell r="D13659">
            <v>629.79999999999995</v>
          </cell>
          <cell r="H13659" t="str">
            <v>hard coal</v>
          </cell>
        </row>
        <row r="13660">
          <cell r="C13660" t="str">
            <v>IC</v>
          </cell>
          <cell r="D13660">
            <v>0.8</v>
          </cell>
          <cell r="H13660" t="str">
            <v>biomass</v>
          </cell>
        </row>
        <row r="13661">
          <cell r="C13661" t="str">
            <v>IC</v>
          </cell>
          <cell r="D13661">
            <v>0.8</v>
          </cell>
          <cell r="H13661" t="str">
            <v>biomass</v>
          </cell>
        </row>
        <row r="13662">
          <cell r="C13662" t="str">
            <v>IC</v>
          </cell>
          <cell r="D13662">
            <v>0.8</v>
          </cell>
          <cell r="H13662" t="str">
            <v>biomass</v>
          </cell>
        </row>
        <row r="13663">
          <cell r="C13663" t="str">
            <v>IC</v>
          </cell>
          <cell r="D13663">
            <v>49.1</v>
          </cell>
          <cell r="H13663" t="str">
            <v>petroleum</v>
          </cell>
        </row>
        <row r="13664">
          <cell r="C13664" t="str">
            <v>IC</v>
          </cell>
          <cell r="D13664">
            <v>1</v>
          </cell>
          <cell r="H13664" t="str">
            <v>natural gas peaker</v>
          </cell>
        </row>
        <row r="13665">
          <cell r="C13665" t="str">
            <v>IC</v>
          </cell>
          <cell r="D13665">
            <v>1.1000000000000001</v>
          </cell>
          <cell r="H13665" t="str">
            <v>petroleum</v>
          </cell>
        </row>
        <row r="13666">
          <cell r="C13666" t="str">
            <v>WT</v>
          </cell>
          <cell r="D13666">
            <v>145.80000000000001</v>
          </cell>
          <cell r="H13666" t="str">
            <v>onshore wind</v>
          </cell>
        </row>
        <row r="13667">
          <cell r="C13667" t="str">
            <v>WT</v>
          </cell>
          <cell r="D13667">
            <v>16.2</v>
          </cell>
          <cell r="H13667" t="str">
            <v>onshore wind</v>
          </cell>
        </row>
        <row r="13668">
          <cell r="C13668" t="str">
            <v>ST</v>
          </cell>
          <cell r="D13668">
            <v>3.8</v>
          </cell>
          <cell r="H13668" t="str">
            <v>other</v>
          </cell>
        </row>
        <row r="13669">
          <cell r="C13669" t="str">
            <v>CT</v>
          </cell>
          <cell r="D13669">
            <v>84</v>
          </cell>
          <cell r="H13669" t="str">
            <v>natural gas nonpeaker</v>
          </cell>
        </row>
        <row r="13670">
          <cell r="C13670" t="str">
            <v>CT</v>
          </cell>
          <cell r="D13670">
            <v>84</v>
          </cell>
          <cell r="H13670" t="str">
            <v>natural gas nonpeaker</v>
          </cell>
        </row>
        <row r="13671">
          <cell r="C13671" t="str">
            <v>CA</v>
          </cell>
          <cell r="D13671">
            <v>101</v>
          </cell>
          <cell r="H13671" t="str">
            <v>natural gas nonpeaker</v>
          </cell>
        </row>
        <row r="13672">
          <cell r="C13672" t="str">
            <v>ST</v>
          </cell>
          <cell r="D13672">
            <v>8</v>
          </cell>
          <cell r="H13672" t="str">
            <v>biomass</v>
          </cell>
        </row>
        <row r="13673">
          <cell r="C13673" t="str">
            <v>IC</v>
          </cell>
          <cell r="D13673">
            <v>2.8</v>
          </cell>
          <cell r="H13673" t="str">
            <v>natural gas peaker</v>
          </cell>
        </row>
        <row r="13674">
          <cell r="C13674" t="str">
            <v>IC</v>
          </cell>
          <cell r="D13674">
            <v>2.8</v>
          </cell>
          <cell r="H13674" t="str">
            <v>natural gas peaker</v>
          </cell>
        </row>
        <row r="13675">
          <cell r="C13675" t="str">
            <v>IC</v>
          </cell>
          <cell r="D13675">
            <v>2.8</v>
          </cell>
          <cell r="H13675" t="str">
            <v>natural gas peaker</v>
          </cell>
        </row>
        <row r="13676">
          <cell r="C13676" t="str">
            <v>WT</v>
          </cell>
          <cell r="D13676">
            <v>74.3</v>
          </cell>
          <cell r="H13676" t="str">
            <v>onshore wind</v>
          </cell>
        </row>
        <row r="13677">
          <cell r="C13677" t="str">
            <v>GT</v>
          </cell>
          <cell r="D13677">
            <v>2.5</v>
          </cell>
          <cell r="H13677" t="str">
            <v>other</v>
          </cell>
        </row>
        <row r="13678">
          <cell r="C13678" t="str">
            <v>GT</v>
          </cell>
          <cell r="D13678">
            <v>3</v>
          </cell>
          <cell r="H13678" t="str">
            <v>other</v>
          </cell>
        </row>
        <row r="13679">
          <cell r="C13679" t="str">
            <v>GT</v>
          </cell>
          <cell r="D13679">
            <v>0.3</v>
          </cell>
          <cell r="H13679" t="str">
            <v>other</v>
          </cell>
        </row>
        <row r="13680">
          <cell r="C13680" t="str">
            <v>WT</v>
          </cell>
          <cell r="D13680">
            <v>40.5</v>
          </cell>
          <cell r="H13680" t="str">
            <v>onshore wind</v>
          </cell>
        </row>
        <row r="13681">
          <cell r="C13681" t="str">
            <v>WT</v>
          </cell>
          <cell r="D13681">
            <v>142.19999999999999</v>
          </cell>
          <cell r="H13681" t="str">
            <v>onshore wind</v>
          </cell>
        </row>
        <row r="13682">
          <cell r="C13682" t="str">
            <v>WT</v>
          </cell>
          <cell r="D13682">
            <v>51</v>
          </cell>
          <cell r="H13682" t="str">
            <v>onshore wind</v>
          </cell>
        </row>
        <row r="13683">
          <cell r="C13683" t="str">
            <v>WT</v>
          </cell>
          <cell r="D13683">
            <v>51</v>
          </cell>
          <cell r="H13683" t="str">
            <v>onshore wind</v>
          </cell>
        </row>
        <row r="13684">
          <cell r="C13684" t="str">
            <v>WT</v>
          </cell>
          <cell r="D13684">
            <v>204</v>
          </cell>
          <cell r="H13684" t="str">
            <v>onshore wind</v>
          </cell>
        </row>
        <row r="13685">
          <cell r="C13685" t="str">
            <v>IC</v>
          </cell>
          <cell r="D13685">
            <v>2</v>
          </cell>
          <cell r="H13685" t="str">
            <v>petroleum</v>
          </cell>
        </row>
        <row r="13686">
          <cell r="C13686" t="str">
            <v>IC</v>
          </cell>
          <cell r="D13686">
            <v>2</v>
          </cell>
          <cell r="H13686" t="str">
            <v>petroleum</v>
          </cell>
        </row>
        <row r="13687">
          <cell r="C13687" t="str">
            <v>WT</v>
          </cell>
          <cell r="D13687">
            <v>61.5</v>
          </cell>
          <cell r="H13687" t="str">
            <v>onshore wind</v>
          </cell>
        </row>
        <row r="13688">
          <cell r="C13688" t="str">
            <v>IC</v>
          </cell>
          <cell r="D13688">
            <v>2</v>
          </cell>
          <cell r="H13688" t="str">
            <v>petroleum</v>
          </cell>
        </row>
        <row r="13689">
          <cell r="C13689" t="str">
            <v>IC</v>
          </cell>
          <cell r="D13689">
            <v>2</v>
          </cell>
          <cell r="H13689" t="str">
            <v>petroleum</v>
          </cell>
        </row>
        <row r="13690">
          <cell r="C13690" t="str">
            <v>IC</v>
          </cell>
          <cell r="D13690">
            <v>2</v>
          </cell>
          <cell r="H13690" t="str">
            <v>petroleum</v>
          </cell>
        </row>
        <row r="13691">
          <cell r="C13691" t="str">
            <v>IC</v>
          </cell>
          <cell r="D13691">
            <v>2</v>
          </cell>
          <cell r="H13691" t="str">
            <v>petroleum</v>
          </cell>
        </row>
        <row r="13692">
          <cell r="C13692" t="str">
            <v>CT</v>
          </cell>
          <cell r="D13692">
            <v>135</v>
          </cell>
          <cell r="H13692" t="str">
            <v>natural gas nonpeaker</v>
          </cell>
        </row>
        <row r="13693">
          <cell r="C13693" t="str">
            <v>CT</v>
          </cell>
          <cell r="D13693">
            <v>135</v>
          </cell>
          <cell r="H13693" t="str">
            <v>natural gas nonpeaker</v>
          </cell>
        </row>
        <row r="13694">
          <cell r="C13694" t="str">
            <v>CA</v>
          </cell>
          <cell r="D13694">
            <v>254</v>
          </cell>
          <cell r="H13694" t="str">
            <v>natural gas nonpeaker</v>
          </cell>
        </row>
        <row r="13695">
          <cell r="C13695" t="str">
            <v>CT</v>
          </cell>
          <cell r="D13695">
            <v>187</v>
          </cell>
          <cell r="H13695" t="str">
            <v>natural gas nonpeaker</v>
          </cell>
        </row>
        <row r="13696">
          <cell r="C13696" t="str">
            <v>CT</v>
          </cell>
          <cell r="D13696">
            <v>167</v>
          </cell>
          <cell r="H13696" t="str">
            <v>natural gas nonpeaker</v>
          </cell>
        </row>
        <row r="13697">
          <cell r="C13697" t="str">
            <v>CA</v>
          </cell>
          <cell r="D13697">
            <v>300</v>
          </cell>
          <cell r="H13697" t="str">
            <v>natural gas nonpeaker</v>
          </cell>
        </row>
        <row r="13698">
          <cell r="C13698" t="str">
            <v>WT</v>
          </cell>
          <cell r="D13698">
            <v>30</v>
          </cell>
          <cell r="H13698" t="str">
            <v>onshore wind</v>
          </cell>
        </row>
        <row r="13699">
          <cell r="C13699" t="str">
            <v>GT</v>
          </cell>
          <cell r="D13699">
            <v>47.9</v>
          </cell>
          <cell r="H13699" t="str">
            <v>natural gas peaker</v>
          </cell>
        </row>
        <row r="13700">
          <cell r="C13700" t="str">
            <v>GT</v>
          </cell>
          <cell r="D13700">
            <v>47.6</v>
          </cell>
          <cell r="H13700" t="str">
            <v>natural gas peaker</v>
          </cell>
        </row>
        <row r="13701">
          <cell r="C13701" t="str">
            <v>WT</v>
          </cell>
          <cell r="D13701">
            <v>160</v>
          </cell>
          <cell r="H13701" t="str">
            <v>onshore wind</v>
          </cell>
        </row>
        <row r="13702">
          <cell r="C13702" t="str">
            <v>WT</v>
          </cell>
          <cell r="D13702">
            <v>22.4</v>
          </cell>
          <cell r="H13702" t="str">
            <v>onshore wind</v>
          </cell>
        </row>
        <row r="13703">
          <cell r="C13703" t="str">
            <v>IC</v>
          </cell>
          <cell r="D13703">
            <v>1.4</v>
          </cell>
          <cell r="H13703" t="str">
            <v>biomass</v>
          </cell>
        </row>
        <row r="13704">
          <cell r="C13704" t="str">
            <v>IC</v>
          </cell>
          <cell r="D13704">
            <v>1.4</v>
          </cell>
          <cell r="H13704" t="str">
            <v>biomass</v>
          </cell>
        </row>
        <row r="13705">
          <cell r="C13705" t="str">
            <v>IC</v>
          </cell>
          <cell r="D13705">
            <v>1.4</v>
          </cell>
          <cell r="H13705" t="str">
            <v>biomass</v>
          </cell>
        </row>
        <row r="13706">
          <cell r="C13706" t="str">
            <v>IC</v>
          </cell>
          <cell r="D13706">
            <v>1.4</v>
          </cell>
          <cell r="H13706" t="str">
            <v>biomass</v>
          </cell>
        </row>
        <row r="13707">
          <cell r="C13707" t="str">
            <v>IC</v>
          </cell>
          <cell r="D13707">
            <v>1.4</v>
          </cell>
          <cell r="H13707" t="str">
            <v>biomass</v>
          </cell>
        </row>
        <row r="13708">
          <cell r="C13708" t="str">
            <v>IC</v>
          </cell>
          <cell r="D13708">
            <v>1.4</v>
          </cell>
          <cell r="H13708" t="str">
            <v>biomass</v>
          </cell>
        </row>
        <row r="13709">
          <cell r="C13709" t="str">
            <v>IC</v>
          </cell>
          <cell r="D13709">
            <v>1.4</v>
          </cell>
          <cell r="H13709" t="str">
            <v>biomass</v>
          </cell>
        </row>
        <row r="13710">
          <cell r="C13710" t="str">
            <v>IC</v>
          </cell>
          <cell r="D13710">
            <v>1.8</v>
          </cell>
          <cell r="H13710" t="str">
            <v>petroleum</v>
          </cell>
        </row>
        <row r="13711">
          <cell r="C13711" t="str">
            <v>IC</v>
          </cell>
          <cell r="D13711">
            <v>1.8</v>
          </cell>
          <cell r="H13711" t="str">
            <v>petroleum</v>
          </cell>
        </row>
        <row r="13712">
          <cell r="C13712" t="str">
            <v>IC</v>
          </cell>
          <cell r="D13712">
            <v>1.8</v>
          </cell>
          <cell r="H13712" t="str">
            <v>petroleum</v>
          </cell>
        </row>
        <row r="13713">
          <cell r="C13713" t="str">
            <v>IC</v>
          </cell>
          <cell r="D13713">
            <v>1.8</v>
          </cell>
          <cell r="H13713" t="str">
            <v>petroleum</v>
          </cell>
        </row>
        <row r="13714">
          <cell r="C13714" t="str">
            <v>IC</v>
          </cell>
          <cell r="D13714">
            <v>1.8</v>
          </cell>
          <cell r="H13714" t="str">
            <v>petroleum</v>
          </cell>
        </row>
        <row r="13715">
          <cell r="C13715" t="str">
            <v>IC</v>
          </cell>
          <cell r="D13715">
            <v>1.8</v>
          </cell>
          <cell r="H13715" t="str">
            <v>petroleum</v>
          </cell>
        </row>
        <row r="13716">
          <cell r="C13716" t="str">
            <v>IC</v>
          </cell>
          <cell r="D13716">
            <v>1.8</v>
          </cell>
          <cell r="H13716" t="str">
            <v>petroleum</v>
          </cell>
        </row>
        <row r="13717">
          <cell r="C13717" t="str">
            <v>IC</v>
          </cell>
          <cell r="D13717">
            <v>1.8</v>
          </cell>
          <cell r="H13717" t="str">
            <v>petroleum</v>
          </cell>
        </row>
        <row r="13718">
          <cell r="C13718" t="str">
            <v>IC</v>
          </cell>
          <cell r="D13718">
            <v>1.8</v>
          </cell>
          <cell r="H13718" t="str">
            <v>petroleum</v>
          </cell>
        </row>
        <row r="13719">
          <cell r="C13719" t="str">
            <v>IC</v>
          </cell>
          <cell r="D13719">
            <v>1.8</v>
          </cell>
          <cell r="H13719" t="str">
            <v>petroleum</v>
          </cell>
        </row>
        <row r="13720">
          <cell r="C13720" t="str">
            <v>IC</v>
          </cell>
          <cell r="D13720">
            <v>1.8</v>
          </cell>
          <cell r="H13720" t="str">
            <v>petroleum</v>
          </cell>
        </row>
        <row r="13721">
          <cell r="C13721" t="str">
            <v>IC</v>
          </cell>
          <cell r="D13721">
            <v>1.8</v>
          </cell>
          <cell r="H13721" t="str">
            <v>petroleum</v>
          </cell>
        </row>
        <row r="13722">
          <cell r="C13722" t="str">
            <v>CT</v>
          </cell>
          <cell r="D13722">
            <v>4.0999999999999996</v>
          </cell>
          <cell r="H13722" t="str">
            <v>biomass</v>
          </cell>
        </row>
        <row r="13723">
          <cell r="C13723" t="str">
            <v>CT</v>
          </cell>
          <cell r="D13723">
            <v>4.0999999999999996</v>
          </cell>
          <cell r="H13723" t="str">
            <v>biomass</v>
          </cell>
        </row>
        <row r="13724">
          <cell r="C13724" t="str">
            <v>CA</v>
          </cell>
          <cell r="D13724">
            <v>10.6</v>
          </cell>
          <cell r="H13724" t="str">
            <v>biomass</v>
          </cell>
        </row>
        <row r="13725">
          <cell r="C13725" t="str">
            <v>IC</v>
          </cell>
          <cell r="D13725">
            <v>1.8</v>
          </cell>
          <cell r="H13725" t="str">
            <v>biomass</v>
          </cell>
        </row>
        <row r="13726">
          <cell r="C13726" t="str">
            <v>IC</v>
          </cell>
          <cell r="D13726">
            <v>1.8</v>
          </cell>
          <cell r="H13726" t="str">
            <v>biomass</v>
          </cell>
        </row>
        <row r="13727">
          <cell r="C13727" t="str">
            <v>IC</v>
          </cell>
          <cell r="D13727">
            <v>1.8</v>
          </cell>
          <cell r="H13727" t="str">
            <v>biomass</v>
          </cell>
        </row>
        <row r="13728">
          <cell r="C13728" t="str">
            <v>GT</v>
          </cell>
          <cell r="D13728">
            <v>5.2</v>
          </cell>
          <cell r="H13728" t="str">
            <v>biomass</v>
          </cell>
        </row>
        <row r="13729">
          <cell r="C13729" t="str">
            <v>IC</v>
          </cell>
          <cell r="D13729">
            <v>1.5</v>
          </cell>
          <cell r="H13729" t="str">
            <v>biomass</v>
          </cell>
        </row>
        <row r="13730">
          <cell r="C13730" t="str">
            <v>IC</v>
          </cell>
          <cell r="D13730">
            <v>1.5</v>
          </cell>
          <cell r="H13730" t="str">
            <v>biomass</v>
          </cell>
        </row>
        <row r="13731">
          <cell r="C13731" t="str">
            <v>GT</v>
          </cell>
          <cell r="D13731">
            <v>5.2</v>
          </cell>
          <cell r="H13731" t="str">
            <v>biomass</v>
          </cell>
        </row>
        <row r="13732">
          <cell r="C13732" t="str">
            <v>IC</v>
          </cell>
          <cell r="D13732">
            <v>1.5</v>
          </cell>
          <cell r="H13732" t="str">
            <v>biomass</v>
          </cell>
        </row>
        <row r="13733">
          <cell r="C13733" t="str">
            <v>IC</v>
          </cell>
          <cell r="D13733">
            <v>1.5</v>
          </cell>
          <cell r="H13733" t="str">
            <v>biomass</v>
          </cell>
        </row>
        <row r="13734">
          <cell r="C13734" t="str">
            <v>WT</v>
          </cell>
          <cell r="D13734">
            <v>11.6</v>
          </cell>
          <cell r="H13734" t="str">
            <v>onshore wind</v>
          </cell>
        </row>
        <row r="13735">
          <cell r="C13735" t="str">
            <v>HY</v>
          </cell>
          <cell r="D13735">
            <v>1</v>
          </cell>
          <cell r="H13735" t="str">
            <v>hydro</v>
          </cell>
        </row>
        <row r="13736">
          <cell r="C13736" t="str">
            <v>IC</v>
          </cell>
          <cell r="D13736">
            <v>1.8</v>
          </cell>
          <cell r="H13736" t="str">
            <v>petroleum</v>
          </cell>
        </row>
        <row r="13737">
          <cell r="C13737" t="str">
            <v>IC</v>
          </cell>
          <cell r="D13737">
            <v>1.8</v>
          </cell>
          <cell r="H13737" t="str">
            <v>petroleum</v>
          </cell>
        </row>
        <row r="13738">
          <cell r="C13738" t="str">
            <v>GT</v>
          </cell>
          <cell r="D13738">
            <v>8.5</v>
          </cell>
          <cell r="H13738" t="str">
            <v>natural gas peaker</v>
          </cell>
        </row>
        <row r="13739">
          <cell r="C13739" t="str">
            <v>IC</v>
          </cell>
          <cell r="D13739">
            <v>1.8</v>
          </cell>
          <cell r="H13739" t="str">
            <v>petroleum</v>
          </cell>
        </row>
        <row r="13740">
          <cell r="C13740" t="str">
            <v>IC</v>
          </cell>
          <cell r="D13740">
            <v>1.8</v>
          </cell>
          <cell r="H13740" t="str">
            <v>petroleum</v>
          </cell>
        </row>
        <row r="13741">
          <cell r="C13741" t="str">
            <v>IC</v>
          </cell>
          <cell r="D13741">
            <v>1.8</v>
          </cell>
          <cell r="H13741" t="str">
            <v>petroleum</v>
          </cell>
        </row>
        <row r="13742">
          <cell r="C13742" t="str">
            <v>IC</v>
          </cell>
          <cell r="D13742">
            <v>1.8</v>
          </cell>
          <cell r="H13742" t="str">
            <v>petroleum</v>
          </cell>
        </row>
        <row r="13743">
          <cell r="C13743" t="str">
            <v>IC</v>
          </cell>
          <cell r="D13743">
            <v>2.4</v>
          </cell>
          <cell r="H13743" t="str">
            <v>petroleum</v>
          </cell>
        </row>
        <row r="13744">
          <cell r="C13744" t="str">
            <v>IC</v>
          </cell>
          <cell r="D13744">
            <v>2.4</v>
          </cell>
          <cell r="H13744" t="str">
            <v>petroleum</v>
          </cell>
        </row>
        <row r="13745">
          <cell r="C13745" t="str">
            <v>IC</v>
          </cell>
          <cell r="D13745">
            <v>2.4</v>
          </cell>
          <cell r="H13745" t="str">
            <v>petroleum</v>
          </cell>
        </row>
        <row r="13746">
          <cell r="C13746" t="str">
            <v>IC</v>
          </cell>
          <cell r="D13746">
            <v>1</v>
          </cell>
          <cell r="H13746" t="str">
            <v>biomass</v>
          </cell>
        </row>
        <row r="13747">
          <cell r="C13747" t="str">
            <v>IC</v>
          </cell>
          <cell r="D13747">
            <v>1</v>
          </cell>
          <cell r="H13747" t="str">
            <v>biomass</v>
          </cell>
        </row>
        <row r="13748">
          <cell r="C13748" t="str">
            <v>IC</v>
          </cell>
          <cell r="D13748">
            <v>1</v>
          </cell>
          <cell r="H13748" t="str">
            <v>biomass</v>
          </cell>
        </row>
        <row r="13749">
          <cell r="C13749" t="str">
            <v>IC</v>
          </cell>
          <cell r="D13749">
            <v>1</v>
          </cell>
          <cell r="H13749" t="str">
            <v>petroleum</v>
          </cell>
        </row>
        <row r="13750">
          <cell r="C13750" t="str">
            <v>GT</v>
          </cell>
          <cell r="D13750">
            <v>50</v>
          </cell>
          <cell r="H13750" t="str">
            <v>natural gas peaker</v>
          </cell>
        </row>
        <row r="13751">
          <cell r="C13751" t="str">
            <v>GT</v>
          </cell>
          <cell r="D13751">
            <v>50</v>
          </cell>
          <cell r="H13751" t="str">
            <v>natural gas peaker</v>
          </cell>
        </row>
        <row r="13752">
          <cell r="C13752" t="str">
            <v>IC</v>
          </cell>
          <cell r="D13752">
            <v>2</v>
          </cell>
          <cell r="H13752" t="str">
            <v>petroleum</v>
          </cell>
        </row>
        <row r="13753">
          <cell r="C13753" t="str">
            <v>OT</v>
          </cell>
          <cell r="D13753">
            <v>3.1</v>
          </cell>
          <cell r="H13753" t="str">
            <v>other</v>
          </cell>
        </row>
        <row r="13754">
          <cell r="C13754" t="str">
            <v>GT</v>
          </cell>
          <cell r="D13754">
            <v>53.9</v>
          </cell>
          <cell r="H13754" t="str">
            <v>other</v>
          </cell>
        </row>
        <row r="13755">
          <cell r="C13755" t="str">
            <v>WT</v>
          </cell>
          <cell r="D13755">
            <v>85.5</v>
          </cell>
          <cell r="H13755" t="str">
            <v>onshore wind</v>
          </cell>
        </row>
        <row r="13756">
          <cell r="C13756" t="str">
            <v>GT</v>
          </cell>
          <cell r="D13756">
            <v>50</v>
          </cell>
          <cell r="H13756" t="str">
            <v>natural gas peaker</v>
          </cell>
        </row>
        <row r="13757">
          <cell r="C13757" t="str">
            <v>GT</v>
          </cell>
          <cell r="D13757">
            <v>50</v>
          </cell>
          <cell r="H13757" t="str">
            <v>natural gas peaker</v>
          </cell>
        </row>
        <row r="13758">
          <cell r="C13758" t="str">
            <v>GT</v>
          </cell>
          <cell r="D13758">
            <v>48</v>
          </cell>
          <cell r="H13758" t="str">
            <v>natural gas peaker</v>
          </cell>
        </row>
        <row r="13759">
          <cell r="C13759" t="str">
            <v>GT</v>
          </cell>
          <cell r="D13759">
            <v>48</v>
          </cell>
          <cell r="H13759" t="str">
            <v>natural gas peaker</v>
          </cell>
        </row>
        <row r="13760">
          <cell r="C13760" t="str">
            <v>GT</v>
          </cell>
          <cell r="D13760">
            <v>10</v>
          </cell>
          <cell r="H13760" t="str">
            <v>natural gas peaker</v>
          </cell>
        </row>
        <row r="13761">
          <cell r="C13761" t="str">
            <v>GT</v>
          </cell>
          <cell r="D13761">
            <v>10</v>
          </cell>
          <cell r="H13761" t="str">
            <v>natural gas peaker</v>
          </cell>
        </row>
        <row r="13762">
          <cell r="C13762" t="str">
            <v>GT</v>
          </cell>
          <cell r="D13762">
            <v>10</v>
          </cell>
          <cell r="H13762" t="str">
            <v>natural gas peaker</v>
          </cell>
        </row>
        <row r="13763">
          <cell r="C13763" t="str">
            <v>GT</v>
          </cell>
          <cell r="D13763">
            <v>10</v>
          </cell>
          <cell r="H13763" t="str">
            <v>natural gas peaker</v>
          </cell>
        </row>
        <row r="13764">
          <cell r="C13764" t="str">
            <v>IC</v>
          </cell>
          <cell r="D13764">
            <v>1.3</v>
          </cell>
          <cell r="H13764" t="str">
            <v>petroleum</v>
          </cell>
        </row>
        <row r="13765">
          <cell r="C13765" t="str">
            <v>IC</v>
          </cell>
          <cell r="D13765">
            <v>1</v>
          </cell>
          <cell r="H13765" t="str">
            <v>petroleum</v>
          </cell>
        </row>
        <row r="13766">
          <cell r="C13766" t="str">
            <v>IC</v>
          </cell>
          <cell r="D13766">
            <v>2</v>
          </cell>
          <cell r="H13766" t="str">
            <v>petroleum</v>
          </cell>
        </row>
        <row r="13767">
          <cell r="C13767" t="str">
            <v>IC</v>
          </cell>
          <cell r="D13767">
            <v>2</v>
          </cell>
          <cell r="H13767" t="str">
            <v>petroleum</v>
          </cell>
        </row>
        <row r="13768">
          <cell r="C13768" t="str">
            <v>IC</v>
          </cell>
          <cell r="D13768">
            <v>2</v>
          </cell>
          <cell r="H13768" t="str">
            <v>petroleum</v>
          </cell>
        </row>
        <row r="13769">
          <cell r="C13769" t="str">
            <v>CA</v>
          </cell>
          <cell r="D13769">
            <v>295</v>
          </cell>
          <cell r="H13769" t="str">
            <v>natural gas nonpeaker</v>
          </cell>
        </row>
        <row r="13770">
          <cell r="C13770" t="str">
            <v>CA</v>
          </cell>
          <cell r="D13770">
            <v>295</v>
          </cell>
          <cell r="H13770" t="str">
            <v>natural gas nonpeaker</v>
          </cell>
        </row>
        <row r="13771">
          <cell r="C13771" t="str">
            <v>CT</v>
          </cell>
          <cell r="D13771">
            <v>181.8</v>
          </cell>
          <cell r="H13771" t="str">
            <v>natural gas nonpeaker</v>
          </cell>
        </row>
        <row r="13772">
          <cell r="C13772" t="str">
            <v>CT</v>
          </cell>
          <cell r="D13772">
            <v>181.8</v>
          </cell>
          <cell r="H13772" t="str">
            <v>natural gas nonpeaker</v>
          </cell>
        </row>
        <row r="13773">
          <cell r="C13773" t="str">
            <v>CT</v>
          </cell>
          <cell r="D13773">
            <v>181.3</v>
          </cell>
          <cell r="H13773" t="str">
            <v>natural gas nonpeaker</v>
          </cell>
        </row>
        <row r="13774">
          <cell r="C13774" t="str">
            <v>CT</v>
          </cell>
          <cell r="D13774">
            <v>181.3</v>
          </cell>
          <cell r="H13774" t="str">
            <v>natural gas nonpeaker</v>
          </cell>
        </row>
        <row r="13775">
          <cell r="C13775" t="str">
            <v>GT</v>
          </cell>
          <cell r="D13775">
            <v>104.6</v>
          </cell>
          <cell r="H13775" t="str">
            <v>natural gas peaker</v>
          </cell>
        </row>
        <row r="13776">
          <cell r="C13776" t="str">
            <v>GT</v>
          </cell>
          <cell r="D13776">
            <v>104.6</v>
          </cell>
          <cell r="H13776" t="str">
            <v>natural gas peaker</v>
          </cell>
        </row>
        <row r="13777">
          <cell r="C13777" t="str">
            <v>GT</v>
          </cell>
          <cell r="D13777">
            <v>103.6</v>
          </cell>
          <cell r="H13777" t="str">
            <v>natural gas peaker</v>
          </cell>
        </row>
        <row r="13778">
          <cell r="C13778" t="str">
            <v>CT</v>
          </cell>
          <cell r="D13778">
            <v>169.4</v>
          </cell>
          <cell r="H13778" t="str">
            <v>natural gas nonpeaker</v>
          </cell>
        </row>
        <row r="13779">
          <cell r="C13779" t="str">
            <v>CA</v>
          </cell>
          <cell r="D13779">
            <v>50</v>
          </cell>
          <cell r="H13779" t="str">
            <v>natural gas nonpeaker</v>
          </cell>
        </row>
        <row r="13780">
          <cell r="C13780" t="str">
            <v>WT</v>
          </cell>
          <cell r="D13780">
            <v>12</v>
          </cell>
          <cell r="H13780" t="str">
            <v>onshore wind</v>
          </cell>
        </row>
        <row r="13781">
          <cell r="C13781" t="str">
            <v>WT</v>
          </cell>
          <cell r="D13781">
            <v>76.2</v>
          </cell>
          <cell r="H13781" t="str">
            <v>onshore wind</v>
          </cell>
        </row>
        <row r="13782">
          <cell r="C13782" t="str">
            <v>WT</v>
          </cell>
          <cell r="D13782">
            <v>59.4</v>
          </cell>
          <cell r="H13782" t="str">
            <v>onshore wind</v>
          </cell>
        </row>
        <row r="13783">
          <cell r="C13783" t="str">
            <v>GT</v>
          </cell>
          <cell r="D13783">
            <v>5.9</v>
          </cell>
          <cell r="H13783" t="str">
            <v>natural gas peaker</v>
          </cell>
        </row>
        <row r="13784">
          <cell r="C13784" t="str">
            <v>ST</v>
          </cell>
          <cell r="D13784">
            <v>31.8</v>
          </cell>
          <cell r="H13784" t="str">
            <v>other</v>
          </cell>
        </row>
        <row r="13785">
          <cell r="C13785" t="str">
            <v>CT</v>
          </cell>
          <cell r="D13785">
            <v>153</v>
          </cell>
          <cell r="H13785" t="str">
            <v>natural gas nonpeaker</v>
          </cell>
        </row>
        <row r="13786">
          <cell r="C13786" t="str">
            <v>CA</v>
          </cell>
          <cell r="D13786">
            <v>108</v>
          </cell>
          <cell r="H13786" t="str">
            <v>natural gas nonpeaker</v>
          </cell>
        </row>
        <row r="13787">
          <cell r="C13787" t="str">
            <v>GT</v>
          </cell>
          <cell r="D13787">
            <v>151.9</v>
          </cell>
          <cell r="H13787" t="str">
            <v>natural gas peaker</v>
          </cell>
        </row>
        <row r="13788">
          <cell r="C13788" t="str">
            <v>GT</v>
          </cell>
          <cell r="D13788">
            <v>152.19999999999999</v>
          </cell>
          <cell r="H13788" t="str">
            <v>natural gas peaker</v>
          </cell>
        </row>
        <row r="13789">
          <cell r="C13789" t="str">
            <v>WT</v>
          </cell>
          <cell r="D13789">
            <v>43.5</v>
          </cell>
          <cell r="H13789" t="str">
            <v>onshore wind</v>
          </cell>
        </row>
        <row r="13790">
          <cell r="C13790" t="str">
            <v>WT</v>
          </cell>
          <cell r="D13790">
            <v>162</v>
          </cell>
          <cell r="H13790" t="str">
            <v>onshore wind</v>
          </cell>
        </row>
        <row r="13791">
          <cell r="C13791" t="str">
            <v>WT</v>
          </cell>
          <cell r="D13791">
            <v>51</v>
          </cell>
          <cell r="H13791" t="str">
            <v>onshore wind</v>
          </cell>
        </row>
        <row r="13792">
          <cell r="C13792" t="str">
            <v>CT</v>
          </cell>
          <cell r="D13792">
            <v>65</v>
          </cell>
          <cell r="H13792" t="str">
            <v>natural gas nonpeaker</v>
          </cell>
        </row>
        <row r="13793">
          <cell r="C13793" t="str">
            <v>CA</v>
          </cell>
          <cell r="D13793">
            <v>65</v>
          </cell>
          <cell r="H13793" t="str">
            <v>natural gas nonpeaker</v>
          </cell>
        </row>
        <row r="13794">
          <cell r="C13794" t="str">
            <v>IC</v>
          </cell>
          <cell r="D13794">
            <v>2</v>
          </cell>
          <cell r="H13794" t="str">
            <v>petroleum</v>
          </cell>
        </row>
        <row r="13795">
          <cell r="C13795" t="str">
            <v>IC</v>
          </cell>
          <cell r="D13795">
            <v>2</v>
          </cell>
          <cell r="H13795" t="str">
            <v>petroleum</v>
          </cell>
        </row>
        <row r="13796">
          <cell r="C13796" t="str">
            <v>IC</v>
          </cell>
          <cell r="D13796">
            <v>2</v>
          </cell>
          <cell r="H13796" t="str">
            <v>petroleum</v>
          </cell>
        </row>
        <row r="13797">
          <cell r="C13797" t="str">
            <v>ST</v>
          </cell>
          <cell r="D13797">
            <v>1.7</v>
          </cell>
          <cell r="H13797" t="str">
            <v>biomass</v>
          </cell>
        </row>
        <row r="13798">
          <cell r="C13798" t="str">
            <v>IC</v>
          </cell>
          <cell r="D13798">
            <v>2.8</v>
          </cell>
          <cell r="H13798" t="str">
            <v>natural gas peaker</v>
          </cell>
        </row>
        <row r="13799">
          <cell r="C13799" t="str">
            <v>IC</v>
          </cell>
          <cell r="D13799">
            <v>2.8</v>
          </cell>
          <cell r="H13799" t="str">
            <v>natural gas peaker</v>
          </cell>
        </row>
        <row r="13800">
          <cell r="C13800" t="str">
            <v>IC</v>
          </cell>
          <cell r="D13800">
            <v>2.8</v>
          </cell>
          <cell r="H13800" t="str">
            <v>natural gas peaker</v>
          </cell>
        </row>
        <row r="13801">
          <cell r="C13801" t="str">
            <v>IC</v>
          </cell>
          <cell r="D13801">
            <v>2.8</v>
          </cell>
          <cell r="H13801" t="str">
            <v>natural gas peaker</v>
          </cell>
        </row>
        <row r="13802">
          <cell r="C13802" t="str">
            <v>IC</v>
          </cell>
          <cell r="D13802">
            <v>2.8</v>
          </cell>
          <cell r="H13802" t="str">
            <v>natural gas peaker</v>
          </cell>
        </row>
        <row r="13803">
          <cell r="C13803" t="str">
            <v>IC</v>
          </cell>
          <cell r="D13803">
            <v>2.8</v>
          </cell>
          <cell r="H13803" t="str">
            <v>natural gas peaker</v>
          </cell>
        </row>
        <row r="13804">
          <cell r="C13804" t="str">
            <v>IC</v>
          </cell>
          <cell r="D13804">
            <v>2.8</v>
          </cell>
          <cell r="H13804" t="str">
            <v>natural gas peaker</v>
          </cell>
        </row>
        <row r="13805">
          <cell r="C13805" t="str">
            <v>IC</v>
          </cell>
          <cell r="D13805">
            <v>2.8</v>
          </cell>
          <cell r="H13805" t="str">
            <v>natural gas peaker</v>
          </cell>
        </row>
        <row r="13806">
          <cell r="C13806" t="str">
            <v>IC</v>
          </cell>
          <cell r="D13806">
            <v>2.8</v>
          </cell>
          <cell r="H13806" t="str">
            <v>natural gas peaker</v>
          </cell>
        </row>
        <row r="13807">
          <cell r="C13807" t="str">
            <v>IC</v>
          </cell>
          <cell r="D13807">
            <v>2.8</v>
          </cell>
          <cell r="H13807" t="str">
            <v>natural gas peaker</v>
          </cell>
        </row>
        <row r="13808">
          <cell r="C13808" t="str">
            <v>IC</v>
          </cell>
          <cell r="D13808">
            <v>2.8</v>
          </cell>
          <cell r="H13808" t="str">
            <v>natural gas peaker</v>
          </cell>
        </row>
        <row r="13809">
          <cell r="C13809" t="str">
            <v>IC</v>
          </cell>
          <cell r="D13809">
            <v>2.8</v>
          </cell>
          <cell r="H13809" t="str">
            <v>natural gas peaker</v>
          </cell>
        </row>
        <row r="13810">
          <cell r="C13810" t="str">
            <v>IC</v>
          </cell>
          <cell r="D13810">
            <v>2.8</v>
          </cell>
          <cell r="H13810" t="str">
            <v>natural gas peaker</v>
          </cell>
        </row>
        <row r="13811">
          <cell r="C13811" t="str">
            <v>IC</v>
          </cell>
          <cell r="D13811">
            <v>2.8</v>
          </cell>
          <cell r="H13811" t="str">
            <v>natural gas peaker</v>
          </cell>
        </row>
        <row r="13812">
          <cell r="C13812" t="str">
            <v>IC</v>
          </cell>
          <cell r="D13812">
            <v>2.8</v>
          </cell>
          <cell r="H13812" t="str">
            <v>natural gas peaker</v>
          </cell>
        </row>
        <row r="13813">
          <cell r="C13813" t="str">
            <v>IC</v>
          </cell>
          <cell r="D13813">
            <v>2.8</v>
          </cell>
          <cell r="H13813" t="str">
            <v>natural gas peaker</v>
          </cell>
        </row>
        <row r="13814">
          <cell r="C13814" t="str">
            <v>IC</v>
          </cell>
          <cell r="D13814">
            <v>3.1</v>
          </cell>
          <cell r="H13814" t="str">
            <v>natural gas peaker</v>
          </cell>
        </row>
        <row r="13815">
          <cell r="C13815" t="str">
            <v>IC</v>
          </cell>
          <cell r="D13815">
            <v>3.1</v>
          </cell>
          <cell r="H13815" t="str">
            <v>natural gas peaker</v>
          </cell>
        </row>
        <row r="13816">
          <cell r="C13816" t="str">
            <v>IC</v>
          </cell>
          <cell r="D13816">
            <v>3.1</v>
          </cell>
          <cell r="H13816" t="str">
            <v>natural gas peaker</v>
          </cell>
        </row>
        <row r="13817">
          <cell r="C13817" t="str">
            <v>IC</v>
          </cell>
          <cell r="D13817">
            <v>3.1</v>
          </cell>
          <cell r="H13817" t="str">
            <v>natural gas peaker</v>
          </cell>
        </row>
        <row r="13818">
          <cell r="C13818" t="str">
            <v>IC</v>
          </cell>
          <cell r="D13818">
            <v>3.1</v>
          </cell>
          <cell r="H13818" t="str">
            <v>natural gas peaker</v>
          </cell>
        </row>
        <row r="13819">
          <cell r="C13819" t="str">
            <v>IC</v>
          </cell>
          <cell r="D13819">
            <v>3.1</v>
          </cell>
          <cell r="H13819" t="str">
            <v>natural gas peaker</v>
          </cell>
        </row>
        <row r="13820">
          <cell r="C13820" t="str">
            <v>IC</v>
          </cell>
          <cell r="D13820">
            <v>3.1</v>
          </cell>
          <cell r="H13820" t="str">
            <v>natural gas peaker</v>
          </cell>
        </row>
        <row r="13821">
          <cell r="C13821" t="str">
            <v>IC</v>
          </cell>
          <cell r="D13821">
            <v>3.1</v>
          </cell>
          <cell r="H13821" t="str">
            <v>natural gas peaker</v>
          </cell>
        </row>
        <row r="13822">
          <cell r="C13822" t="str">
            <v>IC</v>
          </cell>
          <cell r="D13822">
            <v>3.1</v>
          </cell>
          <cell r="H13822" t="str">
            <v>natural gas peaker</v>
          </cell>
        </row>
        <row r="13823">
          <cell r="C13823" t="str">
            <v>IC</v>
          </cell>
          <cell r="D13823">
            <v>3.1</v>
          </cell>
          <cell r="H13823" t="str">
            <v>natural gas peaker</v>
          </cell>
        </row>
        <row r="13824">
          <cell r="C13824" t="str">
            <v>IC</v>
          </cell>
          <cell r="D13824">
            <v>3.1</v>
          </cell>
          <cell r="H13824" t="str">
            <v>natural gas peaker</v>
          </cell>
        </row>
        <row r="13825">
          <cell r="C13825" t="str">
            <v>IC</v>
          </cell>
          <cell r="D13825">
            <v>3.1</v>
          </cell>
          <cell r="H13825" t="str">
            <v>natural gas peaker</v>
          </cell>
        </row>
        <row r="13826">
          <cell r="C13826" t="str">
            <v>IC</v>
          </cell>
          <cell r="D13826">
            <v>3.1</v>
          </cell>
          <cell r="H13826" t="str">
            <v>natural gas peaker</v>
          </cell>
        </row>
        <row r="13827">
          <cell r="C13827" t="str">
            <v>IC</v>
          </cell>
          <cell r="D13827">
            <v>3.1</v>
          </cell>
          <cell r="H13827" t="str">
            <v>natural gas peaker</v>
          </cell>
        </row>
        <row r="13828">
          <cell r="C13828" t="str">
            <v>IC</v>
          </cell>
          <cell r="D13828">
            <v>3.1</v>
          </cell>
          <cell r="H13828" t="str">
            <v>natural gas peaker</v>
          </cell>
        </row>
        <row r="13829">
          <cell r="C13829" t="str">
            <v>IC</v>
          </cell>
          <cell r="D13829">
            <v>3.1</v>
          </cell>
          <cell r="H13829" t="str">
            <v>natural gas peaker</v>
          </cell>
        </row>
        <row r="13830">
          <cell r="C13830" t="str">
            <v>CT</v>
          </cell>
          <cell r="D13830">
            <v>47</v>
          </cell>
          <cell r="H13830" t="str">
            <v>natural gas nonpeaker</v>
          </cell>
        </row>
        <row r="13831">
          <cell r="C13831" t="str">
            <v>CA</v>
          </cell>
          <cell r="D13831">
            <v>27.5</v>
          </cell>
          <cell r="H13831" t="str">
            <v>natural gas nonpeaker</v>
          </cell>
        </row>
        <row r="13832">
          <cell r="C13832" t="str">
            <v>GT</v>
          </cell>
          <cell r="D13832">
            <v>23.3</v>
          </cell>
          <cell r="H13832" t="str">
            <v>petroleum</v>
          </cell>
        </row>
        <row r="13833">
          <cell r="C13833" t="str">
            <v>GT</v>
          </cell>
          <cell r="D13833">
            <v>23.3</v>
          </cell>
          <cell r="H13833" t="str">
            <v>petroleum</v>
          </cell>
        </row>
        <row r="13834">
          <cell r="C13834" t="str">
            <v>GT</v>
          </cell>
          <cell r="D13834">
            <v>23.3</v>
          </cell>
          <cell r="H13834" t="str">
            <v>petroleum</v>
          </cell>
        </row>
        <row r="13835">
          <cell r="C13835" t="str">
            <v>GT</v>
          </cell>
          <cell r="D13835">
            <v>3.2</v>
          </cell>
          <cell r="H13835" t="str">
            <v>natural gas peaker</v>
          </cell>
        </row>
        <row r="13836">
          <cell r="C13836" t="str">
            <v>ST</v>
          </cell>
          <cell r="D13836">
            <v>1</v>
          </cell>
          <cell r="H13836" t="str">
            <v>natural gas peaker</v>
          </cell>
        </row>
        <row r="13837">
          <cell r="C13837" t="str">
            <v>ST</v>
          </cell>
          <cell r="D13837">
            <v>22</v>
          </cell>
          <cell r="H13837" t="str">
            <v>biomass</v>
          </cell>
        </row>
        <row r="13838">
          <cell r="C13838" t="str">
            <v>ST</v>
          </cell>
          <cell r="D13838">
            <v>3.1</v>
          </cell>
          <cell r="H13838" t="str">
            <v>biomass</v>
          </cell>
        </row>
        <row r="13839">
          <cell r="C13839" t="str">
            <v>ST</v>
          </cell>
          <cell r="D13839">
            <v>4.4000000000000004</v>
          </cell>
          <cell r="H13839" t="str">
            <v>biomass</v>
          </cell>
        </row>
        <row r="13840">
          <cell r="C13840" t="str">
            <v>IC</v>
          </cell>
          <cell r="D13840">
            <v>2</v>
          </cell>
          <cell r="H13840" t="str">
            <v>petroleum</v>
          </cell>
        </row>
        <row r="13841">
          <cell r="C13841" t="str">
            <v>WT</v>
          </cell>
          <cell r="D13841">
            <v>43</v>
          </cell>
          <cell r="H13841" t="str">
            <v>onshore wind</v>
          </cell>
        </row>
        <row r="13842">
          <cell r="C13842" t="str">
            <v>CA</v>
          </cell>
          <cell r="D13842">
            <v>168.7</v>
          </cell>
          <cell r="H13842" t="str">
            <v>natural gas nonpeaker</v>
          </cell>
        </row>
        <row r="13843">
          <cell r="C13843" t="str">
            <v>CT</v>
          </cell>
          <cell r="D13843">
            <v>153.30000000000001</v>
          </cell>
          <cell r="H13843" t="str">
            <v>natural gas nonpeaker</v>
          </cell>
        </row>
        <row r="13844">
          <cell r="C13844" t="str">
            <v>CT</v>
          </cell>
          <cell r="D13844">
            <v>153.30000000000001</v>
          </cell>
          <cell r="H13844" t="str">
            <v>natural gas nonpeaker</v>
          </cell>
        </row>
        <row r="13845">
          <cell r="C13845" t="str">
            <v>WT</v>
          </cell>
          <cell r="D13845">
            <v>2</v>
          </cell>
          <cell r="H13845" t="str">
            <v>onshore wind</v>
          </cell>
        </row>
        <row r="13846">
          <cell r="C13846" t="str">
            <v>WT</v>
          </cell>
          <cell r="D13846">
            <v>2</v>
          </cell>
          <cell r="H13846" t="str">
            <v>onshore wind</v>
          </cell>
        </row>
        <row r="13847">
          <cell r="C13847" t="str">
            <v>WT</v>
          </cell>
          <cell r="D13847">
            <v>2</v>
          </cell>
          <cell r="H13847" t="str">
            <v>onshore wind</v>
          </cell>
        </row>
        <row r="13848">
          <cell r="C13848" t="str">
            <v>WT</v>
          </cell>
          <cell r="D13848">
            <v>2</v>
          </cell>
          <cell r="H13848" t="str">
            <v>onshore wind</v>
          </cell>
        </row>
        <row r="13849">
          <cell r="C13849" t="str">
            <v>WT</v>
          </cell>
          <cell r="D13849">
            <v>2</v>
          </cell>
          <cell r="H13849" t="str">
            <v>onshore wind</v>
          </cell>
        </row>
        <row r="13850">
          <cell r="C13850" t="str">
            <v>WT</v>
          </cell>
          <cell r="D13850">
            <v>2</v>
          </cell>
          <cell r="H13850" t="str">
            <v>onshore wind</v>
          </cell>
        </row>
        <row r="13851">
          <cell r="C13851" t="str">
            <v>WT</v>
          </cell>
          <cell r="D13851">
            <v>2</v>
          </cell>
          <cell r="H13851" t="str">
            <v>onshore wind</v>
          </cell>
        </row>
        <row r="13852">
          <cell r="C13852" t="str">
            <v>WT</v>
          </cell>
          <cell r="D13852">
            <v>2</v>
          </cell>
          <cell r="H13852" t="str">
            <v>onshore wind</v>
          </cell>
        </row>
        <row r="13853">
          <cell r="C13853" t="str">
            <v>WT</v>
          </cell>
          <cell r="D13853">
            <v>2</v>
          </cell>
          <cell r="H13853" t="str">
            <v>onshore wind</v>
          </cell>
        </row>
        <row r="13854">
          <cell r="C13854" t="str">
            <v>WT</v>
          </cell>
          <cell r="D13854">
            <v>2</v>
          </cell>
          <cell r="H13854" t="str">
            <v>onshore wind</v>
          </cell>
        </row>
        <row r="13855">
          <cell r="C13855" t="str">
            <v>WT</v>
          </cell>
          <cell r="D13855">
            <v>2</v>
          </cell>
          <cell r="H13855" t="str">
            <v>onshore wind</v>
          </cell>
        </row>
        <row r="13856">
          <cell r="C13856" t="str">
            <v>WT</v>
          </cell>
          <cell r="D13856">
            <v>2</v>
          </cell>
          <cell r="H13856" t="str">
            <v>onshore wind</v>
          </cell>
        </row>
        <row r="13857">
          <cell r="C13857" t="str">
            <v>WT</v>
          </cell>
          <cell r="D13857">
            <v>37.5</v>
          </cell>
          <cell r="H13857" t="str">
            <v>onshore wind</v>
          </cell>
        </row>
        <row r="13858">
          <cell r="C13858" t="str">
            <v>WT</v>
          </cell>
          <cell r="D13858">
            <v>98.8</v>
          </cell>
          <cell r="H13858" t="str">
            <v>onshore wind</v>
          </cell>
        </row>
        <row r="13859">
          <cell r="C13859" t="str">
            <v>WT</v>
          </cell>
          <cell r="D13859">
            <v>1.2</v>
          </cell>
          <cell r="H13859" t="str">
            <v>onshore wind</v>
          </cell>
        </row>
        <row r="13860">
          <cell r="C13860" t="str">
            <v>WT</v>
          </cell>
          <cell r="D13860">
            <v>0.6</v>
          </cell>
          <cell r="H13860" t="str">
            <v>onshore wind</v>
          </cell>
        </row>
        <row r="13861">
          <cell r="C13861" t="str">
            <v>WT</v>
          </cell>
          <cell r="D13861">
            <v>2</v>
          </cell>
          <cell r="H13861" t="str">
            <v>onshore wind</v>
          </cell>
        </row>
        <row r="13862">
          <cell r="C13862" t="str">
            <v>GT</v>
          </cell>
          <cell r="D13862">
            <v>9.8000000000000007</v>
          </cell>
          <cell r="H13862" t="str">
            <v>natural gas peaker</v>
          </cell>
        </row>
        <row r="13863">
          <cell r="C13863" t="str">
            <v>ST</v>
          </cell>
          <cell r="D13863">
            <v>218.4</v>
          </cell>
          <cell r="H13863" t="str">
            <v>hard coal</v>
          </cell>
        </row>
        <row r="13864">
          <cell r="C13864" t="str">
            <v>WT</v>
          </cell>
          <cell r="D13864">
            <v>3</v>
          </cell>
          <cell r="H13864" t="str">
            <v>onshore wind</v>
          </cell>
        </row>
        <row r="13865">
          <cell r="C13865" t="str">
            <v>WT</v>
          </cell>
          <cell r="D13865">
            <v>1.8</v>
          </cell>
          <cell r="H13865" t="str">
            <v>onshore wind</v>
          </cell>
        </row>
        <row r="13866">
          <cell r="C13866" t="str">
            <v>WT</v>
          </cell>
          <cell r="D13866">
            <v>1.8</v>
          </cell>
          <cell r="H13866" t="str">
            <v>onshore wind</v>
          </cell>
        </row>
        <row r="13867">
          <cell r="C13867" t="str">
            <v>WT</v>
          </cell>
          <cell r="D13867">
            <v>1.8</v>
          </cell>
          <cell r="H13867" t="str">
            <v>onshore wind</v>
          </cell>
        </row>
        <row r="13868">
          <cell r="C13868" t="str">
            <v>WT</v>
          </cell>
          <cell r="D13868">
            <v>1.8</v>
          </cell>
          <cell r="H13868" t="str">
            <v>onshore wind</v>
          </cell>
        </row>
        <row r="13869">
          <cell r="C13869" t="str">
            <v>CT</v>
          </cell>
          <cell r="D13869">
            <v>256.2</v>
          </cell>
          <cell r="H13869" t="str">
            <v>natural gas nonpeaker</v>
          </cell>
        </row>
        <row r="13870">
          <cell r="C13870" t="str">
            <v>CA</v>
          </cell>
          <cell r="D13870">
            <v>136</v>
          </cell>
          <cell r="H13870" t="str">
            <v>natural gas nonpeaker</v>
          </cell>
        </row>
        <row r="13871">
          <cell r="C13871" t="str">
            <v>PV</v>
          </cell>
          <cell r="D13871">
            <v>3</v>
          </cell>
          <cell r="H13871" t="str">
            <v>solar PV</v>
          </cell>
        </row>
        <row r="13872">
          <cell r="C13872" t="str">
            <v>CS</v>
          </cell>
          <cell r="D13872">
            <v>8.3000000000000007</v>
          </cell>
          <cell r="H13872" t="str">
            <v>natural gas nonpeaker</v>
          </cell>
        </row>
        <row r="13873">
          <cell r="C13873" t="str">
            <v>IC</v>
          </cell>
          <cell r="D13873">
            <v>0.7</v>
          </cell>
          <cell r="H13873" t="str">
            <v>petroleum</v>
          </cell>
        </row>
        <row r="13874">
          <cell r="C13874" t="str">
            <v>IC</v>
          </cell>
          <cell r="D13874">
            <v>0.7</v>
          </cell>
          <cell r="H13874" t="str">
            <v>petroleum</v>
          </cell>
        </row>
        <row r="13875">
          <cell r="C13875" t="str">
            <v>GT</v>
          </cell>
          <cell r="D13875">
            <v>47</v>
          </cell>
          <cell r="H13875" t="str">
            <v>natural gas peaker</v>
          </cell>
        </row>
        <row r="13876">
          <cell r="C13876" t="str">
            <v>GT</v>
          </cell>
          <cell r="D13876">
            <v>47</v>
          </cell>
          <cell r="H13876" t="str">
            <v>natural gas peaker</v>
          </cell>
        </row>
        <row r="13877">
          <cell r="C13877" t="str">
            <v>CT</v>
          </cell>
          <cell r="D13877">
            <v>42</v>
          </cell>
          <cell r="H13877" t="str">
            <v>natural gas nonpeaker</v>
          </cell>
        </row>
        <row r="13878">
          <cell r="C13878" t="str">
            <v>CT</v>
          </cell>
          <cell r="D13878">
            <v>42</v>
          </cell>
          <cell r="H13878" t="str">
            <v>natural gas nonpeaker</v>
          </cell>
        </row>
        <row r="13879">
          <cell r="C13879" t="str">
            <v>CA</v>
          </cell>
          <cell r="D13879">
            <v>16</v>
          </cell>
          <cell r="H13879" t="str">
            <v>natural gas nonpeaker</v>
          </cell>
        </row>
        <row r="13880">
          <cell r="C13880" t="str">
            <v>CT</v>
          </cell>
          <cell r="D13880">
            <v>179.9</v>
          </cell>
          <cell r="H13880" t="str">
            <v>natural gas nonpeaker</v>
          </cell>
        </row>
        <row r="13881">
          <cell r="C13881" t="str">
            <v>CA</v>
          </cell>
          <cell r="D13881">
            <v>137</v>
          </cell>
          <cell r="H13881" t="str">
            <v>natural gas nonpeaker</v>
          </cell>
        </row>
        <row r="13882">
          <cell r="C13882" t="str">
            <v>CT</v>
          </cell>
          <cell r="D13882">
            <v>169</v>
          </cell>
          <cell r="H13882" t="str">
            <v>natural gas nonpeaker</v>
          </cell>
        </row>
        <row r="13883">
          <cell r="C13883" t="str">
            <v>CT</v>
          </cell>
          <cell r="D13883">
            <v>169</v>
          </cell>
          <cell r="H13883" t="str">
            <v>natural gas nonpeaker</v>
          </cell>
        </row>
        <row r="13884">
          <cell r="C13884" t="str">
            <v>CT</v>
          </cell>
          <cell r="D13884">
            <v>178</v>
          </cell>
          <cell r="H13884" t="str">
            <v>natural gas nonpeaker</v>
          </cell>
        </row>
        <row r="13885">
          <cell r="C13885" t="str">
            <v>CT</v>
          </cell>
          <cell r="D13885">
            <v>178</v>
          </cell>
          <cell r="H13885" t="str">
            <v>natural gas nonpeaker</v>
          </cell>
        </row>
        <row r="13886">
          <cell r="C13886" t="str">
            <v>CA</v>
          </cell>
          <cell r="D13886">
            <v>209</v>
          </cell>
          <cell r="H13886" t="str">
            <v>natural gas nonpeaker</v>
          </cell>
        </row>
        <row r="13887">
          <cell r="C13887" t="str">
            <v>CA</v>
          </cell>
          <cell r="D13887">
            <v>273</v>
          </cell>
          <cell r="H13887" t="str">
            <v>natural gas nonpeaker</v>
          </cell>
        </row>
        <row r="13888">
          <cell r="C13888" t="str">
            <v>GT</v>
          </cell>
          <cell r="D13888">
            <v>85</v>
          </cell>
          <cell r="H13888" t="str">
            <v>natural gas peaker</v>
          </cell>
        </row>
        <row r="13889">
          <cell r="C13889" t="str">
            <v>GT</v>
          </cell>
          <cell r="D13889">
            <v>84</v>
          </cell>
          <cell r="H13889" t="str">
            <v>natural gas peaker</v>
          </cell>
        </row>
        <row r="13890">
          <cell r="C13890" t="str">
            <v>GT</v>
          </cell>
          <cell r="D13890">
            <v>48</v>
          </cell>
          <cell r="H13890" t="str">
            <v>natural gas peaker</v>
          </cell>
        </row>
        <row r="13891">
          <cell r="C13891" t="str">
            <v>GT</v>
          </cell>
          <cell r="D13891">
            <v>48</v>
          </cell>
          <cell r="H13891" t="str">
            <v>natural gas peaker</v>
          </cell>
        </row>
        <row r="13892">
          <cell r="C13892" t="str">
            <v>WT</v>
          </cell>
          <cell r="D13892">
            <v>120.6</v>
          </cell>
          <cell r="H13892" t="str">
            <v>onshore wind</v>
          </cell>
        </row>
        <row r="13893">
          <cell r="C13893" t="str">
            <v>GT</v>
          </cell>
          <cell r="D13893">
            <v>158</v>
          </cell>
          <cell r="H13893" t="str">
            <v>natural gas peaker</v>
          </cell>
        </row>
        <row r="13894">
          <cell r="C13894" t="str">
            <v>GT</v>
          </cell>
          <cell r="D13894">
            <v>158</v>
          </cell>
          <cell r="H13894" t="str">
            <v>natural gas peaker</v>
          </cell>
        </row>
        <row r="13895">
          <cell r="C13895" t="str">
            <v>IC</v>
          </cell>
          <cell r="D13895">
            <v>2</v>
          </cell>
          <cell r="H13895" t="str">
            <v>petroleum</v>
          </cell>
        </row>
        <row r="13896">
          <cell r="C13896" t="str">
            <v>IC</v>
          </cell>
          <cell r="D13896">
            <v>1.7</v>
          </cell>
          <cell r="H13896" t="str">
            <v>petroleum</v>
          </cell>
        </row>
        <row r="13897">
          <cell r="C13897" t="str">
            <v>IC</v>
          </cell>
          <cell r="D13897">
            <v>1</v>
          </cell>
          <cell r="H13897" t="str">
            <v>petroleum</v>
          </cell>
        </row>
        <row r="13898">
          <cell r="C13898" t="str">
            <v>IC</v>
          </cell>
          <cell r="D13898">
            <v>0.6</v>
          </cell>
          <cell r="H13898" t="str">
            <v>petroleum</v>
          </cell>
        </row>
        <row r="13899">
          <cell r="C13899" t="str">
            <v>IC</v>
          </cell>
          <cell r="D13899">
            <v>0.6</v>
          </cell>
          <cell r="H13899" t="str">
            <v>petroleum</v>
          </cell>
        </row>
        <row r="13900">
          <cell r="C13900" t="str">
            <v>IC</v>
          </cell>
          <cell r="D13900">
            <v>0.6</v>
          </cell>
          <cell r="H13900" t="str">
            <v>petroleum</v>
          </cell>
        </row>
        <row r="13901">
          <cell r="C13901" t="str">
            <v>IC</v>
          </cell>
          <cell r="D13901">
            <v>0.6</v>
          </cell>
          <cell r="H13901" t="str">
            <v>petroleum</v>
          </cell>
        </row>
        <row r="13902">
          <cell r="C13902" t="str">
            <v>GT</v>
          </cell>
          <cell r="D13902">
            <v>34.5</v>
          </cell>
          <cell r="H13902" t="str">
            <v>natural gas peaker</v>
          </cell>
        </row>
        <row r="13903">
          <cell r="C13903" t="str">
            <v>GT</v>
          </cell>
          <cell r="D13903">
            <v>34.5</v>
          </cell>
          <cell r="H13903" t="str">
            <v>natural gas peaker</v>
          </cell>
        </row>
        <row r="13904">
          <cell r="C13904" t="str">
            <v>GT</v>
          </cell>
          <cell r="D13904">
            <v>56.5</v>
          </cell>
          <cell r="H13904" t="str">
            <v>natural gas peaker</v>
          </cell>
        </row>
        <row r="13905">
          <cell r="C13905" t="str">
            <v>GT</v>
          </cell>
          <cell r="D13905">
            <v>56.5</v>
          </cell>
          <cell r="H13905" t="str">
            <v>natural gas peaker</v>
          </cell>
        </row>
        <row r="13906">
          <cell r="C13906" t="str">
            <v>GT</v>
          </cell>
          <cell r="D13906">
            <v>56.5</v>
          </cell>
          <cell r="H13906" t="str">
            <v>natural gas peaker</v>
          </cell>
        </row>
        <row r="13907">
          <cell r="C13907" t="str">
            <v>GT</v>
          </cell>
          <cell r="D13907">
            <v>56.5</v>
          </cell>
          <cell r="H13907" t="str">
            <v>natural gas peaker</v>
          </cell>
        </row>
        <row r="13908">
          <cell r="C13908" t="str">
            <v>GT</v>
          </cell>
          <cell r="D13908">
            <v>56.5</v>
          </cell>
          <cell r="H13908" t="str">
            <v>natural gas peaker</v>
          </cell>
        </row>
        <row r="13909">
          <cell r="C13909" t="str">
            <v>GT</v>
          </cell>
          <cell r="D13909">
            <v>56.5</v>
          </cell>
          <cell r="H13909" t="str">
            <v>natural gas peaker</v>
          </cell>
        </row>
        <row r="13910">
          <cell r="C13910" t="str">
            <v>IC</v>
          </cell>
          <cell r="D13910">
            <v>0.8</v>
          </cell>
          <cell r="H13910" t="str">
            <v>biomass</v>
          </cell>
        </row>
        <row r="13911">
          <cell r="C13911" t="str">
            <v>IC</v>
          </cell>
          <cell r="D13911">
            <v>1.6</v>
          </cell>
          <cell r="H13911" t="str">
            <v>biomass</v>
          </cell>
        </row>
        <row r="13912">
          <cell r="C13912" t="str">
            <v>IC</v>
          </cell>
          <cell r="D13912">
            <v>1.6</v>
          </cell>
          <cell r="H13912" t="str">
            <v>biomass</v>
          </cell>
        </row>
        <row r="13913">
          <cell r="C13913" t="str">
            <v>IC</v>
          </cell>
          <cell r="D13913">
            <v>0.8</v>
          </cell>
          <cell r="H13913" t="str">
            <v>biomass</v>
          </cell>
        </row>
        <row r="13914">
          <cell r="C13914" t="str">
            <v>IC</v>
          </cell>
          <cell r="D13914">
            <v>0.8</v>
          </cell>
          <cell r="H13914" t="str">
            <v>biomass</v>
          </cell>
        </row>
        <row r="13915">
          <cell r="C13915" t="str">
            <v>IC</v>
          </cell>
          <cell r="D13915">
            <v>0.8</v>
          </cell>
          <cell r="H13915" t="str">
            <v>biomass</v>
          </cell>
        </row>
        <row r="13916">
          <cell r="C13916" t="str">
            <v>IC</v>
          </cell>
          <cell r="D13916">
            <v>0.8</v>
          </cell>
          <cell r="H13916" t="str">
            <v>biomass</v>
          </cell>
        </row>
        <row r="13917">
          <cell r="C13917" t="str">
            <v>IC</v>
          </cell>
          <cell r="D13917">
            <v>0.8</v>
          </cell>
          <cell r="H13917" t="str">
            <v>biomass</v>
          </cell>
        </row>
        <row r="13918">
          <cell r="C13918" t="str">
            <v>IC</v>
          </cell>
          <cell r="D13918">
            <v>0.8</v>
          </cell>
          <cell r="H13918" t="str">
            <v>biomass</v>
          </cell>
        </row>
        <row r="13919">
          <cell r="C13919" t="str">
            <v>IC</v>
          </cell>
          <cell r="D13919">
            <v>0.8</v>
          </cell>
          <cell r="H13919" t="str">
            <v>biomass</v>
          </cell>
        </row>
        <row r="13920">
          <cell r="C13920" t="str">
            <v>IC</v>
          </cell>
          <cell r="D13920">
            <v>1.6</v>
          </cell>
          <cell r="H13920" t="str">
            <v>biomass</v>
          </cell>
        </row>
        <row r="13921">
          <cell r="C13921" t="str">
            <v>WT</v>
          </cell>
          <cell r="D13921">
            <v>160.5</v>
          </cell>
          <cell r="H13921" t="str">
            <v>onshore wind</v>
          </cell>
        </row>
        <row r="13922">
          <cell r="C13922" t="str">
            <v>WT</v>
          </cell>
          <cell r="D13922">
            <v>15</v>
          </cell>
          <cell r="H13922" t="str">
            <v>onshore wind</v>
          </cell>
        </row>
        <row r="13923">
          <cell r="C13923" t="str">
            <v>WT</v>
          </cell>
          <cell r="D13923">
            <v>150</v>
          </cell>
          <cell r="H13923" t="str">
            <v>onshore wind</v>
          </cell>
        </row>
        <row r="13924">
          <cell r="C13924" t="str">
            <v>WT</v>
          </cell>
          <cell r="D13924">
            <v>35</v>
          </cell>
          <cell r="H13924" t="str">
            <v>onshore wind</v>
          </cell>
        </row>
        <row r="13925">
          <cell r="C13925" t="str">
            <v>WT</v>
          </cell>
          <cell r="D13925">
            <v>16.2</v>
          </cell>
          <cell r="H13925" t="str">
            <v>onshore wind</v>
          </cell>
        </row>
        <row r="13926">
          <cell r="C13926" t="str">
            <v>GT</v>
          </cell>
          <cell r="D13926">
            <v>36.799999999999997</v>
          </cell>
          <cell r="H13926" t="str">
            <v>natural gas peaker</v>
          </cell>
        </row>
        <row r="13927">
          <cell r="C13927" t="str">
            <v>GT</v>
          </cell>
          <cell r="D13927">
            <v>36.799999999999997</v>
          </cell>
          <cell r="H13927" t="str">
            <v>natural gas peaker</v>
          </cell>
        </row>
        <row r="13928">
          <cell r="C13928" t="str">
            <v>WT</v>
          </cell>
          <cell r="D13928">
            <v>149.4</v>
          </cell>
          <cell r="H13928" t="str">
            <v>onshore wind</v>
          </cell>
        </row>
        <row r="13929">
          <cell r="C13929" t="str">
            <v>WT</v>
          </cell>
          <cell r="D13929">
            <v>7.2</v>
          </cell>
          <cell r="H13929" t="str">
            <v>onshore wind</v>
          </cell>
        </row>
        <row r="13930">
          <cell r="C13930" t="str">
            <v>GT</v>
          </cell>
          <cell r="D13930">
            <v>26.6</v>
          </cell>
          <cell r="H13930" t="str">
            <v>other</v>
          </cell>
        </row>
        <row r="13931">
          <cell r="C13931" t="str">
            <v>CT</v>
          </cell>
          <cell r="D13931">
            <v>155</v>
          </cell>
          <cell r="H13931" t="str">
            <v>natural gas nonpeaker</v>
          </cell>
        </row>
        <row r="13932">
          <cell r="C13932" t="str">
            <v>CT</v>
          </cell>
          <cell r="D13932">
            <v>155</v>
          </cell>
          <cell r="H13932" t="str">
            <v>natural gas nonpeaker</v>
          </cell>
        </row>
        <row r="13933">
          <cell r="C13933" t="str">
            <v>CA</v>
          </cell>
          <cell r="D13933">
            <v>270</v>
          </cell>
          <cell r="H13933" t="str">
            <v>natural gas nonpeaker</v>
          </cell>
        </row>
        <row r="13934">
          <cell r="C13934" t="str">
            <v>IC</v>
          </cell>
          <cell r="D13934">
            <v>1.8</v>
          </cell>
          <cell r="H13934" t="str">
            <v>petroleum</v>
          </cell>
        </row>
        <row r="13935">
          <cell r="C13935" t="str">
            <v>IC</v>
          </cell>
          <cell r="D13935">
            <v>1.8</v>
          </cell>
          <cell r="H13935" t="str">
            <v>petroleum</v>
          </cell>
        </row>
        <row r="13936">
          <cell r="C13936" t="str">
            <v>IC</v>
          </cell>
          <cell r="D13936">
            <v>1.8</v>
          </cell>
          <cell r="H13936" t="str">
            <v>petroleum</v>
          </cell>
        </row>
        <row r="13937">
          <cell r="C13937" t="str">
            <v>IC</v>
          </cell>
          <cell r="D13937">
            <v>1.8</v>
          </cell>
          <cell r="H13937" t="str">
            <v>petroleum</v>
          </cell>
        </row>
        <row r="13938">
          <cell r="C13938" t="str">
            <v>IC</v>
          </cell>
          <cell r="D13938">
            <v>1.8</v>
          </cell>
          <cell r="H13938" t="str">
            <v>petroleum</v>
          </cell>
        </row>
        <row r="13939">
          <cell r="C13939" t="str">
            <v>IC</v>
          </cell>
          <cell r="D13939">
            <v>1.8</v>
          </cell>
          <cell r="H13939" t="str">
            <v>petroleum</v>
          </cell>
        </row>
        <row r="13940">
          <cell r="C13940" t="str">
            <v>IC</v>
          </cell>
          <cell r="D13940">
            <v>1.8</v>
          </cell>
          <cell r="H13940" t="str">
            <v>petroleum</v>
          </cell>
        </row>
        <row r="13941">
          <cell r="C13941" t="str">
            <v>IC</v>
          </cell>
          <cell r="D13941">
            <v>1.8</v>
          </cell>
          <cell r="H13941" t="str">
            <v>petroleum</v>
          </cell>
        </row>
        <row r="13942">
          <cell r="C13942" t="str">
            <v>IC</v>
          </cell>
          <cell r="D13942">
            <v>1.8</v>
          </cell>
          <cell r="H13942" t="str">
            <v>petroleum</v>
          </cell>
        </row>
        <row r="13943">
          <cell r="C13943" t="str">
            <v>HY</v>
          </cell>
          <cell r="D13943">
            <v>1.9</v>
          </cell>
          <cell r="H13943" t="str">
            <v>hydro</v>
          </cell>
        </row>
        <row r="13944">
          <cell r="C13944" t="str">
            <v>IC</v>
          </cell>
          <cell r="D13944">
            <v>1.1000000000000001</v>
          </cell>
          <cell r="H13944" t="str">
            <v>petroleum</v>
          </cell>
        </row>
        <row r="13945">
          <cell r="C13945" t="str">
            <v>IC</v>
          </cell>
          <cell r="D13945">
            <v>1.8</v>
          </cell>
          <cell r="H13945" t="str">
            <v>petroleum</v>
          </cell>
        </row>
        <row r="13946">
          <cell r="C13946" t="str">
            <v>IC</v>
          </cell>
          <cell r="D13946">
            <v>1.8</v>
          </cell>
          <cell r="H13946" t="str">
            <v>petroleum</v>
          </cell>
        </row>
        <row r="13947">
          <cell r="C13947" t="str">
            <v>WT</v>
          </cell>
          <cell r="D13947">
            <v>114</v>
          </cell>
          <cell r="H13947" t="str">
            <v>onshore wind</v>
          </cell>
        </row>
        <row r="13948">
          <cell r="C13948" t="str">
            <v>WT</v>
          </cell>
          <cell r="D13948">
            <v>18</v>
          </cell>
          <cell r="H13948" t="str">
            <v>onshore wind</v>
          </cell>
        </row>
        <row r="13949">
          <cell r="C13949" t="str">
            <v>WT</v>
          </cell>
          <cell r="D13949">
            <v>106.5</v>
          </cell>
          <cell r="H13949" t="str">
            <v>onshore wind</v>
          </cell>
        </row>
        <row r="13950">
          <cell r="C13950" t="str">
            <v>WT</v>
          </cell>
          <cell r="D13950">
            <v>40.5</v>
          </cell>
          <cell r="H13950" t="str">
            <v>onshore wind</v>
          </cell>
        </row>
        <row r="13951">
          <cell r="C13951" t="str">
            <v>IC</v>
          </cell>
          <cell r="D13951">
            <v>0.5</v>
          </cell>
          <cell r="H13951" t="str">
            <v>petroleum</v>
          </cell>
        </row>
        <row r="13952">
          <cell r="C13952" t="str">
            <v>IC</v>
          </cell>
          <cell r="D13952">
            <v>0.5</v>
          </cell>
          <cell r="H13952" t="str">
            <v>petroleum</v>
          </cell>
        </row>
        <row r="13953">
          <cell r="C13953" t="str">
            <v>IC</v>
          </cell>
          <cell r="D13953">
            <v>0.5</v>
          </cell>
          <cell r="H13953" t="str">
            <v>petroleum</v>
          </cell>
        </row>
        <row r="13954">
          <cell r="C13954" t="str">
            <v>WT</v>
          </cell>
          <cell r="D13954">
            <v>2.4</v>
          </cell>
          <cell r="H13954" t="str">
            <v>onshore wind</v>
          </cell>
        </row>
        <row r="13955">
          <cell r="C13955" t="str">
            <v>WT</v>
          </cell>
          <cell r="D13955">
            <v>1.6</v>
          </cell>
          <cell r="H13955" t="str">
            <v>onshore wind</v>
          </cell>
        </row>
        <row r="13956">
          <cell r="C13956" t="str">
            <v>IC</v>
          </cell>
          <cell r="D13956">
            <v>0.8</v>
          </cell>
          <cell r="H13956" t="str">
            <v>biomass</v>
          </cell>
        </row>
        <row r="13957">
          <cell r="C13957" t="str">
            <v>IC</v>
          </cell>
          <cell r="D13957">
            <v>0.8</v>
          </cell>
          <cell r="H13957" t="str">
            <v>biomass</v>
          </cell>
        </row>
        <row r="13958">
          <cell r="C13958" t="str">
            <v>IC</v>
          </cell>
          <cell r="D13958">
            <v>0.8</v>
          </cell>
          <cell r="H13958" t="str">
            <v>biomass</v>
          </cell>
        </row>
        <row r="13959">
          <cell r="C13959" t="str">
            <v>IC</v>
          </cell>
          <cell r="D13959">
            <v>0.8</v>
          </cell>
          <cell r="H13959" t="str">
            <v>biomass</v>
          </cell>
        </row>
        <row r="13960">
          <cell r="C13960" t="str">
            <v>IC</v>
          </cell>
          <cell r="D13960">
            <v>1.5</v>
          </cell>
          <cell r="H13960" t="str">
            <v>biomass</v>
          </cell>
        </row>
        <row r="13961">
          <cell r="C13961" t="str">
            <v>IC</v>
          </cell>
          <cell r="D13961">
            <v>0.8</v>
          </cell>
          <cell r="H13961" t="str">
            <v>biomass</v>
          </cell>
        </row>
        <row r="13962">
          <cell r="C13962" t="str">
            <v>IC</v>
          </cell>
          <cell r="D13962">
            <v>0.8</v>
          </cell>
          <cell r="H13962" t="str">
            <v>biomass</v>
          </cell>
        </row>
        <row r="13963">
          <cell r="C13963" t="str">
            <v>IC</v>
          </cell>
          <cell r="D13963">
            <v>0.8</v>
          </cell>
          <cell r="H13963" t="str">
            <v>biomass</v>
          </cell>
        </row>
        <row r="13964">
          <cell r="C13964" t="str">
            <v>IC</v>
          </cell>
          <cell r="D13964">
            <v>0.8</v>
          </cell>
          <cell r="H13964" t="str">
            <v>biomass</v>
          </cell>
        </row>
        <row r="13965">
          <cell r="C13965" t="str">
            <v>IC</v>
          </cell>
          <cell r="D13965">
            <v>0.8</v>
          </cell>
          <cell r="H13965" t="str">
            <v>biomass</v>
          </cell>
        </row>
        <row r="13966">
          <cell r="C13966" t="str">
            <v>IC</v>
          </cell>
          <cell r="D13966">
            <v>0.8</v>
          </cell>
          <cell r="H13966" t="str">
            <v>biomass</v>
          </cell>
        </row>
        <row r="13967">
          <cell r="C13967" t="str">
            <v>IC</v>
          </cell>
          <cell r="D13967">
            <v>0.8</v>
          </cell>
          <cell r="H13967" t="str">
            <v>biomass</v>
          </cell>
        </row>
        <row r="13968">
          <cell r="C13968" t="str">
            <v>IC</v>
          </cell>
          <cell r="D13968">
            <v>0.8</v>
          </cell>
          <cell r="H13968" t="str">
            <v>biomass</v>
          </cell>
        </row>
        <row r="13969">
          <cell r="C13969" t="str">
            <v>IC</v>
          </cell>
          <cell r="D13969">
            <v>0.8</v>
          </cell>
          <cell r="H13969" t="str">
            <v>biomass</v>
          </cell>
        </row>
        <row r="13970">
          <cell r="C13970" t="str">
            <v>IC</v>
          </cell>
          <cell r="D13970">
            <v>0.8</v>
          </cell>
          <cell r="H13970" t="str">
            <v>biomass</v>
          </cell>
        </row>
        <row r="13971">
          <cell r="C13971" t="str">
            <v>IC</v>
          </cell>
          <cell r="D13971">
            <v>0.8</v>
          </cell>
          <cell r="H13971" t="str">
            <v>biomass</v>
          </cell>
        </row>
        <row r="13972">
          <cell r="C13972" t="str">
            <v>GT</v>
          </cell>
          <cell r="D13972">
            <v>48.1</v>
          </cell>
          <cell r="H13972" t="str">
            <v>natural gas peaker</v>
          </cell>
        </row>
        <row r="13973">
          <cell r="C13973" t="str">
            <v>GT</v>
          </cell>
          <cell r="D13973">
            <v>47.1</v>
          </cell>
          <cell r="H13973" t="str">
            <v>natural gas peaker</v>
          </cell>
        </row>
        <row r="13974">
          <cell r="C13974" t="str">
            <v>ST</v>
          </cell>
          <cell r="D13974">
            <v>5.3</v>
          </cell>
          <cell r="H13974" t="str">
            <v>other</v>
          </cell>
        </row>
        <row r="13975">
          <cell r="C13975" t="str">
            <v>IC</v>
          </cell>
          <cell r="D13975">
            <v>2</v>
          </cell>
          <cell r="H13975" t="str">
            <v>petroleum</v>
          </cell>
        </row>
        <row r="13976">
          <cell r="C13976" t="str">
            <v>IC</v>
          </cell>
          <cell r="D13976">
            <v>2</v>
          </cell>
          <cell r="H13976" t="str">
            <v>petroleum</v>
          </cell>
        </row>
        <row r="13977">
          <cell r="C13977" t="str">
            <v>WT</v>
          </cell>
          <cell r="D13977">
            <v>137</v>
          </cell>
          <cell r="H13977" t="str">
            <v>onshore wind</v>
          </cell>
        </row>
        <row r="13978">
          <cell r="C13978" t="str">
            <v>WT</v>
          </cell>
          <cell r="D13978">
            <v>61</v>
          </cell>
          <cell r="H13978" t="str">
            <v>onshore wind</v>
          </cell>
        </row>
        <row r="13979">
          <cell r="C13979" t="str">
            <v>WT</v>
          </cell>
          <cell r="D13979">
            <v>33</v>
          </cell>
          <cell r="H13979" t="str">
            <v>onshore wind</v>
          </cell>
        </row>
        <row r="13980">
          <cell r="C13980" t="str">
            <v>WT</v>
          </cell>
          <cell r="D13980">
            <v>91</v>
          </cell>
          <cell r="H13980" t="str">
            <v>onshore wind</v>
          </cell>
        </row>
        <row r="13981">
          <cell r="C13981" t="str">
            <v>WT</v>
          </cell>
          <cell r="D13981">
            <v>213</v>
          </cell>
          <cell r="H13981" t="str">
            <v>onshore wind</v>
          </cell>
        </row>
        <row r="13982">
          <cell r="C13982" t="str">
            <v>WT</v>
          </cell>
          <cell r="D13982">
            <v>223.5</v>
          </cell>
          <cell r="H13982" t="str">
            <v>onshore wind</v>
          </cell>
        </row>
        <row r="13983">
          <cell r="C13983" t="str">
            <v>WT</v>
          </cell>
          <cell r="D13983">
            <v>299</v>
          </cell>
          <cell r="H13983" t="str">
            <v>onshore wind</v>
          </cell>
        </row>
        <row r="13984">
          <cell r="C13984" t="str">
            <v>GT</v>
          </cell>
          <cell r="D13984">
            <v>56.5</v>
          </cell>
          <cell r="H13984" t="str">
            <v>natural gas peaker</v>
          </cell>
        </row>
        <row r="13985">
          <cell r="C13985" t="str">
            <v>GT</v>
          </cell>
          <cell r="D13985">
            <v>56.5</v>
          </cell>
          <cell r="H13985" t="str">
            <v>natural gas peaker</v>
          </cell>
        </row>
        <row r="13986">
          <cell r="C13986" t="str">
            <v>GT</v>
          </cell>
          <cell r="D13986">
            <v>56.5</v>
          </cell>
          <cell r="H13986" t="str">
            <v>natural gas peaker</v>
          </cell>
        </row>
        <row r="13987">
          <cell r="C13987" t="str">
            <v>GT</v>
          </cell>
          <cell r="D13987">
            <v>56.5</v>
          </cell>
          <cell r="H13987" t="str">
            <v>natural gas peaker</v>
          </cell>
        </row>
        <row r="13988">
          <cell r="C13988" t="str">
            <v>GT</v>
          </cell>
          <cell r="D13988">
            <v>56.5</v>
          </cell>
          <cell r="H13988" t="str">
            <v>natural gas peaker</v>
          </cell>
        </row>
        <row r="13989">
          <cell r="C13989" t="str">
            <v>GT</v>
          </cell>
          <cell r="D13989">
            <v>56.5</v>
          </cell>
          <cell r="H13989" t="str">
            <v>natural gas peaker</v>
          </cell>
        </row>
        <row r="13990">
          <cell r="C13990" t="str">
            <v>WT</v>
          </cell>
          <cell r="D13990">
            <v>60</v>
          </cell>
          <cell r="H13990" t="str">
            <v>onshore wind</v>
          </cell>
        </row>
        <row r="13991">
          <cell r="C13991" t="str">
            <v>WT</v>
          </cell>
          <cell r="D13991">
            <v>20</v>
          </cell>
          <cell r="H13991" t="str">
            <v>onshore wind</v>
          </cell>
        </row>
        <row r="13992">
          <cell r="C13992" t="str">
            <v>OT</v>
          </cell>
          <cell r="D13992">
            <v>11.2</v>
          </cell>
          <cell r="H13992" t="str">
            <v>other</v>
          </cell>
        </row>
        <row r="13993">
          <cell r="C13993" t="str">
            <v>WT</v>
          </cell>
          <cell r="D13993">
            <v>50</v>
          </cell>
          <cell r="H13993" t="str">
            <v>onshore wind</v>
          </cell>
        </row>
        <row r="13994">
          <cell r="C13994" t="str">
            <v>WT</v>
          </cell>
          <cell r="D13994">
            <v>100.5</v>
          </cell>
          <cell r="H13994" t="str">
            <v>onshore wind</v>
          </cell>
        </row>
        <row r="13995">
          <cell r="C13995" t="str">
            <v>WT</v>
          </cell>
          <cell r="D13995">
            <v>53</v>
          </cell>
          <cell r="H13995" t="str">
            <v>onshore wind</v>
          </cell>
        </row>
        <row r="13996">
          <cell r="C13996" t="str">
            <v>CT</v>
          </cell>
          <cell r="D13996">
            <v>38</v>
          </cell>
          <cell r="H13996" t="str">
            <v>natural gas nonpeaker</v>
          </cell>
        </row>
        <row r="13997">
          <cell r="C13997" t="str">
            <v>CT</v>
          </cell>
          <cell r="D13997">
            <v>38</v>
          </cell>
          <cell r="H13997" t="str">
            <v>natural gas nonpeaker</v>
          </cell>
        </row>
        <row r="13998">
          <cell r="C13998" t="str">
            <v>CA</v>
          </cell>
          <cell r="D13998">
            <v>75</v>
          </cell>
          <cell r="H13998" t="str">
            <v>natural gas nonpeaker</v>
          </cell>
        </row>
        <row r="13999">
          <cell r="C13999" t="str">
            <v>WT</v>
          </cell>
          <cell r="D13999">
            <v>24</v>
          </cell>
          <cell r="H13999" t="str">
            <v>onshore wind</v>
          </cell>
        </row>
        <row r="14000">
          <cell r="C14000" t="str">
            <v>WT</v>
          </cell>
          <cell r="D14000">
            <v>7.5</v>
          </cell>
          <cell r="H14000" t="str">
            <v>onshore wind</v>
          </cell>
        </row>
        <row r="14001">
          <cell r="C14001" t="str">
            <v>WT</v>
          </cell>
          <cell r="D14001">
            <v>64.5</v>
          </cell>
          <cell r="H14001" t="str">
            <v>onshore wind</v>
          </cell>
        </row>
        <row r="14002">
          <cell r="C14002" t="str">
            <v>WT</v>
          </cell>
          <cell r="D14002">
            <v>59</v>
          </cell>
          <cell r="H14002" t="str">
            <v>onshore wind</v>
          </cell>
        </row>
        <row r="14003">
          <cell r="C14003" t="str">
            <v>WT</v>
          </cell>
          <cell r="D14003">
            <v>150</v>
          </cell>
          <cell r="H14003" t="str">
            <v>onshore wind</v>
          </cell>
        </row>
        <row r="14004">
          <cell r="C14004" t="str">
            <v>WT</v>
          </cell>
          <cell r="D14004">
            <v>120</v>
          </cell>
          <cell r="H14004" t="str">
            <v>onshore wind</v>
          </cell>
        </row>
        <row r="14005">
          <cell r="C14005" t="str">
            <v>WT</v>
          </cell>
          <cell r="D14005">
            <v>13.5</v>
          </cell>
          <cell r="H14005" t="str">
            <v>onshore wind</v>
          </cell>
        </row>
        <row r="14006">
          <cell r="C14006" t="str">
            <v>WT</v>
          </cell>
          <cell r="D14006">
            <v>9.8000000000000007</v>
          </cell>
          <cell r="H14006" t="str">
            <v>onshore wind</v>
          </cell>
        </row>
        <row r="14007">
          <cell r="C14007" t="str">
            <v>WT</v>
          </cell>
          <cell r="D14007">
            <v>10.5</v>
          </cell>
          <cell r="H14007" t="str">
            <v>onshore wind</v>
          </cell>
        </row>
        <row r="14008">
          <cell r="C14008" t="str">
            <v>CS</v>
          </cell>
          <cell r="D14008">
            <v>5</v>
          </cell>
          <cell r="H14008" t="str">
            <v>natural gas nonpeaker</v>
          </cell>
        </row>
        <row r="14009">
          <cell r="C14009" t="str">
            <v>CS</v>
          </cell>
          <cell r="D14009">
            <v>5</v>
          </cell>
          <cell r="H14009" t="str">
            <v>natural gas nonpeaker</v>
          </cell>
        </row>
        <row r="14010">
          <cell r="C14010" t="str">
            <v>IC</v>
          </cell>
          <cell r="D14010">
            <v>1</v>
          </cell>
          <cell r="H14010" t="str">
            <v>petroleum</v>
          </cell>
        </row>
        <row r="14011">
          <cell r="C14011" t="str">
            <v>CA</v>
          </cell>
          <cell r="D14011">
            <v>18</v>
          </cell>
          <cell r="H14011" t="str">
            <v>natural gas nonpeaker</v>
          </cell>
        </row>
        <row r="14012">
          <cell r="C14012" t="str">
            <v>ST</v>
          </cell>
          <cell r="D14012">
            <v>1.5</v>
          </cell>
          <cell r="H14012" t="str">
            <v>natural gas peaker</v>
          </cell>
        </row>
        <row r="14013">
          <cell r="C14013" t="str">
            <v>ST</v>
          </cell>
          <cell r="D14013">
            <v>1.5</v>
          </cell>
          <cell r="H14013" t="str">
            <v>natural gas peaker</v>
          </cell>
        </row>
        <row r="14014">
          <cell r="C14014" t="str">
            <v>WT</v>
          </cell>
          <cell r="D14014">
            <v>135</v>
          </cell>
          <cell r="H14014" t="str">
            <v>onshore wind</v>
          </cell>
        </row>
        <row r="14015">
          <cell r="C14015" t="str">
            <v>GT</v>
          </cell>
          <cell r="D14015">
            <v>32.9</v>
          </cell>
          <cell r="H14015" t="str">
            <v>other</v>
          </cell>
        </row>
        <row r="14016">
          <cell r="C14016" t="str">
            <v>GT</v>
          </cell>
          <cell r="D14016">
            <v>32.9</v>
          </cell>
          <cell r="H14016" t="str">
            <v>other</v>
          </cell>
        </row>
        <row r="14017">
          <cell r="C14017" t="str">
            <v>GT</v>
          </cell>
          <cell r="D14017">
            <v>32.9</v>
          </cell>
          <cell r="H14017" t="str">
            <v>other</v>
          </cell>
        </row>
        <row r="14018">
          <cell r="C14018" t="str">
            <v>HY</v>
          </cell>
          <cell r="D14018">
            <v>0.5</v>
          </cell>
          <cell r="H14018" t="str">
            <v>hydro</v>
          </cell>
        </row>
        <row r="14019">
          <cell r="C14019" t="str">
            <v>HY</v>
          </cell>
          <cell r="D14019">
            <v>0.5</v>
          </cell>
          <cell r="H14019" t="str">
            <v>hydro</v>
          </cell>
        </row>
        <row r="14020">
          <cell r="C14020" t="str">
            <v>HY</v>
          </cell>
          <cell r="D14020">
            <v>0.5</v>
          </cell>
          <cell r="H14020" t="str">
            <v>hydro</v>
          </cell>
        </row>
        <row r="14021">
          <cell r="C14021" t="str">
            <v>HY</v>
          </cell>
          <cell r="D14021">
            <v>0.2</v>
          </cell>
          <cell r="H14021" t="str">
            <v>hydro</v>
          </cell>
        </row>
        <row r="14022">
          <cell r="C14022" t="str">
            <v>HY</v>
          </cell>
          <cell r="D14022">
            <v>0.2</v>
          </cell>
          <cell r="H14022" t="str">
            <v>hydro</v>
          </cell>
        </row>
        <row r="14023">
          <cell r="C14023" t="str">
            <v>HY</v>
          </cell>
          <cell r="D14023">
            <v>0.2</v>
          </cell>
          <cell r="H14023" t="str">
            <v>hydro</v>
          </cell>
        </row>
        <row r="14024">
          <cell r="C14024" t="str">
            <v>BT</v>
          </cell>
          <cell r="D14024">
            <v>10</v>
          </cell>
          <cell r="H14024" t="str">
            <v>geothermal</v>
          </cell>
        </row>
        <row r="14025">
          <cell r="C14025" t="str">
            <v>ST</v>
          </cell>
          <cell r="D14025">
            <v>90</v>
          </cell>
          <cell r="H14025" t="str">
            <v>hard coal</v>
          </cell>
        </row>
        <row r="14026">
          <cell r="C14026" t="str">
            <v>WT</v>
          </cell>
          <cell r="D14026">
            <v>60</v>
          </cell>
          <cell r="H14026" t="str">
            <v>onshore wind</v>
          </cell>
        </row>
        <row r="14027">
          <cell r="C14027" t="str">
            <v>BT</v>
          </cell>
          <cell r="D14027">
            <v>10</v>
          </cell>
          <cell r="H14027" t="str">
            <v>geothermal</v>
          </cell>
        </row>
        <row r="14028">
          <cell r="C14028" t="str">
            <v>BT</v>
          </cell>
          <cell r="D14028">
            <v>10</v>
          </cell>
          <cell r="H14028" t="str">
            <v>geothermal</v>
          </cell>
        </row>
        <row r="14029">
          <cell r="C14029" t="str">
            <v>WT</v>
          </cell>
          <cell r="D14029">
            <v>228.6</v>
          </cell>
          <cell r="H14029" t="str">
            <v>onshore wind</v>
          </cell>
        </row>
        <row r="14030">
          <cell r="C14030" t="str">
            <v>WT</v>
          </cell>
          <cell r="D14030">
            <v>44</v>
          </cell>
          <cell r="H14030" t="str">
            <v>onshore wind</v>
          </cell>
        </row>
        <row r="14031">
          <cell r="C14031" t="str">
            <v>PV</v>
          </cell>
          <cell r="D14031">
            <v>0.5</v>
          </cell>
          <cell r="H14031" t="str">
            <v>solar PV</v>
          </cell>
        </row>
        <row r="14032">
          <cell r="C14032" t="str">
            <v>IC</v>
          </cell>
          <cell r="D14032">
            <v>1.6</v>
          </cell>
          <cell r="H14032" t="str">
            <v>biomass</v>
          </cell>
        </row>
        <row r="14033">
          <cell r="C14033" t="str">
            <v>IC</v>
          </cell>
          <cell r="D14033">
            <v>1.6</v>
          </cell>
          <cell r="H14033" t="str">
            <v>biomass</v>
          </cell>
        </row>
        <row r="14034">
          <cell r="C14034" t="str">
            <v>IC</v>
          </cell>
          <cell r="D14034">
            <v>1.6</v>
          </cell>
          <cell r="H14034" t="str">
            <v>biomass</v>
          </cell>
        </row>
        <row r="14035">
          <cell r="C14035" t="str">
            <v>IC</v>
          </cell>
          <cell r="D14035">
            <v>1.6</v>
          </cell>
          <cell r="H14035" t="str">
            <v>biomass</v>
          </cell>
        </row>
        <row r="14036">
          <cell r="C14036" t="str">
            <v>IC</v>
          </cell>
          <cell r="D14036">
            <v>1.6</v>
          </cell>
          <cell r="H14036" t="str">
            <v>biomass</v>
          </cell>
        </row>
        <row r="14037">
          <cell r="C14037" t="str">
            <v>IC</v>
          </cell>
          <cell r="D14037">
            <v>1.6</v>
          </cell>
          <cell r="H14037" t="str">
            <v>biomass</v>
          </cell>
        </row>
        <row r="14038">
          <cell r="C14038" t="str">
            <v>IC</v>
          </cell>
          <cell r="D14038">
            <v>1.6</v>
          </cell>
          <cell r="H14038" t="str">
            <v>biomass</v>
          </cell>
        </row>
        <row r="14039">
          <cell r="C14039" t="str">
            <v>IC</v>
          </cell>
          <cell r="D14039">
            <v>1.6</v>
          </cell>
          <cell r="H14039" t="str">
            <v>biomass</v>
          </cell>
        </row>
        <row r="14040">
          <cell r="C14040" t="str">
            <v>GT</v>
          </cell>
          <cell r="D14040">
            <v>23.1</v>
          </cell>
          <cell r="H14040" t="str">
            <v>petroleum</v>
          </cell>
        </row>
        <row r="14041">
          <cell r="C14041" t="str">
            <v>GT</v>
          </cell>
          <cell r="D14041">
            <v>152.30000000000001</v>
          </cell>
          <cell r="H14041" t="str">
            <v>natural gas peaker</v>
          </cell>
        </row>
        <row r="14042">
          <cell r="C14042" t="str">
            <v>GT</v>
          </cell>
          <cell r="D14042">
            <v>147.4</v>
          </cell>
          <cell r="H14042" t="str">
            <v>natural gas peaker</v>
          </cell>
        </row>
        <row r="14043">
          <cell r="C14043" t="str">
            <v>GT</v>
          </cell>
          <cell r="D14043">
            <v>155.6</v>
          </cell>
          <cell r="H14043" t="str">
            <v>natural gas peaker</v>
          </cell>
        </row>
        <row r="14044">
          <cell r="C14044" t="str">
            <v>IC</v>
          </cell>
          <cell r="D14044">
            <v>0.8</v>
          </cell>
          <cell r="H14044" t="str">
            <v>biomass</v>
          </cell>
        </row>
        <row r="14045">
          <cell r="C14045" t="str">
            <v>IC</v>
          </cell>
          <cell r="D14045">
            <v>0.8</v>
          </cell>
          <cell r="H14045" t="str">
            <v>biomass</v>
          </cell>
        </row>
        <row r="14046">
          <cell r="C14046" t="str">
            <v>IC</v>
          </cell>
          <cell r="D14046">
            <v>0.8</v>
          </cell>
          <cell r="H14046" t="str">
            <v>biomass</v>
          </cell>
        </row>
        <row r="14047">
          <cell r="C14047" t="str">
            <v>IC</v>
          </cell>
          <cell r="D14047">
            <v>0.8</v>
          </cell>
          <cell r="H14047" t="str">
            <v>biomass</v>
          </cell>
        </row>
        <row r="14048">
          <cell r="C14048" t="str">
            <v>GT</v>
          </cell>
          <cell r="D14048">
            <v>75</v>
          </cell>
          <cell r="H14048" t="str">
            <v>natural gas peaker</v>
          </cell>
        </row>
        <row r="14049">
          <cell r="C14049" t="str">
            <v>GT</v>
          </cell>
          <cell r="D14049">
            <v>75</v>
          </cell>
          <cell r="H14049" t="str">
            <v>natural gas peaker</v>
          </cell>
        </row>
        <row r="14050">
          <cell r="C14050" t="str">
            <v>GT</v>
          </cell>
          <cell r="D14050">
            <v>72</v>
          </cell>
          <cell r="H14050" t="str">
            <v>natural gas peaker</v>
          </cell>
        </row>
        <row r="14051">
          <cell r="C14051" t="str">
            <v>GT</v>
          </cell>
          <cell r="D14051">
            <v>72</v>
          </cell>
          <cell r="H14051" t="str">
            <v>natural gas peaker</v>
          </cell>
        </row>
        <row r="14052">
          <cell r="C14052" t="str">
            <v>GT</v>
          </cell>
          <cell r="D14052">
            <v>113</v>
          </cell>
          <cell r="H14052" t="str">
            <v>petroleum</v>
          </cell>
        </row>
        <row r="14053">
          <cell r="C14053" t="str">
            <v>HY</v>
          </cell>
          <cell r="D14053">
            <v>40</v>
          </cell>
          <cell r="H14053" t="str">
            <v>hydro</v>
          </cell>
        </row>
        <row r="14054">
          <cell r="C14054" t="str">
            <v>HY</v>
          </cell>
          <cell r="D14054">
            <v>40</v>
          </cell>
          <cell r="H14054" t="str">
            <v>hydro</v>
          </cell>
        </row>
        <row r="14055">
          <cell r="C14055" t="str">
            <v>WT</v>
          </cell>
          <cell r="D14055">
            <v>151</v>
          </cell>
          <cell r="H14055" t="str">
            <v>onshore wind</v>
          </cell>
        </row>
        <row r="14056">
          <cell r="C14056" t="str">
            <v>WT</v>
          </cell>
          <cell r="D14056">
            <v>90</v>
          </cell>
          <cell r="H14056" t="str">
            <v>onshore wind</v>
          </cell>
        </row>
        <row r="14057">
          <cell r="C14057" t="str">
            <v>WT</v>
          </cell>
          <cell r="D14057">
            <v>241</v>
          </cell>
          <cell r="H14057" t="str">
            <v>onshore wind</v>
          </cell>
        </row>
        <row r="14058">
          <cell r="C14058" t="str">
            <v>WT</v>
          </cell>
          <cell r="D14058">
            <v>198</v>
          </cell>
          <cell r="H14058" t="str">
            <v>onshore wind</v>
          </cell>
        </row>
        <row r="14059">
          <cell r="C14059" t="str">
            <v>IC</v>
          </cell>
          <cell r="D14059">
            <v>1.8</v>
          </cell>
          <cell r="H14059" t="str">
            <v>petroleum</v>
          </cell>
        </row>
        <row r="14060">
          <cell r="C14060" t="str">
            <v>IC</v>
          </cell>
          <cell r="D14060">
            <v>1.8</v>
          </cell>
          <cell r="H14060" t="str">
            <v>petroleum</v>
          </cell>
        </row>
        <row r="14061">
          <cell r="C14061" t="str">
            <v>IC</v>
          </cell>
          <cell r="D14061">
            <v>1.8</v>
          </cell>
          <cell r="H14061" t="str">
            <v>petroleum</v>
          </cell>
        </row>
        <row r="14062">
          <cell r="C14062" t="str">
            <v>IC</v>
          </cell>
          <cell r="D14062">
            <v>1.8</v>
          </cell>
          <cell r="H14062" t="str">
            <v>petroleum</v>
          </cell>
        </row>
        <row r="14063">
          <cell r="C14063" t="str">
            <v>IC</v>
          </cell>
          <cell r="D14063">
            <v>1.8</v>
          </cell>
          <cell r="H14063" t="str">
            <v>petroleum</v>
          </cell>
        </row>
        <row r="14064">
          <cell r="C14064" t="str">
            <v>IC</v>
          </cell>
          <cell r="D14064">
            <v>1.8</v>
          </cell>
          <cell r="H14064" t="str">
            <v>petroleum</v>
          </cell>
        </row>
        <row r="14065">
          <cell r="C14065" t="str">
            <v>IC</v>
          </cell>
          <cell r="D14065">
            <v>1.8</v>
          </cell>
          <cell r="H14065" t="str">
            <v>petroleum</v>
          </cell>
        </row>
        <row r="14066">
          <cell r="C14066" t="str">
            <v>IC</v>
          </cell>
          <cell r="D14066">
            <v>1.2</v>
          </cell>
          <cell r="H14066" t="str">
            <v>natural gas peaker</v>
          </cell>
        </row>
        <row r="14067">
          <cell r="C14067" t="str">
            <v>IC</v>
          </cell>
          <cell r="D14067">
            <v>1.2</v>
          </cell>
          <cell r="H14067" t="str">
            <v>natural gas peaker</v>
          </cell>
        </row>
        <row r="14068">
          <cell r="C14068" t="str">
            <v>IC</v>
          </cell>
          <cell r="D14068">
            <v>1.2</v>
          </cell>
          <cell r="H14068" t="str">
            <v>natural gas peaker</v>
          </cell>
        </row>
        <row r="14069">
          <cell r="C14069" t="str">
            <v>IC</v>
          </cell>
          <cell r="D14069">
            <v>1.2</v>
          </cell>
          <cell r="H14069" t="str">
            <v>natural gas peaker</v>
          </cell>
        </row>
        <row r="14070">
          <cell r="C14070" t="str">
            <v>IC</v>
          </cell>
          <cell r="D14070">
            <v>1.2</v>
          </cell>
          <cell r="H14070" t="str">
            <v>natural gas peaker</v>
          </cell>
        </row>
        <row r="14071">
          <cell r="C14071" t="str">
            <v>IC</v>
          </cell>
          <cell r="D14071">
            <v>1.2</v>
          </cell>
          <cell r="H14071" t="str">
            <v>natural gas peaker</v>
          </cell>
        </row>
        <row r="14072">
          <cell r="C14072" t="str">
            <v>IC</v>
          </cell>
          <cell r="D14072">
            <v>1.2</v>
          </cell>
          <cell r="H14072" t="str">
            <v>natural gas peaker</v>
          </cell>
        </row>
        <row r="14073">
          <cell r="C14073" t="str">
            <v>WT</v>
          </cell>
          <cell r="D14073">
            <v>67.7</v>
          </cell>
          <cell r="H14073" t="str">
            <v>onshore wind</v>
          </cell>
        </row>
        <row r="14074">
          <cell r="C14074" t="str">
            <v>IC</v>
          </cell>
          <cell r="D14074">
            <v>2</v>
          </cell>
          <cell r="H14074" t="str">
            <v>petroleum</v>
          </cell>
        </row>
        <row r="14075">
          <cell r="C14075" t="str">
            <v>IC</v>
          </cell>
          <cell r="D14075">
            <v>2</v>
          </cell>
          <cell r="H14075" t="str">
            <v>petroleum</v>
          </cell>
        </row>
        <row r="14076">
          <cell r="C14076" t="str">
            <v>CT</v>
          </cell>
          <cell r="D14076">
            <v>70</v>
          </cell>
          <cell r="H14076" t="str">
            <v>natural gas nonpeaker</v>
          </cell>
        </row>
        <row r="14077">
          <cell r="C14077" t="str">
            <v>CT</v>
          </cell>
          <cell r="D14077">
            <v>70</v>
          </cell>
          <cell r="H14077" t="str">
            <v>natural gas nonpeaker</v>
          </cell>
        </row>
        <row r="14078">
          <cell r="C14078" t="str">
            <v>CT</v>
          </cell>
          <cell r="D14078">
            <v>68</v>
          </cell>
          <cell r="H14078" t="str">
            <v>natural gas nonpeaker</v>
          </cell>
        </row>
        <row r="14079">
          <cell r="C14079" t="str">
            <v>CT</v>
          </cell>
          <cell r="D14079">
            <v>68</v>
          </cell>
          <cell r="H14079" t="str">
            <v>natural gas nonpeaker</v>
          </cell>
        </row>
        <row r="14080">
          <cell r="C14080" t="str">
            <v>CA</v>
          </cell>
          <cell r="D14080">
            <v>98.1</v>
          </cell>
          <cell r="H14080" t="str">
            <v>natural gas nonpeaker</v>
          </cell>
        </row>
        <row r="14081">
          <cell r="C14081" t="str">
            <v>CA</v>
          </cell>
          <cell r="D14081">
            <v>98.1</v>
          </cell>
          <cell r="H14081" t="str">
            <v>natural gas nonpeaker</v>
          </cell>
        </row>
        <row r="14082">
          <cell r="C14082" t="str">
            <v>CT</v>
          </cell>
          <cell r="D14082">
            <v>72</v>
          </cell>
          <cell r="H14082" t="str">
            <v>natural gas nonpeaker</v>
          </cell>
        </row>
        <row r="14083">
          <cell r="C14083" t="str">
            <v>CT</v>
          </cell>
          <cell r="D14083">
            <v>72</v>
          </cell>
          <cell r="H14083" t="str">
            <v>natural gas nonpeaker</v>
          </cell>
        </row>
        <row r="14084">
          <cell r="C14084" t="str">
            <v>CT</v>
          </cell>
          <cell r="D14084">
            <v>72</v>
          </cell>
          <cell r="H14084" t="str">
            <v>natural gas nonpeaker</v>
          </cell>
        </row>
        <row r="14085">
          <cell r="C14085" t="str">
            <v>CT</v>
          </cell>
          <cell r="D14085">
            <v>72</v>
          </cell>
          <cell r="H14085" t="str">
            <v>natural gas nonpeaker</v>
          </cell>
        </row>
        <row r="14086">
          <cell r="C14086" t="str">
            <v>CA</v>
          </cell>
          <cell r="D14086">
            <v>98</v>
          </cell>
          <cell r="H14086" t="str">
            <v>natural gas nonpeaker</v>
          </cell>
        </row>
        <row r="14087">
          <cell r="C14087" t="str">
            <v>CA</v>
          </cell>
          <cell r="D14087">
            <v>98</v>
          </cell>
          <cell r="H14087" t="str">
            <v>natural gas nonpeaker</v>
          </cell>
        </row>
        <row r="14088">
          <cell r="C14088" t="str">
            <v>WT</v>
          </cell>
          <cell r="D14088">
            <v>100.5</v>
          </cell>
          <cell r="H14088" t="str">
            <v>onshore wind</v>
          </cell>
        </row>
        <row r="14089">
          <cell r="C14089" t="str">
            <v>WT</v>
          </cell>
          <cell r="D14089">
            <v>48</v>
          </cell>
          <cell r="H14089" t="str">
            <v>onshore wind</v>
          </cell>
        </row>
        <row r="14090">
          <cell r="C14090" t="str">
            <v>WT</v>
          </cell>
          <cell r="D14090">
            <v>199.7</v>
          </cell>
          <cell r="H14090" t="str">
            <v>onshore wind</v>
          </cell>
        </row>
        <row r="14091">
          <cell r="C14091" t="str">
            <v>CT</v>
          </cell>
          <cell r="D14091">
            <v>21</v>
          </cell>
          <cell r="H14091" t="str">
            <v>natural gas nonpeaker</v>
          </cell>
        </row>
        <row r="14092">
          <cell r="C14092" t="str">
            <v>CA</v>
          </cell>
          <cell r="D14092">
            <v>7</v>
          </cell>
          <cell r="H14092" t="str">
            <v>natural gas nonpeaker</v>
          </cell>
        </row>
        <row r="14093">
          <cell r="C14093" t="str">
            <v>WT</v>
          </cell>
          <cell r="D14093">
            <v>18</v>
          </cell>
          <cell r="H14093" t="str">
            <v>onshore wind</v>
          </cell>
        </row>
        <row r="14094">
          <cell r="C14094" t="str">
            <v>WT</v>
          </cell>
          <cell r="D14094">
            <v>31.5</v>
          </cell>
          <cell r="H14094" t="str">
            <v>onshore wind</v>
          </cell>
        </row>
        <row r="14095">
          <cell r="C14095" t="str">
            <v>ST</v>
          </cell>
          <cell r="D14095">
            <v>2.5</v>
          </cell>
          <cell r="H14095" t="str">
            <v>biomass</v>
          </cell>
        </row>
        <row r="14096">
          <cell r="C14096" t="str">
            <v>WT</v>
          </cell>
          <cell r="D14096">
            <v>75</v>
          </cell>
          <cell r="H14096" t="str">
            <v>onshore wind</v>
          </cell>
        </row>
        <row r="14097">
          <cell r="C14097" t="str">
            <v>WT</v>
          </cell>
          <cell r="D14097">
            <v>100.5</v>
          </cell>
          <cell r="H14097" t="str">
            <v>onshore wind</v>
          </cell>
        </row>
        <row r="14098">
          <cell r="C14098" t="str">
            <v>WT</v>
          </cell>
          <cell r="D14098">
            <v>199</v>
          </cell>
          <cell r="H14098" t="str">
            <v>onshore wind</v>
          </cell>
        </row>
        <row r="14099">
          <cell r="C14099" t="str">
            <v>WT</v>
          </cell>
          <cell r="D14099">
            <v>150</v>
          </cell>
          <cell r="H14099" t="str">
            <v>onshore wind</v>
          </cell>
        </row>
        <row r="14100">
          <cell r="C14100" t="str">
            <v>IC</v>
          </cell>
          <cell r="D14100">
            <v>1.2</v>
          </cell>
          <cell r="H14100" t="str">
            <v>petroleum</v>
          </cell>
        </row>
        <row r="14101">
          <cell r="C14101" t="str">
            <v>IC</v>
          </cell>
          <cell r="D14101">
            <v>1.2</v>
          </cell>
          <cell r="H14101" t="str">
            <v>petroleum</v>
          </cell>
        </row>
        <row r="14102">
          <cell r="C14102" t="str">
            <v>IC</v>
          </cell>
          <cell r="D14102">
            <v>1.2</v>
          </cell>
          <cell r="H14102" t="str">
            <v>petroleum</v>
          </cell>
        </row>
        <row r="14103">
          <cell r="C14103" t="str">
            <v>IC</v>
          </cell>
          <cell r="D14103">
            <v>1.8</v>
          </cell>
          <cell r="H14103" t="str">
            <v>petroleum</v>
          </cell>
        </row>
        <row r="14104">
          <cell r="C14104" t="str">
            <v>IC</v>
          </cell>
          <cell r="D14104">
            <v>1.8</v>
          </cell>
          <cell r="H14104" t="str">
            <v>petroleum</v>
          </cell>
        </row>
        <row r="14105">
          <cell r="C14105" t="str">
            <v>IC</v>
          </cell>
          <cell r="D14105">
            <v>1.8</v>
          </cell>
          <cell r="H14105" t="str">
            <v>petroleum</v>
          </cell>
        </row>
        <row r="14106">
          <cell r="C14106" t="str">
            <v>IC</v>
          </cell>
          <cell r="D14106">
            <v>1.5</v>
          </cell>
          <cell r="H14106" t="str">
            <v>petroleum</v>
          </cell>
        </row>
        <row r="14107">
          <cell r="C14107" t="str">
            <v>IC</v>
          </cell>
          <cell r="D14107">
            <v>1.7</v>
          </cell>
          <cell r="H14107" t="str">
            <v>petroleum</v>
          </cell>
        </row>
        <row r="14108">
          <cell r="C14108" t="str">
            <v>WT</v>
          </cell>
          <cell r="D14108">
            <v>34.5</v>
          </cell>
          <cell r="H14108" t="str">
            <v>onshore wind</v>
          </cell>
        </row>
        <row r="14109">
          <cell r="C14109" t="str">
            <v>WT</v>
          </cell>
          <cell r="D14109">
            <v>221</v>
          </cell>
          <cell r="H14109" t="str">
            <v>onshore wind</v>
          </cell>
        </row>
        <row r="14110">
          <cell r="C14110" t="str">
            <v>WT</v>
          </cell>
          <cell r="D14110">
            <v>79.5</v>
          </cell>
          <cell r="H14110" t="str">
            <v>onshore wind</v>
          </cell>
        </row>
        <row r="14111">
          <cell r="C14111" t="str">
            <v>WT</v>
          </cell>
          <cell r="D14111">
            <v>80.5</v>
          </cell>
          <cell r="H14111" t="str">
            <v>onshore wind</v>
          </cell>
        </row>
        <row r="14112">
          <cell r="C14112" t="str">
            <v>GT</v>
          </cell>
          <cell r="D14112">
            <v>3.7</v>
          </cell>
          <cell r="H14112" t="str">
            <v>natural gas peaker</v>
          </cell>
        </row>
        <row r="14113">
          <cell r="C14113" t="str">
            <v>IC</v>
          </cell>
          <cell r="D14113">
            <v>1.5</v>
          </cell>
          <cell r="H14113" t="str">
            <v>petroleum</v>
          </cell>
        </row>
        <row r="14114">
          <cell r="C14114" t="str">
            <v>WT</v>
          </cell>
          <cell r="D14114">
            <v>1.7</v>
          </cell>
          <cell r="H14114" t="str">
            <v>onshore wind</v>
          </cell>
        </row>
        <row r="14115">
          <cell r="C14115" t="str">
            <v>WT</v>
          </cell>
          <cell r="D14115">
            <v>135</v>
          </cell>
          <cell r="H14115" t="str">
            <v>onshore wind</v>
          </cell>
        </row>
        <row r="14116">
          <cell r="C14116" t="str">
            <v>WT</v>
          </cell>
          <cell r="D14116">
            <v>21</v>
          </cell>
          <cell r="H14116" t="str">
            <v>onshore wind</v>
          </cell>
        </row>
        <row r="14117">
          <cell r="C14117" t="str">
            <v>WT</v>
          </cell>
          <cell r="D14117">
            <v>105</v>
          </cell>
          <cell r="H14117" t="str">
            <v>onshore wind</v>
          </cell>
        </row>
        <row r="14118">
          <cell r="C14118" t="str">
            <v>WT</v>
          </cell>
          <cell r="D14118">
            <v>120</v>
          </cell>
          <cell r="H14118" t="str">
            <v>onshore wind</v>
          </cell>
        </row>
        <row r="14119">
          <cell r="C14119" t="str">
            <v>WT</v>
          </cell>
          <cell r="D14119">
            <v>80</v>
          </cell>
          <cell r="H14119" t="str">
            <v>onshore wind</v>
          </cell>
        </row>
        <row r="14120">
          <cell r="C14120" t="str">
            <v>WT</v>
          </cell>
          <cell r="D14120">
            <v>3.9</v>
          </cell>
          <cell r="H14120" t="str">
            <v>onshore wind</v>
          </cell>
        </row>
        <row r="14121">
          <cell r="C14121" t="str">
            <v>WT</v>
          </cell>
          <cell r="D14121">
            <v>16</v>
          </cell>
          <cell r="H14121" t="str">
            <v>onshore wind</v>
          </cell>
        </row>
        <row r="14122">
          <cell r="C14122" t="str">
            <v>WT</v>
          </cell>
          <cell r="D14122">
            <v>50.6</v>
          </cell>
          <cell r="H14122" t="str">
            <v>onshore wind</v>
          </cell>
        </row>
        <row r="14123">
          <cell r="C14123" t="str">
            <v>WT</v>
          </cell>
          <cell r="D14123">
            <v>124.2</v>
          </cell>
          <cell r="H14123" t="str">
            <v>onshore wind</v>
          </cell>
        </row>
        <row r="14124">
          <cell r="C14124" t="str">
            <v>WT</v>
          </cell>
          <cell r="D14124">
            <v>200</v>
          </cell>
          <cell r="H14124" t="str">
            <v>onshore wind</v>
          </cell>
        </row>
        <row r="14125">
          <cell r="C14125" t="str">
            <v>GT</v>
          </cell>
          <cell r="D14125">
            <v>44.6</v>
          </cell>
          <cell r="H14125" t="str">
            <v>natural gas peaker</v>
          </cell>
        </row>
        <row r="14126">
          <cell r="C14126" t="str">
            <v>WT</v>
          </cell>
          <cell r="D14126">
            <v>24</v>
          </cell>
          <cell r="H14126" t="str">
            <v>onshore wind</v>
          </cell>
        </row>
        <row r="14127">
          <cell r="C14127" t="str">
            <v>CT</v>
          </cell>
          <cell r="D14127">
            <v>158.80000000000001</v>
          </cell>
          <cell r="H14127" t="str">
            <v>natural gas nonpeaker</v>
          </cell>
        </row>
        <row r="14128">
          <cell r="C14128" t="str">
            <v>CA</v>
          </cell>
          <cell r="D14128">
            <v>159.19999999999999</v>
          </cell>
          <cell r="H14128" t="str">
            <v>natural gas nonpeaker</v>
          </cell>
        </row>
        <row r="14129">
          <cell r="C14129" t="str">
            <v>IC</v>
          </cell>
          <cell r="D14129">
            <v>3</v>
          </cell>
          <cell r="H14129" t="str">
            <v>biomass</v>
          </cell>
        </row>
        <row r="14130">
          <cell r="C14130" t="str">
            <v>ST</v>
          </cell>
          <cell r="D14130">
            <v>68.5</v>
          </cell>
          <cell r="H14130" t="str">
            <v>solar thermal</v>
          </cell>
        </row>
        <row r="14131">
          <cell r="C14131" t="str">
            <v>ST</v>
          </cell>
          <cell r="D14131">
            <v>24.6</v>
          </cell>
          <cell r="H14131" t="str">
            <v>biomass</v>
          </cell>
        </row>
        <row r="14132">
          <cell r="C14132" t="str">
            <v>CT</v>
          </cell>
          <cell r="D14132">
            <v>257.60000000000002</v>
          </cell>
          <cell r="H14132" t="str">
            <v>natural gas nonpeaker</v>
          </cell>
        </row>
        <row r="14133">
          <cell r="C14133" t="str">
            <v>CT</v>
          </cell>
          <cell r="D14133">
            <v>257.60000000000002</v>
          </cell>
          <cell r="H14133" t="str">
            <v>natural gas nonpeaker</v>
          </cell>
        </row>
        <row r="14134">
          <cell r="C14134" t="str">
            <v>CT</v>
          </cell>
          <cell r="D14134">
            <v>257.60000000000002</v>
          </cell>
          <cell r="H14134" t="str">
            <v>natural gas nonpeaker</v>
          </cell>
        </row>
        <row r="14135">
          <cell r="C14135" t="str">
            <v>CA</v>
          </cell>
          <cell r="D14135">
            <v>486.2</v>
          </cell>
          <cell r="H14135" t="str">
            <v>natural gas nonpeaker</v>
          </cell>
        </row>
        <row r="14136">
          <cell r="C14136" t="str">
            <v>CT</v>
          </cell>
          <cell r="D14136">
            <v>257.7</v>
          </cell>
          <cell r="H14136" t="str">
            <v>natural gas nonpeaker</v>
          </cell>
        </row>
        <row r="14137">
          <cell r="C14137" t="str">
            <v>CT</v>
          </cell>
          <cell r="D14137">
            <v>257.7</v>
          </cell>
          <cell r="H14137" t="str">
            <v>natural gas nonpeaker</v>
          </cell>
        </row>
        <row r="14138">
          <cell r="C14138" t="str">
            <v>CT</v>
          </cell>
          <cell r="D14138">
            <v>257.7</v>
          </cell>
          <cell r="H14138" t="str">
            <v>natural gas nonpeaker</v>
          </cell>
        </row>
        <row r="14139">
          <cell r="C14139" t="str">
            <v>CA</v>
          </cell>
          <cell r="D14139">
            <v>485.9</v>
          </cell>
          <cell r="H14139" t="str">
            <v>natural gas nonpeaker</v>
          </cell>
        </row>
        <row r="14140">
          <cell r="C14140" t="str">
            <v>CT</v>
          </cell>
          <cell r="D14140">
            <v>252.6</v>
          </cell>
          <cell r="H14140" t="str">
            <v>natural gas nonpeaker</v>
          </cell>
        </row>
        <row r="14141">
          <cell r="C14141" t="str">
            <v>CT</v>
          </cell>
          <cell r="D14141">
            <v>252.6</v>
          </cell>
          <cell r="H14141" t="str">
            <v>natural gas nonpeaker</v>
          </cell>
        </row>
        <row r="14142">
          <cell r="C14142" t="str">
            <v>CT</v>
          </cell>
          <cell r="D14142">
            <v>252.6</v>
          </cell>
          <cell r="H14142" t="str">
            <v>natural gas nonpeaker</v>
          </cell>
        </row>
        <row r="14143">
          <cell r="C14143" t="str">
            <v>CA</v>
          </cell>
          <cell r="D14143">
            <v>480.2</v>
          </cell>
          <cell r="H14143" t="str">
            <v>natural gas nonpeaker</v>
          </cell>
        </row>
        <row r="14144">
          <cell r="C14144" t="str">
            <v>WT</v>
          </cell>
          <cell r="D14144">
            <v>8.4</v>
          </cell>
          <cell r="H14144" t="str">
            <v>onshore wind</v>
          </cell>
        </row>
        <row r="14145">
          <cell r="C14145" t="str">
            <v>WT</v>
          </cell>
          <cell r="D14145">
            <v>1.7</v>
          </cell>
          <cell r="H14145" t="str">
            <v>onshore wind</v>
          </cell>
        </row>
        <row r="14146">
          <cell r="C14146" t="str">
            <v>WT</v>
          </cell>
          <cell r="D14146">
            <v>1.7</v>
          </cell>
          <cell r="H14146" t="str">
            <v>onshore wind</v>
          </cell>
        </row>
        <row r="14147">
          <cell r="C14147" t="str">
            <v>WT</v>
          </cell>
          <cell r="D14147">
            <v>1.7</v>
          </cell>
          <cell r="H14147" t="str">
            <v>onshore wind</v>
          </cell>
        </row>
        <row r="14148">
          <cell r="C14148" t="str">
            <v>WT</v>
          </cell>
          <cell r="D14148">
            <v>1.7</v>
          </cell>
          <cell r="H14148" t="str">
            <v>onshore wind</v>
          </cell>
        </row>
        <row r="14149">
          <cell r="C14149" t="str">
            <v>WT</v>
          </cell>
          <cell r="D14149">
            <v>1.7</v>
          </cell>
          <cell r="H14149" t="str">
            <v>onshore wind</v>
          </cell>
        </row>
        <row r="14150">
          <cell r="C14150" t="str">
            <v>WT</v>
          </cell>
          <cell r="D14150">
            <v>1.7</v>
          </cell>
          <cell r="H14150" t="str">
            <v>onshore wind</v>
          </cell>
        </row>
        <row r="14151">
          <cell r="C14151" t="str">
            <v>WT</v>
          </cell>
          <cell r="D14151">
            <v>1.7</v>
          </cell>
          <cell r="H14151" t="str">
            <v>onshore wind</v>
          </cell>
        </row>
        <row r="14152">
          <cell r="C14152" t="str">
            <v>WT</v>
          </cell>
          <cell r="D14152">
            <v>0.9</v>
          </cell>
          <cell r="H14152" t="str">
            <v>onshore wind</v>
          </cell>
        </row>
        <row r="14153">
          <cell r="C14153" t="str">
            <v>WT</v>
          </cell>
          <cell r="D14153">
            <v>0.9</v>
          </cell>
          <cell r="H14153" t="str">
            <v>onshore wind</v>
          </cell>
        </row>
        <row r="14154">
          <cell r="C14154" t="str">
            <v>WT</v>
          </cell>
          <cell r="D14154">
            <v>1.7</v>
          </cell>
          <cell r="H14154" t="str">
            <v>onshore wind</v>
          </cell>
        </row>
        <row r="14155">
          <cell r="C14155" t="str">
            <v>WT</v>
          </cell>
          <cell r="D14155">
            <v>1.7</v>
          </cell>
          <cell r="H14155" t="str">
            <v>onshore wind</v>
          </cell>
        </row>
        <row r="14156">
          <cell r="C14156" t="str">
            <v>WT</v>
          </cell>
          <cell r="D14156">
            <v>69</v>
          </cell>
          <cell r="H14156" t="str">
            <v>onshore wind</v>
          </cell>
        </row>
        <row r="14157">
          <cell r="C14157" t="str">
            <v>IC</v>
          </cell>
          <cell r="D14157">
            <v>1.1000000000000001</v>
          </cell>
          <cell r="H14157" t="str">
            <v>biomass</v>
          </cell>
        </row>
        <row r="14158">
          <cell r="C14158" t="str">
            <v>IC</v>
          </cell>
          <cell r="D14158">
            <v>1.1000000000000001</v>
          </cell>
          <cell r="H14158" t="str">
            <v>biomass</v>
          </cell>
        </row>
        <row r="14159">
          <cell r="C14159" t="str">
            <v>IC</v>
          </cell>
          <cell r="D14159">
            <v>1.1000000000000001</v>
          </cell>
          <cell r="H14159" t="str">
            <v>biomass</v>
          </cell>
        </row>
        <row r="14160">
          <cell r="C14160" t="str">
            <v>IC</v>
          </cell>
          <cell r="D14160">
            <v>1.1000000000000001</v>
          </cell>
          <cell r="H14160" t="str">
            <v>petroleum</v>
          </cell>
        </row>
        <row r="14161">
          <cell r="C14161" t="str">
            <v>IC</v>
          </cell>
          <cell r="D14161">
            <v>1.1000000000000001</v>
          </cell>
          <cell r="H14161" t="str">
            <v>petroleum</v>
          </cell>
        </row>
        <row r="14162">
          <cell r="C14162" t="str">
            <v>IC</v>
          </cell>
          <cell r="D14162">
            <v>1.8</v>
          </cell>
          <cell r="H14162" t="str">
            <v>petroleum</v>
          </cell>
        </row>
        <row r="14163">
          <cell r="C14163" t="str">
            <v>IC</v>
          </cell>
          <cell r="D14163">
            <v>1.1000000000000001</v>
          </cell>
          <cell r="H14163" t="str">
            <v>petroleum</v>
          </cell>
        </row>
        <row r="14164">
          <cell r="C14164" t="str">
            <v>IC</v>
          </cell>
          <cell r="D14164">
            <v>1.8</v>
          </cell>
          <cell r="H14164" t="str">
            <v>petroleum</v>
          </cell>
        </row>
        <row r="14165">
          <cell r="C14165" t="str">
            <v>WT</v>
          </cell>
          <cell r="D14165">
            <v>98.9</v>
          </cell>
          <cell r="H14165" t="str">
            <v>onshore wind</v>
          </cell>
        </row>
        <row r="14166">
          <cell r="C14166" t="str">
            <v>IC</v>
          </cell>
          <cell r="D14166">
            <v>2</v>
          </cell>
          <cell r="H14166" t="str">
            <v>biomass</v>
          </cell>
        </row>
        <row r="14167">
          <cell r="C14167" t="str">
            <v>IC</v>
          </cell>
          <cell r="D14167">
            <v>1.9</v>
          </cell>
          <cell r="H14167" t="str">
            <v>biomass</v>
          </cell>
        </row>
        <row r="14168">
          <cell r="C14168" t="str">
            <v>IC</v>
          </cell>
          <cell r="D14168">
            <v>1.9</v>
          </cell>
          <cell r="H14168" t="str">
            <v>biomass</v>
          </cell>
        </row>
        <row r="14169">
          <cell r="C14169" t="str">
            <v>IC</v>
          </cell>
          <cell r="D14169">
            <v>1.9</v>
          </cell>
          <cell r="H14169" t="str">
            <v>biomass</v>
          </cell>
        </row>
        <row r="14170">
          <cell r="C14170" t="str">
            <v>IC</v>
          </cell>
          <cell r="D14170">
            <v>1</v>
          </cell>
          <cell r="H14170" t="str">
            <v>biomass</v>
          </cell>
        </row>
        <row r="14171">
          <cell r="C14171" t="str">
            <v>IC</v>
          </cell>
          <cell r="D14171">
            <v>1</v>
          </cell>
          <cell r="H14171" t="str">
            <v>biomass</v>
          </cell>
        </row>
        <row r="14172">
          <cell r="C14172" t="str">
            <v>IC</v>
          </cell>
          <cell r="D14172">
            <v>1</v>
          </cell>
          <cell r="H14172" t="str">
            <v>biomass</v>
          </cell>
        </row>
        <row r="14173">
          <cell r="C14173" t="str">
            <v>IC</v>
          </cell>
          <cell r="D14173">
            <v>1</v>
          </cell>
          <cell r="H14173" t="str">
            <v>biomass</v>
          </cell>
        </row>
        <row r="14174">
          <cell r="C14174" t="str">
            <v>IC</v>
          </cell>
          <cell r="D14174">
            <v>1</v>
          </cell>
          <cell r="H14174" t="str">
            <v>biomass</v>
          </cell>
        </row>
        <row r="14175">
          <cell r="C14175" t="str">
            <v>IC</v>
          </cell>
          <cell r="D14175">
            <v>1</v>
          </cell>
          <cell r="H14175" t="str">
            <v>biomass</v>
          </cell>
        </row>
        <row r="14176">
          <cell r="C14176" t="str">
            <v>IC</v>
          </cell>
          <cell r="D14176">
            <v>1</v>
          </cell>
          <cell r="H14176" t="str">
            <v>biomass</v>
          </cell>
        </row>
        <row r="14177">
          <cell r="C14177" t="str">
            <v>IC</v>
          </cell>
          <cell r="D14177">
            <v>1</v>
          </cell>
          <cell r="H14177" t="str">
            <v>biomass</v>
          </cell>
        </row>
        <row r="14178">
          <cell r="C14178" t="str">
            <v>IC</v>
          </cell>
          <cell r="D14178">
            <v>1</v>
          </cell>
          <cell r="H14178" t="str">
            <v>biomass</v>
          </cell>
        </row>
        <row r="14179">
          <cell r="C14179" t="str">
            <v>IC</v>
          </cell>
          <cell r="D14179">
            <v>1</v>
          </cell>
          <cell r="H14179" t="str">
            <v>biomass</v>
          </cell>
        </row>
        <row r="14180">
          <cell r="C14180" t="str">
            <v>IC</v>
          </cell>
          <cell r="D14180">
            <v>1</v>
          </cell>
          <cell r="H14180" t="str">
            <v>biomass</v>
          </cell>
        </row>
        <row r="14181">
          <cell r="C14181" t="str">
            <v>IC</v>
          </cell>
          <cell r="D14181">
            <v>1</v>
          </cell>
          <cell r="H14181" t="str">
            <v>biomass</v>
          </cell>
        </row>
        <row r="14182">
          <cell r="C14182" t="str">
            <v>IC</v>
          </cell>
          <cell r="D14182">
            <v>1</v>
          </cell>
          <cell r="H14182" t="str">
            <v>biomass</v>
          </cell>
        </row>
        <row r="14183">
          <cell r="C14183" t="str">
            <v>IC</v>
          </cell>
          <cell r="D14183">
            <v>1</v>
          </cell>
          <cell r="H14183" t="str">
            <v>biomass</v>
          </cell>
        </row>
        <row r="14184">
          <cell r="C14184" t="str">
            <v>IC</v>
          </cell>
          <cell r="D14184">
            <v>1</v>
          </cell>
          <cell r="H14184" t="str">
            <v>biomass</v>
          </cell>
        </row>
        <row r="14185">
          <cell r="C14185" t="str">
            <v>IC</v>
          </cell>
          <cell r="D14185">
            <v>1</v>
          </cell>
          <cell r="H14185" t="str">
            <v>biomass</v>
          </cell>
        </row>
        <row r="14186">
          <cell r="C14186" t="str">
            <v>WT</v>
          </cell>
          <cell r="D14186">
            <v>161</v>
          </cell>
          <cell r="H14186" t="str">
            <v>onshore wind</v>
          </cell>
        </row>
        <row r="14187">
          <cell r="C14187" t="str">
            <v>WT</v>
          </cell>
          <cell r="D14187">
            <v>135</v>
          </cell>
          <cell r="H14187" t="str">
            <v>onshore wind</v>
          </cell>
        </row>
        <row r="14188">
          <cell r="C14188" t="str">
            <v>WT</v>
          </cell>
          <cell r="D14188">
            <v>21.3</v>
          </cell>
          <cell r="H14188" t="str">
            <v>onshore wind</v>
          </cell>
        </row>
        <row r="14189">
          <cell r="C14189" t="str">
            <v>WT</v>
          </cell>
          <cell r="D14189">
            <v>12</v>
          </cell>
          <cell r="H14189" t="str">
            <v>onshore wind</v>
          </cell>
        </row>
        <row r="14190">
          <cell r="C14190" t="str">
            <v>WT</v>
          </cell>
          <cell r="D14190">
            <v>19.5</v>
          </cell>
          <cell r="H14190" t="str">
            <v>onshore wind</v>
          </cell>
        </row>
        <row r="14191">
          <cell r="C14191" t="str">
            <v>WT</v>
          </cell>
          <cell r="D14191">
            <v>13.5</v>
          </cell>
          <cell r="H14191" t="str">
            <v>onshore wind</v>
          </cell>
        </row>
        <row r="14192">
          <cell r="C14192" t="str">
            <v>WT</v>
          </cell>
          <cell r="D14192">
            <v>10.5</v>
          </cell>
          <cell r="H14192" t="str">
            <v>onshore wind</v>
          </cell>
        </row>
        <row r="14193">
          <cell r="C14193" t="str">
            <v>WT</v>
          </cell>
          <cell r="D14193">
            <v>21</v>
          </cell>
          <cell r="H14193" t="str">
            <v>onshore wind</v>
          </cell>
        </row>
        <row r="14194">
          <cell r="C14194" t="str">
            <v>WT</v>
          </cell>
          <cell r="D14194">
            <v>12</v>
          </cell>
          <cell r="H14194" t="str">
            <v>onshore wind</v>
          </cell>
        </row>
        <row r="14195">
          <cell r="C14195" t="str">
            <v>WT</v>
          </cell>
          <cell r="D14195">
            <v>10.5</v>
          </cell>
          <cell r="H14195" t="str">
            <v>onshore wind</v>
          </cell>
        </row>
        <row r="14196">
          <cell r="C14196" t="str">
            <v>GT</v>
          </cell>
          <cell r="D14196">
            <v>135</v>
          </cell>
          <cell r="H14196" t="str">
            <v>natural gas peaker</v>
          </cell>
        </row>
        <row r="14197">
          <cell r="C14197" t="str">
            <v>GT</v>
          </cell>
          <cell r="D14197">
            <v>135</v>
          </cell>
          <cell r="H14197" t="str">
            <v>natural gas peaker</v>
          </cell>
        </row>
        <row r="14198">
          <cell r="C14198" t="str">
            <v>WT</v>
          </cell>
          <cell r="D14198">
            <v>38</v>
          </cell>
          <cell r="H14198" t="str">
            <v>onshore wind</v>
          </cell>
        </row>
        <row r="14199">
          <cell r="C14199" t="str">
            <v>WT</v>
          </cell>
          <cell r="D14199">
            <v>10.6</v>
          </cell>
          <cell r="H14199" t="str">
            <v>onshore wind</v>
          </cell>
        </row>
        <row r="14200">
          <cell r="C14200" t="str">
            <v>WT</v>
          </cell>
          <cell r="D14200">
            <v>42</v>
          </cell>
          <cell r="H14200" t="str">
            <v>onshore wind</v>
          </cell>
        </row>
        <row r="14201">
          <cell r="C14201" t="str">
            <v>WT</v>
          </cell>
          <cell r="D14201">
            <v>30</v>
          </cell>
          <cell r="H14201" t="str">
            <v>onshore wind</v>
          </cell>
        </row>
        <row r="14202">
          <cell r="C14202" t="str">
            <v>WT</v>
          </cell>
          <cell r="D14202">
            <v>80</v>
          </cell>
          <cell r="H14202" t="str">
            <v>onshore wind</v>
          </cell>
        </row>
        <row r="14203">
          <cell r="C14203" t="str">
            <v>WT</v>
          </cell>
          <cell r="D14203">
            <v>80</v>
          </cell>
          <cell r="H14203" t="str">
            <v>onshore wind</v>
          </cell>
        </row>
        <row r="14204">
          <cell r="C14204" t="str">
            <v>ST</v>
          </cell>
          <cell r="D14204">
            <v>680</v>
          </cell>
          <cell r="H14204" t="str">
            <v>hard coal</v>
          </cell>
        </row>
        <row r="14205">
          <cell r="C14205" t="str">
            <v>WT</v>
          </cell>
          <cell r="D14205">
            <v>84</v>
          </cell>
          <cell r="H14205" t="str">
            <v>onshore wind</v>
          </cell>
        </row>
        <row r="14206">
          <cell r="C14206" t="str">
            <v>GT</v>
          </cell>
          <cell r="D14206">
            <v>4.3</v>
          </cell>
          <cell r="H14206" t="str">
            <v>natural gas peaker</v>
          </cell>
        </row>
        <row r="14207">
          <cell r="C14207" t="str">
            <v>CT</v>
          </cell>
          <cell r="D14207">
            <v>160.6</v>
          </cell>
          <cell r="H14207" t="str">
            <v>natural gas nonpeaker</v>
          </cell>
        </row>
        <row r="14208">
          <cell r="C14208" t="str">
            <v>CT</v>
          </cell>
          <cell r="D14208">
            <v>159.5</v>
          </cell>
          <cell r="H14208" t="str">
            <v>natural gas nonpeaker</v>
          </cell>
        </row>
        <row r="14209">
          <cell r="C14209" t="str">
            <v>CA</v>
          </cell>
          <cell r="D14209">
            <v>242.8</v>
          </cell>
          <cell r="H14209" t="str">
            <v>natural gas nonpeaker</v>
          </cell>
        </row>
        <row r="14210">
          <cell r="C14210" t="str">
            <v>WT</v>
          </cell>
          <cell r="D14210">
            <v>150</v>
          </cell>
          <cell r="H14210" t="str">
            <v>onshore wind</v>
          </cell>
        </row>
        <row r="14211">
          <cell r="C14211" t="str">
            <v>WT</v>
          </cell>
          <cell r="D14211">
            <v>75</v>
          </cell>
          <cell r="H14211" t="str">
            <v>onshore wind</v>
          </cell>
        </row>
        <row r="14212">
          <cell r="C14212" t="str">
            <v>IC</v>
          </cell>
          <cell r="D14212">
            <v>1.5</v>
          </cell>
          <cell r="H14212" t="str">
            <v>biomass</v>
          </cell>
        </row>
        <row r="14213">
          <cell r="C14213" t="str">
            <v>IC</v>
          </cell>
          <cell r="D14213">
            <v>1.5</v>
          </cell>
          <cell r="H14213" t="str">
            <v>biomass</v>
          </cell>
        </row>
        <row r="14214">
          <cell r="C14214" t="str">
            <v>IC</v>
          </cell>
          <cell r="D14214">
            <v>5.4</v>
          </cell>
          <cell r="H14214" t="str">
            <v>natural gas peaker</v>
          </cell>
        </row>
        <row r="14215">
          <cell r="C14215" t="str">
            <v>IC</v>
          </cell>
          <cell r="D14215">
            <v>5.4</v>
          </cell>
          <cell r="H14215" t="str">
            <v>natural gas peaker</v>
          </cell>
        </row>
        <row r="14216">
          <cell r="C14216" t="str">
            <v>IC</v>
          </cell>
          <cell r="D14216">
            <v>5.4</v>
          </cell>
          <cell r="H14216" t="str">
            <v>natural gas peaker</v>
          </cell>
        </row>
        <row r="14217">
          <cell r="C14217" t="str">
            <v>IC</v>
          </cell>
          <cell r="D14217">
            <v>5.4</v>
          </cell>
          <cell r="H14217" t="str">
            <v>natural gas peaker</v>
          </cell>
        </row>
        <row r="14218">
          <cell r="C14218" t="str">
            <v>IC</v>
          </cell>
          <cell r="D14218">
            <v>5.4</v>
          </cell>
          <cell r="H14218" t="str">
            <v>natural gas peaker</v>
          </cell>
        </row>
        <row r="14219">
          <cell r="C14219" t="str">
            <v>IC</v>
          </cell>
          <cell r="D14219">
            <v>0.8</v>
          </cell>
          <cell r="H14219" t="str">
            <v>biomass</v>
          </cell>
        </row>
        <row r="14220">
          <cell r="C14220" t="str">
            <v>IC</v>
          </cell>
          <cell r="D14220">
            <v>0.8</v>
          </cell>
          <cell r="H14220" t="str">
            <v>biomass</v>
          </cell>
        </row>
        <row r="14221">
          <cell r="C14221" t="str">
            <v>IC</v>
          </cell>
          <cell r="D14221">
            <v>0.8</v>
          </cell>
          <cell r="H14221" t="str">
            <v>biomass</v>
          </cell>
        </row>
        <row r="14222">
          <cell r="C14222" t="str">
            <v>IC</v>
          </cell>
          <cell r="D14222">
            <v>0.8</v>
          </cell>
          <cell r="H14222" t="str">
            <v>biomass</v>
          </cell>
        </row>
        <row r="14223">
          <cell r="C14223" t="str">
            <v>IC</v>
          </cell>
          <cell r="D14223">
            <v>0.8</v>
          </cell>
          <cell r="H14223" t="str">
            <v>biomass</v>
          </cell>
        </row>
        <row r="14224">
          <cell r="C14224" t="str">
            <v>IC</v>
          </cell>
          <cell r="D14224">
            <v>0.8</v>
          </cell>
          <cell r="H14224" t="str">
            <v>biomass</v>
          </cell>
        </row>
        <row r="14225">
          <cell r="C14225" t="str">
            <v>IC</v>
          </cell>
          <cell r="D14225">
            <v>0.8</v>
          </cell>
          <cell r="H14225" t="str">
            <v>biomass</v>
          </cell>
        </row>
        <row r="14226">
          <cell r="C14226" t="str">
            <v>IC</v>
          </cell>
          <cell r="D14226">
            <v>0.8</v>
          </cell>
          <cell r="H14226" t="str">
            <v>biomass</v>
          </cell>
        </row>
        <row r="14227">
          <cell r="C14227" t="str">
            <v>IC</v>
          </cell>
          <cell r="D14227">
            <v>0.8</v>
          </cell>
          <cell r="H14227" t="str">
            <v>biomass</v>
          </cell>
        </row>
        <row r="14228">
          <cell r="C14228" t="str">
            <v>IC</v>
          </cell>
          <cell r="D14228">
            <v>0.8</v>
          </cell>
          <cell r="H14228" t="str">
            <v>biomass</v>
          </cell>
        </row>
        <row r="14229">
          <cell r="C14229" t="str">
            <v>IC</v>
          </cell>
          <cell r="D14229">
            <v>1.6</v>
          </cell>
          <cell r="H14229" t="str">
            <v>biomass</v>
          </cell>
        </row>
        <row r="14230">
          <cell r="C14230" t="str">
            <v>IC</v>
          </cell>
          <cell r="D14230">
            <v>0.8</v>
          </cell>
          <cell r="H14230" t="str">
            <v>biomass</v>
          </cell>
        </row>
        <row r="14231">
          <cell r="C14231" t="str">
            <v>IC</v>
          </cell>
          <cell r="D14231">
            <v>0.8</v>
          </cell>
          <cell r="H14231" t="str">
            <v>biomass</v>
          </cell>
        </row>
        <row r="14232">
          <cell r="C14232" t="str">
            <v>IC</v>
          </cell>
          <cell r="D14232">
            <v>1.6</v>
          </cell>
          <cell r="H14232" t="str">
            <v>biomass</v>
          </cell>
        </row>
        <row r="14233">
          <cell r="C14233" t="str">
            <v>IC</v>
          </cell>
          <cell r="D14233">
            <v>0.8</v>
          </cell>
          <cell r="H14233" t="str">
            <v>biomass</v>
          </cell>
        </row>
        <row r="14234">
          <cell r="C14234" t="str">
            <v>IC</v>
          </cell>
          <cell r="D14234">
            <v>0.8</v>
          </cell>
          <cell r="H14234" t="str">
            <v>biomass</v>
          </cell>
        </row>
        <row r="14235">
          <cell r="C14235" t="str">
            <v>IC</v>
          </cell>
          <cell r="D14235">
            <v>1.6</v>
          </cell>
          <cell r="H14235" t="str">
            <v>biomass</v>
          </cell>
        </row>
        <row r="14236">
          <cell r="C14236" t="str">
            <v>IC</v>
          </cell>
          <cell r="D14236">
            <v>0.8</v>
          </cell>
          <cell r="H14236" t="str">
            <v>biomass</v>
          </cell>
        </row>
        <row r="14237">
          <cell r="C14237" t="str">
            <v>IC</v>
          </cell>
          <cell r="D14237">
            <v>0.8</v>
          </cell>
          <cell r="H14237" t="str">
            <v>biomass</v>
          </cell>
        </row>
        <row r="14238">
          <cell r="C14238" t="str">
            <v>IC</v>
          </cell>
          <cell r="D14238">
            <v>1.6</v>
          </cell>
          <cell r="H14238" t="str">
            <v>biomass</v>
          </cell>
        </row>
        <row r="14239">
          <cell r="C14239" t="str">
            <v>WT</v>
          </cell>
          <cell r="D14239">
            <v>140.4</v>
          </cell>
          <cell r="H14239" t="str">
            <v>onshore wind</v>
          </cell>
        </row>
        <row r="14240">
          <cell r="C14240" t="str">
            <v>WT</v>
          </cell>
          <cell r="D14240">
            <v>70.2</v>
          </cell>
          <cell r="H14240" t="str">
            <v>onshore wind</v>
          </cell>
        </row>
        <row r="14241">
          <cell r="C14241" t="str">
            <v>CT</v>
          </cell>
          <cell r="D14241">
            <v>185</v>
          </cell>
          <cell r="H14241" t="str">
            <v>natural gas nonpeaker</v>
          </cell>
        </row>
        <row r="14242">
          <cell r="C14242" t="str">
            <v>CT</v>
          </cell>
          <cell r="D14242">
            <v>185</v>
          </cell>
          <cell r="H14242" t="str">
            <v>natural gas nonpeaker</v>
          </cell>
        </row>
        <row r="14243">
          <cell r="C14243" t="str">
            <v>CA</v>
          </cell>
          <cell r="D14243">
            <v>245</v>
          </cell>
          <cell r="H14243" t="str">
            <v>natural gas nonpeaker</v>
          </cell>
        </row>
        <row r="14244">
          <cell r="C14244" t="str">
            <v>WT</v>
          </cell>
          <cell r="D14244">
            <v>221</v>
          </cell>
          <cell r="H14244" t="str">
            <v>onshore wind</v>
          </cell>
        </row>
        <row r="14245">
          <cell r="C14245" t="str">
            <v>WT</v>
          </cell>
          <cell r="D14245">
            <v>76.5</v>
          </cell>
          <cell r="H14245" t="str">
            <v>onshore wind</v>
          </cell>
        </row>
        <row r="14246">
          <cell r="C14246" t="str">
            <v>ST</v>
          </cell>
          <cell r="D14246">
            <v>9</v>
          </cell>
          <cell r="H14246" t="str">
            <v>biomass</v>
          </cell>
        </row>
        <row r="14247">
          <cell r="C14247" t="str">
            <v>WT</v>
          </cell>
          <cell r="D14247">
            <v>26</v>
          </cell>
          <cell r="H14247" t="str">
            <v>onshore wind</v>
          </cell>
        </row>
        <row r="14248">
          <cell r="C14248" t="str">
            <v>GT</v>
          </cell>
          <cell r="D14248">
            <v>49</v>
          </cell>
          <cell r="H14248" t="str">
            <v>natural gas peaker</v>
          </cell>
        </row>
        <row r="14249">
          <cell r="C14249" t="str">
            <v>GT</v>
          </cell>
          <cell r="D14249">
            <v>46</v>
          </cell>
          <cell r="H14249" t="str">
            <v>natural gas peaker</v>
          </cell>
        </row>
        <row r="14250">
          <cell r="C14250" t="str">
            <v>BA</v>
          </cell>
          <cell r="D14250">
            <v>10</v>
          </cell>
          <cell r="H14250" t="str">
            <v>other</v>
          </cell>
        </row>
        <row r="14251">
          <cell r="C14251" t="str">
            <v>GT</v>
          </cell>
          <cell r="D14251">
            <v>49</v>
          </cell>
          <cell r="H14251" t="str">
            <v>natural gas peaker</v>
          </cell>
        </row>
        <row r="14252">
          <cell r="C14252" t="str">
            <v>GT</v>
          </cell>
          <cell r="D14252">
            <v>49</v>
          </cell>
          <cell r="H14252" t="str">
            <v>natural gas peaker</v>
          </cell>
        </row>
        <row r="14253">
          <cell r="C14253" t="str">
            <v>GT</v>
          </cell>
          <cell r="D14253">
            <v>47</v>
          </cell>
          <cell r="H14253" t="str">
            <v>natural gas peaker</v>
          </cell>
        </row>
        <row r="14254">
          <cell r="C14254" t="str">
            <v>BA</v>
          </cell>
          <cell r="D14254">
            <v>10</v>
          </cell>
          <cell r="H14254" t="str">
            <v>other</v>
          </cell>
        </row>
        <row r="14255">
          <cell r="C14255" t="str">
            <v>CT</v>
          </cell>
          <cell r="D14255">
            <v>177</v>
          </cell>
          <cell r="H14255" t="str">
            <v>natural gas nonpeaker</v>
          </cell>
        </row>
        <row r="14256">
          <cell r="C14256" t="str">
            <v>CT</v>
          </cell>
          <cell r="D14256">
            <v>177</v>
          </cell>
          <cell r="H14256" t="str">
            <v>natural gas nonpeaker</v>
          </cell>
        </row>
        <row r="14257">
          <cell r="C14257" t="str">
            <v>CA</v>
          </cell>
          <cell r="D14257">
            <v>209.4</v>
          </cell>
          <cell r="H14257" t="str">
            <v>natural gas nonpeaker</v>
          </cell>
        </row>
        <row r="14258">
          <cell r="C14258" t="str">
            <v>GT</v>
          </cell>
          <cell r="D14258">
            <v>11.3</v>
          </cell>
          <cell r="H14258" t="str">
            <v>natural gas peaker</v>
          </cell>
        </row>
        <row r="14259">
          <cell r="C14259" t="str">
            <v>WT</v>
          </cell>
          <cell r="D14259">
            <v>90</v>
          </cell>
          <cell r="H14259" t="str">
            <v>onshore wind</v>
          </cell>
        </row>
        <row r="14260">
          <cell r="C14260" t="str">
            <v>GT</v>
          </cell>
          <cell r="D14260">
            <v>53.3</v>
          </cell>
          <cell r="H14260" t="str">
            <v>natural gas peaker</v>
          </cell>
        </row>
        <row r="14261">
          <cell r="C14261" t="str">
            <v>PV</v>
          </cell>
          <cell r="D14261">
            <v>1</v>
          </cell>
          <cell r="H14261" t="str">
            <v>solar PV</v>
          </cell>
        </row>
        <row r="14262">
          <cell r="C14262" t="str">
            <v>PV</v>
          </cell>
          <cell r="D14262">
            <v>6.7</v>
          </cell>
          <cell r="H14262" t="str">
            <v>solar PV</v>
          </cell>
        </row>
        <row r="14263">
          <cell r="C14263" t="str">
            <v>GT</v>
          </cell>
          <cell r="D14263">
            <v>45</v>
          </cell>
          <cell r="H14263" t="str">
            <v>natural gas peaker</v>
          </cell>
        </row>
        <row r="14264">
          <cell r="C14264" t="str">
            <v>GT</v>
          </cell>
          <cell r="D14264">
            <v>45</v>
          </cell>
          <cell r="H14264" t="str">
            <v>natural gas peaker</v>
          </cell>
        </row>
        <row r="14265">
          <cell r="C14265" t="str">
            <v>WT</v>
          </cell>
          <cell r="D14265">
            <v>200</v>
          </cell>
          <cell r="H14265" t="str">
            <v>onshore wind</v>
          </cell>
        </row>
        <row r="14266">
          <cell r="C14266" t="str">
            <v>WT</v>
          </cell>
          <cell r="D14266">
            <v>232.5</v>
          </cell>
          <cell r="H14266" t="str">
            <v>onshore wind</v>
          </cell>
        </row>
        <row r="14267">
          <cell r="C14267" t="str">
            <v>WT</v>
          </cell>
          <cell r="D14267">
            <v>125.4</v>
          </cell>
          <cell r="H14267" t="str">
            <v>onshore wind</v>
          </cell>
        </row>
        <row r="14268">
          <cell r="C14268" t="str">
            <v>WT</v>
          </cell>
          <cell r="D14268">
            <v>163.30000000000001</v>
          </cell>
          <cell r="H14268" t="str">
            <v>onshore wind</v>
          </cell>
        </row>
        <row r="14269">
          <cell r="C14269" t="str">
            <v>WT</v>
          </cell>
          <cell r="D14269">
            <v>161</v>
          </cell>
          <cell r="H14269" t="str">
            <v>onshore wind</v>
          </cell>
        </row>
        <row r="14270">
          <cell r="C14270" t="str">
            <v>WT</v>
          </cell>
          <cell r="D14270">
            <v>204</v>
          </cell>
          <cell r="H14270" t="str">
            <v>onshore wind</v>
          </cell>
        </row>
        <row r="14271">
          <cell r="C14271" t="str">
            <v>WT</v>
          </cell>
          <cell r="D14271">
            <v>100.8</v>
          </cell>
          <cell r="H14271" t="str">
            <v>onshore wind</v>
          </cell>
        </row>
        <row r="14272">
          <cell r="C14272" t="str">
            <v>GT</v>
          </cell>
          <cell r="D14272">
            <v>20</v>
          </cell>
          <cell r="H14272" t="str">
            <v>natural gas peaker</v>
          </cell>
        </row>
        <row r="14273">
          <cell r="C14273" t="str">
            <v>GT</v>
          </cell>
          <cell r="D14273">
            <v>20</v>
          </cell>
          <cell r="H14273" t="str">
            <v>natural gas peaker</v>
          </cell>
        </row>
        <row r="14274">
          <cell r="C14274" t="str">
            <v>GT</v>
          </cell>
          <cell r="D14274">
            <v>20</v>
          </cell>
          <cell r="H14274" t="str">
            <v>natural gas peaker</v>
          </cell>
        </row>
        <row r="14275">
          <cell r="C14275" t="str">
            <v>WT</v>
          </cell>
          <cell r="D14275">
            <v>27</v>
          </cell>
          <cell r="H14275" t="str">
            <v>onshore wind</v>
          </cell>
        </row>
        <row r="14276">
          <cell r="C14276" t="str">
            <v>WT</v>
          </cell>
          <cell r="D14276">
            <v>100.6</v>
          </cell>
          <cell r="H14276" t="str">
            <v>onshore wind</v>
          </cell>
        </row>
        <row r="14277">
          <cell r="C14277" t="str">
            <v>WT</v>
          </cell>
          <cell r="D14277">
            <v>164</v>
          </cell>
          <cell r="H14277" t="str">
            <v>onshore wind</v>
          </cell>
        </row>
        <row r="14278">
          <cell r="C14278" t="str">
            <v>WT</v>
          </cell>
          <cell r="D14278">
            <v>100</v>
          </cell>
          <cell r="H14278" t="str">
            <v>onshore wind</v>
          </cell>
        </row>
        <row r="14279">
          <cell r="C14279" t="str">
            <v>ST</v>
          </cell>
          <cell r="D14279">
            <v>1.5</v>
          </cell>
          <cell r="H14279" t="str">
            <v>other</v>
          </cell>
        </row>
        <row r="14280">
          <cell r="C14280" t="str">
            <v>IC</v>
          </cell>
          <cell r="D14280">
            <v>8.1999999999999993</v>
          </cell>
          <cell r="H14280" t="str">
            <v>natural gas peaker</v>
          </cell>
        </row>
        <row r="14281">
          <cell r="C14281" t="str">
            <v>IC</v>
          </cell>
          <cell r="D14281">
            <v>9.1999999999999993</v>
          </cell>
          <cell r="H14281" t="str">
            <v>natural gas peaker</v>
          </cell>
        </row>
        <row r="14282">
          <cell r="C14282" t="str">
            <v>IC</v>
          </cell>
          <cell r="D14282">
            <v>9.1999999999999993</v>
          </cell>
          <cell r="H14282" t="str">
            <v>natural gas peaker</v>
          </cell>
        </row>
        <row r="14283">
          <cell r="C14283" t="str">
            <v>IC</v>
          </cell>
          <cell r="D14283">
            <v>9.1999999999999993</v>
          </cell>
          <cell r="H14283" t="str">
            <v>natural gas peaker</v>
          </cell>
        </row>
        <row r="14284">
          <cell r="C14284" t="str">
            <v>IC</v>
          </cell>
          <cell r="D14284">
            <v>8.1999999999999993</v>
          </cell>
          <cell r="H14284" t="str">
            <v>natural gas peaker</v>
          </cell>
        </row>
        <row r="14285">
          <cell r="C14285" t="str">
            <v>IC</v>
          </cell>
          <cell r="D14285">
            <v>8.1999999999999993</v>
          </cell>
          <cell r="H14285" t="str">
            <v>natural gas peaker</v>
          </cell>
        </row>
        <row r="14286">
          <cell r="C14286" t="str">
            <v>IC</v>
          </cell>
          <cell r="D14286">
            <v>8.1999999999999993</v>
          </cell>
          <cell r="H14286" t="str">
            <v>natural gas peaker</v>
          </cell>
        </row>
        <row r="14287">
          <cell r="C14287" t="str">
            <v>IC</v>
          </cell>
          <cell r="D14287">
            <v>8.1999999999999993</v>
          </cell>
          <cell r="H14287" t="str">
            <v>natural gas peaker</v>
          </cell>
        </row>
        <row r="14288">
          <cell r="C14288" t="str">
            <v>IC</v>
          </cell>
          <cell r="D14288">
            <v>8.1999999999999993</v>
          </cell>
          <cell r="H14288" t="str">
            <v>natural gas peaker</v>
          </cell>
        </row>
        <row r="14289">
          <cell r="C14289" t="str">
            <v>IC</v>
          </cell>
          <cell r="D14289">
            <v>8.1999999999999993</v>
          </cell>
          <cell r="H14289" t="str">
            <v>natural gas peaker</v>
          </cell>
        </row>
        <row r="14290">
          <cell r="C14290" t="str">
            <v>IC</v>
          </cell>
          <cell r="D14290">
            <v>8.1999999999999993</v>
          </cell>
          <cell r="H14290" t="str">
            <v>natural gas peaker</v>
          </cell>
        </row>
        <row r="14291">
          <cell r="C14291" t="str">
            <v>IC</v>
          </cell>
          <cell r="D14291">
            <v>8.1999999999999993</v>
          </cell>
          <cell r="H14291" t="str">
            <v>natural gas peaker</v>
          </cell>
        </row>
        <row r="14292">
          <cell r="C14292" t="str">
            <v>HY</v>
          </cell>
          <cell r="D14292">
            <v>0.8</v>
          </cell>
          <cell r="H14292" t="str">
            <v>hydro</v>
          </cell>
        </row>
        <row r="14293">
          <cell r="C14293" t="str">
            <v>HY</v>
          </cell>
          <cell r="D14293">
            <v>7.5</v>
          </cell>
          <cell r="H14293" t="str">
            <v>hydro</v>
          </cell>
        </row>
        <row r="14294">
          <cell r="C14294" t="str">
            <v>IC</v>
          </cell>
          <cell r="D14294">
            <v>7.9</v>
          </cell>
          <cell r="H14294" t="str">
            <v>natural gas peaker</v>
          </cell>
        </row>
        <row r="14295">
          <cell r="C14295" t="str">
            <v>IC</v>
          </cell>
          <cell r="D14295">
            <v>7.9</v>
          </cell>
          <cell r="H14295" t="str">
            <v>natural gas peaker</v>
          </cell>
        </row>
        <row r="14296">
          <cell r="C14296" t="str">
            <v>IC</v>
          </cell>
          <cell r="D14296">
            <v>7.9</v>
          </cell>
          <cell r="H14296" t="str">
            <v>natural gas peaker</v>
          </cell>
        </row>
        <row r="14297">
          <cell r="C14297" t="str">
            <v>IC</v>
          </cell>
          <cell r="D14297">
            <v>7.9</v>
          </cell>
          <cell r="H14297" t="str">
            <v>natural gas peaker</v>
          </cell>
        </row>
        <row r="14298">
          <cell r="C14298" t="str">
            <v>IC</v>
          </cell>
          <cell r="D14298">
            <v>7.9</v>
          </cell>
          <cell r="H14298" t="str">
            <v>natural gas peaker</v>
          </cell>
        </row>
        <row r="14299">
          <cell r="C14299" t="str">
            <v>IC</v>
          </cell>
          <cell r="D14299">
            <v>7.9</v>
          </cell>
          <cell r="H14299" t="str">
            <v>natural gas peaker</v>
          </cell>
        </row>
        <row r="14300">
          <cell r="C14300" t="str">
            <v>IC</v>
          </cell>
          <cell r="D14300">
            <v>7.9</v>
          </cell>
          <cell r="H14300" t="str">
            <v>natural gas peaker</v>
          </cell>
        </row>
        <row r="14301">
          <cell r="C14301" t="str">
            <v>IC</v>
          </cell>
          <cell r="D14301">
            <v>7.9</v>
          </cell>
          <cell r="H14301" t="str">
            <v>natural gas peaker</v>
          </cell>
        </row>
        <row r="14302">
          <cell r="C14302" t="str">
            <v>IC</v>
          </cell>
          <cell r="D14302">
            <v>7.9</v>
          </cell>
          <cell r="H14302" t="str">
            <v>natural gas peaker</v>
          </cell>
        </row>
        <row r="14303">
          <cell r="C14303" t="str">
            <v>IC</v>
          </cell>
          <cell r="D14303">
            <v>7.9</v>
          </cell>
          <cell r="H14303" t="str">
            <v>natural gas peaker</v>
          </cell>
        </row>
        <row r="14304">
          <cell r="C14304" t="str">
            <v>IC</v>
          </cell>
          <cell r="D14304">
            <v>7.9</v>
          </cell>
          <cell r="H14304" t="str">
            <v>natural gas peaker</v>
          </cell>
        </row>
        <row r="14305">
          <cell r="C14305" t="str">
            <v>IC</v>
          </cell>
          <cell r="D14305">
            <v>7.9</v>
          </cell>
          <cell r="H14305" t="str">
            <v>natural gas peaker</v>
          </cell>
        </row>
        <row r="14306">
          <cell r="C14306" t="str">
            <v>IC</v>
          </cell>
          <cell r="D14306">
            <v>7.9</v>
          </cell>
          <cell r="H14306" t="str">
            <v>natural gas peaker</v>
          </cell>
        </row>
        <row r="14307">
          <cell r="C14307" t="str">
            <v>IC</v>
          </cell>
          <cell r="D14307">
            <v>7.9</v>
          </cell>
          <cell r="H14307" t="str">
            <v>natural gas peaker</v>
          </cell>
        </row>
        <row r="14308">
          <cell r="C14308" t="str">
            <v>PV</v>
          </cell>
          <cell r="D14308">
            <v>1</v>
          </cell>
          <cell r="H14308" t="str">
            <v>solar PV</v>
          </cell>
        </row>
        <row r="14309">
          <cell r="C14309" t="str">
            <v>WT</v>
          </cell>
          <cell r="D14309">
            <v>124.5</v>
          </cell>
          <cell r="H14309" t="str">
            <v>onshore wind</v>
          </cell>
        </row>
        <row r="14310">
          <cell r="C14310" t="str">
            <v>WT</v>
          </cell>
          <cell r="D14310">
            <v>79.400000000000006</v>
          </cell>
          <cell r="H14310" t="str">
            <v>onshore wind</v>
          </cell>
        </row>
        <row r="14311">
          <cell r="C14311" t="str">
            <v>WT</v>
          </cell>
          <cell r="D14311">
            <v>62.2</v>
          </cell>
          <cell r="H14311" t="str">
            <v>onshore wind</v>
          </cell>
        </row>
        <row r="14312">
          <cell r="C14312" t="str">
            <v>WT</v>
          </cell>
          <cell r="D14312">
            <v>29.9</v>
          </cell>
          <cell r="H14312" t="str">
            <v>onshore wind</v>
          </cell>
        </row>
        <row r="14313">
          <cell r="C14313" t="str">
            <v>GT</v>
          </cell>
          <cell r="D14313">
            <v>44.3</v>
          </cell>
          <cell r="H14313" t="str">
            <v>natural gas peaker</v>
          </cell>
        </row>
        <row r="14314">
          <cell r="C14314" t="str">
            <v>GT</v>
          </cell>
          <cell r="D14314">
            <v>44</v>
          </cell>
          <cell r="H14314" t="str">
            <v>natural gas peaker</v>
          </cell>
        </row>
        <row r="14315">
          <cell r="C14315" t="str">
            <v>GT</v>
          </cell>
          <cell r="D14315">
            <v>43</v>
          </cell>
          <cell r="H14315" t="str">
            <v>natural gas peaker</v>
          </cell>
        </row>
        <row r="14316">
          <cell r="C14316" t="str">
            <v>GT</v>
          </cell>
          <cell r="D14316">
            <v>43.6</v>
          </cell>
          <cell r="H14316" t="str">
            <v>natural gas peaker</v>
          </cell>
        </row>
        <row r="14317">
          <cell r="C14317" t="str">
            <v>GT</v>
          </cell>
          <cell r="D14317">
            <v>157.5</v>
          </cell>
          <cell r="H14317" t="str">
            <v>natural gas peaker</v>
          </cell>
        </row>
        <row r="14318">
          <cell r="C14318" t="str">
            <v>GT</v>
          </cell>
          <cell r="D14318">
            <v>153.9</v>
          </cell>
          <cell r="H14318" t="str">
            <v>natural gas peaker</v>
          </cell>
        </row>
        <row r="14319">
          <cell r="C14319" t="str">
            <v>GT</v>
          </cell>
          <cell r="D14319">
            <v>157</v>
          </cell>
          <cell r="H14319" t="str">
            <v>natural gas peaker</v>
          </cell>
        </row>
        <row r="14320">
          <cell r="C14320" t="str">
            <v>IC</v>
          </cell>
          <cell r="D14320">
            <v>2</v>
          </cell>
          <cell r="H14320" t="str">
            <v>natural gas peaker</v>
          </cell>
        </row>
        <row r="14321">
          <cell r="C14321" t="str">
            <v>IC</v>
          </cell>
          <cell r="D14321">
            <v>2</v>
          </cell>
          <cell r="H14321" t="str">
            <v>natural gas peaker</v>
          </cell>
        </row>
        <row r="14322">
          <cell r="C14322" t="str">
            <v>IC</v>
          </cell>
          <cell r="D14322">
            <v>2</v>
          </cell>
          <cell r="H14322" t="str">
            <v>natural gas peaker</v>
          </cell>
        </row>
        <row r="14323">
          <cell r="C14323" t="str">
            <v>IC</v>
          </cell>
          <cell r="D14323">
            <v>2</v>
          </cell>
          <cell r="H14323" t="str">
            <v>natural gas peaker</v>
          </cell>
        </row>
        <row r="14324">
          <cell r="C14324" t="str">
            <v>IC</v>
          </cell>
          <cell r="D14324">
            <v>2</v>
          </cell>
          <cell r="H14324" t="str">
            <v>natural gas peaker</v>
          </cell>
        </row>
        <row r="14325">
          <cell r="C14325" t="str">
            <v>IC</v>
          </cell>
          <cell r="D14325">
            <v>1</v>
          </cell>
          <cell r="H14325" t="str">
            <v>natural gas peaker</v>
          </cell>
        </row>
        <row r="14326">
          <cell r="C14326" t="str">
            <v>IC</v>
          </cell>
          <cell r="D14326">
            <v>1</v>
          </cell>
          <cell r="H14326" t="str">
            <v>natural gas peaker</v>
          </cell>
        </row>
        <row r="14327">
          <cell r="C14327" t="str">
            <v>GT</v>
          </cell>
          <cell r="D14327">
            <v>20</v>
          </cell>
          <cell r="H14327" t="str">
            <v>natural gas peaker</v>
          </cell>
        </row>
        <row r="14328">
          <cell r="C14328" t="str">
            <v>GT</v>
          </cell>
          <cell r="D14328">
            <v>19</v>
          </cell>
          <cell r="H14328" t="str">
            <v>natural gas peaker</v>
          </cell>
        </row>
        <row r="14329">
          <cell r="C14329" t="str">
            <v>GT</v>
          </cell>
          <cell r="D14329">
            <v>46</v>
          </cell>
          <cell r="H14329" t="str">
            <v>natural gas peaker</v>
          </cell>
        </row>
        <row r="14330">
          <cell r="C14330" t="str">
            <v>GT</v>
          </cell>
          <cell r="D14330">
            <v>46</v>
          </cell>
          <cell r="H14330" t="str">
            <v>natural gas peaker</v>
          </cell>
        </row>
        <row r="14331">
          <cell r="C14331" t="str">
            <v>GT</v>
          </cell>
          <cell r="D14331">
            <v>46</v>
          </cell>
          <cell r="H14331" t="str">
            <v>natural gas peaker</v>
          </cell>
        </row>
        <row r="14332">
          <cell r="C14332" t="str">
            <v>WT</v>
          </cell>
          <cell r="D14332">
            <v>130.5</v>
          </cell>
          <cell r="H14332" t="str">
            <v>onshore wind</v>
          </cell>
        </row>
        <row r="14333">
          <cell r="C14333" t="str">
            <v>GT</v>
          </cell>
          <cell r="D14333">
            <v>11</v>
          </cell>
          <cell r="H14333" t="str">
            <v>natural gas peaker</v>
          </cell>
        </row>
        <row r="14334">
          <cell r="C14334" t="str">
            <v>GT</v>
          </cell>
          <cell r="D14334">
            <v>11</v>
          </cell>
          <cell r="H14334" t="str">
            <v>natural gas peaker</v>
          </cell>
        </row>
        <row r="14335">
          <cell r="C14335" t="str">
            <v>IC</v>
          </cell>
          <cell r="D14335">
            <v>1.6</v>
          </cell>
          <cell r="H14335" t="str">
            <v>biomass</v>
          </cell>
        </row>
        <row r="14336">
          <cell r="C14336" t="str">
            <v>IC</v>
          </cell>
          <cell r="D14336">
            <v>0.9</v>
          </cell>
          <cell r="H14336" t="str">
            <v>biomass</v>
          </cell>
        </row>
        <row r="14337">
          <cell r="C14337" t="str">
            <v>IC</v>
          </cell>
          <cell r="D14337">
            <v>0.9</v>
          </cell>
          <cell r="H14337" t="str">
            <v>biomass</v>
          </cell>
        </row>
        <row r="14338">
          <cell r="C14338" t="str">
            <v>IC</v>
          </cell>
          <cell r="D14338">
            <v>1.6</v>
          </cell>
          <cell r="H14338" t="str">
            <v>biomass</v>
          </cell>
        </row>
        <row r="14339">
          <cell r="C14339" t="str">
            <v>IC</v>
          </cell>
          <cell r="D14339">
            <v>1.6</v>
          </cell>
          <cell r="H14339" t="str">
            <v>biomass</v>
          </cell>
        </row>
        <row r="14340">
          <cell r="C14340" t="str">
            <v>IC</v>
          </cell>
          <cell r="D14340">
            <v>1.6</v>
          </cell>
          <cell r="H14340" t="str">
            <v>natural gas peaker</v>
          </cell>
        </row>
        <row r="14341">
          <cell r="C14341" t="str">
            <v>IC</v>
          </cell>
          <cell r="D14341">
            <v>8.3000000000000007</v>
          </cell>
          <cell r="H14341" t="str">
            <v>natural gas peaker</v>
          </cell>
        </row>
        <row r="14342">
          <cell r="C14342" t="str">
            <v>IC</v>
          </cell>
          <cell r="D14342">
            <v>8.3000000000000007</v>
          </cell>
          <cell r="H14342" t="str">
            <v>natural gas peaker</v>
          </cell>
        </row>
        <row r="14343">
          <cell r="C14343" t="str">
            <v>IC</v>
          </cell>
          <cell r="D14343">
            <v>8.3000000000000007</v>
          </cell>
          <cell r="H14343" t="str">
            <v>natural gas peaker</v>
          </cell>
        </row>
        <row r="14344">
          <cell r="C14344" t="str">
            <v>IC</v>
          </cell>
          <cell r="D14344">
            <v>8.3000000000000007</v>
          </cell>
          <cell r="H14344" t="str">
            <v>natural gas peaker</v>
          </cell>
        </row>
        <row r="14345">
          <cell r="C14345" t="str">
            <v>IC</v>
          </cell>
          <cell r="D14345">
            <v>8.3000000000000007</v>
          </cell>
          <cell r="H14345" t="str">
            <v>natural gas peaker</v>
          </cell>
        </row>
        <row r="14346">
          <cell r="C14346" t="str">
            <v>IC</v>
          </cell>
          <cell r="D14346">
            <v>8.3000000000000007</v>
          </cell>
          <cell r="H14346" t="str">
            <v>natural gas peaker</v>
          </cell>
        </row>
        <row r="14347">
          <cell r="C14347" t="str">
            <v>IC</v>
          </cell>
          <cell r="D14347">
            <v>8.3000000000000007</v>
          </cell>
          <cell r="H14347" t="str">
            <v>natural gas peaker</v>
          </cell>
        </row>
        <row r="14348">
          <cell r="C14348" t="str">
            <v>IC</v>
          </cell>
          <cell r="D14348">
            <v>8.3000000000000007</v>
          </cell>
          <cell r="H14348" t="str">
            <v>natural gas peaker</v>
          </cell>
        </row>
        <row r="14349">
          <cell r="C14349" t="str">
            <v>IC</v>
          </cell>
          <cell r="D14349">
            <v>8.3000000000000007</v>
          </cell>
          <cell r="H14349" t="str">
            <v>natural gas peaker</v>
          </cell>
        </row>
        <row r="14350">
          <cell r="C14350" t="str">
            <v>IC</v>
          </cell>
          <cell r="D14350">
            <v>8.3000000000000007</v>
          </cell>
          <cell r="H14350" t="str">
            <v>natural gas peaker</v>
          </cell>
        </row>
        <row r="14351">
          <cell r="C14351" t="str">
            <v>IC</v>
          </cell>
          <cell r="D14351">
            <v>8.3000000000000007</v>
          </cell>
          <cell r="H14351" t="str">
            <v>natural gas peaker</v>
          </cell>
        </row>
        <row r="14352">
          <cell r="C14352" t="str">
            <v>IC</v>
          </cell>
          <cell r="D14352">
            <v>8.3000000000000007</v>
          </cell>
          <cell r="H14352" t="str">
            <v>natural gas peaker</v>
          </cell>
        </row>
        <row r="14353">
          <cell r="C14353" t="str">
            <v>IC</v>
          </cell>
          <cell r="D14353">
            <v>8.3000000000000007</v>
          </cell>
          <cell r="H14353" t="str">
            <v>natural gas peaker</v>
          </cell>
        </row>
        <row r="14354">
          <cell r="C14354" t="str">
            <v>IC</v>
          </cell>
          <cell r="D14354">
            <v>8.3000000000000007</v>
          </cell>
          <cell r="H14354" t="str">
            <v>natural gas peaker</v>
          </cell>
        </row>
        <row r="14355">
          <cell r="C14355" t="str">
            <v>IC</v>
          </cell>
          <cell r="D14355">
            <v>1.9</v>
          </cell>
          <cell r="H14355" t="str">
            <v>petroleum</v>
          </cell>
        </row>
        <row r="14356">
          <cell r="C14356" t="str">
            <v>IC</v>
          </cell>
          <cell r="D14356">
            <v>1.9</v>
          </cell>
          <cell r="H14356" t="str">
            <v>petroleum</v>
          </cell>
        </row>
        <row r="14357">
          <cell r="C14357" t="str">
            <v>GT</v>
          </cell>
          <cell r="D14357">
            <v>4.3</v>
          </cell>
          <cell r="H14357" t="str">
            <v>natural gas peaker</v>
          </cell>
        </row>
        <row r="14358">
          <cell r="C14358" t="str">
            <v>IC</v>
          </cell>
          <cell r="D14358">
            <v>7.4</v>
          </cell>
          <cell r="H14358" t="str">
            <v>natural gas peaker</v>
          </cell>
        </row>
        <row r="14359">
          <cell r="C14359" t="str">
            <v>IC</v>
          </cell>
          <cell r="D14359">
            <v>1.3</v>
          </cell>
          <cell r="H14359" t="str">
            <v>petroleum</v>
          </cell>
        </row>
        <row r="14360">
          <cell r="C14360" t="str">
            <v>IC</v>
          </cell>
          <cell r="D14360">
            <v>0.8</v>
          </cell>
          <cell r="H14360" t="str">
            <v>biomass</v>
          </cell>
        </row>
        <row r="14361">
          <cell r="C14361" t="str">
            <v>IC</v>
          </cell>
          <cell r="D14361">
            <v>0.8</v>
          </cell>
          <cell r="H14361" t="str">
            <v>biomass</v>
          </cell>
        </row>
        <row r="14362">
          <cell r="C14362" t="str">
            <v>IC</v>
          </cell>
          <cell r="D14362">
            <v>0.8</v>
          </cell>
          <cell r="H14362" t="str">
            <v>biomass</v>
          </cell>
        </row>
        <row r="14363">
          <cell r="C14363" t="str">
            <v>IC</v>
          </cell>
          <cell r="D14363">
            <v>0.8</v>
          </cell>
          <cell r="H14363" t="str">
            <v>biomass</v>
          </cell>
        </row>
        <row r="14364">
          <cell r="C14364" t="str">
            <v>IC</v>
          </cell>
          <cell r="D14364">
            <v>0.8</v>
          </cell>
          <cell r="H14364" t="str">
            <v>biomass</v>
          </cell>
        </row>
        <row r="14365">
          <cell r="C14365" t="str">
            <v>IC</v>
          </cell>
          <cell r="D14365">
            <v>0.8</v>
          </cell>
          <cell r="H14365" t="str">
            <v>biomass</v>
          </cell>
        </row>
        <row r="14366">
          <cell r="C14366" t="str">
            <v>IC</v>
          </cell>
          <cell r="D14366">
            <v>0.8</v>
          </cell>
          <cell r="H14366" t="str">
            <v>biomass</v>
          </cell>
        </row>
        <row r="14367">
          <cell r="C14367" t="str">
            <v>IC</v>
          </cell>
          <cell r="D14367">
            <v>0.8</v>
          </cell>
          <cell r="H14367" t="str">
            <v>biomass</v>
          </cell>
        </row>
        <row r="14368">
          <cell r="C14368" t="str">
            <v>IC</v>
          </cell>
          <cell r="D14368">
            <v>0.8</v>
          </cell>
          <cell r="H14368" t="str">
            <v>biomass</v>
          </cell>
        </row>
        <row r="14369">
          <cell r="C14369" t="str">
            <v>IC</v>
          </cell>
          <cell r="D14369">
            <v>0.8</v>
          </cell>
          <cell r="H14369" t="str">
            <v>biomass</v>
          </cell>
        </row>
        <row r="14370">
          <cell r="C14370" t="str">
            <v>IC</v>
          </cell>
          <cell r="D14370">
            <v>0.8</v>
          </cell>
          <cell r="H14370" t="str">
            <v>biomass</v>
          </cell>
        </row>
        <row r="14371">
          <cell r="C14371" t="str">
            <v>IC</v>
          </cell>
          <cell r="D14371">
            <v>0.8</v>
          </cell>
          <cell r="H14371" t="str">
            <v>biomass</v>
          </cell>
        </row>
        <row r="14372">
          <cell r="C14372" t="str">
            <v>IC</v>
          </cell>
          <cell r="D14372">
            <v>0.8</v>
          </cell>
          <cell r="H14372" t="str">
            <v>biomass</v>
          </cell>
        </row>
        <row r="14373">
          <cell r="C14373" t="str">
            <v>IC</v>
          </cell>
          <cell r="D14373">
            <v>0.8</v>
          </cell>
          <cell r="H14373" t="str">
            <v>biomass</v>
          </cell>
        </row>
        <row r="14374">
          <cell r="C14374" t="str">
            <v>IC</v>
          </cell>
          <cell r="D14374">
            <v>0.8</v>
          </cell>
          <cell r="H14374" t="str">
            <v>biomass</v>
          </cell>
        </row>
        <row r="14375">
          <cell r="C14375" t="str">
            <v>IC</v>
          </cell>
          <cell r="D14375">
            <v>0.8</v>
          </cell>
          <cell r="H14375" t="str">
            <v>biomass</v>
          </cell>
        </row>
        <row r="14376">
          <cell r="C14376" t="str">
            <v>IC</v>
          </cell>
          <cell r="D14376">
            <v>0.8</v>
          </cell>
          <cell r="H14376" t="str">
            <v>biomass</v>
          </cell>
        </row>
        <row r="14377">
          <cell r="C14377" t="str">
            <v>IC</v>
          </cell>
          <cell r="D14377">
            <v>0.8</v>
          </cell>
          <cell r="H14377" t="str">
            <v>biomass</v>
          </cell>
        </row>
        <row r="14378">
          <cell r="C14378" t="str">
            <v>IC</v>
          </cell>
          <cell r="D14378">
            <v>0.8</v>
          </cell>
          <cell r="H14378" t="str">
            <v>biomass</v>
          </cell>
        </row>
        <row r="14379">
          <cell r="C14379" t="str">
            <v>IC</v>
          </cell>
          <cell r="D14379">
            <v>0.8</v>
          </cell>
          <cell r="H14379" t="str">
            <v>biomass</v>
          </cell>
        </row>
        <row r="14380">
          <cell r="C14380" t="str">
            <v>IC</v>
          </cell>
          <cell r="D14380">
            <v>0.8</v>
          </cell>
          <cell r="H14380" t="str">
            <v>biomass</v>
          </cell>
        </row>
        <row r="14381">
          <cell r="C14381" t="str">
            <v>IC</v>
          </cell>
          <cell r="D14381">
            <v>0.8</v>
          </cell>
          <cell r="H14381" t="str">
            <v>biomass</v>
          </cell>
        </row>
        <row r="14382">
          <cell r="C14382" t="str">
            <v>IC</v>
          </cell>
          <cell r="D14382">
            <v>0.8</v>
          </cell>
          <cell r="H14382" t="str">
            <v>biomass</v>
          </cell>
        </row>
        <row r="14383">
          <cell r="C14383" t="str">
            <v>IC</v>
          </cell>
          <cell r="D14383">
            <v>0.8</v>
          </cell>
          <cell r="H14383" t="str">
            <v>biomass</v>
          </cell>
        </row>
        <row r="14384">
          <cell r="C14384" t="str">
            <v>IC</v>
          </cell>
          <cell r="D14384">
            <v>0.8</v>
          </cell>
          <cell r="H14384" t="str">
            <v>biomass</v>
          </cell>
        </row>
        <row r="14385">
          <cell r="C14385" t="str">
            <v>IC</v>
          </cell>
          <cell r="D14385">
            <v>1.6</v>
          </cell>
          <cell r="H14385" t="str">
            <v>biomass</v>
          </cell>
        </row>
        <row r="14386">
          <cell r="C14386" t="str">
            <v>IC</v>
          </cell>
          <cell r="D14386">
            <v>1.6</v>
          </cell>
          <cell r="H14386" t="str">
            <v>biomass</v>
          </cell>
        </row>
        <row r="14387">
          <cell r="C14387" t="str">
            <v>IC</v>
          </cell>
          <cell r="D14387">
            <v>1.6</v>
          </cell>
          <cell r="H14387" t="str">
            <v>biomass</v>
          </cell>
        </row>
        <row r="14388">
          <cell r="C14388" t="str">
            <v>IC</v>
          </cell>
          <cell r="D14388">
            <v>1.6</v>
          </cell>
          <cell r="H14388" t="str">
            <v>biomass</v>
          </cell>
        </row>
        <row r="14389">
          <cell r="C14389" t="str">
            <v>IC</v>
          </cell>
          <cell r="D14389">
            <v>0.8</v>
          </cell>
          <cell r="H14389" t="str">
            <v>biomass</v>
          </cell>
        </row>
        <row r="14390">
          <cell r="C14390" t="str">
            <v>IC</v>
          </cell>
          <cell r="D14390">
            <v>0.8</v>
          </cell>
          <cell r="H14390" t="str">
            <v>biomass</v>
          </cell>
        </row>
        <row r="14391">
          <cell r="C14391" t="str">
            <v>IC</v>
          </cell>
          <cell r="D14391">
            <v>0.8</v>
          </cell>
          <cell r="H14391" t="str">
            <v>biomass</v>
          </cell>
        </row>
        <row r="14392">
          <cell r="C14392" t="str">
            <v>IC</v>
          </cell>
          <cell r="D14392">
            <v>0.8</v>
          </cell>
          <cell r="H14392" t="str">
            <v>biomass</v>
          </cell>
        </row>
        <row r="14393">
          <cell r="C14393" t="str">
            <v>IC</v>
          </cell>
          <cell r="D14393">
            <v>0.8</v>
          </cell>
          <cell r="H14393" t="str">
            <v>biomass</v>
          </cell>
        </row>
        <row r="14394">
          <cell r="C14394" t="str">
            <v>IC</v>
          </cell>
          <cell r="D14394">
            <v>0.8</v>
          </cell>
          <cell r="H14394" t="str">
            <v>biomass</v>
          </cell>
        </row>
        <row r="14395">
          <cell r="C14395" t="str">
            <v>IC</v>
          </cell>
          <cell r="D14395">
            <v>0.8</v>
          </cell>
          <cell r="H14395" t="str">
            <v>biomass</v>
          </cell>
        </row>
        <row r="14396">
          <cell r="C14396" t="str">
            <v>IC</v>
          </cell>
          <cell r="D14396">
            <v>0.8</v>
          </cell>
          <cell r="H14396" t="str">
            <v>biomass</v>
          </cell>
        </row>
        <row r="14397">
          <cell r="C14397" t="str">
            <v>IC</v>
          </cell>
          <cell r="D14397">
            <v>0.8</v>
          </cell>
          <cell r="H14397" t="str">
            <v>biomass</v>
          </cell>
        </row>
        <row r="14398">
          <cell r="C14398" t="str">
            <v>IC</v>
          </cell>
          <cell r="D14398">
            <v>0.8</v>
          </cell>
          <cell r="H14398" t="str">
            <v>biomass</v>
          </cell>
        </row>
        <row r="14399">
          <cell r="C14399" t="str">
            <v>IC</v>
          </cell>
          <cell r="D14399">
            <v>0.8</v>
          </cell>
          <cell r="H14399" t="str">
            <v>biomass</v>
          </cell>
        </row>
        <row r="14400">
          <cell r="C14400" t="str">
            <v>IC</v>
          </cell>
          <cell r="D14400">
            <v>0.8</v>
          </cell>
          <cell r="H14400" t="str">
            <v>biomass</v>
          </cell>
        </row>
        <row r="14401">
          <cell r="C14401" t="str">
            <v>IC</v>
          </cell>
          <cell r="D14401">
            <v>0.8</v>
          </cell>
          <cell r="H14401" t="str">
            <v>biomass</v>
          </cell>
        </row>
        <row r="14402">
          <cell r="C14402" t="str">
            <v>IC</v>
          </cell>
          <cell r="D14402">
            <v>1.6</v>
          </cell>
          <cell r="H14402" t="str">
            <v>biomass</v>
          </cell>
        </row>
        <row r="14403">
          <cell r="C14403" t="str">
            <v>IC</v>
          </cell>
          <cell r="D14403">
            <v>1.6</v>
          </cell>
          <cell r="H14403" t="str">
            <v>biomass</v>
          </cell>
        </row>
        <row r="14404">
          <cell r="C14404" t="str">
            <v>IC</v>
          </cell>
          <cell r="D14404">
            <v>1.6</v>
          </cell>
          <cell r="H14404" t="str">
            <v>biomass</v>
          </cell>
        </row>
        <row r="14405">
          <cell r="C14405" t="str">
            <v>IC</v>
          </cell>
          <cell r="D14405">
            <v>1.6</v>
          </cell>
          <cell r="H14405" t="str">
            <v>biomass</v>
          </cell>
        </row>
        <row r="14406">
          <cell r="C14406" t="str">
            <v>IC</v>
          </cell>
          <cell r="D14406">
            <v>1.6</v>
          </cell>
          <cell r="H14406" t="str">
            <v>biomass</v>
          </cell>
        </row>
        <row r="14407">
          <cell r="C14407" t="str">
            <v>IC</v>
          </cell>
          <cell r="D14407">
            <v>1.6</v>
          </cell>
          <cell r="H14407" t="str">
            <v>biomass</v>
          </cell>
        </row>
        <row r="14408">
          <cell r="C14408" t="str">
            <v>IC</v>
          </cell>
          <cell r="D14408">
            <v>1.6</v>
          </cell>
          <cell r="H14408" t="str">
            <v>biomass</v>
          </cell>
        </row>
        <row r="14409">
          <cell r="C14409" t="str">
            <v>IC</v>
          </cell>
          <cell r="D14409">
            <v>0.8</v>
          </cell>
          <cell r="H14409" t="str">
            <v>biomass</v>
          </cell>
        </row>
        <row r="14410">
          <cell r="C14410" t="str">
            <v>IC</v>
          </cell>
          <cell r="D14410">
            <v>0.8</v>
          </cell>
          <cell r="H14410" t="str">
            <v>biomass</v>
          </cell>
        </row>
        <row r="14411">
          <cell r="C14411" t="str">
            <v>IC</v>
          </cell>
          <cell r="D14411">
            <v>0.8</v>
          </cell>
          <cell r="H14411" t="str">
            <v>biomass</v>
          </cell>
        </row>
        <row r="14412">
          <cell r="C14412" t="str">
            <v>IC</v>
          </cell>
          <cell r="D14412">
            <v>0.8</v>
          </cell>
          <cell r="H14412" t="str">
            <v>biomass</v>
          </cell>
        </row>
        <row r="14413">
          <cell r="C14413" t="str">
            <v>IC</v>
          </cell>
          <cell r="D14413">
            <v>0.8</v>
          </cell>
          <cell r="H14413" t="str">
            <v>biomass</v>
          </cell>
        </row>
        <row r="14414">
          <cell r="C14414" t="str">
            <v>IC</v>
          </cell>
          <cell r="D14414">
            <v>0.8</v>
          </cell>
          <cell r="H14414" t="str">
            <v>biomass</v>
          </cell>
        </row>
        <row r="14415">
          <cell r="C14415" t="str">
            <v>IC</v>
          </cell>
          <cell r="D14415">
            <v>0.8</v>
          </cell>
          <cell r="H14415" t="str">
            <v>biomass</v>
          </cell>
        </row>
        <row r="14416">
          <cell r="C14416" t="str">
            <v>IC</v>
          </cell>
          <cell r="D14416">
            <v>0.8</v>
          </cell>
          <cell r="H14416" t="str">
            <v>biomass</v>
          </cell>
        </row>
        <row r="14417">
          <cell r="C14417" t="str">
            <v>IC</v>
          </cell>
          <cell r="D14417">
            <v>0.8</v>
          </cell>
          <cell r="H14417" t="str">
            <v>biomass</v>
          </cell>
        </row>
        <row r="14418">
          <cell r="C14418" t="str">
            <v>IC</v>
          </cell>
          <cell r="D14418">
            <v>0.8</v>
          </cell>
          <cell r="H14418" t="str">
            <v>biomass</v>
          </cell>
        </row>
        <row r="14419">
          <cell r="C14419" t="str">
            <v>IC</v>
          </cell>
          <cell r="D14419">
            <v>0.8</v>
          </cell>
          <cell r="H14419" t="str">
            <v>biomass</v>
          </cell>
        </row>
        <row r="14420">
          <cell r="C14420" t="str">
            <v>IC</v>
          </cell>
          <cell r="D14420">
            <v>0.8</v>
          </cell>
          <cell r="H14420" t="str">
            <v>biomass</v>
          </cell>
        </row>
        <row r="14421">
          <cell r="C14421" t="str">
            <v>IC</v>
          </cell>
          <cell r="D14421">
            <v>0.8</v>
          </cell>
          <cell r="H14421" t="str">
            <v>biomass</v>
          </cell>
        </row>
        <row r="14422">
          <cell r="C14422" t="str">
            <v>IC</v>
          </cell>
          <cell r="D14422">
            <v>0.8</v>
          </cell>
          <cell r="H14422" t="str">
            <v>biomass</v>
          </cell>
        </row>
        <row r="14423">
          <cell r="C14423" t="str">
            <v>CT</v>
          </cell>
          <cell r="D14423">
            <v>167</v>
          </cell>
          <cell r="H14423" t="str">
            <v>natural gas nonpeaker</v>
          </cell>
        </row>
        <row r="14424">
          <cell r="C14424" t="str">
            <v>CT</v>
          </cell>
          <cell r="D14424">
            <v>167</v>
          </cell>
          <cell r="H14424" t="str">
            <v>natural gas nonpeaker</v>
          </cell>
        </row>
        <row r="14425">
          <cell r="C14425" t="str">
            <v>CA</v>
          </cell>
          <cell r="D14425">
            <v>306</v>
          </cell>
          <cell r="H14425" t="str">
            <v>natural gas nonpeaker</v>
          </cell>
        </row>
        <row r="14426">
          <cell r="C14426" t="str">
            <v>WT</v>
          </cell>
          <cell r="D14426">
            <v>50.4</v>
          </cell>
          <cell r="H14426" t="str">
            <v>onshore wind</v>
          </cell>
        </row>
        <row r="14427">
          <cell r="C14427" t="str">
            <v>WT</v>
          </cell>
          <cell r="D14427">
            <v>50.4</v>
          </cell>
          <cell r="H14427" t="str">
            <v>onshore wind</v>
          </cell>
        </row>
        <row r="14428">
          <cell r="C14428" t="str">
            <v>WT</v>
          </cell>
          <cell r="D14428">
            <v>5</v>
          </cell>
          <cell r="H14428" t="str">
            <v>onshore wind</v>
          </cell>
        </row>
        <row r="14429">
          <cell r="C14429" t="str">
            <v>BT</v>
          </cell>
          <cell r="D14429">
            <v>9</v>
          </cell>
          <cell r="H14429" t="str">
            <v>geothermal</v>
          </cell>
        </row>
        <row r="14430">
          <cell r="C14430" t="str">
            <v>BT</v>
          </cell>
          <cell r="D14430">
            <v>10</v>
          </cell>
          <cell r="H14430" t="str">
            <v>geothermal</v>
          </cell>
        </row>
        <row r="14431">
          <cell r="C14431" t="str">
            <v>BT</v>
          </cell>
          <cell r="D14431">
            <v>10</v>
          </cell>
          <cell r="H14431" t="str">
            <v>geothermal</v>
          </cell>
        </row>
        <row r="14432">
          <cell r="C14432" t="str">
            <v>HY</v>
          </cell>
          <cell r="D14432">
            <v>3</v>
          </cell>
          <cell r="H14432" t="str">
            <v>hydro</v>
          </cell>
        </row>
        <row r="14433">
          <cell r="C14433" t="str">
            <v>WT</v>
          </cell>
          <cell r="D14433">
            <v>10.4</v>
          </cell>
          <cell r="H14433" t="str">
            <v>onshore wind</v>
          </cell>
        </row>
        <row r="14434">
          <cell r="C14434" t="str">
            <v>WT</v>
          </cell>
          <cell r="D14434">
            <v>15.6</v>
          </cell>
          <cell r="H14434" t="str">
            <v>onshore wind</v>
          </cell>
        </row>
        <row r="14435">
          <cell r="C14435" t="str">
            <v>IC</v>
          </cell>
          <cell r="D14435">
            <v>1.8</v>
          </cell>
          <cell r="H14435" t="str">
            <v>petroleum</v>
          </cell>
        </row>
        <row r="14436">
          <cell r="C14436" t="str">
            <v>IC</v>
          </cell>
          <cell r="D14436">
            <v>1.8</v>
          </cell>
          <cell r="H14436" t="str">
            <v>petroleum</v>
          </cell>
        </row>
        <row r="14437">
          <cell r="C14437" t="str">
            <v>IC</v>
          </cell>
          <cell r="D14437">
            <v>1.8</v>
          </cell>
          <cell r="H14437" t="str">
            <v>petroleum</v>
          </cell>
        </row>
        <row r="14438">
          <cell r="C14438" t="str">
            <v>IC</v>
          </cell>
          <cell r="D14438">
            <v>1.8</v>
          </cell>
          <cell r="H14438" t="str">
            <v>petroleum</v>
          </cell>
        </row>
        <row r="14439">
          <cell r="C14439" t="str">
            <v>IC</v>
          </cell>
          <cell r="D14439">
            <v>1.8</v>
          </cell>
          <cell r="H14439" t="str">
            <v>petroleum</v>
          </cell>
        </row>
        <row r="14440">
          <cell r="C14440" t="str">
            <v>IC</v>
          </cell>
          <cell r="D14440">
            <v>2</v>
          </cell>
          <cell r="H14440" t="str">
            <v>petroleum</v>
          </cell>
        </row>
        <row r="14441">
          <cell r="C14441" t="str">
            <v>IC</v>
          </cell>
          <cell r="D14441">
            <v>1</v>
          </cell>
          <cell r="H14441" t="str">
            <v>petroleum</v>
          </cell>
        </row>
        <row r="14442">
          <cell r="C14442" t="str">
            <v>IC</v>
          </cell>
          <cell r="D14442">
            <v>2</v>
          </cell>
          <cell r="H14442" t="str">
            <v>petroleum</v>
          </cell>
        </row>
        <row r="14443">
          <cell r="C14443" t="str">
            <v>IC</v>
          </cell>
          <cell r="D14443">
            <v>2</v>
          </cell>
          <cell r="H14443" t="str">
            <v>petroleum</v>
          </cell>
        </row>
        <row r="14444">
          <cell r="C14444" t="str">
            <v>IC</v>
          </cell>
          <cell r="D14444">
            <v>2</v>
          </cell>
          <cell r="H14444" t="str">
            <v>petroleum</v>
          </cell>
        </row>
        <row r="14445">
          <cell r="C14445" t="str">
            <v>IC</v>
          </cell>
          <cell r="D14445">
            <v>2</v>
          </cell>
          <cell r="H14445" t="str">
            <v>petroleum</v>
          </cell>
        </row>
        <row r="14446">
          <cell r="C14446" t="str">
            <v>IC</v>
          </cell>
          <cell r="D14446">
            <v>2</v>
          </cell>
          <cell r="H14446" t="str">
            <v>petroleum</v>
          </cell>
        </row>
        <row r="14447">
          <cell r="C14447" t="str">
            <v>IC</v>
          </cell>
          <cell r="D14447">
            <v>1.1000000000000001</v>
          </cell>
          <cell r="H14447" t="str">
            <v>petroleum</v>
          </cell>
        </row>
        <row r="14448">
          <cell r="C14448" t="str">
            <v>IC</v>
          </cell>
          <cell r="D14448">
            <v>0.8</v>
          </cell>
          <cell r="H14448" t="str">
            <v>biomass</v>
          </cell>
        </row>
        <row r="14449">
          <cell r="C14449" t="str">
            <v>IC</v>
          </cell>
          <cell r="D14449">
            <v>0.8</v>
          </cell>
          <cell r="H14449" t="str">
            <v>biomass</v>
          </cell>
        </row>
        <row r="14450">
          <cell r="C14450" t="str">
            <v>IC</v>
          </cell>
          <cell r="D14450">
            <v>1.5</v>
          </cell>
          <cell r="H14450" t="str">
            <v>biomass</v>
          </cell>
        </row>
        <row r="14451">
          <cell r="C14451" t="str">
            <v>WT</v>
          </cell>
          <cell r="D14451">
            <v>56.7</v>
          </cell>
          <cell r="H14451" t="str">
            <v>onshore wind</v>
          </cell>
        </row>
        <row r="14452">
          <cell r="C14452" t="str">
            <v>GT</v>
          </cell>
          <cell r="D14452">
            <v>55</v>
          </cell>
          <cell r="H14452" t="str">
            <v>natural gas peaker</v>
          </cell>
        </row>
        <row r="14453">
          <cell r="C14453" t="str">
            <v>GT</v>
          </cell>
          <cell r="D14453">
            <v>55</v>
          </cell>
          <cell r="H14453" t="str">
            <v>natural gas peaker</v>
          </cell>
        </row>
        <row r="14454">
          <cell r="C14454" t="str">
            <v>WT</v>
          </cell>
          <cell r="D14454">
            <v>79.8</v>
          </cell>
          <cell r="H14454" t="str">
            <v>onshore wind</v>
          </cell>
        </row>
        <row r="14455">
          <cell r="C14455" t="str">
            <v>WT</v>
          </cell>
          <cell r="D14455">
            <v>10</v>
          </cell>
          <cell r="H14455" t="str">
            <v>onshore wind</v>
          </cell>
        </row>
        <row r="14456">
          <cell r="C14456" t="str">
            <v>WT</v>
          </cell>
          <cell r="D14456">
            <v>10</v>
          </cell>
          <cell r="H14456" t="str">
            <v>onshore wind</v>
          </cell>
        </row>
        <row r="14457">
          <cell r="C14457" t="str">
            <v>WT</v>
          </cell>
          <cell r="D14457">
            <v>199.5</v>
          </cell>
          <cell r="H14457" t="str">
            <v>onshore wind</v>
          </cell>
        </row>
        <row r="14458">
          <cell r="C14458" t="str">
            <v>ST</v>
          </cell>
          <cell r="D14458">
            <v>650</v>
          </cell>
          <cell r="H14458" t="str">
            <v>hard coal</v>
          </cell>
        </row>
        <row r="14459">
          <cell r="C14459" t="str">
            <v>CT</v>
          </cell>
          <cell r="D14459">
            <v>160</v>
          </cell>
          <cell r="H14459" t="str">
            <v>natural gas nonpeaker</v>
          </cell>
        </row>
        <row r="14460">
          <cell r="C14460" t="str">
            <v>CT</v>
          </cell>
          <cell r="D14460">
            <v>160</v>
          </cell>
          <cell r="H14460" t="str">
            <v>natural gas nonpeaker</v>
          </cell>
        </row>
        <row r="14461">
          <cell r="C14461" t="str">
            <v>CA</v>
          </cell>
          <cell r="D14461">
            <v>187</v>
          </cell>
          <cell r="H14461" t="str">
            <v>natural gas nonpeaker</v>
          </cell>
        </row>
        <row r="14462">
          <cell r="C14462" t="str">
            <v>PV</v>
          </cell>
          <cell r="D14462">
            <v>4.9000000000000004</v>
          </cell>
          <cell r="H14462" t="str">
            <v>solar PV</v>
          </cell>
        </row>
        <row r="14463">
          <cell r="C14463" t="str">
            <v>PV</v>
          </cell>
          <cell r="D14463">
            <v>5.2</v>
          </cell>
          <cell r="H14463" t="str">
            <v>solar PV</v>
          </cell>
        </row>
        <row r="14464">
          <cell r="C14464" t="str">
            <v>PV</v>
          </cell>
          <cell r="D14464">
            <v>3.9</v>
          </cell>
          <cell r="H14464" t="str">
            <v>solar PV</v>
          </cell>
        </row>
        <row r="14465">
          <cell r="C14465" t="str">
            <v>GT</v>
          </cell>
          <cell r="D14465">
            <v>42.8</v>
          </cell>
          <cell r="H14465" t="str">
            <v>natural gas peaker</v>
          </cell>
        </row>
        <row r="14466">
          <cell r="C14466" t="str">
            <v>GT</v>
          </cell>
          <cell r="D14466">
            <v>43.9</v>
          </cell>
          <cell r="H14466" t="str">
            <v>natural gas peaker</v>
          </cell>
        </row>
        <row r="14467">
          <cell r="C14467" t="str">
            <v>WT</v>
          </cell>
          <cell r="D14467">
            <v>7.4</v>
          </cell>
          <cell r="H14467" t="str">
            <v>onshore wind</v>
          </cell>
        </row>
        <row r="14468">
          <cell r="C14468" t="str">
            <v>IC</v>
          </cell>
          <cell r="D14468">
            <v>1.3</v>
          </cell>
          <cell r="H14468" t="str">
            <v>biomass</v>
          </cell>
        </row>
        <row r="14469">
          <cell r="C14469" t="str">
            <v>IC</v>
          </cell>
          <cell r="D14469">
            <v>1.3</v>
          </cell>
          <cell r="H14469" t="str">
            <v>biomass</v>
          </cell>
        </row>
        <row r="14470">
          <cell r="C14470" t="str">
            <v>IC</v>
          </cell>
          <cell r="D14470">
            <v>1.3</v>
          </cell>
          <cell r="H14470" t="str">
            <v>biomass</v>
          </cell>
        </row>
        <row r="14471">
          <cell r="C14471" t="str">
            <v>WT</v>
          </cell>
          <cell r="D14471">
            <v>48</v>
          </cell>
          <cell r="H14471" t="str">
            <v>onshore wind</v>
          </cell>
        </row>
        <row r="14472">
          <cell r="C14472" t="str">
            <v>WT</v>
          </cell>
          <cell r="D14472">
            <v>20</v>
          </cell>
          <cell r="H14472" t="str">
            <v>onshore wind</v>
          </cell>
        </row>
        <row r="14473">
          <cell r="C14473" t="str">
            <v>WT</v>
          </cell>
          <cell r="D14473">
            <v>1.3</v>
          </cell>
          <cell r="H14473" t="str">
            <v>onshore wind</v>
          </cell>
        </row>
        <row r="14474">
          <cell r="C14474" t="str">
            <v>WT</v>
          </cell>
          <cell r="D14474">
            <v>1.3</v>
          </cell>
          <cell r="H14474" t="str">
            <v>onshore wind</v>
          </cell>
        </row>
        <row r="14475">
          <cell r="C14475" t="str">
            <v>WT</v>
          </cell>
          <cell r="D14475">
            <v>1.3</v>
          </cell>
          <cell r="H14475" t="str">
            <v>onshore wind</v>
          </cell>
        </row>
        <row r="14476">
          <cell r="C14476" t="str">
            <v>WT</v>
          </cell>
          <cell r="D14476">
            <v>1.3</v>
          </cell>
          <cell r="H14476" t="str">
            <v>onshore wind</v>
          </cell>
        </row>
        <row r="14477">
          <cell r="C14477" t="str">
            <v>WT</v>
          </cell>
          <cell r="D14477">
            <v>1.3</v>
          </cell>
          <cell r="H14477" t="str">
            <v>onshore wind</v>
          </cell>
        </row>
        <row r="14478">
          <cell r="C14478" t="str">
            <v>WT</v>
          </cell>
          <cell r="D14478">
            <v>1.3</v>
          </cell>
          <cell r="H14478" t="str">
            <v>onshore wind</v>
          </cell>
        </row>
        <row r="14479">
          <cell r="C14479" t="str">
            <v>WT</v>
          </cell>
          <cell r="D14479">
            <v>1.3</v>
          </cell>
          <cell r="H14479" t="str">
            <v>onshore wind</v>
          </cell>
        </row>
        <row r="14480">
          <cell r="C14480" t="str">
            <v>WT</v>
          </cell>
          <cell r="D14480">
            <v>1.3</v>
          </cell>
          <cell r="H14480" t="str">
            <v>onshore wind</v>
          </cell>
        </row>
        <row r="14481">
          <cell r="C14481" t="str">
            <v>WT</v>
          </cell>
          <cell r="D14481">
            <v>9</v>
          </cell>
          <cell r="H14481" t="str">
            <v>onshore wind</v>
          </cell>
        </row>
        <row r="14482">
          <cell r="C14482" t="str">
            <v>WT</v>
          </cell>
          <cell r="D14482">
            <v>126.5</v>
          </cell>
          <cell r="H14482" t="str">
            <v>onshore wind</v>
          </cell>
        </row>
        <row r="14483">
          <cell r="C14483" t="str">
            <v>WT</v>
          </cell>
          <cell r="D14483">
            <v>209</v>
          </cell>
          <cell r="H14483" t="str">
            <v>onshore wind</v>
          </cell>
        </row>
        <row r="14484">
          <cell r="C14484" t="str">
            <v>WT</v>
          </cell>
          <cell r="D14484">
            <v>34.5</v>
          </cell>
          <cell r="H14484" t="str">
            <v>onshore wind</v>
          </cell>
        </row>
        <row r="14485">
          <cell r="C14485" t="str">
            <v>ST</v>
          </cell>
          <cell r="D14485">
            <v>100</v>
          </cell>
          <cell r="H14485" t="str">
            <v>hard coal</v>
          </cell>
        </row>
        <row r="14486">
          <cell r="C14486" t="str">
            <v>IC</v>
          </cell>
          <cell r="D14486">
            <v>1.3</v>
          </cell>
          <cell r="H14486" t="str">
            <v>petroleum</v>
          </cell>
        </row>
        <row r="14487">
          <cell r="C14487" t="str">
            <v>IC</v>
          </cell>
          <cell r="D14487">
            <v>1.3</v>
          </cell>
          <cell r="H14487" t="str">
            <v>petroleum</v>
          </cell>
        </row>
        <row r="14488">
          <cell r="C14488" t="str">
            <v>IC</v>
          </cell>
          <cell r="D14488">
            <v>1.3</v>
          </cell>
          <cell r="H14488" t="str">
            <v>petroleum</v>
          </cell>
        </row>
        <row r="14489">
          <cell r="C14489" t="str">
            <v>IC</v>
          </cell>
          <cell r="D14489">
            <v>1.3</v>
          </cell>
          <cell r="H14489" t="str">
            <v>petroleum</v>
          </cell>
        </row>
        <row r="14490">
          <cell r="C14490" t="str">
            <v>IC</v>
          </cell>
          <cell r="D14490">
            <v>1.3</v>
          </cell>
          <cell r="H14490" t="str">
            <v>petroleum</v>
          </cell>
        </row>
        <row r="14491">
          <cell r="C14491" t="str">
            <v>IC</v>
          </cell>
          <cell r="D14491">
            <v>1.3</v>
          </cell>
          <cell r="H14491" t="str">
            <v>petroleum</v>
          </cell>
        </row>
        <row r="14492">
          <cell r="C14492" t="str">
            <v>IC</v>
          </cell>
          <cell r="D14492">
            <v>1.3</v>
          </cell>
          <cell r="H14492" t="str">
            <v>petroleum</v>
          </cell>
        </row>
        <row r="14493">
          <cell r="C14493" t="str">
            <v>IC</v>
          </cell>
          <cell r="D14493">
            <v>1.3</v>
          </cell>
          <cell r="H14493" t="str">
            <v>petroleum</v>
          </cell>
        </row>
        <row r="14494">
          <cell r="C14494" t="str">
            <v>WT</v>
          </cell>
          <cell r="D14494">
            <v>63</v>
          </cell>
          <cell r="H14494" t="str">
            <v>onshore wind</v>
          </cell>
        </row>
        <row r="14495">
          <cell r="C14495" t="str">
            <v>GT</v>
          </cell>
          <cell r="D14495">
            <v>73</v>
          </cell>
          <cell r="H14495" t="str">
            <v>natural gas peaker</v>
          </cell>
        </row>
        <row r="14496">
          <cell r="C14496" t="str">
            <v>GT</v>
          </cell>
          <cell r="D14496">
            <v>73</v>
          </cell>
          <cell r="H14496" t="str">
            <v>natural gas peaker</v>
          </cell>
        </row>
        <row r="14497">
          <cell r="C14497" t="str">
            <v>GT</v>
          </cell>
          <cell r="D14497">
            <v>73</v>
          </cell>
          <cell r="H14497" t="str">
            <v>natural gas peaker</v>
          </cell>
        </row>
        <row r="14498">
          <cell r="C14498" t="str">
            <v>GT</v>
          </cell>
          <cell r="D14498">
            <v>73</v>
          </cell>
          <cell r="H14498" t="str">
            <v>natural gas peaker</v>
          </cell>
        </row>
        <row r="14499">
          <cell r="C14499" t="str">
            <v>WT</v>
          </cell>
          <cell r="D14499">
            <v>118.5</v>
          </cell>
          <cell r="H14499" t="str">
            <v>onshore wind</v>
          </cell>
        </row>
        <row r="14500">
          <cell r="C14500" t="str">
            <v>GT</v>
          </cell>
          <cell r="D14500">
            <v>85</v>
          </cell>
          <cell r="H14500" t="str">
            <v>natural gas peaker</v>
          </cell>
        </row>
        <row r="14501">
          <cell r="C14501" t="str">
            <v>WT</v>
          </cell>
          <cell r="D14501">
            <v>115.5</v>
          </cell>
          <cell r="H14501" t="str">
            <v>onshore wind</v>
          </cell>
        </row>
        <row r="14502">
          <cell r="C14502" t="str">
            <v>WT</v>
          </cell>
          <cell r="D14502">
            <v>150</v>
          </cell>
          <cell r="H14502" t="str">
            <v>onshore wind</v>
          </cell>
        </row>
        <row r="14503">
          <cell r="C14503" t="str">
            <v>WT</v>
          </cell>
          <cell r="D14503">
            <v>10.5</v>
          </cell>
          <cell r="H14503" t="str">
            <v>onshore wind</v>
          </cell>
        </row>
        <row r="14504">
          <cell r="C14504" t="str">
            <v>WT</v>
          </cell>
          <cell r="D14504">
            <v>1.5</v>
          </cell>
          <cell r="H14504" t="str">
            <v>onshore wind</v>
          </cell>
        </row>
        <row r="14505">
          <cell r="C14505" t="str">
            <v>ST</v>
          </cell>
          <cell r="D14505">
            <v>390</v>
          </cell>
          <cell r="H14505" t="str">
            <v>hard coal</v>
          </cell>
        </row>
        <row r="14506">
          <cell r="C14506" t="str">
            <v>CA</v>
          </cell>
          <cell r="D14506">
            <v>150</v>
          </cell>
          <cell r="H14506" t="str">
            <v>natural gas nonpeaker</v>
          </cell>
        </row>
        <row r="14507">
          <cell r="C14507" t="str">
            <v>CT</v>
          </cell>
          <cell r="D14507">
            <v>145</v>
          </cell>
          <cell r="H14507" t="str">
            <v>natural gas nonpeaker</v>
          </cell>
        </row>
        <row r="14508">
          <cell r="C14508" t="str">
            <v>ST</v>
          </cell>
          <cell r="D14508">
            <v>932.6</v>
          </cell>
          <cell r="H14508" t="str">
            <v>hard coal</v>
          </cell>
        </row>
        <row r="14509">
          <cell r="C14509" t="str">
            <v>WT</v>
          </cell>
          <cell r="D14509">
            <v>201</v>
          </cell>
          <cell r="H14509" t="str">
            <v>onshore wind</v>
          </cell>
        </row>
        <row r="14510">
          <cell r="C14510" t="str">
            <v>WT</v>
          </cell>
          <cell r="D14510">
            <v>198</v>
          </cell>
          <cell r="H14510" t="str">
            <v>onshore wind</v>
          </cell>
        </row>
        <row r="14511">
          <cell r="C14511" t="str">
            <v>HY</v>
          </cell>
          <cell r="D14511">
            <v>4.4000000000000004</v>
          </cell>
          <cell r="H14511" t="str">
            <v>hydro</v>
          </cell>
        </row>
        <row r="14512">
          <cell r="C14512" t="str">
            <v>ST</v>
          </cell>
          <cell r="D14512">
            <v>22.2</v>
          </cell>
          <cell r="H14512" t="str">
            <v>biomass</v>
          </cell>
        </row>
        <row r="14513">
          <cell r="C14513" t="str">
            <v>WT</v>
          </cell>
          <cell r="D14513">
            <v>205.5</v>
          </cell>
          <cell r="H14513" t="str">
            <v>onshore wind</v>
          </cell>
        </row>
        <row r="14514">
          <cell r="C14514" t="str">
            <v>WT</v>
          </cell>
          <cell r="D14514">
            <v>100.5</v>
          </cell>
          <cell r="H14514" t="str">
            <v>onshore wind</v>
          </cell>
        </row>
        <row r="14515">
          <cell r="C14515" t="str">
            <v>WT</v>
          </cell>
          <cell r="D14515">
            <v>81</v>
          </cell>
          <cell r="H14515" t="str">
            <v>onshore wind</v>
          </cell>
        </row>
        <row r="14516">
          <cell r="C14516" t="str">
            <v>WT</v>
          </cell>
          <cell r="D14516">
            <v>100.5</v>
          </cell>
          <cell r="H14516" t="str">
            <v>onshore wind</v>
          </cell>
        </row>
        <row r="14517">
          <cell r="C14517" t="str">
            <v>WT</v>
          </cell>
          <cell r="D14517">
            <v>94.5</v>
          </cell>
          <cell r="H14517" t="str">
            <v>onshore wind</v>
          </cell>
        </row>
        <row r="14518">
          <cell r="C14518" t="str">
            <v>WT</v>
          </cell>
          <cell r="D14518">
            <v>72</v>
          </cell>
          <cell r="H14518" t="str">
            <v>onshore wind</v>
          </cell>
        </row>
        <row r="14519">
          <cell r="C14519" t="str">
            <v>WT</v>
          </cell>
          <cell r="D14519">
            <v>100.7</v>
          </cell>
          <cell r="H14519" t="str">
            <v>onshore wind</v>
          </cell>
        </row>
        <row r="14520">
          <cell r="C14520" t="str">
            <v>WT</v>
          </cell>
          <cell r="D14520">
            <v>4</v>
          </cell>
          <cell r="H14520" t="str">
            <v>onshore wind</v>
          </cell>
        </row>
        <row r="14521">
          <cell r="C14521" t="str">
            <v>WT</v>
          </cell>
          <cell r="D14521">
            <v>4</v>
          </cell>
          <cell r="H14521" t="str">
            <v>onshore wind</v>
          </cell>
        </row>
        <row r="14522">
          <cell r="C14522" t="str">
            <v>WT</v>
          </cell>
          <cell r="D14522">
            <v>4</v>
          </cell>
          <cell r="H14522" t="str">
            <v>onshore wind</v>
          </cell>
        </row>
        <row r="14523">
          <cell r="C14523" t="str">
            <v>WT</v>
          </cell>
          <cell r="D14523">
            <v>4</v>
          </cell>
          <cell r="H14523" t="str">
            <v>onshore wind</v>
          </cell>
        </row>
        <row r="14524">
          <cell r="C14524" t="str">
            <v>WT</v>
          </cell>
          <cell r="D14524">
            <v>4</v>
          </cell>
          <cell r="H14524" t="str">
            <v>onshore wind</v>
          </cell>
        </row>
        <row r="14525">
          <cell r="C14525" t="str">
            <v>GT</v>
          </cell>
          <cell r="D14525">
            <v>96</v>
          </cell>
          <cell r="H14525" t="str">
            <v>natural gas peaker</v>
          </cell>
        </row>
        <row r="14526">
          <cell r="C14526" t="str">
            <v>WT</v>
          </cell>
          <cell r="D14526">
            <v>25</v>
          </cell>
          <cell r="H14526" t="str">
            <v>onshore wind</v>
          </cell>
        </row>
        <row r="14527">
          <cell r="C14527" t="str">
            <v>WT</v>
          </cell>
          <cell r="D14527">
            <v>37.5</v>
          </cell>
          <cell r="H14527" t="str">
            <v>onshore wind</v>
          </cell>
        </row>
        <row r="14528">
          <cell r="C14528" t="str">
            <v>WT</v>
          </cell>
          <cell r="D14528">
            <v>87.5</v>
          </cell>
          <cell r="H14528" t="str">
            <v>onshore wind</v>
          </cell>
        </row>
        <row r="14529">
          <cell r="C14529" t="str">
            <v>WT</v>
          </cell>
          <cell r="D14529">
            <v>52.8</v>
          </cell>
          <cell r="H14529" t="str">
            <v>onshore wind</v>
          </cell>
        </row>
        <row r="14530">
          <cell r="C14530" t="str">
            <v>WT</v>
          </cell>
          <cell r="D14530">
            <v>21</v>
          </cell>
          <cell r="H14530" t="str">
            <v>onshore wind</v>
          </cell>
        </row>
        <row r="14531">
          <cell r="C14531" t="str">
            <v>WT</v>
          </cell>
          <cell r="D14531">
            <v>21</v>
          </cell>
          <cell r="H14531" t="str">
            <v>onshore wind</v>
          </cell>
        </row>
        <row r="14532">
          <cell r="C14532" t="str">
            <v>WT</v>
          </cell>
          <cell r="D14532">
            <v>170.2</v>
          </cell>
          <cell r="H14532" t="str">
            <v>onshore wind</v>
          </cell>
        </row>
        <row r="14533">
          <cell r="C14533" t="str">
            <v>GT</v>
          </cell>
          <cell r="D14533">
            <v>55.6</v>
          </cell>
          <cell r="H14533" t="str">
            <v>natural gas peaker</v>
          </cell>
        </row>
        <row r="14534">
          <cell r="C14534" t="str">
            <v>GT</v>
          </cell>
          <cell r="D14534">
            <v>55.6</v>
          </cell>
          <cell r="H14534" t="str">
            <v>natural gas peaker</v>
          </cell>
        </row>
        <row r="14535">
          <cell r="C14535" t="str">
            <v>WT</v>
          </cell>
          <cell r="D14535">
            <v>150</v>
          </cell>
          <cell r="H14535" t="str">
            <v>onshore wind</v>
          </cell>
        </row>
        <row r="14536">
          <cell r="C14536" t="str">
            <v>ST</v>
          </cell>
          <cell r="D14536">
            <v>33</v>
          </cell>
          <cell r="H14536" t="str">
            <v>biomass</v>
          </cell>
        </row>
        <row r="14537">
          <cell r="C14537" t="str">
            <v>WT</v>
          </cell>
          <cell r="D14537">
            <v>120</v>
          </cell>
          <cell r="H14537" t="str">
            <v>onshore wind</v>
          </cell>
        </row>
        <row r="14538">
          <cell r="C14538" t="str">
            <v>WT</v>
          </cell>
          <cell r="D14538">
            <v>100</v>
          </cell>
          <cell r="H14538" t="str">
            <v>onshore wind</v>
          </cell>
        </row>
        <row r="14539">
          <cell r="C14539" t="str">
            <v>WT</v>
          </cell>
          <cell r="D14539">
            <v>54</v>
          </cell>
          <cell r="H14539" t="str">
            <v>onshore wind</v>
          </cell>
        </row>
        <row r="14540">
          <cell r="C14540" t="str">
            <v>WT</v>
          </cell>
          <cell r="D14540">
            <v>79.5</v>
          </cell>
          <cell r="H14540" t="str">
            <v>onshore wind</v>
          </cell>
        </row>
        <row r="14541">
          <cell r="C14541" t="str">
            <v>WT</v>
          </cell>
          <cell r="D14541">
            <v>101.2</v>
          </cell>
          <cell r="H14541" t="str">
            <v>onshore wind</v>
          </cell>
        </row>
        <row r="14542">
          <cell r="C14542" t="str">
            <v>WT</v>
          </cell>
          <cell r="D14542">
            <v>51</v>
          </cell>
          <cell r="H14542" t="str">
            <v>onshore wind</v>
          </cell>
        </row>
        <row r="14543">
          <cell r="C14543" t="str">
            <v>WT</v>
          </cell>
          <cell r="D14543">
            <v>70</v>
          </cell>
          <cell r="H14543" t="str">
            <v>onshore wind</v>
          </cell>
        </row>
        <row r="14544">
          <cell r="C14544" t="str">
            <v>WT</v>
          </cell>
          <cell r="D14544">
            <v>101.2</v>
          </cell>
          <cell r="H14544" t="str">
            <v>onshore wind</v>
          </cell>
        </row>
        <row r="14545">
          <cell r="C14545" t="str">
            <v>WT</v>
          </cell>
          <cell r="D14545">
            <v>90</v>
          </cell>
          <cell r="H14545" t="str">
            <v>onshore wind</v>
          </cell>
        </row>
        <row r="14546">
          <cell r="C14546" t="str">
            <v>WT</v>
          </cell>
          <cell r="D14546">
            <v>283.2</v>
          </cell>
          <cell r="H14546" t="str">
            <v>onshore wind</v>
          </cell>
        </row>
        <row r="14547">
          <cell r="C14547" t="str">
            <v>WT</v>
          </cell>
          <cell r="D14547">
            <v>132</v>
          </cell>
          <cell r="H14547" t="str">
            <v>onshore wind</v>
          </cell>
        </row>
        <row r="14548">
          <cell r="C14548" t="str">
            <v>WT</v>
          </cell>
          <cell r="D14548">
            <v>94</v>
          </cell>
          <cell r="H14548" t="str">
            <v>onshore wind</v>
          </cell>
        </row>
        <row r="14549">
          <cell r="C14549" t="str">
            <v>PV</v>
          </cell>
          <cell r="D14549">
            <v>0.1</v>
          </cell>
          <cell r="H14549" t="str">
            <v>solar PV</v>
          </cell>
        </row>
        <row r="14550">
          <cell r="C14550" t="str">
            <v>PV</v>
          </cell>
          <cell r="D14550">
            <v>0.1</v>
          </cell>
          <cell r="H14550" t="str">
            <v>solar PV</v>
          </cell>
        </row>
        <row r="14551">
          <cell r="C14551" t="str">
            <v>PV</v>
          </cell>
          <cell r="D14551">
            <v>0.1</v>
          </cell>
          <cell r="H14551" t="str">
            <v>solar PV</v>
          </cell>
        </row>
        <row r="14552">
          <cell r="C14552" t="str">
            <v>PV</v>
          </cell>
          <cell r="D14552">
            <v>0.1</v>
          </cell>
          <cell r="H14552" t="str">
            <v>solar PV</v>
          </cell>
        </row>
        <row r="14553">
          <cell r="C14553" t="str">
            <v>PV</v>
          </cell>
          <cell r="D14553">
            <v>0.1</v>
          </cell>
          <cell r="H14553" t="str">
            <v>solar PV</v>
          </cell>
        </row>
        <row r="14554">
          <cell r="C14554" t="str">
            <v>PV</v>
          </cell>
          <cell r="D14554">
            <v>0.1</v>
          </cell>
          <cell r="H14554" t="str">
            <v>solar PV</v>
          </cell>
        </row>
        <row r="14555">
          <cell r="C14555" t="str">
            <v>PV</v>
          </cell>
          <cell r="D14555">
            <v>0.1</v>
          </cell>
          <cell r="H14555" t="str">
            <v>solar PV</v>
          </cell>
        </row>
        <row r="14556">
          <cell r="C14556" t="str">
            <v>PV</v>
          </cell>
          <cell r="D14556">
            <v>0.1</v>
          </cell>
          <cell r="H14556" t="str">
            <v>solar PV</v>
          </cell>
        </row>
        <row r="14557">
          <cell r="C14557" t="str">
            <v>PV</v>
          </cell>
          <cell r="D14557">
            <v>0.1</v>
          </cell>
          <cell r="H14557" t="str">
            <v>solar PV</v>
          </cell>
        </row>
        <row r="14558">
          <cell r="C14558" t="str">
            <v>PV</v>
          </cell>
          <cell r="D14558">
            <v>0.1</v>
          </cell>
          <cell r="H14558" t="str">
            <v>solar PV</v>
          </cell>
        </row>
        <row r="14559">
          <cell r="C14559" t="str">
            <v>PV</v>
          </cell>
          <cell r="D14559">
            <v>0.1</v>
          </cell>
          <cell r="H14559" t="str">
            <v>solar PV</v>
          </cell>
        </row>
        <row r="14560">
          <cell r="C14560" t="str">
            <v>PV</v>
          </cell>
          <cell r="D14560">
            <v>0.1</v>
          </cell>
          <cell r="H14560" t="str">
            <v>solar PV</v>
          </cell>
        </row>
        <row r="14561">
          <cell r="C14561" t="str">
            <v>GT</v>
          </cell>
          <cell r="D14561">
            <v>27.6</v>
          </cell>
          <cell r="H14561" t="str">
            <v>natural gas peaker</v>
          </cell>
        </row>
        <row r="14562">
          <cell r="C14562" t="str">
            <v>WT</v>
          </cell>
          <cell r="D14562">
            <v>180</v>
          </cell>
          <cell r="H14562" t="str">
            <v>onshore wind</v>
          </cell>
        </row>
        <row r="14563">
          <cell r="C14563" t="str">
            <v>WT</v>
          </cell>
          <cell r="D14563">
            <v>11.9</v>
          </cell>
          <cell r="H14563" t="str">
            <v>onshore wind</v>
          </cell>
        </row>
        <row r="14564">
          <cell r="C14564" t="str">
            <v>ST</v>
          </cell>
          <cell r="D14564">
            <v>710</v>
          </cell>
          <cell r="H14564" t="str">
            <v>hard coal</v>
          </cell>
        </row>
        <row r="14565">
          <cell r="C14565" t="str">
            <v>WT</v>
          </cell>
          <cell r="D14565">
            <v>57</v>
          </cell>
          <cell r="H14565" t="str">
            <v>onshore wind</v>
          </cell>
        </row>
        <row r="14566">
          <cell r="C14566" t="str">
            <v>GT</v>
          </cell>
          <cell r="D14566">
            <v>44</v>
          </cell>
          <cell r="H14566" t="str">
            <v>natural gas peaker</v>
          </cell>
        </row>
        <row r="14567">
          <cell r="C14567" t="str">
            <v>GT</v>
          </cell>
          <cell r="D14567">
            <v>44</v>
          </cell>
          <cell r="H14567" t="str">
            <v>natural gas peaker</v>
          </cell>
        </row>
        <row r="14568">
          <cell r="C14568" t="str">
            <v>GT</v>
          </cell>
          <cell r="D14568">
            <v>44</v>
          </cell>
          <cell r="H14568" t="str">
            <v>natural gas peaker</v>
          </cell>
        </row>
        <row r="14569">
          <cell r="C14569" t="str">
            <v>GT</v>
          </cell>
          <cell r="D14569">
            <v>44</v>
          </cell>
          <cell r="H14569" t="str">
            <v>natural gas peaker</v>
          </cell>
        </row>
        <row r="14570">
          <cell r="C14570" t="str">
            <v>WT</v>
          </cell>
          <cell r="D14570">
            <v>80</v>
          </cell>
          <cell r="H14570" t="str">
            <v>onshore wind</v>
          </cell>
        </row>
        <row r="14571">
          <cell r="C14571" t="str">
            <v>WT</v>
          </cell>
          <cell r="D14571">
            <v>130.5</v>
          </cell>
          <cell r="H14571" t="str">
            <v>onshore wind</v>
          </cell>
        </row>
        <row r="14572">
          <cell r="C14572" t="str">
            <v>IC</v>
          </cell>
          <cell r="D14572">
            <v>0.3</v>
          </cell>
          <cell r="H14572" t="str">
            <v>biomass</v>
          </cell>
        </row>
        <row r="14573">
          <cell r="C14573" t="str">
            <v>IC</v>
          </cell>
          <cell r="D14573">
            <v>0.3</v>
          </cell>
          <cell r="H14573" t="str">
            <v>biomass</v>
          </cell>
        </row>
        <row r="14574">
          <cell r="C14574" t="str">
            <v>IC</v>
          </cell>
          <cell r="D14574">
            <v>0.3</v>
          </cell>
          <cell r="H14574" t="str">
            <v>biomass</v>
          </cell>
        </row>
        <row r="14575">
          <cell r="C14575" t="str">
            <v>IC</v>
          </cell>
          <cell r="D14575">
            <v>0.3</v>
          </cell>
          <cell r="H14575" t="str">
            <v>biomass</v>
          </cell>
        </row>
        <row r="14576">
          <cell r="C14576" t="str">
            <v>IC</v>
          </cell>
          <cell r="D14576">
            <v>0.3</v>
          </cell>
          <cell r="H14576" t="str">
            <v>biomass</v>
          </cell>
        </row>
        <row r="14577">
          <cell r="C14577" t="str">
            <v>IC</v>
          </cell>
          <cell r="D14577">
            <v>0.3</v>
          </cell>
          <cell r="H14577" t="str">
            <v>biomass</v>
          </cell>
        </row>
        <row r="14578">
          <cell r="C14578" t="str">
            <v>IC</v>
          </cell>
          <cell r="D14578">
            <v>0.3</v>
          </cell>
          <cell r="H14578" t="str">
            <v>biomass</v>
          </cell>
        </row>
        <row r="14579">
          <cell r="C14579" t="str">
            <v>IC</v>
          </cell>
          <cell r="D14579">
            <v>0.3</v>
          </cell>
          <cell r="H14579" t="str">
            <v>biomass</v>
          </cell>
        </row>
        <row r="14580">
          <cell r="C14580" t="str">
            <v>IC</v>
          </cell>
          <cell r="D14580">
            <v>0.3</v>
          </cell>
          <cell r="H14580" t="str">
            <v>biomass</v>
          </cell>
        </row>
        <row r="14581">
          <cell r="C14581" t="str">
            <v>IC</v>
          </cell>
          <cell r="D14581">
            <v>0.3</v>
          </cell>
          <cell r="H14581" t="str">
            <v>biomass</v>
          </cell>
        </row>
        <row r="14582">
          <cell r="C14582" t="str">
            <v>IC</v>
          </cell>
          <cell r="D14582">
            <v>0.3</v>
          </cell>
          <cell r="H14582" t="str">
            <v>biomass</v>
          </cell>
        </row>
        <row r="14583">
          <cell r="C14583" t="str">
            <v>IC</v>
          </cell>
          <cell r="D14583">
            <v>0.3</v>
          </cell>
          <cell r="H14583" t="str">
            <v>biomass</v>
          </cell>
        </row>
        <row r="14584">
          <cell r="C14584" t="str">
            <v>IC</v>
          </cell>
          <cell r="D14584">
            <v>0.3</v>
          </cell>
          <cell r="H14584" t="str">
            <v>biomass</v>
          </cell>
        </row>
        <row r="14585">
          <cell r="C14585" t="str">
            <v>IC</v>
          </cell>
          <cell r="D14585">
            <v>0.3</v>
          </cell>
          <cell r="H14585" t="str">
            <v>biomass</v>
          </cell>
        </row>
        <row r="14586">
          <cell r="C14586" t="str">
            <v>IC</v>
          </cell>
          <cell r="D14586">
            <v>0.3</v>
          </cell>
          <cell r="H14586" t="str">
            <v>biomass</v>
          </cell>
        </row>
        <row r="14587">
          <cell r="C14587" t="str">
            <v>IC</v>
          </cell>
          <cell r="D14587">
            <v>0.3</v>
          </cell>
          <cell r="H14587" t="str">
            <v>biomass</v>
          </cell>
        </row>
        <row r="14588">
          <cell r="C14588" t="str">
            <v>IC</v>
          </cell>
          <cell r="D14588">
            <v>0.3</v>
          </cell>
          <cell r="H14588" t="str">
            <v>biomass</v>
          </cell>
        </row>
        <row r="14589">
          <cell r="C14589" t="str">
            <v>IC</v>
          </cell>
          <cell r="D14589">
            <v>0.3</v>
          </cell>
          <cell r="H14589" t="str">
            <v>biomass</v>
          </cell>
        </row>
        <row r="14590">
          <cell r="C14590" t="str">
            <v>IC</v>
          </cell>
          <cell r="D14590">
            <v>0.3</v>
          </cell>
          <cell r="H14590" t="str">
            <v>biomass</v>
          </cell>
        </row>
        <row r="14591">
          <cell r="C14591" t="str">
            <v>IC</v>
          </cell>
          <cell r="D14591">
            <v>0.3</v>
          </cell>
          <cell r="H14591" t="str">
            <v>biomass</v>
          </cell>
        </row>
        <row r="14592">
          <cell r="C14592" t="str">
            <v>IC</v>
          </cell>
          <cell r="D14592">
            <v>0.3</v>
          </cell>
          <cell r="H14592" t="str">
            <v>biomass</v>
          </cell>
        </row>
        <row r="14593">
          <cell r="C14593" t="str">
            <v>IC</v>
          </cell>
          <cell r="D14593">
            <v>0.3</v>
          </cell>
          <cell r="H14593" t="str">
            <v>biomass</v>
          </cell>
        </row>
        <row r="14594">
          <cell r="C14594" t="str">
            <v>IC</v>
          </cell>
          <cell r="D14594">
            <v>0.3</v>
          </cell>
          <cell r="H14594" t="str">
            <v>biomass</v>
          </cell>
        </row>
        <row r="14595">
          <cell r="C14595" t="str">
            <v>IC</v>
          </cell>
          <cell r="D14595">
            <v>0.3</v>
          </cell>
          <cell r="H14595" t="str">
            <v>biomass</v>
          </cell>
        </row>
        <row r="14596">
          <cell r="C14596" t="str">
            <v>IC</v>
          </cell>
          <cell r="D14596">
            <v>0.3</v>
          </cell>
          <cell r="H14596" t="str">
            <v>biomass</v>
          </cell>
        </row>
        <row r="14597">
          <cell r="C14597" t="str">
            <v>IC</v>
          </cell>
          <cell r="D14597">
            <v>0.3</v>
          </cell>
          <cell r="H14597" t="str">
            <v>biomass</v>
          </cell>
        </row>
        <row r="14598">
          <cell r="C14598" t="str">
            <v>IC</v>
          </cell>
          <cell r="D14598">
            <v>0.3</v>
          </cell>
          <cell r="H14598" t="str">
            <v>biomass</v>
          </cell>
        </row>
        <row r="14599">
          <cell r="C14599" t="str">
            <v>IC</v>
          </cell>
          <cell r="D14599">
            <v>0.3</v>
          </cell>
          <cell r="H14599" t="str">
            <v>biomass</v>
          </cell>
        </row>
        <row r="14600">
          <cell r="C14600" t="str">
            <v>IC</v>
          </cell>
          <cell r="D14600">
            <v>0.3</v>
          </cell>
          <cell r="H14600" t="str">
            <v>biomass</v>
          </cell>
        </row>
        <row r="14601">
          <cell r="C14601" t="str">
            <v>IC</v>
          </cell>
          <cell r="D14601">
            <v>0.3</v>
          </cell>
          <cell r="H14601" t="str">
            <v>biomass</v>
          </cell>
        </row>
        <row r="14602">
          <cell r="C14602" t="str">
            <v>IC</v>
          </cell>
          <cell r="D14602">
            <v>0.3</v>
          </cell>
          <cell r="H14602" t="str">
            <v>biomass</v>
          </cell>
        </row>
        <row r="14603">
          <cell r="C14603" t="str">
            <v>IC</v>
          </cell>
          <cell r="D14603">
            <v>0.3</v>
          </cell>
          <cell r="H14603" t="str">
            <v>biomass</v>
          </cell>
        </row>
        <row r="14604">
          <cell r="C14604" t="str">
            <v>IC</v>
          </cell>
          <cell r="D14604">
            <v>0.3</v>
          </cell>
          <cell r="H14604" t="str">
            <v>biomass</v>
          </cell>
        </row>
        <row r="14605">
          <cell r="C14605" t="str">
            <v>IC</v>
          </cell>
          <cell r="D14605">
            <v>0.3</v>
          </cell>
          <cell r="H14605" t="str">
            <v>biomass</v>
          </cell>
        </row>
        <row r="14606">
          <cell r="C14606" t="str">
            <v>IC</v>
          </cell>
          <cell r="D14606">
            <v>0.3</v>
          </cell>
          <cell r="H14606" t="str">
            <v>biomass</v>
          </cell>
        </row>
        <row r="14607">
          <cell r="C14607" t="str">
            <v>IC</v>
          </cell>
          <cell r="D14607">
            <v>0.3</v>
          </cell>
          <cell r="H14607" t="str">
            <v>biomass</v>
          </cell>
        </row>
        <row r="14608">
          <cell r="C14608" t="str">
            <v>IC</v>
          </cell>
          <cell r="D14608">
            <v>0.3</v>
          </cell>
          <cell r="H14608" t="str">
            <v>biomass</v>
          </cell>
        </row>
        <row r="14609">
          <cell r="C14609" t="str">
            <v>IC</v>
          </cell>
          <cell r="D14609">
            <v>0.3</v>
          </cell>
          <cell r="H14609" t="str">
            <v>biomass</v>
          </cell>
        </row>
        <row r="14610">
          <cell r="C14610" t="str">
            <v>IC</v>
          </cell>
          <cell r="D14610">
            <v>0.3</v>
          </cell>
          <cell r="H14610" t="str">
            <v>biomass</v>
          </cell>
        </row>
        <row r="14611">
          <cell r="C14611" t="str">
            <v>IC</v>
          </cell>
          <cell r="D14611">
            <v>0.3</v>
          </cell>
          <cell r="H14611" t="str">
            <v>biomass</v>
          </cell>
        </row>
        <row r="14612">
          <cell r="C14612" t="str">
            <v>IC</v>
          </cell>
          <cell r="D14612">
            <v>0.3</v>
          </cell>
          <cell r="H14612" t="str">
            <v>biomass</v>
          </cell>
        </row>
        <row r="14613">
          <cell r="C14613" t="str">
            <v>IC</v>
          </cell>
          <cell r="D14613">
            <v>0.3</v>
          </cell>
          <cell r="H14613" t="str">
            <v>biomass</v>
          </cell>
        </row>
        <row r="14614">
          <cell r="C14614" t="str">
            <v>IC</v>
          </cell>
          <cell r="D14614">
            <v>0.3</v>
          </cell>
          <cell r="H14614" t="str">
            <v>biomass</v>
          </cell>
        </row>
        <row r="14615">
          <cell r="C14615" t="str">
            <v>IC</v>
          </cell>
          <cell r="D14615">
            <v>0.3</v>
          </cell>
          <cell r="H14615" t="str">
            <v>biomass</v>
          </cell>
        </row>
        <row r="14616">
          <cell r="C14616" t="str">
            <v>IC</v>
          </cell>
          <cell r="D14616">
            <v>0.3</v>
          </cell>
          <cell r="H14616" t="str">
            <v>biomass</v>
          </cell>
        </row>
        <row r="14617">
          <cell r="C14617" t="str">
            <v>IC</v>
          </cell>
          <cell r="D14617">
            <v>0.3</v>
          </cell>
          <cell r="H14617" t="str">
            <v>biomass</v>
          </cell>
        </row>
        <row r="14618">
          <cell r="C14618" t="str">
            <v>IC</v>
          </cell>
          <cell r="D14618">
            <v>0.3</v>
          </cell>
          <cell r="H14618" t="str">
            <v>biomass</v>
          </cell>
        </row>
        <row r="14619">
          <cell r="C14619" t="str">
            <v>IC</v>
          </cell>
          <cell r="D14619">
            <v>0.3</v>
          </cell>
          <cell r="H14619" t="str">
            <v>biomass</v>
          </cell>
        </row>
        <row r="14620">
          <cell r="C14620" t="str">
            <v>IC</v>
          </cell>
          <cell r="D14620">
            <v>0.3</v>
          </cell>
          <cell r="H14620" t="str">
            <v>biomass</v>
          </cell>
        </row>
        <row r="14621">
          <cell r="C14621" t="str">
            <v>IC</v>
          </cell>
          <cell r="D14621">
            <v>0.3</v>
          </cell>
          <cell r="H14621" t="str">
            <v>biomass</v>
          </cell>
        </row>
        <row r="14622">
          <cell r="C14622" t="str">
            <v>IC</v>
          </cell>
          <cell r="D14622">
            <v>0.3</v>
          </cell>
          <cell r="H14622" t="str">
            <v>biomass</v>
          </cell>
        </row>
        <row r="14623">
          <cell r="C14623" t="str">
            <v>IC</v>
          </cell>
          <cell r="D14623">
            <v>0.3</v>
          </cell>
          <cell r="H14623" t="str">
            <v>biomass</v>
          </cell>
        </row>
        <row r="14624">
          <cell r="C14624" t="str">
            <v>IC</v>
          </cell>
          <cell r="D14624">
            <v>0.3</v>
          </cell>
          <cell r="H14624" t="str">
            <v>biomass</v>
          </cell>
        </row>
        <row r="14625">
          <cell r="C14625" t="str">
            <v>IC</v>
          </cell>
          <cell r="D14625">
            <v>0.3</v>
          </cell>
          <cell r="H14625" t="str">
            <v>biomass</v>
          </cell>
        </row>
        <row r="14626">
          <cell r="C14626" t="str">
            <v>IC</v>
          </cell>
          <cell r="D14626">
            <v>0.3</v>
          </cell>
          <cell r="H14626" t="str">
            <v>biomass</v>
          </cell>
        </row>
        <row r="14627">
          <cell r="C14627" t="str">
            <v>IC</v>
          </cell>
          <cell r="D14627">
            <v>0.3</v>
          </cell>
          <cell r="H14627" t="str">
            <v>biomass</v>
          </cell>
        </row>
        <row r="14628">
          <cell r="C14628" t="str">
            <v>IC</v>
          </cell>
          <cell r="D14628">
            <v>0.3</v>
          </cell>
          <cell r="H14628" t="str">
            <v>biomass</v>
          </cell>
        </row>
        <row r="14629">
          <cell r="C14629" t="str">
            <v>IC</v>
          </cell>
          <cell r="D14629">
            <v>0.3</v>
          </cell>
          <cell r="H14629" t="str">
            <v>biomass</v>
          </cell>
        </row>
        <row r="14630">
          <cell r="C14630" t="str">
            <v>IC</v>
          </cell>
          <cell r="D14630">
            <v>0.3</v>
          </cell>
          <cell r="H14630" t="str">
            <v>biomass</v>
          </cell>
        </row>
        <row r="14631">
          <cell r="C14631" t="str">
            <v>IC</v>
          </cell>
          <cell r="D14631">
            <v>0.3</v>
          </cell>
          <cell r="H14631" t="str">
            <v>biomass</v>
          </cell>
        </row>
        <row r="14632">
          <cell r="C14632" t="str">
            <v>IC</v>
          </cell>
          <cell r="D14632">
            <v>0.3</v>
          </cell>
          <cell r="H14632" t="str">
            <v>biomass</v>
          </cell>
        </row>
        <row r="14633">
          <cell r="C14633" t="str">
            <v>IC</v>
          </cell>
          <cell r="D14633">
            <v>0.3</v>
          </cell>
          <cell r="H14633" t="str">
            <v>biomass</v>
          </cell>
        </row>
        <row r="14634">
          <cell r="C14634" t="str">
            <v>IC</v>
          </cell>
          <cell r="D14634">
            <v>0.3</v>
          </cell>
          <cell r="H14634" t="str">
            <v>biomass</v>
          </cell>
        </row>
        <row r="14635">
          <cell r="C14635" t="str">
            <v>IC</v>
          </cell>
          <cell r="D14635">
            <v>0.3</v>
          </cell>
          <cell r="H14635" t="str">
            <v>biomass</v>
          </cell>
        </row>
        <row r="14636">
          <cell r="C14636" t="str">
            <v>IC</v>
          </cell>
          <cell r="D14636">
            <v>0.3</v>
          </cell>
          <cell r="H14636" t="str">
            <v>biomass</v>
          </cell>
        </row>
        <row r="14637">
          <cell r="C14637" t="str">
            <v>IC</v>
          </cell>
          <cell r="D14637">
            <v>0.3</v>
          </cell>
          <cell r="H14637" t="str">
            <v>biomass</v>
          </cell>
        </row>
        <row r="14638">
          <cell r="C14638" t="str">
            <v>IC</v>
          </cell>
          <cell r="D14638">
            <v>0.3</v>
          </cell>
          <cell r="H14638" t="str">
            <v>biomass</v>
          </cell>
        </row>
        <row r="14639">
          <cell r="C14639" t="str">
            <v>IC</v>
          </cell>
          <cell r="D14639">
            <v>0.3</v>
          </cell>
          <cell r="H14639" t="str">
            <v>biomass</v>
          </cell>
        </row>
        <row r="14640">
          <cell r="C14640" t="str">
            <v>IC</v>
          </cell>
          <cell r="D14640">
            <v>0.3</v>
          </cell>
          <cell r="H14640" t="str">
            <v>biomass</v>
          </cell>
        </row>
        <row r="14641">
          <cell r="C14641" t="str">
            <v>IC</v>
          </cell>
          <cell r="D14641">
            <v>0.3</v>
          </cell>
          <cell r="H14641" t="str">
            <v>biomass</v>
          </cell>
        </row>
        <row r="14642">
          <cell r="C14642" t="str">
            <v>IC</v>
          </cell>
          <cell r="D14642">
            <v>0.3</v>
          </cell>
          <cell r="H14642" t="str">
            <v>biomass</v>
          </cell>
        </row>
        <row r="14643">
          <cell r="C14643" t="str">
            <v>IC</v>
          </cell>
          <cell r="D14643">
            <v>0.3</v>
          </cell>
          <cell r="H14643" t="str">
            <v>biomass</v>
          </cell>
        </row>
        <row r="14644">
          <cell r="C14644" t="str">
            <v>IC</v>
          </cell>
          <cell r="D14644">
            <v>0.3</v>
          </cell>
          <cell r="H14644" t="str">
            <v>biomass</v>
          </cell>
        </row>
        <row r="14645">
          <cell r="C14645" t="str">
            <v>IC</v>
          </cell>
          <cell r="D14645">
            <v>0.3</v>
          </cell>
          <cell r="H14645" t="str">
            <v>biomass</v>
          </cell>
        </row>
        <row r="14646">
          <cell r="C14646" t="str">
            <v>IC</v>
          </cell>
          <cell r="D14646">
            <v>0.3</v>
          </cell>
          <cell r="H14646" t="str">
            <v>biomass</v>
          </cell>
        </row>
        <row r="14647">
          <cell r="C14647" t="str">
            <v>IC</v>
          </cell>
          <cell r="D14647">
            <v>0.3</v>
          </cell>
          <cell r="H14647" t="str">
            <v>biomass</v>
          </cell>
        </row>
        <row r="14648">
          <cell r="C14648" t="str">
            <v>IC</v>
          </cell>
          <cell r="D14648">
            <v>0.3</v>
          </cell>
          <cell r="H14648" t="str">
            <v>biomass</v>
          </cell>
        </row>
        <row r="14649">
          <cell r="C14649" t="str">
            <v>IC</v>
          </cell>
          <cell r="D14649">
            <v>0.3</v>
          </cell>
          <cell r="H14649" t="str">
            <v>biomass</v>
          </cell>
        </row>
        <row r="14650">
          <cell r="C14650" t="str">
            <v>IC</v>
          </cell>
          <cell r="D14650">
            <v>0.3</v>
          </cell>
          <cell r="H14650" t="str">
            <v>biomass</v>
          </cell>
        </row>
        <row r="14651">
          <cell r="C14651" t="str">
            <v>IC</v>
          </cell>
          <cell r="D14651">
            <v>0.3</v>
          </cell>
          <cell r="H14651" t="str">
            <v>biomass</v>
          </cell>
        </row>
        <row r="14652">
          <cell r="C14652" t="str">
            <v>IC</v>
          </cell>
          <cell r="D14652">
            <v>0.3</v>
          </cell>
          <cell r="H14652" t="str">
            <v>biomass</v>
          </cell>
        </row>
        <row r="14653">
          <cell r="C14653" t="str">
            <v>IC</v>
          </cell>
          <cell r="D14653">
            <v>0.3</v>
          </cell>
          <cell r="H14653" t="str">
            <v>biomass</v>
          </cell>
        </row>
        <row r="14654">
          <cell r="C14654" t="str">
            <v>IC</v>
          </cell>
          <cell r="D14654">
            <v>0.3</v>
          </cell>
          <cell r="H14654" t="str">
            <v>biomass</v>
          </cell>
        </row>
        <row r="14655">
          <cell r="C14655" t="str">
            <v>IC</v>
          </cell>
          <cell r="D14655">
            <v>0.3</v>
          </cell>
          <cell r="H14655" t="str">
            <v>biomass</v>
          </cell>
        </row>
        <row r="14656">
          <cell r="C14656" t="str">
            <v>IC</v>
          </cell>
          <cell r="D14656">
            <v>0.3</v>
          </cell>
          <cell r="H14656" t="str">
            <v>biomass</v>
          </cell>
        </row>
        <row r="14657">
          <cell r="C14657" t="str">
            <v>IC</v>
          </cell>
          <cell r="D14657">
            <v>0.3</v>
          </cell>
          <cell r="H14657" t="str">
            <v>biomass</v>
          </cell>
        </row>
        <row r="14658">
          <cell r="C14658" t="str">
            <v>IC</v>
          </cell>
          <cell r="D14658">
            <v>0.3</v>
          </cell>
          <cell r="H14658" t="str">
            <v>biomass</v>
          </cell>
        </row>
        <row r="14659">
          <cell r="C14659" t="str">
            <v>IC</v>
          </cell>
          <cell r="D14659">
            <v>0.3</v>
          </cell>
          <cell r="H14659" t="str">
            <v>biomass</v>
          </cell>
        </row>
        <row r="14660">
          <cell r="C14660" t="str">
            <v>IC</v>
          </cell>
          <cell r="D14660">
            <v>0.3</v>
          </cell>
          <cell r="H14660" t="str">
            <v>biomass</v>
          </cell>
        </row>
        <row r="14661">
          <cell r="C14661" t="str">
            <v>IC</v>
          </cell>
          <cell r="D14661">
            <v>0.3</v>
          </cell>
          <cell r="H14661" t="str">
            <v>biomass</v>
          </cell>
        </row>
        <row r="14662">
          <cell r="C14662" t="str">
            <v>IC</v>
          </cell>
          <cell r="D14662">
            <v>0.3</v>
          </cell>
          <cell r="H14662" t="str">
            <v>biomass</v>
          </cell>
        </row>
        <row r="14663">
          <cell r="C14663" t="str">
            <v>IC</v>
          </cell>
          <cell r="D14663">
            <v>0.3</v>
          </cell>
          <cell r="H14663" t="str">
            <v>biomass</v>
          </cell>
        </row>
        <row r="14664">
          <cell r="C14664" t="str">
            <v>IC</v>
          </cell>
          <cell r="D14664">
            <v>0.3</v>
          </cell>
          <cell r="H14664" t="str">
            <v>biomass</v>
          </cell>
        </row>
        <row r="14665">
          <cell r="C14665" t="str">
            <v>IC</v>
          </cell>
          <cell r="D14665">
            <v>0.3</v>
          </cell>
          <cell r="H14665" t="str">
            <v>biomass</v>
          </cell>
        </row>
        <row r="14666">
          <cell r="C14666" t="str">
            <v>IC</v>
          </cell>
          <cell r="D14666">
            <v>0.3</v>
          </cell>
          <cell r="H14666" t="str">
            <v>biomass</v>
          </cell>
        </row>
        <row r="14667">
          <cell r="C14667" t="str">
            <v>IC</v>
          </cell>
          <cell r="D14667">
            <v>0.3</v>
          </cell>
          <cell r="H14667" t="str">
            <v>biomass</v>
          </cell>
        </row>
        <row r="14668">
          <cell r="C14668" t="str">
            <v>IC</v>
          </cell>
          <cell r="D14668">
            <v>0.3</v>
          </cell>
          <cell r="H14668" t="str">
            <v>biomass</v>
          </cell>
        </row>
        <row r="14669">
          <cell r="C14669" t="str">
            <v>IC</v>
          </cell>
          <cell r="D14669">
            <v>0.3</v>
          </cell>
          <cell r="H14669" t="str">
            <v>biomass</v>
          </cell>
        </row>
        <row r="14670">
          <cell r="C14670" t="str">
            <v>IC</v>
          </cell>
          <cell r="D14670">
            <v>0.3</v>
          </cell>
          <cell r="H14670" t="str">
            <v>biomass</v>
          </cell>
        </row>
        <row r="14671">
          <cell r="C14671" t="str">
            <v>IC</v>
          </cell>
          <cell r="D14671">
            <v>0.3</v>
          </cell>
          <cell r="H14671" t="str">
            <v>biomass</v>
          </cell>
        </row>
        <row r="14672">
          <cell r="C14672" t="str">
            <v>IC</v>
          </cell>
          <cell r="D14672">
            <v>0.3</v>
          </cell>
          <cell r="H14672" t="str">
            <v>biomass</v>
          </cell>
        </row>
        <row r="14673">
          <cell r="C14673" t="str">
            <v>IC</v>
          </cell>
          <cell r="D14673">
            <v>0.3</v>
          </cell>
          <cell r="H14673" t="str">
            <v>biomass</v>
          </cell>
        </row>
        <row r="14674">
          <cell r="C14674" t="str">
            <v>IC</v>
          </cell>
          <cell r="D14674">
            <v>0.3</v>
          </cell>
          <cell r="H14674" t="str">
            <v>biomass</v>
          </cell>
        </row>
        <row r="14675">
          <cell r="C14675" t="str">
            <v>IC</v>
          </cell>
          <cell r="D14675">
            <v>0.3</v>
          </cell>
          <cell r="H14675" t="str">
            <v>biomass</v>
          </cell>
        </row>
        <row r="14676">
          <cell r="C14676" t="str">
            <v>IC</v>
          </cell>
          <cell r="D14676">
            <v>0.3</v>
          </cell>
          <cell r="H14676" t="str">
            <v>biomass</v>
          </cell>
        </row>
        <row r="14677">
          <cell r="C14677" t="str">
            <v>IC</v>
          </cell>
          <cell r="D14677">
            <v>0.3</v>
          </cell>
          <cell r="H14677" t="str">
            <v>biomass</v>
          </cell>
        </row>
        <row r="14678">
          <cell r="C14678" t="str">
            <v>IC</v>
          </cell>
          <cell r="D14678">
            <v>0.3</v>
          </cell>
          <cell r="H14678" t="str">
            <v>biomass</v>
          </cell>
        </row>
        <row r="14679">
          <cell r="C14679" t="str">
            <v>IC</v>
          </cell>
          <cell r="D14679">
            <v>0.3</v>
          </cell>
          <cell r="H14679" t="str">
            <v>biomass</v>
          </cell>
        </row>
        <row r="14680">
          <cell r="C14680" t="str">
            <v>IC</v>
          </cell>
          <cell r="D14680">
            <v>0.3</v>
          </cell>
          <cell r="H14680" t="str">
            <v>biomass</v>
          </cell>
        </row>
        <row r="14681">
          <cell r="C14681" t="str">
            <v>IC</v>
          </cell>
          <cell r="D14681">
            <v>0.3</v>
          </cell>
          <cell r="H14681" t="str">
            <v>biomass</v>
          </cell>
        </row>
        <row r="14682">
          <cell r="C14682" t="str">
            <v>IC</v>
          </cell>
          <cell r="D14682">
            <v>0.3</v>
          </cell>
          <cell r="H14682" t="str">
            <v>biomass</v>
          </cell>
        </row>
        <row r="14683">
          <cell r="C14683" t="str">
            <v>IC</v>
          </cell>
          <cell r="D14683">
            <v>0.3</v>
          </cell>
          <cell r="H14683" t="str">
            <v>biomass</v>
          </cell>
        </row>
        <row r="14684">
          <cell r="C14684" t="str">
            <v>IC</v>
          </cell>
          <cell r="D14684">
            <v>0.3</v>
          </cell>
          <cell r="H14684" t="str">
            <v>biomass</v>
          </cell>
        </row>
        <row r="14685">
          <cell r="C14685" t="str">
            <v>IC</v>
          </cell>
          <cell r="D14685">
            <v>0.3</v>
          </cell>
          <cell r="H14685" t="str">
            <v>biomass</v>
          </cell>
        </row>
        <row r="14686">
          <cell r="C14686" t="str">
            <v>IC</v>
          </cell>
          <cell r="D14686">
            <v>0.3</v>
          </cell>
          <cell r="H14686" t="str">
            <v>biomass</v>
          </cell>
        </row>
        <row r="14687">
          <cell r="C14687" t="str">
            <v>IC</v>
          </cell>
          <cell r="D14687">
            <v>0.3</v>
          </cell>
          <cell r="H14687" t="str">
            <v>biomass</v>
          </cell>
        </row>
        <row r="14688">
          <cell r="C14688" t="str">
            <v>IC</v>
          </cell>
          <cell r="D14688">
            <v>0.3</v>
          </cell>
          <cell r="H14688" t="str">
            <v>biomass</v>
          </cell>
        </row>
        <row r="14689">
          <cell r="C14689" t="str">
            <v>IC</v>
          </cell>
          <cell r="D14689">
            <v>0.3</v>
          </cell>
          <cell r="H14689" t="str">
            <v>biomass</v>
          </cell>
        </row>
        <row r="14690">
          <cell r="C14690" t="str">
            <v>IC</v>
          </cell>
          <cell r="D14690">
            <v>0.3</v>
          </cell>
          <cell r="H14690" t="str">
            <v>biomass</v>
          </cell>
        </row>
        <row r="14691">
          <cell r="C14691" t="str">
            <v>IC</v>
          </cell>
          <cell r="D14691">
            <v>0.3</v>
          </cell>
          <cell r="H14691" t="str">
            <v>biomass</v>
          </cell>
        </row>
        <row r="14692">
          <cell r="C14692" t="str">
            <v>IC</v>
          </cell>
          <cell r="D14692">
            <v>0.3</v>
          </cell>
          <cell r="H14692" t="str">
            <v>biomass</v>
          </cell>
        </row>
        <row r="14693">
          <cell r="C14693" t="str">
            <v>IC</v>
          </cell>
          <cell r="D14693">
            <v>0.3</v>
          </cell>
          <cell r="H14693" t="str">
            <v>biomass</v>
          </cell>
        </row>
        <row r="14694">
          <cell r="C14694" t="str">
            <v>IC</v>
          </cell>
          <cell r="D14694">
            <v>0.3</v>
          </cell>
          <cell r="H14694" t="str">
            <v>biomass</v>
          </cell>
        </row>
        <row r="14695">
          <cell r="C14695" t="str">
            <v>IC</v>
          </cell>
          <cell r="D14695">
            <v>0.3</v>
          </cell>
          <cell r="H14695" t="str">
            <v>biomass</v>
          </cell>
        </row>
        <row r="14696">
          <cell r="C14696" t="str">
            <v>IC</v>
          </cell>
          <cell r="D14696">
            <v>0.3</v>
          </cell>
          <cell r="H14696" t="str">
            <v>biomass</v>
          </cell>
        </row>
        <row r="14697">
          <cell r="C14697" t="str">
            <v>IC</v>
          </cell>
          <cell r="D14697">
            <v>0.3</v>
          </cell>
          <cell r="H14697" t="str">
            <v>biomass</v>
          </cell>
        </row>
        <row r="14698">
          <cell r="C14698" t="str">
            <v>IC</v>
          </cell>
          <cell r="D14698">
            <v>0.3</v>
          </cell>
          <cell r="H14698" t="str">
            <v>biomass</v>
          </cell>
        </row>
        <row r="14699">
          <cell r="C14699" t="str">
            <v>IC</v>
          </cell>
          <cell r="D14699">
            <v>0.3</v>
          </cell>
          <cell r="H14699" t="str">
            <v>biomass</v>
          </cell>
        </row>
        <row r="14700">
          <cell r="C14700" t="str">
            <v>IC</v>
          </cell>
          <cell r="D14700">
            <v>0.3</v>
          </cell>
          <cell r="H14700" t="str">
            <v>biomass</v>
          </cell>
        </row>
        <row r="14701">
          <cell r="C14701" t="str">
            <v>IC</v>
          </cell>
          <cell r="D14701">
            <v>0.3</v>
          </cell>
          <cell r="H14701" t="str">
            <v>biomass</v>
          </cell>
        </row>
        <row r="14702">
          <cell r="C14702" t="str">
            <v>IC</v>
          </cell>
          <cell r="D14702">
            <v>0.3</v>
          </cell>
          <cell r="H14702" t="str">
            <v>biomass</v>
          </cell>
        </row>
        <row r="14703">
          <cell r="C14703" t="str">
            <v>IC</v>
          </cell>
          <cell r="D14703">
            <v>0.3</v>
          </cell>
          <cell r="H14703" t="str">
            <v>biomass</v>
          </cell>
        </row>
        <row r="14704">
          <cell r="C14704" t="str">
            <v>IC</v>
          </cell>
          <cell r="D14704">
            <v>0.3</v>
          </cell>
          <cell r="H14704" t="str">
            <v>biomass</v>
          </cell>
        </row>
        <row r="14705">
          <cell r="C14705" t="str">
            <v>IC</v>
          </cell>
          <cell r="D14705">
            <v>0.3</v>
          </cell>
          <cell r="H14705" t="str">
            <v>biomass</v>
          </cell>
        </row>
        <row r="14706">
          <cell r="C14706" t="str">
            <v>IC</v>
          </cell>
          <cell r="D14706">
            <v>0.3</v>
          </cell>
          <cell r="H14706" t="str">
            <v>biomass</v>
          </cell>
        </row>
        <row r="14707">
          <cell r="C14707" t="str">
            <v>IC</v>
          </cell>
          <cell r="D14707">
            <v>0.3</v>
          </cell>
          <cell r="H14707" t="str">
            <v>biomass</v>
          </cell>
        </row>
        <row r="14708">
          <cell r="C14708" t="str">
            <v>IC</v>
          </cell>
          <cell r="D14708">
            <v>0.3</v>
          </cell>
          <cell r="H14708" t="str">
            <v>biomass</v>
          </cell>
        </row>
        <row r="14709">
          <cell r="C14709" t="str">
            <v>IC</v>
          </cell>
          <cell r="D14709">
            <v>0.3</v>
          </cell>
          <cell r="H14709" t="str">
            <v>biomass</v>
          </cell>
        </row>
        <row r="14710">
          <cell r="C14710" t="str">
            <v>IC</v>
          </cell>
          <cell r="D14710">
            <v>0.3</v>
          </cell>
          <cell r="H14710" t="str">
            <v>biomass</v>
          </cell>
        </row>
        <row r="14711">
          <cell r="C14711" t="str">
            <v>IC</v>
          </cell>
          <cell r="D14711">
            <v>0.3</v>
          </cell>
          <cell r="H14711" t="str">
            <v>biomass</v>
          </cell>
        </row>
        <row r="14712">
          <cell r="C14712" t="str">
            <v>IC</v>
          </cell>
          <cell r="D14712">
            <v>0.3</v>
          </cell>
          <cell r="H14712" t="str">
            <v>biomass</v>
          </cell>
        </row>
        <row r="14713">
          <cell r="C14713" t="str">
            <v>IC</v>
          </cell>
          <cell r="D14713">
            <v>0.3</v>
          </cell>
          <cell r="H14713" t="str">
            <v>biomass</v>
          </cell>
        </row>
        <row r="14714">
          <cell r="C14714" t="str">
            <v>IC</v>
          </cell>
          <cell r="D14714">
            <v>0.3</v>
          </cell>
          <cell r="H14714" t="str">
            <v>biomass</v>
          </cell>
        </row>
        <row r="14715">
          <cell r="C14715" t="str">
            <v>IC</v>
          </cell>
          <cell r="D14715">
            <v>0.3</v>
          </cell>
          <cell r="H14715" t="str">
            <v>biomass</v>
          </cell>
        </row>
        <row r="14716">
          <cell r="C14716" t="str">
            <v>IC</v>
          </cell>
          <cell r="D14716">
            <v>0.3</v>
          </cell>
          <cell r="H14716" t="str">
            <v>biomass</v>
          </cell>
        </row>
        <row r="14717">
          <cell r="C14717" t="str">
            <v>IC</v>
          </cell>
          <cell r="D14717">
            <v>0.3</v>
          </cell>
          <cell r="H14717" t="str">
            <v>biomass</v>
          </cell>
        </row>
        <row r="14718">
          <cell r="C14718" t="str">
            <v>IC</v>
          </cell>
          <cell r="D14718">
            <v>0.3</v>
          </cell>
          <cell r="H14718" t="str">
            <v>biomass</v>
          </cell>
        </row>
        <row r="14719">
          <cell r="C14719" t="str">
            <v>IC</v>
          </cell>
          <cell r="D14719">
            <v>0.3</v>
          </cell>
          <cell r="H14719" t="str">
            <v>biomass</v>
          </cell>
        </row>
        <row r="14720">
          <cell r="C14720" t="str">
            <v>IC</v>
          </cell>
          <cell r="D14720">
            <v>0.3</v>
          </cell>
          <cell r="H14720" t="str">
            <v>biomass</v>
          </cell>
        </row>
        <row r="14721">
          <cell r="C14721" t="str">
            <v>IC</v>
          </cell>
          <cell r="D14721">
            <v>0.3</v>
          </cell>
          <cell r="H14721" t="str">
            <v>biomass</v>
          </cell>
        </row>
        <row r="14722">
          <cell r="C14722" t="str">
            <v>IC</v>
          </cell>
          <cell r="D14722">
            <v>0.3</v>
          </cell>
          <cell r="H14722" t="str">
            <v>biomass</v>
          </cell>
        </row>
        <row r="14723">
          <cell r="C14723" t="str">
            <v>IC</v>
          </cell>
          <cell r="D14723">
            <v>0.3</v>
          </cell>
          <cell r="H14723" t="str">
            <v>biomass</v>
          </cell>
        </row>
        <row r="14724">
          <cell r="C14724" t="str">
            <v>IC</v>
          </cell>
          <cell r="D14724">
            <v>0.3</v>
          </cell>
          <cell r="H14724" t="str">
            <v>biomass</v>
          </cell>
        </row>
        <row r="14725">
          <cell r="C14725" t="str">
            <v>IC</v>
          </cell>
          <cell r="D14725">
            <v>0.3</v>
          </cell>
          <cell r="H14725" t="str">
            <v>biomass</v>
          </cell>
        </row>
        <row r="14726">
          <cell r="C14726" t="str">
            <v>IC</v>
          </cell>
          <cell r="D14726">
            <v>0.3</v>
          </cell>
          <cell r="H14726" t="str">
            <v>biomass</v>
          </cell>
        </row>
        <row r="14727">
          <cell r="C14727" t="str">
            <v>IC</v>
          </cell>
          <cell r="D14727">
            <v>0.3</v>
          </cell>
          <cell r="H14727" t="str">
            <v>biomass</v>
          </cell>
        </row>
        <row r="14728">
          <cell r="C14728" t="str">
            <v>IC</v>
          </cell>
          <cell r="D14728">
            <v>0.3</v>
          </cell>
          <cell r="H14728" t="str">
            <v>biomass</v>
          </cell>
        </row>
        <row r="14729">
          <cell r="C14729" t="str">
            <v>IC</v>
          </cell>
          <cell r="D14729">
            <v>0.3</v>
          </cell>
          <cell r="H14729" t="str">
            <v>biomass</v>
          </cell>
        </row>
        <row r="14730">
          <cell r="C14730" t="str">
            <v>IC</v>
          </cell>
          <cell r="D14730">
            <v>0.3</v>
          </cell>
          <cell r="H14730" t="str">
            <v>biomass</v>
          </cell>
        </row>
        <row r="14731">
          <cell r="C14731" t="str">
            <v>IC</v>
          </cell>
          <cell r="D14731">
            <v>0.3</v>
          </cell>
          <cell r="H14731" t="str">
            <v>biomass</v>
          </cell>
        </row>
        <row r="14732">
          <cell r="C14732" t="str">
            <v>IC</v>
          </cell>
          <cell r="D14732">
            <v>0.3</v>
          </cell>
          <cell r="H14732" t="str">
            <v>biomass</v>
          </cell>
        </row>
        <row r="14733">
          <cell r="C14733" t="str">
            <v>IC</v>
          </cell>
          <cell r="D14733">
            <v>0.3</v>
          </cell>
          <cell r="H14733" t="str">
            <v>biomass</v>
          </cell>
        </row>
        <row r="14734">
          <cell r="C14734" t="str">
            <v>IC</v>
          </cell>
          <cell r="D14734">
            <v>0.3</v>
          </cell>
          <cell r="H14734" t="str">
            <v>biomass</v>
          </cell>
        </row>
        <row r="14735">
          <cell r="C14735" t="str">
            <v>IC</v>
          </cell>
          <cell r="D14735">
            <v>0.3</v>
          </cell>
          <cell r="H14735" t="str">
            <v>biomass</v>
          </cell>
        </row>
        <row r="14736">
          <cell r="C14736" t="str">
            <v>IC</v>
          </cell>
          <cell r="D14736">
            <v>0.3</v>
          </cell>
          <cell r="H14736" t="str">
            <v>biomass</v>
          </cell>
        </row>
        <row r="14737">
          <cell r="C14737" t="str">
            <v>IC</v>
          </cell>
          <cell r="D14737">
            <v>0.3</v>
          </cell>
          <cell r="H14737" t="str">
            <v>biomass</v>
          </cell>
        </row>
        <row r="14738">
          <cell r="C14738" t="str">
            <v>IC</v>
          </cell>
          <cell r="D14738">
            <v>0.3</v>
          </cell>
          <cell r="H14738" t="str">
            <v>biomass</v>
          </cell>
        </row>
        <row r="14739">
          <cell r="C14739" t="str">
            <v>IC</v>
          </cell>
          <cell r="D14739">
            <v>0.3</v>
          </cell>
          <cell r="H14739" t="str">
            <v>biomass</v>
          </cell>
        </row>
        <row r="14740">
          <cell r="C14740" t="str">
            <v>IC</v>
          </cell>
          <cell r="D14740">
            <v>0.3</v>
          </cell>
          <cell r="H14740" t="str">
            <v>biomass</v>
          </cell>
        </row>
        <row r="14741">
          <cell r="C14741" t="str">
            <v>IC</v>
          </cell>
          <cell r="D14741">
            <v>0.3</v>
          </cell>
          <cell r="H14741" t="str">
            <v>biomass</v>
          </cell>
        </row>
        <row r="14742">
          <cell r="C14742" t="str">
            <v>IC</v>
          </cell>
          <cell r="D14742">
            <v>0.3</v>
          </cell>
          <cell r="H14742" t="str">
            <v>biomass</v>
          </cell>
        </row>
        <row r="14743">
          <cell r="C14743" t="str">
            <v>IC</v>
          </cell>
          <cell r="D14743">
            <v>0.3</v>
          </cell>
          <cell r="H14743" t="str">
            <v>biomass</v>
          </cell>
        </row>
        <row r="14744">
          <cell r="C14744" t="str">
            <v>IC</v>
          </cell>
          <cell r="D14744">
            <v>0.3</v>
          </cell>
          <cell r="H14744" t="str">
            <v>biomass</v>
          </cell>
        </row>
        <row r="14745">
          <cell r="C14745" t="str">
            <v>IC</v>
          </cell>
          <cell r="D14745">
            <v>0.3</v>
          </cell>
          <cell r="H14745" t="str">
            <v>biomass</v>
          </cell>
        </row>
        <row r="14746">
          <cell r="C14746" t="str">
            <v>IC</v>
          </cell>
          <cell r="D14746">
            <v>0.3</v>
          </cell>
          <cell r="H14746" t="str">
            <v>biomass</v>
          </cell>
        </row>
        <row r="14747">
          <cell r="C14747" t="str">
            <v>IC</v>
          </cell>
          <cell r="D14747">
            <v>0.3</v>
          </cell>
          <cell r="H14747" t="str">
            <v>biomass</v>
          </cell>
        </row>
        <row r="14748">
          <cell r="C14748" t="str">
            <v>IC</v>
          </cell>
          <cell r="D14748">
            <v>0.3</v>
          </cell>
          <cell r="H14748" t="str">
            <v>biomass</v>
          </cell>
        </row>
        <row r="14749">
          <cell r="C14749" t="str">
            <v>IC</v>
          </cell>
          <cell r="D14749">
            <v>0.3</v>
          </cell>
          <cell r="H14749" t="str">
            <v>biomass</v>
          </cell>
        </row>
        <row r="14750">
          <cell r="C14750" t="str">
            <v>IC</v>
          </cell>
          <cell r="D14750">
            <v>0.3</v>
          </cell>
          <cell r="H14750" t="str">
            <v>biomass</v>
          </cell>
        </row>
        <row r="14751">
          <cell r="C14751" t="str">
            <v>IC</v>
          </cell>
          <cell r="D14751">
            <v>0.3</v>
          </cell>
          <cell r="H14751" t="str">
            <v>biomass</v>
          </cell>
        </row>
        <row r="14752">
          <cell r="C14752" t="str">
            <v>IC</v>
          </cell>
          <cell r="D14752">
            <v>0.3</v>
          </cell>
          <cell r="H14752" t="str">
            <v>biomass</v>
          </cell>
        </row>
        <row r="14753">
          <cell r="C14753" t="str">
            <v>IC</v>
          </cell>
          <cell r="D14753">
            <v>0.3</v>
          </cell>
          <cell r="H14753" t="str">
            <v>biomass</v>
          </cell>
        </row>
        <row r="14754">
          <cell r="C14754" t="str">
            <v>IC</v>
          </cell>
          <cell r="D14754">
            <v>0.3</v>
          </cell>
          <cell r="H14754" t="str">
            <v>biomass</v>
          </cell>
        </row>
        <row r="14755">
          <cell r="C14755" t="str">
            <v>IC</v>
          </cell>
          <cell r="D14755">
            <v>0.3</v>
          </cell>
          <cell r="H14755" t="str">
            <v>biomass</v>
          </cell>
        </row>
        <row r="14756">
          <cell r="C14756" t="str">
            <v>IC</v>
          </cell>
          <cell r="D14756">
            <v>0.3</v>
          </cell>
          <cell r="H14756" t="str">
            <v>biomass</v>
          </cell>
        </row>
        <row r="14757">
          <cell r="C14757" t="str">
            <v>IC</v>
          </cell>
          <cell r="D14757">
            <v>0.3</v>
          </cell>
          <cell r="H14757" t="str">
            <v>biomass</v>
          </cell>
        </row>
        <row r="14758">
          <cell r="C14758" t="str">
            <v>IC</v>
          </cell>
          <cell r="D14758">
            <v>0.3</v>
          </cell>
          <cell r="H14758" t="str">
            <v>biomass</v>
          </cell>
        </row>
        <row r="14759">
          <cell r="C14759" t="str">
            <v>IC</v>
          </cell>
          <cell r="D14759">
            <v>0.3</v>
          </cell>
          <cell r="H14759" t="str">
            <v>biomass</v>
          </cell>
        </row>
        <row r="14760">
          <cell r="C14760" t="str">
            <v>IC</v>
          </cell>
          <cell r="D14760">
            <v>0.3</v>
          </cell>
          <cell r="H14760" t="str">
            <v>biomass</v>
          </cell>
        </row>
        <row r="14761">
          <cell r="C14761" t="str">
            <v>IC</v>
          </cell>
          <cell r="D14761">
            <v>0.3</v>
          </cell>
          <cell r="H14761" t="str">
            <v>biomass</v>
          </cell>
        </row>
        <row r="14762">
          <cell r="C14762" t="str">
            <v>IC</v>
          </cell>
          <cell r="D14762">
            <v>0.3</v>
          </cell>
          <cell r="H14762" t="str">
            <v>biomass</v>
          </cell>
        </row>
        <row r="14763">
          <cell r="C14763" t="str">
            <v>IC</v>
          </cell>
          <cell r="D14763">
            <v>0.3</v>
          </cell>
          <cell r="H14763" t="str">
            <v>biomass</v>
          </cell>
        </row>
        <row r="14764">
          <cell r="C14764" t="str">
            <v>IC</v>
          </cell>
          <cell r="D14764">
            <v>0.3</v>
          </cell>
          <cell r="H14764" t="str">
            <v>biomass</v>
          </cell>
        </row>
        <row r="14765">
          <cell r="C14765" t="str">
            <v>IC</v>
          </cell>
          <cell r="D14765">
            <v>0.3</v>
          </cell>
          <cell r="H14765" t="str">
            <v>biomass</v>
          </cell>
        </row>
        <row r="14766">
          <cell r="C14766" t="str">
            <v>IC</v>
          </cell>
          <cell r="D14766">
            <v>0.3</v>
          </cell>
          <cell r="H14766" t="str">
            <v>biomass</v>
          </cell>
        </row>
        <row r="14767">
          <cell r="C14767" t="str">
            <v>IC</v>
          </cell>
          <cell r="D14767">
            <v>0.3</v>
          </cell>
          <cell r="H14767" t="str">
            <v>biomass</v>
          </cell>
        </row>
        <row r="14768">
          <cell r="C14768" t="str">
            <v>IC</v>
          </cell>
          <cell r="D14768">
            <v>0.3</v>
          </cell>
          <cell r="H14768" t="str">
            <v>biomass</v>
          </cell>
        </row>
        <row r="14769">
          <cell r="C14769" t="str">
            <v>IC</v>
          </cell>
          <cell r="D14769">
            <v>0.3</v>
          </cell>
          <cell r="H14769" t="str">
            <v>biomass</v>
          </cell>
        </row>
        <row r="14770">
          <cell r="C14770" t="str">
            <v>IC</v>
          </cell>
          <cell r="D14770">
            <v>0.3</v>
          </cell>
          <cell r="H14770" t="str">
            <v>biomass</v>
          </cell>
        </row>
        <row r="14771">
          <cell r="C14771" t="str">
            <v>IC</v>
          </cell>
          <cell r="D14771">
            <v>0.3</v>
          </cell>
          <cell r="H14771" t="str">
            <v>biomass</v>
          </cell>
        </row>
        <row r="14772">
          <cell r="C14772" t="str">
            <v>IC</v>
          </cell>
          <cell r="D14772">
            <v>0.3</v>
          </cell>
          <cell r="H14772" t="str">
            <v>biomass</v>
          </cell>
        </row>
        <row r="14773">
          <cell r="C14773" t="str">
            <v>IC</v>
          </cell>
          <cell r="D14773">
            <v>0.3</v>
          </cell>
          <cell r="H14773" t="str">
            <v>biomass</v>
          </cell>
        </row>
        <row r="14774">
          <cell r="C14774" t="str">
            <v>IC</v>
          </cell>
          <cell r="D14774">
            <v>0.3</v>
          </cell>
          <cell r="H14774" t="str">
            <v>biomass</v>
          </cell>
        </row>
        <row r="14775">
          <cell r="C14775" t="str">
            <v>IC</v>
          </cell>
          <cell r="D14775">
            <v>0.3</v>
          </cell>
          <cell r="H14775" t="str">
            <v>biomass</v>
          </cell>
        </row>
        <row r="14776">
          <cell r="C14776" t="str">
            <v>IC</v>
          </cell>
          <cell r="D14776">
            <v>0.3</v>
          </cell>
          <cell r="H14776" t="str">
            <v>biomass</v>
          </cell>
        </row>
        <row r="14777">
          <cell r="C14777" t="str">
            <v>IC</v>
          </cell>
          <cell r="D14777">
            <v>0.3</v>
          </cell>
          <cell r="H14777" t="str">
            <v>biomass</v>
          </cell>
        </row>
        <row r="14778">
          <cell r="C14778" t="str">
            <v>IC</v>
          </cell>
          <cell r="D14778">
            <v>0.3</v>
          </cell>
          <cell r="H14778" t="str">
            <v>biomass</v>
          </cell>
        </row>
        <row r="14779">
          <cell r="C14779" t="str">
            <v>IC</v>
          </cell>
          <cell r="D14779">
            <v>0.3</v>
          </cell>
          <cell r="H14779" t="str">
            <v>biomass</v>
          </cell>
        </row>
        <row r="14780">
          <cell r="C14780" t="str">
            <v>IC</v>
          </cell>
          <cell r="D14780">
            <v>0.3</v>
          </cell>
          <cell r="H14780" t="str">
            <v>biomass</v>
          </cell>
        </row>
        <row r="14781">
          <cell r="C14781" t="str">
            <v>IC</v>
          </cell>
          <cell r="D14781">
            <v>0.3</v>
          </cell>
          <cell r="H14781" t="str">
            <v>biomass</v>
          </cell>
        </row>
        <row r="14782">
          <cell r="C14782" t="str">
            <v>IC</v>
          </cell>
          <cell r="D14782">
            <v>0.3</v>
          </cell>
          <cell r="H14782" t="str">
            <v>biomass</v>
          </cell>
        </row>
        <row r="14783">
          <cell r="C14783" t="str">
            <v>IC</v>
          </cell>
          <cell r="D14783">
            <v>0.3</v>
          </cell>
          <cell r="H14783" t="str">
            <v>biomass</v>
          </cell>
        </row>
        <row r="14784">
          <cell r="C14784" t="str">
            <v>IC</v>
          </cell>
          <cell r="D14784">
            <v>0.3</v>
          </cell>
          <cell r="H14784" t="str">
            <v>biomass</v>
          </cell>
        </row>
        <row r="14785">
          <cell r="C14785" t="str">
            <v>IC</v>
          </cell>
          <cell r="D14785">
            <v>0.3</v>
          </cell>
          <cell r="H14785" t="str">
            <v>biomass</v>
          </cell>
        </row>
        <row r="14786">
          <cell r="C14786" t="str">
            <v>IC</v>
          </cell>
          <cell r="D14786">
            <v>0.3</v>
          </cell>
          <cell r="H14786" t="str">
            <v>biomass</v>
          </cell>
        </row>
        <row r="14787">
          <cell r="C14787" t="str">
            <v>IC</v>
          </cell>
          <cell r="D14787">
            <v>0.3</v>
          </cell>
          <cell r="H14787" t="str">
            <v>biomass</v>
          </cell>
        </row>
        <row r="14788">
          <cell r="C14788" t="str">
            <v>IC</v>
          </cell>
          <cell r="D14788">
            <v>0.3</v>
          </cell>
          <cell r="H14788" t="str">
            <v>biomass</v>
          </cell>
        </row>
        <row r="14789">
          <cell r="C14789" t="str">
            <v>IC</v>
          </cell>
          <cell r="D14789">
            <v>0.3</v>
          </cell>
          <cell r="H14789" t="str">
            <v>biomass</v>
          </cell>
        </row>
        <row r="14790">
          <cell r="C14790" t="str">
            <v>IC</v>
          </cell>
          <cell r="D14790">
            <v>0.3</v>
          </cell>
          <cell r="H14790" t="str">
            <v>biomass</v>
          </cell>
        </row>
        <row r="14791">
          <cell r="C14791" t="str">
            <v>IC</v>
          </cell>
          <cell r="D14791">
            <v>0.3</v>
          </cell>
          <cell r="H14791" t="str">
            <v>biomass</v>
          </cell>
        </row>
        <row r="14792">
          <cell r="C14792" t="str">
            <v>IC</v>
          </cell>
          <cell r="D14792">
            <v>0.3</v>
          </cell>
          <cell r="H14792" t="str">
            <v>biomass</v>
          </cell>
        </row>
        <row r="14793">
          <cell r="C14793" t="str">
            <v>IC</v>
          </cell>
          <cell r="D14793">
            <v>0.3</v>
          </cell>
          <cell r="H14793" t="str">
            <v>biomass</v>
          </cell>
        </row>
        <row r="14794">
          <cell r="C14794" t="str">
            <v>IC</v>
          </cell>
          <cell r="D14794">
            <v>0.3</v>
          </cell>
          <cell r="H14794" t="str">
            <v>biomass</v>
          </cell>
        </row>
        <row r="14795">
          <cell r="C14795" t="str">
            <v>IC</v>
          </cell>
          <cell r="D14795">
            <v>0.3</v>
          </cell>
          <cell r="H14795" t="str">
            <v>biomass</v>
          </cell>
        </row>
        <row r="14796">
          <cell r="C14796" t="str">
            <v>IC</v>
          </cell>
          <cell r="D14796">
            <v>0.3</v>
          </cell>
          <cell r="H14796" t="str">
            <v>biomass</v>
          </cell>
        </row>
        <row r="14797">
          <cell r="C14797" t="str">
            <v>IC</v>
          </cell>
          <cell r="D14797">
            <v>0.3</v>
          </cell>
          <cell r="H14797" t="str">
            <v>biomass</v>
          </cell>
        </row>
        <row r="14798">
          <cell r="C14798" t="str">
            <v>IC</v>
          </cell>
          <cell r="D14798">
            <v>0.3</v>
          </cell>
          <cell r="H14798" t="str">
            <v>biomass</v>
          </cell>
        </row>
        <row r="14799">
          <cell r="C14799" t="str">
            <v>IC</v>
          </cell>
          <cell r="D14799">
            <v>0.3</v>
          </cell>
          <cell r="H14799" t="str">
            <v>biomass</v>
          </cell>
        </row>
        <row r="14800">
          <cell r="C14800" t="str">
            <v>IC</v>
          </cell>
          <cell r="D14800">
            <v>0.3</v>
          </cell>
          <cell r="H14800" t="str">
            <v>biomass</v>
          </cell>
        </row>
        <row r="14801">
          <cell r="C14801" t="str">
            <v>IC</v>
          </cell>
          <cell r="D14801">
            <v>0.3</v>
          </cell>
          <cell r="H14801" t="str">
            <v>biomass</v>
          </cell>
        </row>
        <row r="14802">
          <cell r="C14802" t="str">
            <v>IC</v>
          </cell>
          <cell r="D14802">
            <v>0.3</v>
          </cell>
          <cell r="H14802" t="str">
            <v>biomass</v>
          </cell>
        </row>
        <row r="14803">
          <cell r="C14803" t="str">
            <v>IC</v>
          </cell>
          <cell r="D14803">
            <v>0.3</v>
          </cell>
          <cell r="H14803" t="str">
            <v>biomass</v>
          </cell>
        </row>
        <row r="14804">
          <cell r="C14804" t="str">
            <v>IC</v>
          </cell>
          <cell r="D14804">
            <v>0.3</v>
          </cell>
          <cell r="H14804" t="str">
            <v>biomass</v>
          </cell>
        </row>
        <row r="14805">
          <cell r="C14805" t="str">
            <v>IC</v>
          </cell>
          <cell r="D14805">
            <v>0.3</v>
          </cell>
          <cell r="H14805" t="str">
            <v>biomass</v>
          </cell>
        </row>
        <row r="14806">
          <cell r="C14806" t="str">
            <v>IC</v>
          </cell>
          <cell r="D14806">
            <v>0.3</v>
          </cell>
          <cell r="H14806" t="str">
            <v>biomass</v>
          </cell>
        </row>
        <row r="14807">
          <cell r="C14807" t="str">
            <v>IC</v>
          </cell>
          <cell r="D14807">
            <v>0.3</v>
          </cell>
          <cell r="H14807" t="str">
            <v>biomass</v>
          </cell>
        </row>
        <row r="14808">
          <cell r="C14808" t="str">
            <v>IC</v>
          </cell>
          <cell r="D14808">
            <v>0.3</v>
          </cell>
          <cell r="H14808" t="str">
            <v>biomass</v>
          </cell>
        </row>
        <row r="14809">
          <cell r="C14809" t="str">
            <v>IC</v>
          </cell>
          <cell r="D14809">
            <v>0.3</v>
          </cell>
          <cell r="H14809" t="str">
            <v>biomass</v>
          </cell>
        </row>
        <row r="14810">
          <cell r="C14810" t="str">
            <v>IC</v>
          </cell>
          <cell r="D14810">
            <v>0.3</v>
          </cell>
          <cell r="H14810" t="str">
            <v>biomass</v>
          </cell>
        </row>
        <row r="14811">
          <cell r="C14811" t="str">
            <v>IC</v>
          </cell>
          <cell r="D14811">
            <v>0.3</v>
          </cell>
          <cell r="H14811" t="str">
            <v>biomass</v>
          </cell>
        </row>
        <row r="14812">
          <cell r="C14812" t="str">
            <v>IC</v>
          </cell>
          <cell r="D14812">
            <v>0.3</v>
          </cell>
          <cell r="H14812" t="str">
            <v>biomass</v>
          </cell>
        </row>
        <row r="14813">
          <cell r="C14813" t="str">
            <v>IC</v>
          </cell>
          <cell r="D14813">
            <v>0.3</v>
          </cell>
          <cell r="H14813" t="str">
            <v>biomass</v>
          </cell>
        </row>
        <row r="14814">
          <cell r="C14814" t="str">
            <v>IC</v>
          </cell>
          <cell r="D14814">
            <v>0.3</v>
          </cell>
          <cell r="H14814" t="str">
            <v>biomass</v>
          </cell>
        </row>
        <row r="14815">
          <cell r="C14815" t="str">
            <v>IC</v>
          </cell>
          <cell r="D14815">
            <v>0.3</v>
          </cell>
          <cell r="H14815" t="str">
            <v>biomass</v>
          </cell>
        </row>
        <row r="14816">
          <cell r="C14816" t="str">
            <v>IC</v>
          </cell>
          <cell r="D14816">
            <v>0.3</v>
          </cell>
          <cell r="H14816" t="str">
            <v>biomass</v>
          </cell>
        </row>
        <row r="14817">
          <cell r="C14817" t="str">
            <v>IC</v>
          </cell>
          <cell r="D14817">
            <v>0.3</v>
          </cell>
          <cell r="H14817" t="str">
            <v>biomass</v>
          </cell>
        </row>
        <row r="14818">
          <cell r="C14818" t="str">
            <v>IC</v>
          </cell>
          <cell r="D14818">
            <v>0.3</v>
          </cell>
          <cell r="H14818" t="str">
            <v>biomass</v>
          </cell>
        </row>
        <row r="14819">
          <cell r="C14819" t="str">
            <v>IC</v>
          </cell>
          <cell r="D14819">
            <v>0.3</v>
          </cell>
          <cell r="H14819" t="str">
            <v>biomass</v>
          </cell>
        </row>
        <row r="14820">
          <cell r="C14820" t="str">
            <v>IC</v>
          </cell>
          <cell r="D14820">
            <v>0.3</v>
          </cell>
          <cell r="H14820" t="str">
            <v>biomass</v>
          </cell>
        </row>
        <row r="14821">
          <cell r="C14821" t="str">
            <v>IC</v>
          </cell>
          <cell r="D14821">
            <v>0.3</v>
          </cell>
          <cell r="H14821" t="str">
            <v>biomass</v>
          </cell>
        </row>
        <row r="14822">
          <cell r="C14822" t="str">
            <v>IC</v>
          </cell>
          <cell r="D14822">
            <v>0.3</v>
          </cell>
          <cell r="H14822" t="str">
            <v>biomass</v>
          </cell>
        </row>
        <row r="14823">
          <cell r="C14823" t="str">
            <v>IC</v>
          </cell>
          <cell r="D14823">
            <v>0.3</v>
          </cell>
          <cell r="H14823" t="str">
            <v>biomass</v>
          </cell>
        </row>
        <row r="14824">
          <cell r="C14824" t="str">
            <v>IC</v>
          </cell>
          <cell r="D14824">
            <v>0.3</v>
          </cell>
          <cell r="H14824" t="str">
            <v>biomass</v>
          </cell>
        </row>
        <row r="14825">
          <cell r="C14825" t="str">
            <v>IC</v>
          </cell>
          <cell r="D14825">
            <v>0.3</v>
          </cell>
          <cell r="H14825" t="str">
            <v>biomass</v>
          </cell>
        </row>
        <row r="14826">
          <cell r="C14826" t="str">
            <v>IC</v>
          </cell>
          <cell r="D14826">
            <v>0.3</v>
          </cell>
          <cell r="H14826" t="str">
            <v>biomass</v>
          </cell>
        </row>
        <row r="14827">
          <cell r="C14827" t="str">
            <v>IC</v>
          </cell>
          <cell r="D14827">
            <v>0.3</v>
          </cell>
          <cell r="H14827" t="str">
            <v>biomass</v>
          </cell>
        </row>
        <row r="14828">
          <cell r="C14828" t="str">
            <v>IC</v>
          </cell>
          <cell r="D14828">
            <v>0.3</v>
          </cell>
          <cell r="H14828" t="str">
            <v>biomass</v>
          </cell>
        </row>
        <row r="14829">
          <cell r="C14829" t="str">
            <v>IC</v>
          </cell>
          <cell r="D14829">
            <v>0.3</v>
          </cell>
          <cell r="H14829" t="str">
            <v>biomass</v>
          </cell>
        </row>
        <row r="14830">
          <cell r="C14830" t="str">
            <v>IC</v>
          </cell>
          <cell r="D14830">
            <v>0.3</v>
          </cell>
          <cell r="H14830" t="str">
            <v>biomass</v>
          </cell>
        </row>
        <row r="14831">
          <cell r="C14831" t="str">
            <v>IC</v>
          </cell>
          <cell r="D14831">
            <v>0.3</v>
          </cell>
          <cell r="H14831" t="str">
            <v>biomass</v>
          </cell>
        </row>
        <row r="14832">
          <cell r="C14832" t="str">
            <v>IC</v>
          </cell>
          <cell r="D14832">
            <v>0.3</v>
          </cell>
          <cell r="H14832" t="str">
            <v>biomass</v>
          </cell>
        </row>
        <row r="14833">
          <cell r="C14833" t="str">
            <v>IC</v>
          </cell>
          <cell r="D14833">
            <v>0.3</v>
          </cell>
          <cell r="H14833" t="str">
            <v>biomass</v>
          </cell>
        </row>
        <row r="14834">
          <cell r="C14834" t="str">
            <v>IC</v>
          </cell>
          <cell r="D14834">
            <v>0.3</v>
          </cell>
          <cell r="H14834" t="str">
            <v>biomass</v>
          </cell>
        </row>
        <row r="14835">
          <cell r="C14835" t="str">
            <v>IC</v>
          </cell>
          <cell r="D14835">
            <v>0.3</v>
          </cell>
          <cell r="H14835" t="str">
            <v>biomass</v>
          </cell>
        </row>
        <row r="14836">
          <cell r="C14836" t="str">
            <v>IC</v>
          </cell>
          <cell r="D14836">
            <v>0.3</v>
          </cell>
          <cell r="H14836" t="str">
            <v>biomass</v>
          </cell>
        </row>
        <row r="14837">
          <cell r="C14837" t="str">
            <v>IC</v>
          </cell>
          <cell r="D14837">
            <v>0.3</v>
          </cell>
          <cell r="H14837" t="str">
            <v>biomass</v>
          </cell>
        </row>
        <row r="14838">
          <cell r="C14838" t="str">
            <v>IC</v>
          </cell>
          <cell r="D14838">
            <v>0.3</v>
          </cell>
          <cell r="H14838" t="str">
            <v>biomass</v>
          </cell>
        </row>
        <row r="14839">
          <cell r="C14839" t="str">
            <v>IC</v>
          </cell>
          <cell r="D14839">
            <v>0.3</v>
          </cell>
          <cell r="H14839" t="str">
            <v>biomass</v>
          </cell>
        </row>
        <row r="14840">
          <cell r="C14840" t="str">
            <v>IC</v>
          </cell>
          <cell r="D14840">
            <v>0.3</v>
          </cell>
          <cell r="H14840" t="str">
            <v>biomass</v>
          </cell>
        </row>
        <row r="14841">
          <cell r="C14841" t="str">
            <v>IC</v>
          </cell>
          <cell r="D14841">
            <v>0.3</v>
          </cell>
          <cell r="H14841" t="str">
            <v>biomass</v>
          </cell>
        </row>
        <row r="14842">
          <cell r="C14842" t="str">
            <v>IC</v>
          </cell>
          <cell r="D14842">
            <v>0.3</v>
          </cell>
          <cell r="H14842" t="str">
            <v>biomass</v>
          </cell>
        </row>
        <row r="14843">
          <cell r="C14843" t="str">
            <v>IC</v>
          </cell>
          <cell r="D14843">
            <v>0.3</v>
          </cell>
          <cell r="H14843" t="str">
            <v>biomass</v>
          </cell>
        </row>
        <row r="14844">
          <cell r="C14844" t="str">
            <v>IC</v>
          </cell>
          <cell r="D14844">
            <v>0.3</v>
          </cell>
          <cell r="H14844" t="str">
            <v>biomass</v>
          </cell>
        </row>
        <row r="14845">
          <cell r="C14845" t="str">
            <v>IC</v>
          </cell>
          <cell r="D14845">
            <v>0.3</v>
          </cell>
          <cell r="H14845" t="str">
            <v>biomass</v>
          </cell>
        </row>
        <row r="14846">
          <cell r="C14846" t="str">
            <v>IC</v>
          </cell>
          <cell r="D14846">
            <v>0.3</v>
          </cell>
          <cell r="H14846" t="str">
            <v>biomass</v>
          </cell>
        </row>
        <row r="14847">
          <cell r="C14847" t="str">
            <v>IC</v>
          </cell>
          <cell r="D14847">
            <v>0.3</v>
          </cell>
          <cell r="H14847" t="str">
            <v>biomass</v>
          </cell>
        </row>
        <row r="14848">
          <cell r="C14848" t="str">
            <v>IC</v>
          </cell>
          <cell r="D14848">
            <v>0.3</v>
          </cell>
          <cell r="H14848" t="str">
            <v>biomass</v>
          </cell>
        </row>
        <row r="14849">
          <cell r="C14849" t="str">
            <v>IC</v>
          </cell>
          <cell r="D14849">
            <v>0.3</v>
          </cell>
          <cell r="H14849" t="str">
            <v>biomass</v>
          </cell>
        </row>
        <row r="14850">
          <cell r="C14850" t="str">
            <v>IC</v>
          </cell>
          <cell r="D14850">
            <v>0.3</v>
          </cell>
          <cell r="H14850" t="str">
            <v>biomass</v>
          </cell>
        </row>
        <row r="14851">
          <cell r="C14851" t="str">
            <v>IC</v>
          </cell>
          <cell r="D14851">
            <v>0.3</v>
          </cell>
          <cell r="H14851" t="str">
            <v>biomass</v>
          </cell>
        </row>
        <row r="14852">
          <cell r="C14852" t="str">
            <v>IC</v>
          </cell>
          <cell r="D14852">
            <v>0.3</v>
          </cell>
          <cell r="H14852" t="str">
            <v>biomass</v>
          </cell>
        </row>
        <row r="14853">
          <cell r="C14853" t="str">
            <v>IC</v>
          </cell>
          <cell r="D14853">
            <v>0.3</v>
          </cell>
          <cell r="H14853" t="str">
            <v>biomass</v>
          </cell>
        </row>
        <row r="14854">
          <cell r="C14854" t="str">
            <v>IC</v>
          </cell>
          <cell r="D14854">
            <v>0.3</v>
          </cell>
          <cell r="H14854" t="str">
            <v>biomass</v>
          </cell>
        </row>
        <row r="14855">
          <cell r="C14855" t="str">
            <v>IC</v>
          </cell>
          <cell r="D14855">
            <v>0.3</v>
          </cell>
          <cell r="H14855" t="str">
            <v>biomass</v>
          </cell>
        </row>
        <row r="14856">
          <cell r="C14856" t="str">
            <v>IC</v>
          </cell>
          <cell r="D14856">
            <v>0.3</v>
          </cell>
          <cell r="H14856" t="str">
            <v>biomass</v>
          </cell>
        </row>
        <row r="14857">
          <cell r="C14857" t="str">
            <v>IC</v>
          </cell>
          <cell r="D14857">
            <v>0.3</v>
          </cell>
          <cell r="H14857" t="str">
            <v>biomass</v>
          </cell>
        </row>
        <row r="14858">
          <cell r="C14858" t="str">
            <v>IC</v>
          </cell>
          <cell r="D14858">
            <v>0.3</v>
          </cell>
          <cell r="H14858" t="str">
            <v>biomass</v>
          </cell>
        </row>
        <row r="14859">
          <cell r="C14859" t="str">
            <v>IC</v>
          </cell>
          <cell r="D14859">
            <v>0.3</v>
          </cell>
          <cell r="H14859" t="str">
            <v>biomass</v>
          </cell>
        </row>
        <row r="14860">
          <cell r="C14860" t="str">
            <v>IC</v>
          </cell>
          <cell r="D14860">
            <v>0.3</v>
          </cell>
          <cell r="H14860" t="str">
            <v>biomass</v>
          </cell>
        </row>
        <row r="14861">
          <cell r="C14861" t="str">
            <v>IC</v>
          </cell>
          <cell r="D14861">
            <v>0.3</v>
          </cell>
          <cell r="H14861" t="str">
            <v>biomass</v>
          </cell>
        </row>
        <row r="14862">
          <cell r="C14862" t="str">
            <v>IC</v>
          </cell>
          <cell r="D14862">
            <v>0.3</v>
          </cell>
          <cell r="H14862" t="str">
            <v>biomass</v>
          </cell>
        </row>
        <row r="14863">
          <cell r="C14863" t="str">
            <v>IC</v>
          </cell>
          <cell r="D14863">
            <v>0.3</v>
          </cell>
          <cell r="H14863" t="str">
            <v>biomass</v>
          </cell>
        </row>
        <row r="14864">
          <cell r="C14864" t="str">
            <v>IC</v>
          </cell>
          <cell r="D14864">
            <v>0.3</v>
          </cell>
          <cell r="H14864" t="str">
            <v>biomass</v>
          </cell>
        </row>
        <row r="14865">
          <cell r="C14865" t="str">
            <v>IC</v>
          </cell>
          <cell r="D14865">
            <v>0.3</v>
          </cell>
          <cell r="H14865" t="str">
            <v>biomass</v>
          </cell>
        </row>
        <row r="14866">
          <cell r="C14866" t="str">
            <v>IC</v>
          </cell>
          <cell r="D14866">
            <v>0.3</v>
          </cell>
          <cell r="H14866" t="str">
            <v>biomass</v>
          </cell>
        </row>
        <row r="14867">
          <cell r="C14867" t="str">
            <v>IC</v>
          </cell>
          <cell r="D14867">
            <v>0.3</v>
          </cell>
          <cell r="H14867" t="str">
            <v>biomass</v>
          </cell>
        </row>
        <row r="14868">
          <cell r="C14868" t="str">
            <v>IC</v>
          </cell>
          <cell r="D14868">
            <v>0.3</v>
          </cell>
          <cell r="H14868" t="str">
            <v>biomass</v>
          </cell>
        </row>
        <row r="14869">
          <cell r="C14869" t="str">
            <v>IC</v>
          </cell>
          <cell r="D14869">
            <v>0.3</v>
          </cell>
          <cell r="H14869" t="str">
            <v>biomass</v>
          </cell>
        </row>
        <row r="14870">
          <cell r="C14870" t="str">
            <v>IC</v>
          </cell>
          <cell r="D14870">
            <v>0.3</v>
          </cell>
          <cell r="H14870" t="str">
            <v>biomass</v>
          </cell>
        </row>
        <row r="14871">
          <cell r="C14871" t="str">
            <v>IC</v>
          </cell>
          <cell r="D14871">
            <v>0.3</v>
          </cell>
          <cell r="H14871" t="str">
            <v>biomass</v>
          </cell>
        </row>
        <row r="14872">
          <cell r="C14872" t="str">
            <v>IC</v>
          </cell>
          <cell r="D14872">
            <v>0.3</v>
          </cell>
          <cell r="H14872" t="str">
            <v>biomass</v>
          </cell>
        </row>
        <row r="14873">
          <cell r="C14873" t="str">
            <v>IC</v>
          </cell>
          <cell r="D14873">
            <v>0.3</v>
          </cell>
          <cell r="H14873" t="str">
            <v>biomass</v>
          </cell>
        </row>
        <row r="14874">
          <cell r="C14874" t="str">
            <v>IC</v>
          </cell>
          <cell r="D14874">
            <v>0.3</v>
          </cell>
          <cell r="H14874" t="str">
            <v>biomass</v>
          </cell>
        </row>
        <row r="14875">
          <cell r="C14875" t="str">
            <v>IC</v>
          </cell>
          <cell r="D14875">
            <v>0.3</v>
          </cell>
          <cell r="H14875" t="str">
            <v>biomass</v>
          </cell>
        </row>
        <row r="14876">
          <cell r="C14876" t="str">
            <v>IC</v>
          </cell>
          <cell r="D14876">
            <v>0.3</v>
          </cell>
          <cell r="H14876" t="str">
            <v>biomass</v>
          </cell>
        </row>
        <row r="14877">
          <cell r="C14877" t="str">
            <v>IC</v>
          </cell>
          <cell r="D14877">
            <v>0.3</v>
          </cell>
          <cell r="H14877" t="str">
            <v>biomass</v>
          </cell>
        </row>
        <row r="14878">
          <cell r="C14878" t="str">
            <v>IC</v>
          </cell>
          <cell r="D14878">
            <v>0.3</v>
          </cell>
          <cell r="H14878" t="str">
            <v>biomass</v>
          </cell>
        </row>
        <row r="14879">
          <cell r="C14879" t="str">
            <v>IC</v>
          </cell>
          <cell r="D14879">
            <v>0.3</v>
          </cell>
          <cell r="H14879" t="str">
            <v>biomass</v>
          </cell>
        </row>
        <row r="14880">
          <cell r="C14880" t="str">
            <v>IC</v>
          </cell>
          <cell r="D14880">
            <v>0.3</v>
          </cell>
          <cell r="H14880" t="str">
            <v>biomass</v>
          </cell>
        </row>
        <row r="14881">
          <cell r="C14881" t="str">
            <v>IC</v>
          </cell>
          <cell r="D14881">
            <v>0.3</v>
          </cell>
          <cell r="H14881" t="str">
            <v>biomass</v>
          </cell>
        </row>
        <row r="14882">
          <cell r="C14882" t="str">
            <v>IC</v>
          </cell>
          <cell r="D14882">
            <v>0.3</v>
          </cell>
          <cell r="H14882" t="str">
            <v>biomass</v>
          </cell>
        </row>
        <row r="14883">
          <cell r="C14883" t="str">
            <v>IC</v>
          </cell>
          <cell r="D14883">
            <v>0.3</v>
          </cell>
          <cell r="H14883" t="str">
            <v>biomass</v>
          </cell>
        </row>
        <row r="14884">
          <cell r="C14884" t="str">
            <v>IC</v>
          </cell>
          <cell r="D14884">
            <v>0.3</v>
          </cell>
          <cell r="H14884" t="str">
            <v>biomass</v>
          </cell>
        </row>
        <row r="14885">
          <cell r="C14885" t="str">
            <v>IC</v>
          </cell>
          <cell r="D14885">
            <v>0.3</v>
          </cell>
          <cell r="H14885" t="str">
            <v>biomass</v>
          </cell>
        </row>
        <row r="14886">
          <cell r="C14886" t="str">
            <v>IC</v>
          </cell>
          <cell r="D14886">
            <v>0.3</v>
          </cell>
          <cell r="H14886" t="str">
            <v>biomass</v>
          </cell>
        </row>
        <row r="14887">
          <cell r="C14887" t="str">
            <v>IC</v>
          </cell>
          <cell r="D14887">
            <v>0.3</v>
          </cell>
          <cell r="H14887" t="str">
            <v>biomass</v>
          </cell>
        </row>
        <row r="14888">
          <cell r="C14888" t="str">
            <v>IC</v>
          </cell>
          <cell r="D14888">
            <v>0.3</v>
          </cell>
          <cell r="H14888" t="str">
            <v>biomass</v>
          </cell>
        </row>
        <row r="14889">
          <cell r="C14889" t="str">
            <v>IC</v>
          </cell>
          <cell r="D14889">
            <v>0.3</v>
          </cell>
          <cell r="H14889" t="str">
            <v>petroleum</v>
          </cell>
        </row>
        <row r="14890">
          <cell r="C14890" t="str">
            <v>IC</v>
          </cell>
          <cell r="D14890">
            <v>0.3</v>
          </cell>
          <cell r="H14890" t="str">
            <v>petroleum</v>
          </cell>
        </row>
        <row r="14891">
          <cell r="C14891" t="str">
            <v>IC</v>
          </cell>
          <cell r="D14891">
            <v>0.3</v>
          </cell>
          <cell r="H14891" t="str">
            <v>petroleum</v>
          </cell>
        </row>
        <row r="14892">
          <cell r="C14892" t="str">
            <v>IC</v>
          </cell>
          <cell r="D14892">
            <v>0.3</v>
          </cell>
          <cell r="H14892" t="str">
            <v>petroleum</v>
          </cell>
        </row>
        <row r="14893">
          <cell r="C14893" t="str">
            <v>IC</v>
          </cell>
          <cell r="D14893">
            <v>0.3</v>
          </cell>
          <cell r="H14893" t="str">
            <v>petroleum</v>
          </cell>
        </row>
        <row r="14894">
          <cell r="C14894" t="str">
            <v>IC</v>
          </cell>
          <cell r="D14894">
            <v>0.3</v>
          </cell>
          <cell r="H14894" t="str">
            <v>petroleum</v>
          </cell>
        </row>
        <row r="14895">
          <cell r="C14895" t="str">
            <v>IC</v>
          </cell>
          <cell r="D14895">
            <v>0.3</v>
          </cell>
          <cell r="H14895" t="str">
            <v>petroleum</v>
          </cell>
        </row>
        <row r="14896">
          <cell r="C14896" t="str">
            <v>IC</v>
          </cell>
          <cell r="D14896">
            <v>0.3</v>
          </cell>
          <cell r="H14896" t="str">
            <v>petroleum</v>
          </cell>
        </row>
        <row r="14897">
          <cell r="C14897" t="str">
            <v>IC</v>
          </cell>
          <cell r="D14897">
            <v>0.3</v>
          </cell>
          <cell r="H14897" t="str">
            <v>petroleum</v>
          </cell>
        </row>
        <row r="14898">
          <cell r="C14898" t="str">
            <v>IC</v>
          </cell>
          <cell r="D14898">
            <v>0.3</v>
          </cell>
          <cell r="H14898" t="str">
            <v>petroleum</v>
          </cell>
        </row>
        <row r="14899">
          <cell r="C14899" t="str">
            <v>IC</v>
          </cell>
          <cell r="D14899">
            <v>0.3</v>
          </cell>
          <cell r="H14899" t="str">
            <v>petroleum</v>
          </cell>
        </row>
        <row r="14900">
          <cell r="C14900" t="str">
            <v>IC</v>
          </cell>
          <cell r="D14900">
            <v>0.3</v>
          </cell>
          <cell r="H14900" t="str">
            <v>petroleum</v>
          </cell>
        </row>
        <row r="14901">
          <cell r="C14901" t="str">
            <v>IC</v>
          </cell>
          <cell r="D14901">
            <v>0.3</v>
          </cell>
          <cell r="H14901" t="str">
            <v>petroleum</v>
          </cell>
        </row>
        <row r="14902">
          <cell r="C14902" t="str">
            <v>IC</v>
          </cell>
          <cell r="D14902">
            <v>0.3</v>
          </cell>
          <cell r="H14902" t="str">
            <v>petroleum</v>
          </cell>
        </row>
        <row r="14903">
          <cell r="C14903" t="str">
            <v>IC</v>
          </cell>
          <cell r="D14903">
            <v>0.3</v>
          </cell>
          <cell r="H14903" t="str">
            <v>petroleum</v>
          </cell>
        </row>
        <row r="14904">
          <cell r="C14904" t="str">
            <v>IC</v>
          </cell>
          <cell r="D14904">
            <v>0.3</v>
          </cell>
          <cell r="H14904" t="str">
            <v>petroleum</v>
          </cell>
        </row>
        <row r="14905">
          <cell r="C14905" t="str">
            <v>IC</v>
          </cell>
          <cell r="D14905">
            <v>0.3</v>
          </cell>
          <cell r="H14905" t="str">
            <v>petroleum</v>
          </cell>
        </row>
        <row r="14906">
          <cell r="C14906" t="str">
            <v>IC</v>
          </cell>
          <cell r="D14906">
            <v>0.3</v>
          </cell>
          <cell r="H14906" t="str">
            <v>petroleum</v>
          </cell>
        </row>
        <row r="14907">
          <cell r="C14907" t="str">
            <v>IC</v>
          </cell>
          <cell r="D14907">
            <v>0.3</v>
          </cell>
          <cell r="H14907" t="str">
            <v>petroleum</v>
          </cell>
        </row>
        <row r="14908">
          <cell r="C14908" t="str">
            <v>IC</v>
          </cell>
          <cell r="D14908">
            <v>0.3</v>
          </cell>
          <cell r="H14908" t="str">
            <v>petroleum</v>
          </cell>
        </row>
        <row r="14909">
          <cell r="C14909" t="str">
            <v>IC</v>
          </cell>
          <cell r="D14909">
            <v>0.3</v>
          </cell>
          <cell r="H14909" t="str">
            <v>petroleum</v>
          </cell>
        </row>
        <row r="14910">
          <cell r="C14910" t="str">
            <v>IC</v>
          </cell>
          <cell r="D14910">
            <v>0.3</v>
          </cell>
          <cell r="H14910" t="str">
            <v>petroleum</v>
          </cell>
        </row>
        <row r="14911">
          <cell r="C14911" t="str">
            <v>IC</v>
          </cell>
          <cell r="D14911">
            <v>0.3</v>
          </cell>
          <cell r="H14911" t="str">
            <v>petroleum</v>
          </cell>
        </row>
        <row r="14912">
          <cell r="C14912" t="str">
            <v>IC</v>
          </cell>
          <cell r="D14912">
            <v>0.3</v>
          </cell>
          <cell r="H14912" t="str">
            <v>petroleum</v>
          </cell>
        </row>
        <row r="14913">
          <cell r="C14913" t="str">
            <v>IC</v>
          </cell>
          <cell r="D14913">
            <v>0.3</v>
          </cell>
          <cell r="H14913" t="str">
            <v>petroleum</v>
          </cell>
        </row>
        <row r="14914">
          <cell r="C14914" t="str">
            <v>IC</v>
          </cell>
          <cell r="D14914">
            <v>0.3</v>
          </cell>
          <cell r="H14914" t="str">
            <v>petroleum</v>
          </cell>
        </row>
        <row r="14915">
          <cell r="C14915" t="str">
            <v>IC</v>
          </cell>
          <cell r="D14915">
            <v>0.3</v>
          </cell>
          <cell r="H14915" t="str">
            <v>petroleum</v>
          </cell>
        </row>
        <row r="14916">
          <cell r="C14916" t="str">
            <v>IC</v>
          </cell>
          <cell r="D14916">
            <v>0.3</v>
          </cell>
          <cell r="H14916" t="str">
            <v>petroleum</v>
          </cell>
        </row>
        <row r="14917">
          <cell r="C14917" t="str">
            <v>IC</v>
          </cell>
          <cell r="D14917">
            <v>0.3</v>
          </cell>
          <cell r="H14917" t="str">
            <v>petroleum</v>
          </cell>
        </row>
        <row r="14918">
          <cell r="C14918" t="str">
            <v>IC</v>
          </cell>
          <cell r="D14918">
            <v>0.3</v>
          </cell>
          <cell r="H14918" t="str">
            <v>petroleum</v>
          </cell>
        </row>
        <row r="14919">
          <cell r="C14919" t="str">
            <v>IC</v>
          </cell>
          <cell r="D14919">
            <v>0.3</v>
          </cell>
          <cell r="H14919" t="str">
            <v>petroleum</v>
          </cell>
        </row>
        <row r="14920">
          <cell r="C14920" t="str">
            <v>IC</v>
          </cell>
          <cell r="D14920">
            <v>0.3</v>
          </cell>
          <cell r="H14920" t="str">
            <v>petroleum</v>
          </cell>
        </row>
        <row r="14921">
          <cell r="C14921" t="str">
            <v>IC</v>
          </cell>
          <cell r="D14921">
            <v>0.3</v>
          </cell>
          <cell r="H14921" t="str">
            <v>petroleum</v>
          </cell>
        </row>
        <row r="14922">
          <cell r="C14922" t="str">
            <v>IC</v>
          </cell>
          <cell r="D14922">
            <v>0.3</v>
          </cell>
          <cell r="H14922" t="str">
            <v>petroleum</v>
          </cell>
        </row>
        <row r="14923">
          <cell r="C14923" t="str">
            <v>IC</v>
          </cell>
          <cell r="D14923">
            <v>0.3</v>
          </cell>
          <cell r="H14923" t="str">
            <v>petroleum</v>
          </cell>
        </row>
        <row r="14924">
          <cell r="C14924" t="str">
            <v>IC</v>
          </cell>
          <cell r="D14924">
            <v>0.3</v>
          </cell>
          <cell r="H14924" t="str">
            <v>petroleum</v>
          </cell>
        </row>
        <row r="14925">
          <cell r="C14925" t="str">
            <v>IC</v>
          </cell>
          <cell r="D14925">
            <v>0.3</v>
          </cell>
          <cell r="H14925" t="str">
            <v>biomass</v>
          </cell>
        </row>
        <row r="14926">
          <cell r="C14926" t="str">
            <v>IC</v>
          </cell>
          <cell r="D14926">
            <v>0.3</v>
          </cell>
          <cell r="H14926" t="str">
            <v>biomass</v>
          </cell>
        </row>
        <row r="14927">
          <cell r="C14927" t="str">
            <v>IC</v>
          </cell>
          <cell r="D14927">
            <v>0.3</v>
          </cell>
          <cell r="H14927" t="str">
            <v>biomass</v>
          </cell>
        </row>
        <row r="14928">
          <cell r="C14928" t="str">
            <v>IC</v>
          </cell>
          <cell r="D14928">
            <v>0.3</v>
          </cell>
          <cell r="H14928" t="str">
            <v>biomass</v>
          </cell>
        </row>
        <row r="14929">
          <cell r="C14929" t="str">
            <v>IC</v>
          </cell>
          <cell r="D14929">
            <v>0.3</v>
          </cell>
          <cell r="H14929" t="str">
            <v>biomass</v>
          </cell>
        </row>
        <row r="14930">
          <cell r="C14930" t="str">
            <v>IC</v>
          </cell>
          <cell r="D14930">
            <v>0.3</v>
          </cell>
          <cell r="H14930" t="str">
            <v>biomass</v>
          </cell>
        </row>
        <row r="14931">
          <cell r="C14931" t="str">
            <v>IC</v>
          </cell>
          <cell r="D14931">
            <v>0.3</v>
          </cell>
          <cell r="H14931" t="str">
            <v>biomass</v>
          </cell>
        </row>
        <row r="14932">
          <cell r="C14932" t="str">
            <v>IC</v>
          </cell>
          <cell r="D14932">
            <v>0.3</v>
          </cell>
          <cell r="H14932" t="str">
            <v>biomass</v>
          </cell>
        </row>
        <row r="14933">
          <cell r="C14933" t="str">
            <v>IC</v>
          </cell>
          <cell r="D14933">
            <v>0.3</v>
          </cell>
          <cell r="H14933" t="str">
            <v>biomass</v>
          </cell>
        </row>
        <row r="14934">
          <cell r="C14934" t="str">
            <v>IC</v>
          </cell>
          <cell r="D14934">
            <v>0.3</v>
          </cell>
          <cell r="H14934" t="str">
            <v>biomass</v>
          </cell>
        </row>
        <row r="14935">
          <cell r="C14935" t="str">
            <v>IC</v>
          </cell>
          <cell r="D14935">
            <v>0.3</v>
          </cell>
          <cell r="H14935" t="str">
            <v>biomass</v>
          </cell>
        </row>
        <row r="14936">
          <cell r="C14936" t="str">
            <v>IC</v>
          </cell>
          <cell r="D14936">
            <v>0.3</v>
          </cell>
          <cell r="H14936" t="str">
            <v>biomass</v>
          </cell>
        </row>
        <row r="14937">
          <cell r="C14937" t="str">
            <v>IC</v>
          </cell>
          <cell r="D14937">
            <v>0.3</v>
          </cell>
          <cell r="H14937" t="str">
            <v>biomass</v>
          </cell>
        </row>
        <row r="14938">
          <cell r="C14938" t="str">
            <v>IC</v>
          </cell>
          <cell r="D14938">
            <v>0.3</v>
          </cell>
          <cell r="H14938" t="str">
            <v>biomass</v>
          </cell>
        </row>
        <row r="14939">
          <cell r="C14939" t="str">
            <v>IC</v>
          </cell>
          <cell r="D14939">
            <v>0.3</v>
          </cell>
          <cell r="H14939" t="str">
            <v>biomass</v>
          </cell>
        </row>
        <row r="14940">
          <cell r="C14940" t="str">
            <v>IC</v>
          </cell>
          <cell r="D14940">
            <v>0.3</v>
          </cell>
          <cell r="H14940" t="str">
            <v>biomass</v>
          </cell>
        </row>
        <row r="14941">
          <cell r="C14941" t="str">
            <v>IC</v>
          </cell>
          <cell r="D14941">
            <v>0.3</v>
          </cell>
          <cell r="H14941" t="str">
            <v>biomass</v>
          </cell>
        </row>
        <row r="14942">
          <cell r="C14942" t="str">
            <v>IC</v>
          </cell>
          <cell r="D14942">
            <v>0.3</v>
          </cell>
          <cell r="H14942" t="str">
            <v>biomass</v>
          </cell>
        </row>
        <row r="14943">
          <cell r="C14943" t="str">
            <v>IC</v>
          </cell>
          <cell r="D14943">
            <v>0.3</v>
          </cell>
          <cell r="H14943" t="str">
            <v>biomass</v>
          </cell>
        </row>
        <row r="14944">
          <cell r="C14944" t="str">
            <v>IC</v>
          </cell>
          <cell r="D14944">
            <v>0.3</v>
          </cell>
          <cell r="H14944" t="str">
            <v>biomass</v>
          </cell>
        </row>
        <row r="14945">
          <cell r="C14945" t="str">
            <v>IC</v>
          </cell>
          <cell r="D14945">
            <v>0.3</v>
          </cell>
          <cell r="H14945" t="str">
            <v>biomass</v>
          </cell>
        </row>
        <row r="14946">
          <cell r="C14946" t="str">
            <v>IC</v>
          </cell>
          <cell r="D14946">
            <v>0.3</v>
          </cell>
          <cell r="H14946" t="str">
            <v>biomass</v>
          </cell>
        </row>
        <row r="14947">
          <cell r="C14947" t="str">
            <v>IC</v>
          </cell>
          <cell r="D14947">
            <v>0.3</v>
          </cell>
          <cell r="H14947" t="str">
            <v>biomass</v>
          </cell>
        </row>
        <row r="14948">
          <cell r="C14948" t="str">
            <v>IC</v>
          </cell>
          <cell r="D14948">
            <v>0.3</v>
          </cell>
          <cell r="H14948" t="str">
            <v>biomass</v>
          </cell>
        </row>
        <row r="14949">
          <cell r="C14949" t="str">
            <v>IC</v>
          </cell>
          <cell r="D14949">
            <v>0.3</v>
          </cell>
          <cell r="H14949" t="str">
            <v>biomass</v>
          </cell>
        </row>
        <row r="14950">
          <cell r="C14950" t="str">
            <v>IC</v>
          </cell>
          <cell r="D14950">
            <v>0.3</v>
          </cell>
          <cell r="H14950" t="str">
            <v>biomass</v>
          </cell>
        </row>
        <row r="14951">
          <cell r="C14951" t="str">
            <v>IC</v>
          </cell>
          <cell r="D14951">
            <v>0.3</v>
          </cell>
          <cell r="H14951" t="str">
            <v>biomass</v>
          </cell>
        </row>
        <row r="14952">
          <cell r="C14952" t="str">
            <v>IC</v>
          </cell>
          <cell r="D14952">
            <v>0.3</v>
          </cell>
          <cell r="H14952" t="str">
            <v>biomass</v>
          </cell>
        </row>
        <row r="14953">
          <cell r="C14953" t="str">
            <v>IC</v>
          </cell>
          <cell r="D14953">
            <v>0.3</v>
          </cell>
          <cell r="H14953" t="str">
            <v>biomass</v>
          </cell>
        </row>
        <row r="14954">
          <cell r="C14954" t="str">
            <v>IC</v>
          </cell>
          <cell r="D14954">
            <v>0.3</v>
          </cell>
          <cell r="H14954" t="str">
            <v>biomass</v>
          </cell>
        </row>
        <row r="14955">
          <cell r="C14955" t="str">
            <v>IC</v>
          </cell>
          <cell r="D14955">
            <v>0.3</v>
          </cell>
          <cell r="H14955" t="str">
            <v>biomass</v>
          </cell>
        </row>
        <row r="14956">
          <cell r="C14956" t="str">
            <v>IC</v>
          </cell>
          <cell r="D14956">
            <v>0.3</v>
          </cell>
          <cell r="H14956" t="str">
            <v>biomass</v>
          </cell>
        </row>
        <row r="14957">
          <cell r="C14957" t="str">
            <v>IC</v>
          </cell>
          <cell r="D14957">
            <v>0.3</v>
          </cell>
          <cell r="H14957" t="str">
            <v>biomass</v>
          </cell>
        </row>
        <row r="14958">
          <cell r="C14958" t="str">
            <v>IC</v>
          </cell>
          <cell r="D14958">
            <v>0.3</v>
          </cell>
          <cell r="H14958" t="str">
            <v>biomass</v>
          </cell>
        </row>
        <row r="14959">
          <cell r="C14959" t="str">
            <v>IC</v>
          </cell>
          <cell r="D14959">
            <v>0.3</v>
          </cell>
          <cell r="H14959" t="str">
            <v>biomass</v>
          </cell>
        </row>
        <row r="14960">
          <cell r="C14960" t="str">
            <v>IC</v>
          </cell>
          <cell r="D14960">
            <v>0.3</v>
          </cell>
          <cell r="H14960" t="str">
            <v>biomass</v>
          </cell>
        </row>
        <row r="14961">
          <cell r="C14961" t="str">
            <v>HY</v>
          </cell>
          <cell r="D14961">
            <v>6.1</v>
          </cell>
          <cell r="H14961" t="str">
            <v>hydro</v>
          </cell>
        </row>
        <row r="14962">
          <cell r="C14962" t="str">
            <v>HY</v>
          </cell>
          <cell r="D14962">
            <v>46</v>
          </cell>
          <cell r="H14962" t="str">
            <v>hydro</v>
          </cell>
        </row>
        <row r="14963">
          <cell r="C14963" t="str">
            <v>HY</v>
          </cell>
          <cell r="D14963">
            <v>46</v>
          </cell>
          <cell r="H14963" t="str">
            <v>hydro</v>
          </cell>
        </row>
        <row r="14964">
          <cell r="C14964" t="str">
            <v>HY</v>
          </cell>
          <cell r="D14964">
            <v>2.2000000000000002</v>
          </cell>
          <cell r="H14964" t="str">
            <v>hydro</v>
          </cell>
        </row>
        <row r="14965">
          <cell r="C14965" t="str">
            <v>HY</v>
          </cell>
          <cell r="D14965">
            <v>2.2999999999999998</v>
          </cell>
          <cell r="H14965" t="str">
            <v>hydro</v>
          </cell>
        </row>
        <row r="14966">
          <cell r="C14966" t="str">
            <v>HY</v>
          </cell>
          <cell r="D14966">
            <v>26.8</v>
          </cell>
          <cell r="H14966" t="str">
            <v>hydro</v>
          </cell>
        </row>
        <row r="14967">
          <cell r="C14967" t="str">
            <v>WT</v>
          </cell>
          <cell r="D14967">
            <v>29.4</v>
          </cell>
          <cell r="H14967" t="str">
            <v>onshore wind</v>
          </cell>
        </row>
        <row r="14968">
          <cell r="C14968" t="str">
            <v>WT</v>
          </cell>
          <cell r="D14968">
            <v>37.799999999999997</v>
          </cell>
          <cell r="H14968" t="str">
            <v>onshore wind</v>
          </cell>
        </row>
        <row r="14969">
          <cell r="C14969" t="str">
            <v>IC</v>
          </cell>
          <cell r="D14969">
            <v>2</v>
          </cell>
          <cell r="H14969" t="str">
            <v>natural gas peaker</v>
          </cell>
        </row>
        <row r="14970">
          <cell r="C14970" t="str">
            <v>IC</v>
          </cell>
          <cell r="D14970">
            <v>2</v>
          </cell>
          <cell r="H14970" t="str">
            <v>natural gas peaker</v>
          </cell>
        </row>
        <row r="14971">
          <cell r="C14971" t="str">
            <v>IC</v>
          </cell>
          <cell r="D14971">
            <v>2</v>
          </cell>
          <cell r="H14971" t="str">
            <v>natural gas peaker</v>
          </cell>
        </row>
        <row r="14972">
          <cell r="C14972" t="str">
            <v>IC</v>
          </cell>
          <cell r="D14972">
            <v>2</v>
          </cell>
          <cell r="H14972" t="str">
            <v>natural gas peaker</v>
          </cell>
        </row>
        <row r="14973">
          <cell r="C14973" t="str">
            <v>IC</v>
          </cell>
          <cell r="D14973">
            <v>3.9</v>
          </cell>
          <cell r="H14973" t="str">
            <v>petroleum</v>
          </cell>
        </row>
        <row r="14974">
          <cell r="C14974" t="str">
            <v>IC</v>
          </cell>
          <cell r="D14974">
            <v>3.9</v>
          </cell>
          <cell r="H14974" t="str">
            <v>petroleum</v>
          </cell>
        </row>
        <row r="14975">
          <cell r="C14975" t="str">
            <v>WT</v>
          </cell>
          <cell r="D14975">
            <v>136.30000000000001</v>
          </cell>
          <cell r="H14975" t="str">
            <v>onshore wind</v>
          </cell>
        </row>
        <row r="14976">
          <cell r="C14976" t="str">
            <v>HY</v>
          </cell>
          <cell r="D14976">
            <v>1</v>
          </cell>
          <cell r="H14976" t="str">
            <v>hydro</v>
          </cell>
        </row>
        <row r="14977">
          <cell r="C14977" t="str">
            <v>HY</v>
          </cell>
          <cell r="D14977">
            <v>1.2</v>
          </cell>
          <cell r="H14977" t="str">
            <v>hydro</v>
          </cell>
        </row>
        <row r="14978">
          <cell r="C14978" t="str">
            <v>HY</v>
          </cell>
          <cell r="D14978">
            <v>1.2</v>
          </cell>
          <cell r="H14978" t="str">
            <v>hydro</v>
          </cell>
        </row>
        <row r="14979">
          <cell r="C14979" t="str">
            <v>HY</v>
          </cell>
          <cell r="D14979">
            <v>1.2</v>
          </cell>
          <cell r="H14979" t="str">
            <v>hydro</v>
          </cell>
        </row>
        <row r="14980">
          <cell r="C14980" t="str">
            <v>HY</v>
          </cell>
          <cell r="D14980">
            <v>0.9</v>
          </cell>
          <cell r="H14980" t="str">
            <v>hydro</v>
          </cell>
        </row>
        <row r="14981">
          <cell r="C14981" t="str">
            <v>HY</v>
          </cell>
          <cell r="D14981">
            <v>2</v>
          </cell>
          <cell r="H14981" t="str">
            <v>hydro</v>
          </cell>
        </row>
        <row r="14982">
          <cell r="C14982" t="str">
            <v>HY</v>
          </cell>
          <cell r="D14982">
            <v>0.5</v>
          </cell>
          <cell r="H14982" t="str">
            <v>hydro</v>
          </cell>
        </row>
        <row r="14983">
          <cell r="C14983" t="str">
            <v>HY</v>
          </cell>
          <cell r="D14983">
            <v>0.5</v>
          </cell>
          <cell r="H14983" t="str">
            <v>hydro</v>
          </cell>
        </row>
        <row r="14984">
          <cell r="C14984" t="str">
            <v>ST</v>
          </cell>
          <cell r="D14984">
            <v>10.5</v>
          </cell>
          <cell r="H14984" t="str">
            <v>biomass</v>
          </cell>
        </row>
        <row r="14985">
          <cell r="C14985" t="str">
            <v>ST</v>
          </cell>
          <cell r="D14985">
            <v>10.5</v>
          </cell>
          <cell r="H14985" t="str">
            <v>biomass</v>
          </cell>
        </row>
        <row r="14986">
          <cell r="C14986" t="str">
            <v>ST</v>
          </cell>
          <cell r="D14986">
            <v>143.1</v>
          </cell>
          <cell r="H14986" t="str">
            <v>natural gas peaker</v>
          </cell>
        </row>
        <row r="14987">
          <cell r="C14987" t="str">
            <v>ST</v>
          </cell>
          <cell r="D14987">
            <v>143.1</v>
          </cell>
          <cell r="H14987" t="str">
            <v>natural gas peaker</v>
          </cell>
        </row>
        <row r="14988">
          <cell r="C14988" t="str">
            <v>WT</v>
          </cell>
          <cell r="D14988">
            <v>50</v>
          </cell>
          <cell r="H14988" t="str">
            <v>onshore wind</v>
          </cell>
        </row>
        <row r="14989">
          <cell r="C14989" t="str">
            <v>WT</v>
          </cell>
          <cell r="D14989">
            <v>18.899999999999999</v>
          </cell>
          <cell r="H14989" t="str">
            <v>onshore wind</v>
          </cell>
        </row>
        <row r="14990">
          <cell r="C14990" t="str">
            <v>WT</v>
          </cell>
          <cell r="D14990">
            <v>61</v>
          </cell>
          <cell r="H14990" t="str">
            <v>onshore wind</v>
          </cell>
        </row>
        <row r="14991">
          <cell r="C14991" t="str">
            <v>WT</v>
          </cell>
          <cell r="D14991">
            <v>80</v>
          </cell>
          <cell r="H14991" t="str">
            <v>onshore wind</v>
          </cell>
        </row>
        <row r="14992">
          <cell r="C14992" t="str">
            <v>WT</v>
          </cell>
          <cell r="D14992">
            <v>80</v>
          </cell>
          <cell r="H14992" t="str">
            <v>onshore wind</v>
          </cell>
        </row>
        <row r="14993">
          <cell r="C14993" t="str">
            <v>WT</v>
          </cell>
          <cell r="D14993">
            <v>69.599999999999994</v>
          </cell>
          <cell r="H14993" t="str">
            <v>onshore wind</v>
          </cell>
        </row>
        <row r="14994">
          <cell r="C14994" t="str">
            <v>WT</v>
          </cell>
          <cell r="D14994">
            <v>20</v>
          </cell>
          <cell r="H14994" t="str">
            <v>onshore wind</v>
          </cell>
        </row>
        <row r="14995">
          <cell r="C14995" t="str">
            <v>WT</v>
          </cell>
          <cell r="D14995">
            <v>149.5</v>
          </cell>
          <cell r="H14995" t="str">
            <v>onshore wind</v>
          </cell>
        </row>
        <row r="14996">
          <cell r="C14996" t="str">
            <v>WT</v>
          </cell>
          <cell r="D14996">
            <v>214.5</v>
          </cell>
          <cell r="H14996" t="str">
            <v>onshore wind</v>
          </cell>
        </row>
        <row r="14997">
          <cell r="C14997" t="str">
            <v>WT</v>
          </cell>
          <cell r="D14997">
            <v>186</v>
          </cell>
          <cell r="H14997" t="str">
            <v>onshore wind</v>
          </cell>
        </row>
        <row r="14998">
          <cell r="C14998" t="str">
            <v>WT</v>
          </cell>
          <cell r="D14998">
            <v>112.5</v>
          </cell>
          <cell r="H14998" t="str">
            <v>onshore wind</v>
          </cell>
        </row>
        <row r="14999">
          <cell r="C14999" t="str">
            <v>WT</v>
          </cell>
          <cell r="D14999">
            <v>20</v>
          </cell>
          <cell r="H14999" t="str">
            <v>onshore wind</v>
          </cell>
        </row>
        <row r="15000">
          <cell r="C15000" t="str">
            <v>WT</v>
          </cell>
          <cell r="D15000">
            <v>28</v>
          </cell>
          <cell r="H15000" t="str">
            <v>onshore wind</v>
          </cell>
        </row>
        <row r="15001">
          <cell r="C15001" t="str">
            <v>WT</v>
          </cell>
          <cell r="D15001">
            <v>132</v>
          </cell>
          <cell r="H15001" t="str">
            <v>onshore wind</v>
          </cell>
        </row>
        <row r="15002">
          <cell r="C15002" t="str">
            <v>WT</v>
          </cell>
          <cell r="D15002">
            <v>146</v>
          </cell>
          <cell r="H15002" t="str">
            <v>onshore wind</v>
          </cell>
        </row>
        <row r="15003">
          <cell r="C15003" t="str">
            <v>PV</v>
          </cell>
          <cell r="D15003">
            <v>5</v>
          </cell>
          <cell r="H15003" t="str">
            <v>solar PV</v>
          </cell>
        </row>
        <row r="15004">
          <cell r="C15004" t="str">
            <v>WT</v>
          </cell>
          <cell r="D15004">
            <v>102</v>
          </cell>
          <cell r="H15004" t="str">
            <v>onshore wind</v>
          </cell>
        </row>
        <row r="15005">
          <cell r="C15005" t="str">
            <v>WT</v>
          </cell>
          <cell r="D15005">
            <v>60</v>
          </cell>
          <cell r="H15005" t="str">
            <v>onshore wind</v>
          </cell>
        </row>
        <row r="15006">
          <cell r="C15006" t="str">
            <v>WT</v>
          </cell>
          <cell r="D15006">
            <v>150</v>
          </cell>
          <cell r="H15006" t="str">
            <v>onshore wind</v>
          </cell>
        </row>
        <row r="15007">
          <cell r="C15007" t="str">
            <v>WT</v>
          </cell>
          <cell r="D15007">
            <v>169.5</v>
          </cell>
          <cell r="H15007" t="str">
            <v>onshore wind</v>
          </cell>
        </row>
        <row r="15008">
          <cell r="C15008" t="str">
            <v>WT</v>
          </cell>
          <cell r="D15008">
            <v>120</v>
          </cell>
          <cell r="H15008" t="str">
            <v>onshore wind</v>
          </cell>
        </row>
        <row r="15009">
          <cell r="C15009" t="str">
            <v>WT</v>
          </cell>
          <cell r="D15009">
            <v>120</v>
          </cell>
          <cell r="H15009" t="str">
            <v>onshore wind</v>
          </cell>
        </row>
        <row r="15010">
          <cell r="C15010" t="str">
            <v>WT</v>
          </cell>
          <cell r="D15010">
            <v>201.3</v>
          </cell>
          <cell r="H15010" t="str">
            <v>onshore wind</v>
          </cell>
        </row>
        <row r="15011">
          <cell r="C15011" t="str">
            <v>WT</v>
          </cell>
          <cell r="D15011">
            <v>100</v>
          </cell>
          <cell r="H15011" t="str">
            <v>onshore wind</v>
          </cell>
        </row>
        <row r="15012">
          <cell r="C15012" t="str">
            <v>WT</v>
          </cell>
          <cell r="D15012">
            <v>200</v>
          </cell>
          <cell r="H15012" t="str">
            <v>onshore wind</v>
          </cell>
        </row>
        <row r="15013">
          <cell r="C15013" t="str">
            <v>WT</v>
          </cell>
          <cell r="D15013">
            <v>99</v>
          </cell>
          <cell r="H15013" t="str">
            <v>onshore wind</v>
          </cell>
        </row>
        <row r="15014">
          <cell r="C15014" t="str">
            <v>WT</v>
          </cell>
          <cell r="D15014">
            <v>150</v>
          </cell>
          <cell r="H15014" t="str">
            <v>onshore wind</v>
          </cell>
        </row>
        <row r="15015">
          <cell r="C15015" t="str">
            <v>ST</v>
          </cell>
          <cell r="D15015">
            <v>10</v>
          </cell>
          <cell r="H15015" t="str">
            <v>biomass</v>
          </cell>
        </row>
        <row r="15016">
          <cell r="C15016" t="str">
            <v>WT</v>
          </cell>
          <cell r="D15016">
            <v>30</v>
          </cell>
          <cell r="H15016" t="str">
            <v>onshore wind</v>
          </cell>
        </row>
        <row r="15017">
          <cell r="C15017" t="str">
            <v>WT</v>
          </cell>
          <cell r="D15017">
            <v>121.9</v>
          </cell>
          <cell r="H15017" t="str">
            <v>onshore wind</v>
          </cell>
        </row>
        <row r="15018">
          <cell r="C15018" t="str">
            <v>WT</v>
          </cell>
          <cell r="D15018">
            <v>105</v>
          </cell>
          <cell r="H15018" t="str">
            <v>onshore wind</v>
          </cell>
        </row>
        <row r="15019">
          <cell r="C15019" t="str">
            <v>WT</v>
          </cell>
          <cell r="D15019">
            <v>96</v>
          </cell>
          <cell r="H15019" t="str">
            <v>onshore wind</v>
          </cell>
        </row>
        <row r="15020">
          <cell r="C15020" t="str">
            <v>ST</v>
          </cell>
          <cell r="D15020">
            <v>2.5</v>
          </cell>
          <cell r="H15020" t="str">
            <v>natural gas peaker</v>
          </cell>
        </row>
        <row r="15021">
          <cell r="C15021" t="str">
            <v>ST</v>
          </cell>
          <cell r="D15021">
            <v>60.2</v>
          </cell>
          <cell r="H15021" t="str">
            <v>natural gas peaker</v>
          </cell>
        </row>
        <row r="15022">
          <cell r="C15022" t="str">
            <v>GT</v>
          </cell>
          <cell r="D15022">
            <v>72.5</v>
          </cell>
          <cell r="H15022" t="str">
            <v>natural gas peaker</v>
          </cell>
        </row>
        <row r="15023">
          <cell r="C15023" t="str">
            <v>WT</v>
          </cell>
          <cell r="D15023">
            <v>98.7</v>
          </cell>
          <cell r="H15023" t="str">
            <v>onshore wind</v>
          </cell>
        </row>
        <row r="15024">
          <cell r="C15024" t="str">
            <v>WT</v>
          </cell>
          <cell r="D15024">
            <v>100.8</v>
          </cell>
          <cell r="H15024" t="str">
            <v>onshore wind</v>
          </cell>
        </row>
        <row r="15025">
          <cell r="C15025" t="str">
            <v>WT</v>
          </cell>
          <cell r="D15025">
            <v>45</v>
          </cell>
          <cell r="H15025" t="str">
            <v>onshore wind</v>
          </cell>
        </row>
        <row r="15026">
          <cell r="C15026" t="str">
            <v>WT</v>
          </cell>
          <cell r="D15026">
            <v>50.4</v>
          </cell>
          <cell r="H15026" t="str">
            <v>onshore wind</v>
          </cell>
        </row>
        <row r="15027">
          <cell r="C15027" t="str">
            <v>WT</v>
          </cell>
          <cell r="D15027">
            <v>99</v>
          </cell>
          <cell r="H15027" t="str">
            <v>onshore wind</v>
          </cell>
        </row>
        <row r="15028">
          <cell r="C15028" t="str">
            <v>WT</v>
          </cell>
          <cell r="D15028">
            <v>49.5</v>
          </cell>
          <cell r="H15028" t="str">
            <v>onshore wind</v>
          </cell>
        </row>
        <row r="15029">
          <cell r="C15029" t="str">
            <v>WT</v>
          </cell>
          <cell r="D15029">
            <v>201.6</v>
          </cell>
          <cell r="H15029" t="str">
            <v>onshore wind</v>
          </cell>
        </row>
        <row r="15030">
          <cell r="C15030" t="str">
            <v>WT</v>
          </cell>
          <cell r="D15030">
            <v>50.4</v>
          </cell>
          <cell r="H15030" t="str">
            <v>onshore wind</v>
          </cell>
        </row>
        <row r="15031">
          <cell r="C15031" t="str">
            <v>WT</v>
          </cell>
          <cell r="D15031">
            <v>300</v>
          </cell>
          <cell r="H15031" t="str">
            <v>onshore wind</v>
          </cell>
        </row>
        <row r="15032">
          <cell r="C15032" t="str">
            <v>CA</v>
          </cell>
          <cell r="D15032">
            <v>268</v>
          </cell>
          <cell r="H15032" t="str">
            <v>natural gas nonpeaker</v>
          </cell>
        </row>
        <row r="15033">
          <cell r="C15033" t="str">
            <v>CT</v>
          </cell>
          <cell r="D15033">
            <v>177</v>
          </cell>
          <cell r="H15033" t="str">
            <v>natural gas nonpeaker</v>
          </cell>
        </row>
        <row r="15034">
          <cell r="C15034" t="str">
            <v>CT</v>
          </cell>
          <cell r="D15034">
            <v>177</v>
          </cell>
          <cell r="H15034" t="str">
            <v>natural gas nonpeaker</v>
          </cell>
        </row>
        <row r="15035">
          <cell r="C15035" t="str">
            <v>GT</v>
          </cell>
          <cell r="D15035">
            <v>178.6</v>
          </cell>
          <cell r="H15035" t="str">
            <v>natural gas peaker</v>
          </cell>
        </row>
        <row r="15036">
          <cell r="C15036" t="str">
            <v>GT</v>
          </cell>
          <cell r="D15036">
            <v>178.6</v>
          </cell>
          <cell r="H15036" t="str">
            <v>natural gas peaker</v>
          </cell>
        </row>
        <row r="15037">
          <cell r="C15037" t="str">
            <v>WT</v>
          </cell>
          <cell r="D15037">
            <v>1.8</v>
          </cell>
          <cell r="H15037" t="str">
            <v>onshore wind</v>
          </cell>
        </row>
        <row r="15038">
          <cell r="C15038" t="str">
            <v>GT</v>
          </cell>
          <cell r="D15038">
            <v>97</v>
          </cell>
          <cell r="H15038" t="str">
            <v>natural gas peaker</v>
          </cell>
        </row>
        <row r="15039">
          <cell r="C15039" t="str">
            <v>GT</v>
          </cell>
          <cell r="D15039">
            <v>97</v>
          </cell>
          <cell r="H15039" t="str">
            <v>natural gas peaker</v>
          </cell>
        </row>
        <row r="15040">
          <cell r="C15040" t="str">
            <v>GT</v>
          </cell>
          <cell r="D15040">
            <v>97</v>
          </cell>
          <cell r="H15040" t="str">
            <v>natural gas peaker</v>
          </cell>
        </row>
        <row r="15041">
          <cell r="C15041" t="str">
            <v>GT</v>
          </cell>
          <cell r="D15041">
            <v>97</v>
          </cell>
          <cell r="H15041" t="str">
            <v>natural gas peaker</v>
          </cell>
        </row>
        <row r="15042">
          <cell r="C15042" t="str">
            <v>WT</v>
          </cell>
          <cell r="D15042">
            <v>123</v>
          </cell>
          <cell r="H15042" t="str">
            <v>onshore wind</v>
          </cell>
        </row>
        <row r="15043">
          <cell r="C15043" t="str">
            <v>WT</v>
          </cell>
          <cell r="D15043">
            <v>100.5</v>
          </cell>
          <cell r="H15043" t="str">
            <v>onshore wind</v>
          </cell>
        </row>
        <row r="15044">
          <cell r="C15044" t="str">
            <v>CA</v>
          </cell>
          <cell r="D15044">
            <v>172</v>
          </cell>
          <cell r="H15044" t="str">
            <v>natural gas nonpeaker</v>
          </cell>
        </row>
        <row r="15045">
          <cell r="C15045" t="str">
            <v>CT</v>
          </cell>
          <cell r="D15045">
            <v>165</v>
          </cell>
          <cell r="H15045" t="str">
            <v>natural gas nonpeaker</v>
          </cell>
        </row>
        <row r="15046">
          <cell r="C15046" t="str">
            <v>CT</v>
          </cell>
          <cell r="D15046">
            <v>165</v>
          </cell>
          <cell r="H15046" t="str">
            <v>natural gas nonpeaker</v>
          </cell>
        </row>
        <row r="15047">
          <cell r="C15047" t="str">
            <v>CT</v>
          </cell>
          <cell r="D15047">
            <v>190</v>
          </cell>
          <cell r="H15047" t="str">
            <v>natural gas nonpeaker</v>
          </cell>
        </row>
        <row r="15048">
          <cell r="C15048" t="str">
            <v>CT</v>
          </cell>
          <cell r="D15048">
            <v>190</v>
          </cell>
          <cell r="H15048" t="str">
            <v>natural gas nonpeaker</v>
          </cell>
        </row>
        <row r="15049">
          <cell r="C15049" t="str">
            <v>CA</v>
          </cell>
          <cell r="D15049">
            <v>242</v>
          </cell>
          <cell r="H15049" t="str">
            <v>natural gas nonpeaker</v>
          </cell>
        </row>
        <row r="15050">
          <cell r="C15050" t="str">
            <v>ST</v>
          </cell>
          <cell r="D15050">
            <v>610</v>
          </cell>
          <cell r="H15050" t="str">
            <v>hard coal</v>
          </cell>
        </row>
        <row r="15051">
          <cell r="C15051" t="str">
            <v>WT</v>
          </cell>
          <cell r="D15051">
            <v>159.1</v>
          </cell>
          <cell r="H15051" t="str">
            <v>onshore wind</v>
          </cell>
        </row>
        <row r="15052">
          <cell r="C15052" t="str">
            <v>WT</v>
          </cell>
          <cell r="D15052">
            <v>174.8</v>
          </cell>
          <cell r="H15052" t="str">
            <v>onshore wind</v>
          </cell>
        </row>
        <row r="15053">
          <cell r="C15053" t="str">
            <v>WT</v>
          </cell>
          <cell r="D15053">
            <v>165.2</v>
          </cell>
          <cell r="H15053" t="str">
            <v>onshore wind</v>
          </cell>
        </row>
        <row r="15054">
          <cell r="C15054" t="str">
            <v>CP</v>
          </cell>
          <cell r="D15054">
            <v>147.80000000000001</v>
          </cell>
          <cell r="H15054" t="str">
            <v>solar thermal</v>
          </cell>
        </row>
        <row r="15055">
          <cell r="C15055" t="str">
            <v>CP</v>
          </cell>
          <cell r="D15055">
            <v>147.80000000000001</v>
          </cell>
          <cell r="H15055" t="str">
            <v>solar thermal</v>
          </cell>
        </row>
        <row r="15056">
          <cell r="C15056" t="str">
            <v>PV</v>
          </cell>
          <cell r="D15056">
            <v>0.5</v>
          </cell>
          <cell r="H15056" t="str">
            <v>solar PV</v>
          </cell>
        </row>
        <row r="15057">
          <cell r="C15057" t="str">
            <v>PV</v>
          </cell>
          <cell r="D15057">
            <v>0.5</v>
          </cell>
          <cell r="H15057" t="str">
            <v>solar PV</v>
          </cell>
        </row>
        <row r="15058">
          <cell r="C15058" t="str">
            <v>PV</v>
          </cell>
          <cell r="D15058">
            <v>0.4</v>
          </cell>
          <cell r="H15058" t="str">
            <v>solar PV</v>
          </cell>
        </row>
        <row r="15059">
          <cell r="C15059" t="str">
            <v>PV</v>
          </cell>
          <cell r="D15059">
            <v>0.4</v>
          </cell>
          <cell r="H15059" t="str">
            <v>solar PV</v>
          </cell>
        </row>
        <row r="15060">
          <cell r="C15060" t="str">
            <v>PV</v>
          </cell>
          <cell r="D15060">
            <v>1.9</v>
          </cell>
          <cell r="H15060" t="str">
            <v>solar PV</v>
          </cell>
        </row>
        <row r="15061">
          <cell r="C15061" t="str">
            <v>WT</v>
          </cell>
          <cell r="D15061">
            <v>99</v>
          </cell>
          <cell r="H15061" t="str">
            <v>onshore wind</v>
          </cell>
        </row>
        <row r="15062">
          <cell r="C15062" t="str">
            <v>WT</v>
          </cell>
          <cell r="D15062">
            <v>50</v>
          </cell>
          <cell r="H15062" t="str">
            <v>onshore wind</v>
          </cell>
        </row>
        <row r="15063">
          <cell r="C15063" t="str">
            <v>WT</v>
          </cell>
          <cell r="D15063">
            <v>162.30000000000001</v>
          </cell>
          <cell r="H15063" t="str">
            <v>onshore wind</v>
          </cell>
        </row>
        <row r="15064">
          <cell r="C15064" t="str">
            <v>WT</v>
          </cell>
          <cell r="D15064">
            <v>4.2</v>
          </cell>
          <cell r="H15064" t="str">
            <v>onshore wind</v>
          </cell>
        </row>
        <row r="15065">
          <cell r="C15065" t="str">
            <v>WT</v>
          </cell>
          <cell r="D15065">
            <v>4.2</v>
          </cell>
          <cell r="H15065" t="str">
            <v>onshore wind</v>
          </cell>
        </row>
        <row r="15066">
          <cell r="C15066" t="str">
            <v>WT</v>
          </cell>
          <cell r="D15066">
            <v>4.2</v>
          </cell>
          <cell r="H15066" t="str">
            <v>onshore wind</v>
          </cell>
        </row>
        <row r="15067">
          <cell r="C15067" t="str">
            <v>WT</v>
          </cell>
          <cell r="D15067">
            <v>2.1</v>
          </cell>
          <cell r="H15067" t="str">
            <v>onshore wind</v>
          </cell>
        </row>
        <row r="15068">
          <cell r="C15068" t="str">
            <v>WT</v>
          </cell>
          <cell r="D15068">
            <v>2.1</v>
          </cell>
          <cell r="H15068" t="str">
            <v>onshore wind</v>
          </cell>
        </row>
        <row r="15069">
          <cell r="C15069" t="str">
            <v>WT</v>
          </cell>
          <cell r="D15069">
            <v>66</v>
          </cell>
          <cell r="H15069" t="str">
            <v>onshore wind</v>
          </cell>
        </row>
        <row r="15070">
          <cell r="C15070" t="str">
            <v>WT</v>
          </cell>
          <cell r="D15070">
            <v>66</v>
          </cell>
          <cell r="H15070" t="str">
            <v>onshore wind</v>
          </cell>
        </row>
        <row r="15071">
          <cell r="C15071" t="str">
            <v>WT</v>
          </cell>
          <cell r="D15071">
            <v>15.9</v>
          </cell>
          <cell r="H15071" t="str">
            <v>onshore wind</v>
          </cell>
        </row>
        <row r="15072">
          <cell r="C15072" t="str">
            <v>BT</v>
          </cell>
          <cell r="D15072">
            <v>10.7</v>
          </cell>
          <cell r="H15072" t="str">
            <v>geothermal</v>
          </cell>
        </row>
        <row r="15073">
          <cell r="C15073" t="str">
            <v>BT</v>
          </cell>
          <cell r="D15073">
            <v>10.7</v>
          </cell>
          <cell r="H15073" t="str">
            <v>geothermal</v>
          </cell>
        </row>
        <row r="15074">
          <cell r="C15074" t="str">
            <v>BT</v>
          </cell>
          <cell r="D15074">
            <v>10.7</v>
          </cell>
          <cell r="H15074" t="str">
            <v>geothermal</v>
          </cell>
        </row>
        <row r="15075">
          <cell r="C15075" t="str">
            <v>BT</v>
          </cell>
          <cell r="D15075">
            <v>10.7</v>
          </cell>
          <cell r="H15075" t="str">
            <v>geothermal</v>
          </cell>
        </row>
        <row r="15076">
          <cell r="C15076" t="str">
            <v>BT</v>
          </cell>
          <cell r="D15076">
            <v>10.7</v>
          </cell>
          <cell r="H15076" t="str">
            <v>geothermal</v>
          </cell>
        </row>
        <row r="15077">
          <cell r="C15077" t="str">
            <v>OT</v>
          </cell>
          <cell r="D15077">
            <v>5</v>
          </cell>
          <cell r="H15077" t="str">
            <v>other</v>
          </cell>
        </row>
        <row r="15078">
          <cell r="C15078" t="str">
            <v>OT</v>
          </cell>
          <cell r="D15078">
            <v>5</v>
          </cell>
          <cell r="H15078" t="str">
            <v>other</v>
          </cell>
        </row>
        <row r="15079">
          <cell r="C15079" t="str">
            <v>OT</v>
          </cell>
          <cell r="D15079">
            <v>5</v>
          </cell>
          <cell r="H15079" t="str">
            <v>other</v>
          </cell>
        </row>
        <row r="15080">
          <cell r="C15080" t="str">
            <v>OT</v>
          </cell>
          <cell r="D15080">
            <v>5</v>
          </cell>
          <cell r="H15080" t="str">
            <v>other</v>
          </cell>
        </row>
        <row r="15081">
          <cell r="C15081" t="str">
            <v>WT</v>
          </cell>
          <cell r="D15081">
            <v>10</v>
          </cell>
          <cell r="H15081" t="str">
            <v>onshore wind</v>
          </cell>
        </row>
        <row r="15082">
          <cell r="C15082" t="str">
            <v>WT</v>
          </cell>
          <cell r="D15082">
            <v>10</v>
          </cell>
          <cell r="H15082" t="str">
            <v>onshore wind</v>
          </cell>
        </row>
        <row r="15083">
          <cell r="C15083" t="str">
            <v>WT</v>
          </cell>
          <cell r="D15083">
            <v>8.8000000000000007</v>
          </cell>
          <cell r="H15083" t="str">
            <v>onshore wind</v>
          </cell>
        </row>
        <row r="15084">
          <cell r="C15084" t="str">
            <v>WT</v>
          </cell>
          <cell r="D15084">
            <v>10</v>
          </cell>
          <cell r="H15084" t="str">
            <v>onshore wind</v>
          </cell>
        </row>
        <row r="15085">
          <cell r="C15085" t="str">
            <v>WT</v>
          </cell>
          <cell r="D15085">
            <v>10</v>
          </cell>
          <cell r="H15085" t="str">
            <v>onshore wind</v>
          </cell>
        </row>
        <row r="15086">
          <cell r="C15086" t="str">
            <v>WT</v>
          </cell>
          <cell r="D15086">
            <v>10</v>
          </cell>
          <cell r="H15086" t="str">
            <v>onshore wind</v>
          </cell>
        </row>
        <row r="15087">
          <cell r="C15087" t="str">
            <v>WT</v>
          </cell>
          <cell r="D15087">
            <v>2.1</v>
          </cell>
          <cell r="H15087" t="str">
            <v>onshore wind</v>
          </cell>
        </row>
        <row r="15088">
          <cell r="C15088" t="str">
            <v>WT</v>
          </cell>
          <cell r="D15088">
            <v>99</v>
          </cell>
          <cell r="H15088" t="str">
            <v>onshore wind</v>
          </cell>
        </row>
        <row r="15089">
          <cell r="C15089" t="str">
            <v>WT</v>
          </cell>
          <cell r="D15089">
            <v>39</v>
          </cell>
          <cell r="H15089" t="str">
            <v>onshore wind</v>
          </cell>
        </row>
        <row r="15090">
          <cell r="C15090" t="str">
            <v>WT</v>
          </cell>
          <cell r="D15090">
            <v>99</v>
          </cell>
          <cell r="H15090" t="str">
            <v>onshore wind</v>
          </cell>
        </row>
        <row r="15091">
          <cell r="C15091" t="str">
            <v>WT</v>
          </cell>
          <cell r="D15091">
            <v>99</v>
          </cell>
          <cell r="H15091" t="str">
            <v>onshore wind</v>
          </cell>
        </row>
        <row r="15092">
          <cell r="C15092" t="str">
            <v>WT</v>
          </cell>
          <cell r="D15092">
            <v>19.5</v>
          </cell>
          <cell r="H15092" t="str">
            <v>onshore wind</v>
          </cell>
        </row>
        <row r="15093">
          <cell r="C15093" t="str">
            <v>CT</v>
          </cell>
          <cell r="D15093">
            <v>210.2</v>
          </cell>
          <cell r="H15093" t="str">
            <v>natural gas nonpeaker</v>
          </cell>
        </row>
        <row r="15094">
          <cell r="C15094" t="str">
            <v>CT</v>
          </cell>
          <cell r="D15094">
            <v>212.3</v>
          </cell>
          <cell r="H15094" t="str">
            <v>natural gas nonpeaker</v>
          </cell>
        </row>
        <row r="15095">
          <cell r="C15095" t="str">
            <v>CA</v>
          </cell>
          <cell r="D15095">
            <v>300.10000000000002</v>
          </cell>
          <cell r="H15095" t="str">
            <v>natural gas nonpeaker</v>
          </cell>
        </row>
        <row r="15096">
          <cell r="C15096" t="str">
            <v>ST</v>
          </cell>
          <cell r="D15096">
            <v>37.5</v>
          </cell>
          <cell r="H15096" t="str">
            <v>biomass</v>
          </cell>
        </row>
        <row r="15097">
          <cell r="C15097" t="str">
            <v>ST</v>
          </cell>
          <cell r="D15097">
            <v>53</v>
          </cell>
          <cell r="H15097" t="str">
            <v>other</v>
          </cell>
        </row>
        <row r="15098">
          <cell r="C15098" t="str">
            <v>IC</v>
          </cell>
          <cell r="D15098">
            <v>1.6</v>
          </cell>
          <cell r="H15098" t="str">
            <v>biomass</v>
          </cell>
        </row>
        <row r="15099">
          <cell r="C15099" t="str">
            <v>IC</v>
          </cell>
          <cell r="D15099">
            <v>1.6</v>
          </cell>
          <cell r="H15099" t="str">
            <v>biomass</v>
          </cell>
        </row>
        <row r="15100">
          <cell r="C15100" t="str">
            <v>IC</v>
          </cell>
          <cell r="D15100">
            <v>1.5</v>
          </cell>
          <cell r="H15100" t="str">
            <v>biomass</v>
          </cell>
        </row>
        <row r="15101">
          <cell r="C15101" t="str">
            <v>IC</v>
          </cell>
          <cell r="D15101">
            <v>1.5</v>
          </cell>
          <cell r="H15101" t="str">
            <v>biomass</v>
          </cell>
        </row>
        <row r="15102">
          <cell r="C15102" t="str">
            <v>IC</v>
          </cell>
          <cell r="D15102">
            <v>1.5</v>
          </cell>
          <cell r="H15102" t="str">
            <v>biomass</v>
          </cell>
        </row>
        <row r="15103">
          <cell r="C15103" t="str">
            <v>IC</v>
          </cell>
          <cell r="D15103">
            <v>1.5</v>
          </cell>
          <cell r="H15103" t="str">
            <v>biomass</v>
          </cell>
        </row>
        <row r="15104">
          <cell r="C15104" t="str">
            <v>IC</v>
          </cell>
          <cell r="D15104">
            <v>1.5</v>
          </cell>
          <cell r="H15104" t="str">
            <v>biomass</v>
          </cell>
        </row>
        <row r="15105">
          <cell r="C15105" t="str">
            <v>IC</v>
          </cell>
          <cell r="D15105">
            <v>1.5</v>
          </cell>
          <cell r="H15105" t="str">
            <v>biomass</v>
          </cell>
        </row>
        <row r="15106">
          <cell r="C15106" t="str">
            <v>IC</v>
          </cell>
          <cell r="D15106">
            <v>1.5</v>
          </cell>
          <cell r="H15106" t="str">
            <v>biomass</v>
          </cell>
        </row>
        <row r="15107">
          <cell r="C15107" t="str">
            <v>WT</v>
          </cell>
          <cell r="D15107">
            <v>96.6</v>
          </cell>
          <cell r="H15107" t="str">
            <v>onshore wind</v>
          </cell>
        </row>
        <row r="15108">
          <cell r="C15108" t="str">
            <v>WT</v>
          </cell>
          <cell r="D15108">
            <v>102.9</v>
          </cell>
          <cell r="H15108" t="str">
            <v>onshore wind</v>
          </cell>
        </row>
        <row r="15109">
          <cell r="C15109" t="str">
            <v>WT</v>
          </cell>
          <cell r="D15109">
            <v>100.5</v>
          </cell>
          <cell r="H15109" t="str">
            <v>onshore wind</v>
          </cell>
        </row>
        <row r="15110">
          <cell r="C15110" t="str">
            <v>WT</v>
          </cell>
          <cell r="D15110">
            <v>215</v>
          </cell>
          <cell r="H15110" t="str">
            <v>onshore wind</v>
          </cell>
        </row>
        <row r="15111">
          <cell r="C15111" t="str">
            <v>WT</v>
          </cell>
          <cell r="D15111">
            <v>100.7</v>
          </cell>
          <cell r="H15111" t="str">
            <v>onshore wind</v>
          </cell>
        </row>
        <row r="15112">
          <cell r="C15112" t="str">
            <v>WT</v>
          </cell>
          <cell r="D15112">
            <v>21</v>
          </cell>
          <cell r="H15112" t="str">
            <v>onshore wind</v>
          </cell>
        </row>
        <row r="15113">
          <cell r="C15113" t="str">
            <v>WT</v>
          </cell>
          <cell r="D15113">
            <v>14.7</v>
          </cell>
          <cell r="H15113" t="str">
            <v>onshore wind</v>
          </cell>
        </row>
        <row r="15114">
          <cell r="C15114" t="str">
            <v>PV</v>
          </cell>
          <cell r="D15114">
            <v>0.3</v>
          </cell>
          <cell r="H15114" t="str">
            <v>solar PV</v>
          </cell>
        </row>
        <row r="15115">
          <cell r="C15115" t="str">
            <v>PV</v>
          </cell>
          <cell r="D15115">
            <v>0.3</v>
          </cell>
          <cell r="H15115" t="str">
            <v>solar PV</v>
          </cell>
        </row>
        <row r="15116">
          <cell r="C15116" t="str">
            <v>PV</v>
          </cell>
          <cell r="D15116">
            <v>0.3</v>
          </cell>
          <cell r="H15116" t="str">
            <v>solar PV</v>
          </cell>
        </row>
        <row r="15117">
          <cell r="C15117" t="str">
            <v>PV</v>
          </cell>
          <cell r="D15117">
            <v>0.3</v>
          </cell>
          <cell r="H15117" t="str">
            <v>solar PV</v>
          </cell>
        </row>
        <row r="15118">
          <cell r="C15118" t="str">
            <v>IC</v>
          </cell>
          <cell r="D15118">
            <v>1.4</v>
          </cell>
          <cell r="H15118" t="str">
            <v>biomass</v>
          </cell>
        </row>
        <row r="15119">
          <cell r="C15119" t="str">
            <v>IC</v>
          </cell>
          <cell r="D15119">
            <v>1.4</v>
          </cell>
          <cell r="H15119" t="str">
            <v>biomass</v>
          </cell>
        </row>
        <row r="15120">
          <cell r="C15120" t="str">
            <v>IC</v>
          </cell>
          <cell r="D15120">
            <v>1.6</v>
          </cell>
          <cell r="H15120" t="str">
            <v>biomass</v>
          </cell>
        </row>
        <row r="15121">
          <cell r="C15121" t="str">
            <v>IC</v>
          </cell>
          <cell r="D15121">
            <v>1.6</v>
          </cell>
          <cell r="H15121" t="str">
            <v>biomass</v>
          </cell>
        </row>
        <row r="15122">
          <cell r="C15122" t="str">
            <v>IC</v>
          </cell>
          <cell r="D15122">
            <v>1.6</v>
          </cell>
          <cell r="H15122" t="str">
            <v>biomass</v>
          </cell>
        </row>
        <row r="15123">
          <cell r="C15123" t="str">
            <v>IC</v>
          </cell>
          <cell r="D15123">
            <v>1.6</v>
          </cell>
          <cell r="H15123" t="str">
            <v>biomass</v>
          </cell>
        </row>
        <row r="15124">
          <cell r="C15124" t="str">
            <v>IC</v>
          </cell>
          <cell r="D15124">
            <v>1.6</v>
          </cell>
          <cell r="H15124" t="str">
            <v>biomass</v>
          </cell>
        </row>
        <row r="15125">
          <cell r="C15125" t="str">
            <v>IC</v>
          </cell>
          <cell r="D15125">
            <v>1.6</v>
          </cell>
          <cell r="H15125" t="str">
            <v>biomass</v>
          </cell>
        </row>
        <row r="15126">
          <cell r="C15126" t="str">
            <v>IC</v>
          </cell>
          <cell r="D15126">
            <v>1.4</v>
          </cell>
          <cell r="H15126" t="str">
            <v>biomass</v>
          </cell>
        </row>
        <row r="15127">
          <cell r="C15127" t="str">
            <v>IC</v>
          </cell>
          <cell r="D15127">
            <v>1.4</v>
          </cell>
          <cell r="H15127" t="str">
            <v>biomass</v>
          </cell>
        </row>
        <row r="15128">
          <cell r="C15128" t="str">
            <v>IC</v>
          </cell>
          <cell r="D15128">
            <v>1.4</v>
          </cell>
          <cell r="H15128" t="str">
            <v>biomass</v>
          </cell>
        </row>
        <row r="15129">
          <cell r="C15129" t="str">
            <v>IC</v>
          </cell>
          <cell r="D15129">
            <v>1.4</v>
          </cell>
          <cell r="H15129" t="str">
            <v>biomass</v>
          </cell>
        </row>
        <row r="15130">
          <cell r="C15130" t="str">
            <v>IC</v>
          </cell>
          <cell r="D15130">
            <v>1.4</v>
          </cell>
          <cell r="H15130" t="str">
            <v>biomass</v>
          </cell>
        </row>
        <row r="15131">
          <cell r="C15131" t="str">
            <v>IC</v>
          </cell>
          <cell r="D15131">
            <v>1.4</v>
          </cell>
          <cell r="H15131" t="str">
            <v>biomass</v>
          </cell>
        </row>
        <row r="15132">
          <cell r="C15132" t="str">
            <v>IC</v>
          </cell>
          <cell r="D15132">
            <v>1.4</v>
          </cell>
          <cell r="H15132" t="str">
            <v>biomass</v>
          </cell>
        </row>
        <row r="15133">
          <cell r="C15133" t="str">
            <v>IC</v>
          </cell>
          <cell r="D15133">
            <v>1.4</v>
          </cell>
          <cell r="H15133" t="str">
            <v>biomass</v>
          </cell>
        </row>
        <row r="15134">
          <cell r="C15134" t="str">
            <v>IC</v>
          </cell>
          <cell r="D15134">
            <v>1.4</v>
          </cell>
          <cell r="H15134" t="str">
            <v>biomass</v>
          </cell>
        </row>
        <row r="15135">
          <cell r="C15135" t="str">
            <v>IC</v>
          </cell>
          <cell r="D15135">
            <v>1.4</v>
          </cell>
          <cell r="H15135" t="str">
            <v>biomass</v>
          </cell>
        </row>
        <row r="15136">
          <cell r="C15136" t="str">
            <v>IC</v>
          </cell>
          <cell r="D15136">
            <v>1.6</v>
          </cell>
          <cell r="H15136" t="str">
            <v>biomass</v>
          </cell>
        </row>
        <row r="15137">
          <cell r="C15137" t="str">
            <v>IC</v>
          </cell>
          <cell r="D15137">
            <v>1.6</v>
          </cell>
          <cell r="H15137" t="str">
            <v>biomass</v>
          </cell>
        </row>
        <row r="15138">
          <cell r="C15138" t="str">
            <v>IC</v>
          </cell>
          <cell r="D15138">
            <v>1.4</v>
          </cell>
          <cell r="H15138" t="str">
            <v>biomass</v>
          </cell>
        </row>
        <row r="15139">
          <cell r="C15139" t="str">
            <v>IC</v>
          </cell>
          <cell r="D15139">
            <v>1.4</v>
          </cell>
          <cell r="H15139" t="str">
            <v>biomass</v>
          </cell>
        </row>
        <row r="15140">
          <cell r="C15140" t="str">
            <v>IC</v>
          </cell>
          <cell r="D15140">
            <v>1.4</v>
          </cell>
          <cell r="H15140" t="str">
            <v>biomass</v>
          </cell>
        </row>
        <row r="15141">
          <cell r="C15141" t="str">
            <v>IC</v>
          </cell>
          <cell r="D15141">
            <v>1.4</v>
          </cell>
          <cell r="H15141" t="str">
            <v>biomass</v>
          </cell>
        </row>
        <row r="15142">
          <cell r="C15142" t="str">
            <v>IC</v>
          </cell>
          <cell r="D15142">
            <v>1.4</v>
          </cell>
          <cell r="H15142" t="str">
            <v>biomass</v>
          </cell>
        </row>
        <row r="15143">
          <cell r="C15143" t="str">
            <v>IC</v>
          </cell>
          <cell r="D15143">
            <v>1.4</v>
          </cell>
          <cell r="H15143" t="str">
            <v>biomass</v>
          </cell>
        </row>
        <row r="15144">
          <cell r="C15144" t="str">
            <v>IC</v>
          </cell>
          <cell r="D15144">
            <v>1.4</v>
          </cell>
          <cell r="H15144" t="str">
            <v>biomass</v>
          </cell>
        </row>
        <row r="15145">
          <cell r="C15145" t="str">
            <v>IC</v>
          </cell>
          <cell r="D15145">
            <v>1.4</v>
          </cell>
          <cell r="H15145" t="str">
            <v>biomass</v>
          </cell>
        </row>
        <row r="15146">
          <cell r="C15146" t="str">
            <v>IC</v>
          </cell>
          <cell r="D15146">
            <v>1.4</v>
          </cell>
          <cell r="H15146" t="str">
            <v>biomass</v>
          </cell>
        </row>
        <row r="15147">
          <cell r="C15147" t="str">
            <v>IC</v>
          </cell>
          <cell r="D15147">
            <v>1.6</v>
          </cell>
          <cell r="H15147" t="str">
            <v>biomass</v>
          </cell>
        </row>
        <row r="15148">
          <cell r="C15148" t="str">
            <v>IC</v>
          </cell>
          <cell r="D15148">
            <v>1.6</v>
          </cell>
          <cell r="H15148" t="str">
            <v>biomass</v>
          </cell>
        </row>
        <row r="15149">
          <cell r="C15149" t="str">
            <v>IC</v>
          </cell>
          <cell r="D15149">
            <v>1.6</v>
          </cell>
          <cell r="H15149" t="str">
            <v>biomass</v>
          </cell>
        </row>
        <row r="15150">
          <cell r="C15150" t="str">
            <v>IC</v>
          </cell>
          <cell r="D15150">
            <v>1.6</v>
          </cell>
          <cell r="H15150" t="str">
            <v>biomass</v>
          </cell>
        </row>
        <row r="15151">
          <cell r="C15151" t="str">
            <v>IC</v>
          </cell>
          <cell r="D15151">
            <v>1.6</v>
          </cell>
          <cell r="H15151" t="str">
            <v>biomass</v>
          </cell>
        </row>
        <row r="15152">
          <cell r="C15152" t="str">
            <v>IC</v>
          </cell>
          <cell r="D15152">
            <v>1.6</v>
          </cell>
          <cell r="H15152" t="str">
            <v>biomass</v>
          </cell>
        </row>
        <row r="15153">
          <cell r="C15153" t="str">
            <v>IC</v>
          </cell>
          <cell r="D15153">
            <v>1.6</v>
          </cell>
          <cell r="H15153" t="str">
            <v>biomass</v>
          </cell>
        </row>
        <row r="15154">
          <cell r="C15154" t="str">
            <v>IC</v>
          </cell>
          <cell r="D15154">
            <v>1.6</v>
          </cell>
          <cell r="H15154" t="str">
            <v>biomass</v>
          </cell>
        </row>
        <row r="15155">
          <cell r="C15155" t="str">
            <v>IC</v>
          </cell>
          <cell r="D15155">
            <v>1.6</v>
          </cell>
          <cell r="H15155" t="str">
            <v>biomass</v>
          </cell>
        </row>
        <row r="15156">
          <cell r="C15156" t="str">
            <v>IC</v>
          </cell>
          <cell r="D15156">
            <v>1.4</v>
          </cell>
          <cell r="H15156" t="str">
            <v>biomass</v>
          </cell>
        </row>
        <row r="15157">
          <cell r="C15157" t="str">
            <v>IC</v>
          </cell>
          <cell r="D15157">
            <v>1.4</v>
          </cell>
          <cell r="H15157" t="str">
            <v>biomass</v>
          </cell>
        </row>
        <row r="15158">
          <cell r="C15158" t="str">
            <v>IC</v>
          </cell>
          <cell r="D15158">
            <v>1.4</v>
          </cell>
          <cell r="H15158" t="str">
            <v>biomass</v>
          </cell>
        </row>
        <row r="15159">
          <cell r="C15159" t="str">
            <v>IC</v>
          </cell>
          <cell r="D15159">
            <v>1.4</v>
          </cell>
          <cell r="H15159" t="str">
            <v>biomass</v>
          </cell>
        </row>
        <row r="15160">
          <cell r="C15160" t="str">
            <v>IC</v>
          </cell>
          <cell r="D15160">
            <v>1.4</v>
          </cell>
          <cell r="H15160" t="str">
            <v>biomass</v>
          </cell>
        </row>
        <row r="15161">
          <cell r="C15161" t="str">
            <v>IC</v>
          </cell>
          <cell r="D15161">
            <v>1.4</v>
          </cell>
          <cell r="H15161" t="str">
            <v>biomass</v>
          </cell>
        </row>
        <row r="15162">
          <cell r="C15162" t="str">
            <v>IC</v>
          </cell>
          <cell r="D15162">
            <v>1.4</v>
          </cell>
          <cell r="H15162" t="str">
            <v>biomass</v>
          </cell>
        </row>
        <row r="15163">
          <cell r="C15163" t="str">
            <v>IC</v>
          </cell>
          <cell r="D15163">
            <v>1.6</v>
          </cell>
          <cell r="H15163" t="str">
            <v>biomass</v>
          </cell>
        </row>
        <row r="15164">
          <cell r="C15164" t="str">
            <v>IC</v>
          </cell>
          <cell r="D15164">
            <v>1</v>
          </cell>
          <cell r="H15164" t="str">
            <v>biomass</v>
          </cell>
        </row>
        <row r="15165">
          <cell r="C15165" t="str">
            <v>IC</v>
          </cell>
          <cell r="D15165">
            <v>1</v>
          </cell>
          <cell r="H15165" t="str">
            <v>biomass</v>
          </cell>
        </row>
        <row r="15166">
          <cell r="C15166" t="str">
            <v>IC</v>
          </cell>
          <cell r="D15166">
            <v>1</v>
          </cell>
          <cell r="H15166" t="str">
            <v>biomass</v>
          </cell>
        </row>
        <row r="15167">
          <cell r="C15167" t="str">
            <v>IC</v>
          </cell>
          <cell r="D15167">
            <v>1</v>
          </cell>
          <cell r="H15167" t="str">
            <v>biomass</v>
          </cell>
        </row>
        <row r="15168">
          <cell r="C15168" t="str">
            <v>IC</v>
          </cell>
          <cell r="D15168">
            <v>1</v>
          </cell>
          <cell r="H15168" t="str">
            <v>biomass</v>
          </cell>
        </row>
        <row r="15169">
          <cell r="C15169" t="str">
            <v>IC</v>
          </cell>
          <cell r="D15169">
            <v>1</v>
          </cell>
          <cell r="H15169" t="str">
            <v>biomass</v>
          </cell>
        </row>
        <row r="15170">
          <cell r="C15170" t="str">
            <v>IC</v>
          </cell>
          <cell r="D15170">
            <v>1</v>
          </cell>
          <cell r="H15170" t="str">
            <v>biomass</v>
          </cell>
        </row>
        <row r="15171">
          <cell r="C15171" t="str">
            <v>IC</v>
          </cell>
          <cell r="D15171">
            <v>1</v>
          </cell>
          <cell r="H15171" t="str">
            <v>biomass</v>
          </cell>
        </row>
        <row r="15172">
          <cell r="C15172" t="str">
            <v>IC</v>
          </cell>
          <cell r="D15172">
            <v>1.4</v>
          </cell>
          <cell r="H15172" t="str">
            <v>biomass</v>
          </cell>
        </row>
        <row r="15173">
          <cell r="C15173" t="str">
            <v>IC</v>
          </cell>
          <cell r="D15173">
            <v>1.4</v>
          </cell>
          <cell r="H15173" t="str">
            <v>biomass</v>
          </cell>
        </row>
        <row r="15174">
          <cell r="C15174" t="str">
            <v>IC</v>
          </cell>
          <cell r="D15174">
            <v>1.4</v>
          </cell>
          <cell r="H15174" t="str">
            <v>biomass</v>
          </cell>
        </row>
        <row r="15175">
          <cell r="C15175" t="str">
            <v>IC</v>
          </cell>
          <cell r="D15175">
            <v>1.4</v>
          </cell>
          <cell r="H15175" t="str">
            <v>biomass</v>
          </cell>
        </row>
        <row r="15176">
          <cell r="C15176" t="str">
            <v>IC</v>
          </cell>
          <cell r="D15176">
            <v>1.4</v>
          </cell>
          <cell r="H15176" t="str">
            <v>biomass</v>
          </cell>
        </row>
        <row r="15177">
          <cell r="C15177" t="str">
            <v>HY</v>
          </cell>
          <cell r="D15177">
            <v>35</v>
          </cell>
          <cell r="H15177" t="str">
            <v>hydro</v>
          </cell>
        </row>
        <row r="15178">
          <cell r="C15178" t="str">
            <v>HY</v>
          </cell>
          <cell r="D15178">
            <v>35</v>
          </cell>
          <cell r="H15178" t="str">
            <v>hydro</v>
          </cell>
        </row>
        <row r="15179">
          <cell r="C15179" t="str">
            <v>HY</v>
          </cell>
          <cell r="D15179">
            <v>35</v>
          </cell>
          <cell r="H15179" t="str">
            <v>hydro</v>
          </cell>
        </row>
        <row r="15180">
          <cell r="C15180" t="str">
            <v>IC</v>
          </cell>
          <cell r="D15180">
            <v>0.9</v>
          </cell>
          <cell r="H15180" t="str">
            <v>biomass</v>
          </cell>
        </row>
        <row r="15181">
          <cell r="C15181" t="str">
            <v>IC</v>
          </cell>
          <cell r="D15181">
            <v>1.6</v>
          </cell>
          <cell r="H15181" t="str">
            <v>biomass</v>
          </cell>
        </row>
        <row r="15182">
          <cell r="C15182" t="str">
            <v>WT</v>
          </cell>
          <cell r="D15182">
            <v>150</v>
          </cell>
          <cell r="H15182" t="str">
            <v>onshore wind</v>
          </cell>
        </row>
        <row r="15183">
          <cell r="C15183" t="str">
            <v>PV</v>
          </cell>
          <cell r="D15183">
            <v>1</v>
          </cell>
          <cell r="H15183" t="str">
            <v>solar PV</v>
          </cell>
        </row>
        <row r="15184">
          <cell r="C15184" t="str">
            <v>WT</v>
          </cell>
          <cell r="D15184">
            <v>100.5</v>
          </cell>
          <cell r="H15184" t="str">
            <v>onshore wind</v>
          </cell>
        </row>
        <row r="15185">
          <cell r="C15185" t="str">
            <v>PV</v>
          </cell>
          <cell r="D15185">
            <v>1.6</v>
          </cell>
          <cell r="H15185" t="str">
            <v>solar PV</v>
          </cell>
        </row>
        <row r="15186">
          <cell r="C15186" t="str">
            <v>WT</v>
          </cell>
          <cell r="D15186">
            <v>106</v>
          </cell>
          <cell r="H15186" t="str">
            <v>onshore wind</v>
          </cell>
        </row>
        <row r="15187">
          <cell r="C15187" t="str">
            <v>WT</v>
          </cell>
          <cell r="D15187">
            <v>49.7</v>
          </cell>
          <cell r="H15187" t="str">
            <v>onshore wind</v>
          </cell>
        </row>
        <row r="15188">
          <cell r="C15188" t="str">
            <v>OT</v>
          </cell>
          <cell r="D15188">
            <v>5</v>
          </cell>
          <cell r="H15188" t="str">
            <v>other</v>
          </cell>
        </row>
        <row r="15189">
          <cell r="C15189" t="str">
            <v>OT</v>
          </cell>
          <cell r="D15189">
            <v>5</v>
          </cell>
          <cell r="H15189" t="str">
            <v>other</v>
          </cell>
        </row>
        <row r="15190">
          <cell r="C15190" t="str">
            <v>OT</v>
          </cell>
          <cell r="D15190">
            <v>5</v>
          </cell>
          <cell r="H15190" t="str">
            <v>other</v>
          </cell>
        </row>
        <row r="15191">
          <cell r="C15191" t="str">
            <v>OT</v>
          </cell>
          <cell r="D15191">
            <v>5</v>
          </cell>
          <cell r="H15191" t="str">
            <v>other</v>
          </cell>
        </row>
        <row r="15192">
          <cell r="C15192" t="str">
            <v>PV</v>
          </cell>
          <cell r="D15192">
            <v>0.2</v>
          </cell>
          <cell r="H15192" t="str">
            <v>solar PV</v>
          </cell>
        </row>
        <row r="15193">
          <cell r="C15193" t="str">
            <v>PV</v>
          </cell>
          <cell r="D15193">
            <v>0.2</v>
          </cell>
          <cell r="H15193" t="str">
            <v>solar PV</v>
          </cell>
        </row>
        <row r="15194">
          <cell r="C15194" t="str">
            <v>PV</v>
          </cell>
          <cell r="D15194">
            <v>0.1</v>
          </cell>
          <cell r="H15194" t="str">
            <v>solar PV</v>
          </cell>
        </row>
        <row r="15195">
          <cell r="C15195" t="str">
            <v>PV</v>
          </cell>
          <cell r="D15195">
            <v>0.2</v>
          </cell>
          <cell r="H15195" t="str">
            <v>solar PV</v>
          </cell>
        </row>
        <row r="15196">
          <cell r="C15196" t="str">
            <v>PV</v>
          </cell>
          <cell r="D15196">
            <v>0.1</v>
          </cell>
          <cell r="H15196" t="str">
            <v>solar PV</v>
          </cell>
        </row>
        <row r="15197">
          <cell r="C15197" t="str">
            <v>PV</v>
          </cell>
          <cell r="D15197">
            <v>0.2</v>
          </cell>
          <cell r="H15197" t="str">
            <v>solar PV</v>
          </cell>
        </row>
        <row r="15198">
          <cell r="C15198" t="str">
            <v>PV</v>
          </cell>
          <cell r="D15198">
            <v>0.2</v>
          </cell>
          <cell r="H15198" t="str">
            <v>solar PV</v>
          </cell>
        </row>
        <row r="15199">
          <cell r="C15199" t="str">
            <v>PV</v>
          </cell>
          <cell r="D15199">
            <v>0.2</v>
          </cell>
          <cell r="H15199" t="str">
            <v>solar PV</v>
          </cell>
        </row>
        <row r="15200">
          <cell r="C15200" t="str">
            <v>PV</v>
          </cell>
          <cell r="D15200">
            <v>0.1</v>
          </cell>
          <cell r="H15200" t="str">
            <v>solar PV</v>
          </cell>
        </row>
        <row r="15201">
          <cell r="C15201" t="str">
            <v>PV</v>
          </cell>
          <cell r="D15201">
            <v>2.4</v>
          </cell>
          <cell r="H15201" t="str">
            <v>solar PV</v>
          </cell>
        </row>
        <row r="15202">
          <cell r="C15202" t="str">
            <v>IC</v>
          </cell>
          <cell r="D15202">
            <v>1.6</v>
          </cell>
          <cell r="H15202" t="str">
            <v>biomass</v>
          </cell>
        </row>
        <row r="15203">
          <cell r="C15203" t="str">
            <v>IC</v>
          </cell>
          <cell r="D15203">
            <v>1.6</v>
          </cell>
          <cell r="H15203" t="str">
            <v>biomass</v>
          </cell>
        </row>
        <row r="15204">
          <cell r="C15204" t="str">
            <v>IC</v>
          </cell>
          <cell r="D15204">
            <v>1.6</v>
          </cell>
          <cell r="H15204" t="str">
            <v>biomass</v>
          </cell>
        </row>
        <row r="15205">
          <cell r="C15205" t="str">
            <v>IC</v>
          </cell>
          <cell r="D15205">
            <v>1.6</v>
          </cell>
          <cell r="H15205" t="str">
            <v>biomass</v>
          </cell>
        </row>
        <row r="15206">
          <cell r="C15206" t="str">
            <v>IC</v>
          </cell>
          <cell r="D15206">
            <v>1.6</v>
          </cell>
          <cell r="H15206" t="str">
            <v>biomass</v>
          </cell>
        </row>
        <row r="15207">
          <cell r="C15207" t="str">
            <v>IC</v>
          </cell>
          <cell r="D15207">
            <v>1.6</v>
          </cell>
          <cell r="H15207" t="str">
            <v>biomass</v>
          </cell>
        </row>
        <row r="15208">
          <cell r="C15208" t="str">
            <v>IC</v>
          </cell>
          <cell r="D15208">
            <v>1.6</v>
          </cell>
          <cell r="H15208" t="str">
            <v>biomass</v>
          </cell>
        </row>
        <row r="15209">
          <cell r="C15209" t="str">
            <v>PV</v>
          </cell>
          <cell r="D15209">
            <v>0.5</v>
          </cell>
          <cell r="H15209" t="str">
            <v>solar PV</v>
          </cell>
        </row>
        <row r="15210">
          <cell r="C15210" t="str">
            <v>PV</v>
          </cell>
          <cell r="D15210">
            <v>0.5</v>
          </cell>
          <cell r="H15210" t="str">
            <v>solar PV</v>
          </cell>
        </row>
        <row r="15211">
          <cell r="C15211" t="str">
            <v>PV</v>
          </cell>
          <cell r="D15211">
            <v>0.5</v>
          </cell>
          <cell r="H15211" t="str">
            <v>solar PV</v>
          </cell>
        </row>
        <row r="15212">
          <cell r="C15212" t="str">
            <v>PV</v>
          </cell>
          <cell r="D15212">
            <v>0.5</v>
          </cell>
          <cell r="H15212" t="str">
            <v>solar PV</v>
          </cell>
        </row>
        <row r="15213">
          <cell r="C15213" t="str">
            <v>PV</v>
          </cell>
          <cell r="D15213">
            <v>1.7</v>
          </cell>
          <cell r="H15213" t="str">
            <v>solar PV</v>
          </cell>
        </row>
        <row r="15214">
          <cell r="C15214" t="str">
            <v>IC</v>
          </cell>
          <cell r="D15214">
            <v>1.6</v>
          </cell>
          <cell r="H15214" t="str">
            <v>biomass</v>
          </cell>
        </row>
        <row r="15215">
          <cell r="C15215" t="str">
            <v>IC</v>
          </cell>
          <cell r="D15215">
            <v>1.6</v>
          </cell>
          <cell r="H15215" t="str">
            <v>biomass</v>
          </cell>
        </row>
        <row r="15216">
          <cell r="C15216" t="str">
            <v>HY</v>
          </cell>
          <cell r="D15216">
            <v>1.2</v>
          </cell>
          <cell r="H15216" t="str">
            <v>hydro</v>
          </cell>
        </row>
        <row r="15217">
          <cell r="C15217" t="str">
            <v>HY</v>
          </cell>
          <cell r="D15217">
            <v>1.2</v>
          </cell>
          <cell r="H15217" t="str">
            <v>hydro</v>
          </cell>
        </row>
        <row r="15218">
          <cell r="C15218" t="str">
            <v>HY</v>
          </cell>
          <cell r="D15218">
            <v>1.2</v>
          </cell>
          <cell r="H15218" t="str">
            <v>hydro</v>
          </cell>
        </row>
        <row r="15219">
          <cell r="C15219" t="str">
            <v>IC</v>
          </cell>
          <cell r="D15219">
            <v>1</v>
          </cell>
          <cell r="H15219" t="str">
            <v>biomass</v>
          </cell>
        </row>
        <row r="15220">
          <cell r="C15220" t="str">
            <v>IC</v>
          </cell>
          <cell r="D15220">
            <v>1</v>
          </cell>
          <cell r="H15220" t="str">
            <v>biomass</v>
          </cell>
        </row>
        <row r="15221">
          <cell r="C15221" t="str">
            <v>IC</v>
          </cell>
          <cell r="D15221">
            <v>1.8</v>
          </cell>
          <cell r="H15221" t="str">
            <v>biomass</v>
          </cell>
        </row>
        <row r="15222">
          <cell r="C15222" t="str">
            <v>IC</v>
          </cell>
          <cell r="D15222">
            <v>1.8</v>
          </cell>
          <cell r="H15222" t="str">
            <v>biomass</v>
          </cell>
        </row>
        <row r="15223">
          <cell r="C15223" t="str">
            <v>IC</v>
          </cell>
          <cell r="D15223">
            <v>1.8</v>
          </cell>
          <cell r="H15223" t="str">
            <v>biomass</v>
          </cell>
        </row>
        <row r="15224">
          <cell r="C15224" t="str">
            <v>IC</v>
          </cell>
          <cell r="D15224">
            <v>1.8</v>
          </cell>
          <cell r="H15224" t="str">
            <v>biomass</v>
          </cell>
        </row>
        <row r="15225">
          <cell r="C15225" t="str">
            <v>IC</v>
          </cell>
          <cell r="D15225">
            <v>1.8</v>
          </cell>
          <cell r="H15225" t="str">
            <v>biomass</v>
          </cell>
        </row>
        <row r="15226">
          <cell r="C15226" t="str">
            <v>IC</v>
          </cell>
          <cell r="D15226">
            <v>1.8</v>
          </cell>
          <cell r="H15226" t="str">
            <v>biomass</v>
          </cell>
        </row>
        <row r="15227">
          <cell r="C15227" t="str">
            <v>IC</v>
          </cell>
          <cell r="D15227">
            <v>0.9</v>
          </cell>
          <cell r="H15227" t="str">
            <v>biomass</v>
          </cell>
        </row>
        <row r="15228">
          <cell r="C15228" t="str">
            <v>IC</v>
          </cell>
          <cell r="D15228">
            <v>0.9</v>
          </cell>
          <cell r="H15228" t="str">
            <v>biomass</v>
          </cell>
        </row>
        <row r="15229">
          <cell r="C15229" t="str">
            <v>IC</v>
          </cell>
          <cell r="D15229">
            <v>0.9</v>
          </cell>
          <cell r="H15229" t="str">
            <v>biomass</v>
          </cell>
        </row>
        <row r="15230">
          <cell r="C15230" t="str">
            <v>IC</v>
          </cell>
          <cell r="D15230">
            <v>1.8</v>
          </cell>
          <cell r="H15230" t="str">
            <v>biomass</v>
          </cell>
        </row>
        <row r="15231">
          <cell r="C15231" t="str">
            <v>IC</v>
          </cell>
          <cell r="D15231">
            <v>1.8</v>
          </cell>
          <cell r="H15231" t="str">
            <v>biomass</v>
          </cell>
        </row>
        <row r="15232">
          <cell r="C15232" t="str">
            <v>GT</v>
          </cell>
          <cell r="D15232">
            <v>4</v>
          </cell>
          <cell r="H15232" t="str">
            <v>biomass</v>
          </cell>
        </row>
        <row r="15233">
          <cell r="C15233" t="str">
            <v>GT</v>
          </cell>
          <cell r="D15233">
            <v>4</v>
          </cell>
          <cell r="H15233" t="str">
            <v>biomass</v>
          </cell>
        </row>
        <row r="15234">
          <cell r="C15234" t="str">
            <v>IC</v>
          </cell>
          <cell r="D15234">
            <v>1.5</v>
          </cell>
          <cell r="H15234" t="str">
            <v>petroleum</v>
          </cell>
        </row>
        <row r="15235">
          <cell r="C15235" t="str">
            <v>IC</v>
          </cell>
          <cell r="D15235">
            <v>1.5</v>
          </cell>
          <cell r="H15235" t="str">
            <v>petroleum</v>
          </cell>
        </row>
        <row r="15236">
          <cell r="C15236" t="str">
            <v>PV</v>
          </cell>
          <cell r="D15236">
            <v>0.5</v>
          </cell>
          <cell r="H15236" t="str">
            <v>solar PV</v>
          </cell>
        </row>
        <row r="15237">
          <cell r="C15237" t="str">
            <v>PV</v>
          </cell>
          <cell r="D15237">
            <v>0.5</v>
          </cell>
          <cell r="H15237" t="str">
            <v>solar PV</v>
          </cell>
        </row>
        <row r="15238">
          <cell r="C15238" t="str">
            <v>PV</v>
          </cell>
          <cell r="D15238">
            <v>0.5</v>
          </cell>
          <cell r="H15238" t="str">
            <v>solar PV</v>
          </cell>
        </row>
        <row r="15239">
          <cell r="C15239" t="str">
            <v>PV</v>
          </cell>
          <cell r="D15239">
            <v>0.5</v>
          </cell>
          <cell r="H15239" t="str">
            <v>solar PV</v>
          </cell>
        </row>
        <row r="15240">
          <cell r="C15240" t="str">
            <v>WT</v>
          </cell>
          <cell r="D15240">
            <v>97.5</v>
          </cell>
          <cell r="H15240" t="str">
            <v>onshore wind</v>
          </cell>
        </row>
        <row r="15241">
          <cell r="C15241" t="str">
            <v>WT</v>
          </cell>
          <cell r="D15241">
            <v>126</v>
          </cell>
          <cell r="H15241" t="str">
            <v>onshore wind</v>
          </cell>
        </row>
        <row r="15242">
          <cell r="C15242" t="str">
            <v>WT</v>
          </cell>
          <cell r="D15242">
            <v>106.5</v>
          </cell>
          <cell r="H15242" t="str">
            <v>onshore wind</v>
          </cell>
        </row>
        <row r="15243">
          <cell r="C15243" t="str">
            <v>WT</v>
          </cell>
          <cell r="D15243">
            <v>114</v>
          </cell>
          <cell r="H15243" t="str">
            <v>onshore wind</v>
          </cell>
        </row>
        <row r="15244">
          <cell r="C15244" t="str">
            <v>GT</v>
          </cell>
          <cell r="D15244">
            <v>44.1</v>
          </cell>
          <cell r="H15244" t="str">
            <v>natural gas peaker</v>
          </cell>
        </row>
        <row r="15245">
          <cell r="C15245" t="str">
            <v>GT</v>
          </cell>
          <cell r="D15245">
            <v>44.1</v>
          </cell>
          <cell r="H15245" t="str">
            <v>natural gas peaker</v>
          </cell>
        </row>
        <row r="15246">
          <cell r="C15246" t="str">
            <v>GT</v>
          </cell>
          <cell r="D15246">
            <v>44.1</v>
          </cell>
          <cell r="H15246" t="str">
            <v>natural gas peaker</v>
          </cell>
        </row>
        <row r="15247">
          <cell r="C15247" t="str">
            <v>PV</v>
          </cell>
          <cell r="D15247">
            <v>0.3</v>
          </cell>
          <cell r="H15247" t="str">
            <v>solar PV</v>
          </cell>
        </row>
        <row r="15248">
          <cell r="C15248" t="str">
            <v>PV</v>
          </cell>
          <cell r="D15248">
            <v>0.3</v>
          </cell>
          <cell r="H15248" t="str">
            <v>solar PV</v>
          </cell>
        </row>
        <row r="15249">
          <cell r="C15249" t="str">
            <v>PV</v>
          </cell>
          <cell r="D15249">
            <v>0.3</v>
          </cell>
          <cell r="H15249" t="str">
            <v>solar PV</v>
          </cell>
        </row>
        <row r="15250">
          <cell r="C15250" t="str">
            <v>PV</v>
          </cell>
          <cell r="D15250">
            <v>0.3</v>
          </cell>
          <cell r="H15250" t="str">
            <v>solar PV</v>
          </cell>
        </row>
        <row r="15251">
          <cell r="C15251" t="str">
            <v>GT</v>
          </cell>
          <cell r="D15251">
            <v>4</v>
          </cell>
          <cell r="H15251" t="str">
            <v>biomass</v>
          </cell>
        </row>
        <row r="15252">
          <cell r="C15252" t="str">
            <v>GT</v>
          </cell>
          <cell r="D15252">
            <v>4</v>
          </cell>
          <cell r="H15252" t="str">
            <v>biomass</v>
          </cell>
        </row>
        <row r="15253">
          <cell r="C15253" t="str">
            <v>WT</v>
          </cell>
          <cell r="D15253">
            <v>40.5</v>
          </cell>
          <cell r="H15253" t="str">
            <v>onshore wind</v>
          </cell>
        </row>
        <row r="15254">
          <cell r="C15254" t="str">
            <v>WT</v>
          </cell>
          <cell r="D15254">
            <v>50</v>
          </cell>
          <cell r="H15254" t="str">
            <v>onshore wind</v>
          </cell>
        </row>
        <row r="15255">
          <cell r="C15255" t="str">
            <v>GT</v>
          </cell>
          <cell r="D15255">
            <v>49.1</v>
          </cell>
          <cell r="H15255" t="str">
            <v>natural gas peaker</v>
          </cell>
        </row>
        <row r="15256">
          <cell r="C15256" t="str">
            <v>GT</v>
          </cell>
          <cell r="D15256">
            <v>49.1</v>
          </cell>
          <cell r="H15256" t="str">
            <v>natural gas peaker</v>
          </cell>
        </row>
        <row r="15257">
          <cell r="C15257" t="str">
            <v>PV</v>
          </cell>
          <cell r="D15257">
            <v>0.5</v>
          </cell>
          <cell r="H15257" t="str">
            <v>solar PV</v>
          </cell>
        </row>
        <row r="15258">
          <cell r="C15258" t="str">
            <v>PV</v>
          </cell>
          <cell r="D15258">
            <v>0.5</v>
          </cell>
          <cell r="H15258" t="str">
            <v>solar PV</v>
          </cell>
        </row>
        <row r="15259">
          <cell r="C15259" t="str">
            <v>PV</v>
          </cell>
          <cell r="D15259">
            <v>0.5</v>
          </cell>
          <cell r="H15259" t="str">
            <v>solar PV</v>
          </cell>
        </row>
        <row r="15260">
          <cell r="C15260" t="str">
            <v>PV</v>
          </cell>
          <cell r="D15260">
            <v>0.5</v>
          </cell>
          <cell r="H15260" t="str">
            <v>solar PV</v>
          </cell>
        </row>
        <row r="15261">
          <cell r="C15261" t="str">
            <v>PV</v>
          </cell>
          <cell r="D15261">
            <v>101</v>
          </cell>
          <cell r="H15261" t="str">
            <v>solar PV</v>
          </cell>
        </row>
        <row r="15262">
          <cell r="C15262" t="str">
            <v>PV</v>
          </cell>
          <cell r="D15262">
            <v>64.599999999999994</v>
          </cell>
          <cell r="H15262" t="str">
            <v>solar PV</v>
          </cell>
        </row>
        <row r="15263">
          <cell r="C15263" t="str">
            <v>PV</v>
          </cell>
          <cell r="D15263">
            <v>34.299999999999997</v>
          </cell>
          <cell r="H15263" t="str">
            <v>solar PV</v>
          </cell>
        </row>
        <row r="15264">
          <cell r="C15264" t="str">
            <v>WT</v>
          </cell>
          <cell r="D15264">
            <v>148.5</v>
          </cell>
          <cell r="H15264" t="str">
            <v>onshore wind</v>
          </cell>
        </row>
        <row r="15265">
          <cell r="C15265" t="str">
            <v>WT</v>
          </cell>
          <cell r="D15265">
            <v>142.5</v>
          </cell>
          <cell r="H15265" t="str">
            <v>onshore wind</v>
          </cell>
        </row>
        <row r="15266">
          <cell r="C15266" t="str">
            <v>WT</v>
          </cell>
          <cell r="D15266">
            <v>115.5</v>
          </cell>
          <cell r="H15266" t="str">
            <v>onshore wind</v>
          </cell>
        </row>
        <row r="15267">
          <cell r="C15267" t="str">
            <v>PV</v>
          </cell>
          <cell r="D15267">
            <v>0.4</v>
          </cell>
          <cell r="H15267" t="str">
            <v>solar PV</v>
          </cell>
        </row>
        <row r="15268">
          <cell r="C15268" t="str">
            <v>PV</v>
          </cell>
          <cell r="D15268">
            <v>0.9</v>
          </cell>
          <cell r="H15268" t="str">
            <v>solar PV</v>
          </cell>
        </row>
        <row r="15269">
          <cell r="C15269" t="str">
            <v>WT</v>
          </cell>
          <cell r="D15269">
            <v>150</v>
          </cell>
          <cell r="H15269" t="str">
            <v>onshore wind</v>
          </cell>
        </row>
        <row r="15270">
          <cell r="C15270" t="str">
            <v>WT</v>
          </cell>
          <cell r="D15270">
            <v>150</v>
          </cell>
          <cell r="H15270" t="str">
            <v>onshore wind</v>
          </cell>
        </row>
        <row r="15271">
          <cell r="C15271" t="str">
            <v>WT</v>
          </cell>
          <cell r="D15271">
            <v>200</v>
          </cell>
          <cell r="H15271" t="str">
            <v>onshore wind</v>
          </cell>
        </row>
        <row r="15272">
          <cell r="C15272" t="str">
            <v>GT</v>
          </cell>
          <cell r="D15272">
            <v>4.5</v>
          </cell>
          <cell r="H15272" t="str">
            <v>natural gas peaker</v>
          </cell>
        </row>
        <row r="15273">
          <cell r="C15273" t="str">
            <v>PV</v>
          </cell>
          <cell r="D15273">
            <v>25</v>
          </cell>
          <cell r="H15273" t="str">
            <v>solar PV</v>
          </cell>
        </row>
        <row r="15274">
          <cell r="C15274" t="str">
            <v>PV</v>
          </cell>
          <cell r="D15274">
            <v>10</v>
          </cell>
          <cell r="H15274" t="str">
            <v>solar PV</v>
          </cell>
        </row>
        <row r="15275">
          <cell r="C15275" t="str">
            <v>IC</v>
          </cell>
          <cell r="D15275">
            <v>1</v>
          </cell>
          <cell r="H15275" t="str">
            <v>petroleum</v>
          </cell>
        </row>
        <row r="15276">
          <cell r="C15276" t="str">
            <v>WT</v>
          </cell>
          <cell r="D15276">
            <v>9.9</v>
          </cell>
          <cell r="H15276" t="str">
            <v>onshore wind</v>
          </cell>
        </row>
        <row r="15277">
          <cell r="C15277" t="str">
            <v>WT</v>
          </cell>
          <cell r="D15277">
            <v>10.5</v>
          </cell>
          <cell r="H15277" t="str">
            <v>onshore wind</v>
          </cell>
        </row>
        <row r="15278">
          <cell r="C15278" t="str">
            <v>WT</v>
          </cell>
          <cell r="D15278">
            <v>18.899999999999999</v>
          </cell>
          <cell r="H15278" t="str">
            <v>onshore wind</v>
          </cell>
        </row>
        <row r="15279">
          <cell r="C15279" t="str">
            <v>HY</v>
          </cell>
          <cell r="D15279">
            <v>2.2999999999999998</v>
          </cell>
          <cell r="H15279" t="str">
            <v>hydro</v>
          </cell>
        </row>
        <row r="15280">
          <cell r="C15280" t="str">
            <v>HY</v>
          </cell>
          <cell r="D15280">
            <v>1.9</v>
          </cell>
          <cell r="H15280" t="str">
            <v>hydro</v>
          </cell>
        </row>
        <row r="15281">
          <cell r="C15281" t="str">
            <v>HY</v>
          </cell>
          <cell r="D15281">
            <v>2.1</v>
          </cell>
          <cell r="H15281" t="str">
            <v>hydro</v>
          </cell>
        </row>
        <row r="15282">
          <cell r="C15282" t="str">
            <v>HY</v>
          </cell>
          <cell r="D15282">
            <v>2.2999999999999998</v>
          </cell>
          <cell r="H15282" t="str">
            <v>hydro</v>
          </cell>
        </row>
        <row r="15283">
          <cell r="C15283" t="str">
            <v>HY</v>
          </cell>
          <cell r="D15283">
            <v>2.7</v>
          </cell>
          <cell r="H15283" t="str">
            <v>hydro</v>
          </cell>
        </row>
        <row r="15284">
          <cell r="C15284" t="str">
            <v>IC</v>
          </cell>
          <cell r="D15284">
            <v>1.5</v>
          </cell>
          <cell r="H15284" t="str">
            <v>petroleum</v>
          </cell>
        </row>
        <row r="15285">
          <cell r="C15285" t="str">
            <v>PV</v>
          </cell>
          <cell r="D15285">
            <v>1.2</v>
          </cell>
          <cell r="H15285" t="str">
            <v>solar PV</v>
          </cell>
        </row>
        <row r="15286">
          <cell r="C15286" t="str">
            <v>PV</v>
          </cell>
          <cell r="D15286">
            <v>21</v>
          </cell>
          <cell r="H15286" t="str">
            <v>solar PV</v>
          </cell>
        </row>
        <row r="15287">
          <cell r="C15287" t="str">
            <v>CT</v>
          </cell>
          <cell r="D15287">
            <v>187.4</v>
          </cell>
          <cell r="H15287" t="str">
            <v>natural gas nonpeaker</v>
          </cell>
        </row>
        <row r="15288">
          <cell r="C15288" t="str">
            <v>CT</v>
          </cell>
          <cell r="D15288">
            <v>187.4</v>
          </cell>
          <cell r="H15288" t="str">
            <v>natural gas nonpeaker</v>
          </cell>
        </row>
        <row r="15289">
          <cell r="C15289" t="str">
            <v>CA</v>
          </cell>
          <cell r="D15289">
            <v>296.2</v>
          </cell>
          <cell r="H15289" t="str">
            <v>natural gas nonpeaker</v>
          </cell>
        </row>
        <row r="15290">
          <cell r="C15290" t="str">
            <v>WT</v>
          </cell>
          <cell r="D15290">
            <v>99</v>
          </cell>
          <cell r="H15290" t="str">
            <v>onshore wind</v>
          </cell>
        </row>
        <row r="15291">
          <cell r="C15291" t="str">
            <v>WT</v>
          </cell>
          <cell r="D15291">
            <v>51</v>
          </cell>
          <cell r="H15291" t="str">
            <v>onshore wind</v>
          </cell>
        </row>
        <row r="15292">
          <cell r="C15292" t="str">
            <v>WT</v>
          </cell>
          <cell r="D15292">
            <v>49.5</v>
          </cell>
          <cell r="H15292" t="str">
            <v>onshore wind</v>
          </cell>
        </row>
        <row r="15293">
          <cell r="C15293" t="str">
            <v>WT</v>
          </cell>
          <cell r="D15293">
            <v>10.5</v>
          </cell>
          <cell r="H15293" t="str">
            <v>onshore wind</v>
          </cell>
        </row>
        <row r="15294">
          <cell r="C15294" t="str">
            <v>WT</v>
          </cell>
          <cell r="D15294">
            <v>14.5</v>
          </cell>
          <cell r="H15294" t="str">
            <v>onshore wind</v>
          </cell>
        </row>
        <row r="15295">
          <cell r="C15295" t="str">
            <v>WT</v>
          </cell>
          <cell r="D15295">
            <v>4.4000000000000004</v>
          </cell>
          <cell r="H15295" t="str">
            <v>onshore wind</v>
          </cell>
        </row>
        <row r="15296">
          <cell r="C15296" t="str">
            <v>PV</v>
          </cell>
          <cell r="D15296">
            <v>10</v>
          </cell>
          <cell r="H15296" t="str">
            <v>solar PV</v>
          </cell>
        </row>
        <row r="15297">
          <cell r="C15297" t="str">
            <v>WT</v>
          </cell>
          <cell r="D15297">
            <v>100</v>
          </cell>
          <cell r="H15297" t="str">
            <v>onshore wind</v>
          </cell>
        </row>
        <row r="15298">
          <cell r="C15298" t="str">
            <v>WT</v>
          </cell>
          <cell r="D15298">
            <v>18.899999999999999</v>
          </cell>
          <cell r="H15298" t="str">
            <v>onshore wind</v>
          </cell>
        </row>
        <row r="15299">
          <cell r="C15299" t="str">
            <v>WT</v>
          </cell>
          <cell r="D15299">
            <v>81</v>
          </cell>
          <cell r="H15299" t="str">
            <v>onshore wind</v>
          </cell>
        </row>
        <row r="15300">
          <cell r="C15300" t="str">
            <v>GT</v>
          </cell>
          <cell r="D15300">
            <v>43.4</v>
          </cell>
          <cell r="H15300" t="str">
            <v>natural gas peaker</v>
          </cell>
        </row>
        <row r="15301">
          <cell r="C15301" t="str">
            <v>GT</v>
          </cell>
          <cell r="D15301">
            <v>43.4</v>
          </cell>
          <cell r="H15301" t="str">
            <v>natural gas peaker</v>
          </cell>
        </row>
        <row r="15302">
          <cell r="C15302" t="str">
            <v>GT</v>
          </cell>
          <cell r="D15302">
            <v>43.4</v>
          </cell>
          <cell r="H15302" t="str">
            <v>natural gas peaker</v>
          </cell>
        </row>
        <row r="15303">
          <cell r="C15303" t="str">
            <v>GT</v>
          </cell>
          <cell r="D15303">
            <v>43.4</v>
          </cell>
          <cell r="H15303" t="str">
            <v>natural gas peaker</v>
          </cell>
        </row>
        <row r="15304">
          <cell r="C15304" t="str">
            <v>GT</v>
          </cell>
          <cell r="D15304">
            <v>43.4</v>
          </cell>
          <cell r="H15304" t="str">
            <v>natural gas peaker</v>
          </cell>
        </row>
        <row r="15305">
          <cell r="C15305" t="str">
            <v>GT</v>
          </cell>
          <cell r="D15305">
            <v>43.4</v>
          </cell>
          <cell r="H15305" t="str">
            <v>natural gas peaker</v>
          </cell>
        </row>
        <row r="15306">
          <cell r="C15306" t="str">
            <v>GT</v>
          </cell>
          <cell r="D15306">
            <v>43.4</v>
          </cell>
          <cell r="H15306" t="str">
            <v>natural gas peaker</v>
          </cell>
        </row>
        <row r="15307">
          <cell r="C15307" t="str">
            <v>GT</v>
          </cell>
          <cell r="D15307">
            <v>43.4</v>
          </cell>
          <cell r="H15307" t="str">
            <v>natural gas peaker</v>
          </cell>
        </row>
        <row r="15308">
          <cell r="C15308" t="str">
            <v>GT</v>
          </cell>
          <cell r="D15308">
            <v>43.4</v>
          </cell>
          <cell r="H15308" t="str">
            <v>natural gas peaker</v>
          </cell>
        </row>
        <row r="15309">
          <cell r="C15309" t="str">
            <v>GT</v>
          </cell>
          <cell r="D15309">
            <v>43.4</v>
          </cell>
          <cell r="H15309" t="str">
            <v>natural gas peaker</v>
          </cell>
        </row>
        <row r="15310">
          <cell r="C15310" t="str">
            <v>GT</v>
          </cell>
          <cell r="D15310">
            <v>43.4</v>
          </cell>
          <cell r="H15310" t="str">
            <v>natural gas peaker</v>
          </cell>
        </row>
        <row r="15311">
          <cell r="C15311" t="str">
            <v>GT</v>
          </cell>
          <cell r="D15311">
            <v>43.4</v>
          </cell>
          <cell r="H15311" t="str">
            <v>natural gas peaker</v>
          </cell>
        </row>
        <row r="15312">
          <cell r="C15312" t="str">
            <v>IC</v>
          </cell>
          <cell r="D15312">
            <v>1.5</v>
          </cell>
          <cell r="H15312" t="str">
            <v>biomass</v>
          </cell>
        </row>
        <row r="15313">
          <cell r="C15313" t="str">
            <v>IC</v>
          </cell>
          <cell r="D15313">
            <v>1.5</v>
          </cell>
          <cell r="H15313" t="str">
            <v>biomass</v>
          </cell>
        </row>
        <row r="15314">
          <cell r="C15314" t="str">
            <v>WT</v>
          </cell>
          <cell r="D15314">
            <v>72</v>
          </cell>
          <cell r="H15314" t="str">
            <v>onshore wind</v>
          </cell>
        </row>
        <row r="15315">
          <cell r="C15315" t="str">
            <v>WT</v>
          </cell>
          <cell r="D15315">
            <v>112</v>
          </cell>
          <cell r="H15315" t="str">
            <v>onshore wind</v>
          </cell>
        </row>
        <row r="15316">
          <cell r="C15316" t="str">
            <v>IC</v>
          </cell>
          <cell r="D15316">
            <v>2</v>
          </cell>
          <cell r="H15316" t="str">
            <v>petroleum</v>
          </cell>
        </row>
        <row r="15317">
          <cell r="C15317" t="str">
            <v>IC</v>
          </cell>
          <cell r="D15317">
            <v>2</v>
          </cell>
          <cell r="H15317" t="str">
            <v>petroleum</v>
          </cell>
        </row>
        <row r="15318">
          <cell r="C15318" t="str">
            <v>IC</v>
          </cell>
          <cell r="D15318">
            <v>1.8</v>
          </cell>
          <cell r="H15318" t="str">
            <v>petroleum</v>
          </cell>
        </row>
        <row r="15319">
          <cell r="C15319" t="str">
            <v>IC</v>
          </cell>
          <cell r="D15319">
            <v>1.8</v>
          </cell>
          <cell r="H15319" t="str">
            <v>petroleum</v>
          </cell>
        </row>
        <row r="15320">
          <cell r="C15320" t="str">
            <v>IC</v>
          </cell>
          <cell r="D15320">
            <v>1.8</v>
          </cell>
          <cell r="H15320" t="str">
            <v>petroleum</v>
          </cell>
        </row>
        <row r="15321">
          <cell r="C15321" t="str">
            <v>IC</v>
          </cell>
          <cell r="D15321">
            <v>1.8</v>
          </cell>
          <cell r="H15321" t="str">
            <v>petroleum</v>
          </cell>
        </row>
        <row r="15322">
          <cell r="C15322" t="str">
            <v>WT</v>
          </cell>
          <cell r="D15322">
            <v>180</v>
          </cell>
          <cell r="H15322" t="str">
            <v>onshore wind</v>
          </cell>
        </row>
        <row r="15323">
          <cell r="C15323" t="str">
            <v>IC</v>
          </cell>
          <cell r="D15323">
            <v>1.6</v>
          </cell>
          <cell r="H15323" t="str">
            <v>biomass</v>
          </cell>
        </row>
        <row r="15324">
          <cell r="C15324" t="str">
            <v>IC</v>
          </cell>
          <cell r="D15324">
            <v>1.6</v>
          </cell>
          <cell r="H15324" t="str">
            <v>biomass</v>
          </cell>
        </row>
        <row r="15325">
          <cell r="C15325" t="str">
            <v>IC</v>
          </cell>
          <cell r="D15325">
            <v>1.6</v>
          </cell>
          <cell r="H15325" t="str">
            <v>biomass</v>
          </cell>
        </row>
        <row r="15326">
          <cell r="C15326" t="str">
            <v>IC</v>
          </cell>
          <cell r="D15326">
            <v>1.6</v>
          </cell>
          <cell r="H15326" t="str">
            <v>biomass</v>
          </cell>
        </row>
        <row r="15327">
          <cell r="C15327" t="str">
            <v>IC</v>
          </cell>
          <cell r="D15327">
            <v>1.6</v>
          </cell>
          <cell r="H15327" t="str">
            <v>biomass</v>
          </cell>
        </row>
        <row r="15328">
          <cell r="C15328" t="str">
            <v>IC</v>
          </cell>
          <cell r="D15328">
            <v>1.6</v>
          </cell>
          <cell r="H15328" t="str">
            <v>biomass</v>
          </cell>
        </row>
        <row r="15329">
          <cell r="C15329" t="str">
            <v>IC</v>
          </cell>
          <cell r="D15329">
            <v>1.6</v>
          </cell>
          <cell r="H15329" t="str">
            <v>biomass</v>
          </cell>
        </row>
        <row r="15330">
          <cell r="C15330" t="str">
            <v>IC</v>
          </cell>
          <cell r="D15330">
            <v>1.6</v>
          </cell>
          <cell r="H15330" t="str">
            <v>biomass</v>
          </cell>
        </row>
        <row r="15331">
          <cell r="C15331" t="str">
            <v>IC</v>
          </cell>
          <cell r="D15331">
            <v>1.6</v>
          </cell>
          <cell r="H15331" t="str">
            <v>biomass</v>
          </cell>
        </row>
        <row r="15332">
          <cell r="C15332" t="str">
            <v>WT</v>
          </cell>
          <cell r="D15332">
            <v>58.8</v>
          </cell>
          <cell r="H15332" t="str">
            <v>onshore wind</v>
          </cell>
        </row>
        <row r="15333">
          <cell r="C15333" t="str">
            <v>WT</v>
          </cell>
          <cell r="D15333">
            <v>29.4</v>
          </cell>
          <cell r="H15333" t="str">
            <v>onshore wind</v>
          </cell>
        </row>
        <row r="15334">
          <cell r="C15334" t="str">
            <v>BA</v>
          </cell>
          <cell r="D15334">
            <v>36</v>
          </cell>
          <cell r="H15334" t="str">
            <v>other</v>
          </cell>
        </row>
        <row r="15335">
          <cell r="C15335" t="str">
            <v>WT</v>
          </cell>
          <cell r="D15335">
            <v>60</v>
          </cell>
          <cell r="H15335" t="str">
            <v>onshore wind</v>
          </cell>
        </row>
        <row r="15336">
          <cell r="C15336" t="str">
            <v>WT</v>
          </cell>
          <cell r="D15336">
            <v>92.5</v>
          </cell>
          <cell r="H15336" t="str">
            <v>onshore wind</v>
          </cell>
        </row>
        <row r="15337">
          <cell r="C15337" t="str">
            <v>IC</v>
          </cell>
          <cell r="D15337">
            <v>1.6</v>
          </cell>
          <cell r="H15337" t="str">
            <v>biomass</v>
          </cell>
        </row>
        <row r="15338">
          <cell r="C15338" t="str">
            <v>IC</v>
          </cell>
          <cell r="D15338">
            <v>1.6</v>
          </cell>
          <cell r="H15338" t="str">
            <v>biomass</v>
          </cell>
        </row>
        <row r="15339">
          <cell r="C15339" t="str">
            <v>CT</v>
          </cell>
          <cell r="D15339">
            <v>213.2</v>
          </cell>
          <cell r="H15339" t="str">
            <v>natural gas nonpeaker</v>
          </cell>
        </row>
        <row r="15340">
          <cell r="C15340" t="str">
            <v>CT</v>
          </cell>
          <cell r="D15340">
            <v>213.2</v>
          </cell>
          <cell r="H15340" t="str">
            <v>natural gas nonpeaker</v>
          </cell>
        </row>
        <row r="15341">
          <cell r="C15341" t="str">
            <v>CA</v>
          </cell>
          <cell r="D15341">
            <v>313.5</v>
          </cell>
          <cell r="H15341" t="str">
            <v>natural gas nonpeaker</v>
          </cell>
        </row>
        <row r="15342">
          <cell r="C15342" t="str">
            <v>GT</v>
          </cell>
          <cell r="D15342">
            <v>57.5</v>
          </cell>
          <cell r="H15342" t="str">
            <v>natural gas peaker</v>
          </cell>
        </row>
        <row r="15343">
          <cell r="C15343" t="str">
            <v>GT</v>
          </cell>
          <cell r="D15343">
            <v>60.8</v>
          </cell>
          <cell r="H15343" t="str">
            <v>natural gas peaker</v>
          </cell>
        </row>
        <row r="15344">
          <cell r="C15344" t="str">
            <v>GT</v>
          </cell>
          <cell r="D15344">
            <v>57.9</v>
          </cell>
          <cell r="H15344" t="str">
            <v>natural gas peaker</v>
          </cell>
        </row>
        <row r="15345">
          <cell r="C15345" t="str">
            <v>GT</v>
          </cell>
          <cell r="D15345">
            <v>59.3</v>
          </cell>
          <cell r="H15345" t="str">
            <v>natural gas peaker</v>
          </cell>
        </row>
        <row r="15346">
          <cell r="C15346" t="str">
            <v>GT</v>
          </cell>
          <cell r="D15346">
            <v>56.5</v>
          </cell>
          <cell r="H15346" t="str">
            <v>natural gas peaker</v>
          </cell>
        </row>
        <row r="15347">
          <cell r="C15347" t="str">
            <v>GT</v>
          </cell>
          <cell r="D15347">
            <v>56.5</v>
          </cell>
          <cell r="H15347" t="str">
            <v>natural gas peaker</v>
          </cell>
        </row>
        <row r="15348">
          <cell r="C15348" t="str">
            <v>GT</v>
          </cell>
          <cell r="D15348">
            <v>57.7</v>
          </cell>
          <cell r="H15348" t="str">
            <v>natural gas peaker</v>
          </cell>
        </row>
        <row r="15349">
          <cell r="C15349" t="str">
            <v>GT</v>
          </cell>
          <cell r="D15349">
            <v>59.7</v>
          </cell>
          <cell r="H15349" t="str">
            <v>natural gas peaker</v>
          </cell>
        </row>
        <row r="15350">
          <cell r="C15350" t="str">
            <v>GT</v>
          </cell>
          <cell r="D15350">
            <v>58.5</v>
          </cell>
          <cell r="H15350" t="str">
            <v>natural gas peaker</v>
          </cell>
        </row>
        <row r="15351">
          <cell r="C15351" t="str">
            <v>GT</v>
          </cell>
          <cell r="D15351">
            <v>61.3</v>
          </cell>
          <cell r="H15351" t="str">
            <v>natural gas peaker</v>
          </cell>
        </row>
        <row r="15352">
          <cell r="C15352" t="str">
            <v>PV</v>
          </cell>
          <cell r="D15352">
            <v>1</v>
          </cell>
          <cell r="H15352" t="str">
            <v>solar PV</v>
          </cell>
        </row>
        <row r="15353">
          <cell r="C15353" t="str">
            <v>PV</v>
          </cell>
          <cell r="D15353">
            <v>2.9</v>
          </cell>
          <cell r="H15353" t="str">
            <v>solar PV</v>
          </cell>
        </row>
        <row r="15354">
          <cell r="C15354" t="str">
            <v>WT</v>
          </cell>
          <cell r="D15354">
            <v>5</v>
          </cell>
          <cell r="H15354" t="str">
            <v>onshore wind</v>
          </cell>
        </row>
        <row r="15355">
          <cell r="C15355" t="str">
            <v>WT</v>
          </cell>
          <cell r="D15355">
            <v>1.7</v>
          </cell>
          <cell r="H15355" t="str">
            <v>onshore wind</v>
          </cell>
        </row>
        <row r="15356">
          <cell r="C15356" t="str">
            <v>WT</v>
          </cell>
          <cell r="D15356">
            <v>10</v>
          </cell>
          <cell r="H15356" t="str">
            <v>onshore wind</v>
          </cell>
        </row>
        <row r="15357">
          <cell r="C15357" t="str">
            <v>WT</v>
          </cell>
          <cell r="D15357">
            <v>10</v>
          </cell>
          <cell r="H15357" t="str">
            <v>onshore wind</v>
          </cell>
        </row>
        <row r="15358">
          <cell r="C15358" t="str">
            <v>WT</v>
          </cell>
          <cell r="D15358">
            <v>9.9</v>
          </cell>
          <cell r="H15358" t="str">
            <v>onshore wind</v>
          </cell>
        </row>
        <row r="15359">
          <cell r="C15359" t="str">
            <v>WT</v>
          </cell>
          <cell r="D15359">
            <v>8.3000000000000007</v>
          </cell>
          <cell r="H15359" t="str">
            <v>onshore wind</v>
          </cell>
        </row>
        <row r="15360">
          <cell r="C15360" t="str">
            <v>WT</v>
          </cell>
          <cell r="D15360">
            <v>9.9</v>
          </cell>
          <cell r="H15360" t="str">
            <v>onshore wind</v>
          </cell>
        </row>
        <row r="15361">
          <cell r="C15361" t="str">
            <v>WT</v>
          </cell>
          <cell r="D15361">
            <v>3.3</v>
          </cell>
          <cell r="H15361" t="str">
            <v>onshore wind</v>
          </cell>
        </row>
        <row r="15362">
          <cell r="C15362" t="str">
            <v>WT</v>
          </cell>
          <cell r="D15362">
            <v>6.6</v>
          </cell>
          <cell r="H15362" t="str">
            <v>onshore wind</v>
          </cell>
        </row>
        <row r="15363">
          <cell r="C15363" t="str">
            <v>HY</v>
          </cell>
          <cell r="D15363">
            <v>0.3</v>
          </cell>
          <cell r="H15363" t="str">
            <v>hydro</v>
          </cell>
        </row>
        <row r="15364">
          <cell r="C15364" t="str">
            <v>HY</v>
          </cell>
          <cell r="D15364">
            <v>0.3</v>
          </cell>
          <cell r="H15364" t="str">
            <v>hydro</v>
          </cell>
        </row>
        <row r="15365">
          <cell r="C15365" t="str">
            <v>HY</v>
          </cell>
          <cell r="D15365">
            <v>0.3</v>
          </cell>
          <cell r="H15365" t="str">
            <v>hydro</v>
          </cell>
        </row>
        <row r="15366">
          <cell r="C15366" t="str">
            <v>HY</v>
          </cell>
          <cell r="D15366">
            <v>0.3</v>
          </cell>
          <cell r="H15366" t="str">
            <v>hydro</v>
          </cell>
        </row>
        <row r="15367">
          <cell r="C15367" t="str">
            <v>WT</v>
          </cell>
          <cell r="D15367">
            <v>199.5</v>
          </cell>
          <cell r="H15367" t="str">
            <v>onshore wind</v>
          </cell>
        </row>
        <row r="15368">
          <cell r="C15368" t="str">
            <v>WT</v>
          </cell>
          <cell r="D15368">
            <v>52.5</v>
          </cell>
          <cell r="H15368" t="str">
            <v>onshore wind</v>
          </cell>
        </row>
        <row r="15369">
          <cell r="C15369" t="str">
            <v>WT</v>
          </cell>
          <cell r="D15369">
            <v>249</v>
          </cell>
          <cell r="H15369" t="str">
            <v>onshore wind</v>
          </cell>
        </row>
        <row r="15370">
          <cell r="C15370" t="str">
            <v>BA</v>
          </cell>
          <cell r="D15370">
            <v>9.9</v>
          </cell>
          <cell r="H15370" t="str">
            <v>other</v>
          </cell>
        </row>
        <row r="15371">
          <cell r="C15371" t="str">
            <v>BT</v>
          </cell>
          <cell r="D15371">
            <v>13</v>
          </cell>
          <cell r="H15371" t="str">
            <v>geothermal</v>
          </cell>
        </row>
        <row r="15372">
          <cell r="C15372" t="str">
            <v>BT</v>
          </cell>
          <cell r="D15372">
            <v>13</v>
          </cell>
          <cell r="H15372" t="str">
            <v>geothermal</v>
          </cell>
        </row>
        <row r="15373">
          <cell r="C15373" t="str">
            <v>BT</v>
          </cell>
          <cell r="D15373">
            <v>13</v>
          </cell>
          <cell r="H15373" t="str">
            <v>geothermal</v>
          </cell>
        </row>
        <row r="15374">
          <cell r="C15374" t="str">
            <v>WT</v>
          </cell>
          <cell r="D15374">
            <v>180</v>
          </cell>
          <cell r="H15374" t="str">
            <v>onshore wind</v>
          </cell>
        </row>
        <row r="15375">
          <cell r="C15375" t="str">
            <v>WT</v>
          </cell>
          <cell r="D15375">
            <v>197</v>
          </cell>
          <cell r="H15375" t="str">
            <v>onshore wind</v>
          </cell>
        </row>
        <row r="15376">
          <cell r="C15376" t="str">
            <v>BA</v>
          </cell>
          <cell r="D15376">
            <v>9.9</v>
          </cell>
          <cell r="H15376" t="str">
            <v>other</v>
          </cell>
        </row>
        <row r="15377">
          <cell r="C15377" t="str">
            <v>WT</v>
          </cell>
          <cell r="D15377">
            <v>148.5</v>
          </cell>
          <cell r="H15377" t="str">
            <v>onshore wind</v>
          </cell>
        </row>
        <row r="15378">
          <cell r="C15378" t="str">
            <v>IC</v>
          </cell>
          <cell r="D15378">
            <v>1.6</v>
          </cell>
          <cell r="H15378" t="str">
            <v>biomass</v>
          </cell>
        </row>
        <row r="15379">
          <cell r="C15379" t="str">
            <v>IC</v>
          </cell>
          <cell r="D15379">
            <v>1.6</v>
          </cell>
          <cell r="H15379" t="str">
            <v>biomass</v>
          </cell>
        </row>
        <row r="15380">
          <cell r="C15380" t="str">
            <v>IC</v>
          </cell>
          <cell r="D15380">
            <v>1.6</v>
          </cell>
          <cell r="H15380" t="str">
            <v>biomass</v>
          </cell>
        </row>
        <row r="15381">
          <cell r="C15381" t="str">
            <v>IC</v>
          </cell>
          <cell r="D15381">
            <v>1.6</v>
          </cell>
          <cell r="H15381" t="str">
            <v>biomass</v>
          </cell>
        </row>
        <row r="15382">
          <cell r="C15382" t="str">
            <v>IC</v>
          </cell>
          <cell r="D15382">
            <v>1.6</v>
          </cell>
          <cell r="H15382" t="str">
            <v>biomass</v>
          </cell>
        </row>
        <row r="15383">
          <cell r="C15383" t="str">
            <v>IC</v>
          </cell>
          <cell r="D15383">
            <v>1.6</v>
          </cell>
          <cell r="H15383" t="str">
            <v>biomass</v>
          </cell>
        </row>
        <row r="15384">
          <cell r="C15384" t="str">
            <v>IC</v>
          </cell>
          <cell r="D15384">
            <v>1.6</v>
          </cell>
          <cell r="H15384" t="str">
            <v>biomass</v>
          </cell>
        </row>
        <row r="15385">
          <cell r="C15385" t="str">
            <v>WT</v>
          </cell>
          <cell r="D15385">
            <v>57</v>
          </cell>
          <cell r="H15385" t="str">
            <v>onshore wind</v>
          </cell>
        </row>
        <row r="15386">
          <cell r="C15386" t="str">
            <v>WT</v>
          </cell>
          <cell r="D15386">
            <v>60</v>
          </cell>
          <cell r="H15386" t="str">
            <v>onshore wind</v>
          </cell>
        </row>
        <row r="15387">
          <cell r="C15387" t="str">
            <v>WT</v>
          </cell>
          <cell r="D15387">
            <v>25.5</v>
          </cell>
          <cell r="H15387" t="str">
            <v>onshore wind</v>
          </cell>
        </row>
        <row r="15388">
          <cell r="C15388" t="str">
            <v>PV</v>
          </cell>
          <cell r="D15388">
            <v>3</v>
          </cell>
          <cell r="H15388" t="str">
            <v>solar PV</v>
          </cell>
        </row>
        <row r="15389">
          <cell r="C15389" t="str">
            <v>WT</v>
          </cell>
          <cell r="D15389">
            <v>100.5</v>
          </cell>
          <cell r="H15389" t="str">
            <v>onshore wind</v>
          </cell>
        </row>
        <row r="15390">
          <cell r="C15390" t="str">
            <v>IC</v>
          </cell>
          <cell r="D15390">
            <v>1</v>
          </cell>
          <cell r="H15390" t="str">
            <v>biomass</v>
          </cell>
        </row>
        <row r="15391">
          <cell r="C15391" t="str">
            <v>PV</v>
          </cell>
          <cell r="D15391">
            <v>0.5</v>
          </cell>
          <cell r="H15391" t="str">
            <v>solar PV</v>
          </cell>
        </row>
        <row r="15392">
          <cell r="C15392" t="str">
            <v>PV</v>
          </cell>
          <cell r="D15392">
            <v>0.5</v>
          </cell>
          <cell r="H15392" t="str">
            <v>solar PV</v>
          </cell>
        </row>
        <row r="15393">
          <cell r="C15393" t="str">
            <v>HY</v>
          </cell>
          <cell r="D15393">
            <v>8</v>
          </cell>
          <cell r="H15393" t="str">
            <v>hydro</v>
          </cell>
        </row>
        <row r="15394">
          <cell r="C15394" t="str">
            <v>HY</v>
          </cell>
          <cell r="D15394">
            <v>8</v>
          </cell>
          <cell r="H15394" t="str">
            <v>hydro</v>
          </cell>
        </row>
        <row r="15395">
          <cell r="C15395" t="str">
            <v>CT</v>
          </cell>
          <cell r="D15395">
            <v>37</v>
          </cell>
          <cell r="H15395" t="str">
            <v>natural gas nonpeaker</v>
          </cell>
        </row>
        <row r="15396">
          <cell r="C15396" t="str">
            <v>CA</v>
          </cell>
          <cell r="D15396">
            <v>20</v>
          </cell>
          <cell r="H15396" t="str">
            <v>natural gas nonpeaker</v>
          </cell>
        </row>
        <row r="15397">
          <cell r="C15397" t="str">
            <v>CT</v>
          </cell>
          <cell r="D15397">
            <v>37</v>
          </cell>
          <cell r="H15397" t="str">
            <v>natural gas nonpeaker</v>
          </cell>
        </row>
        <row r="15398">
          <cell r="C15398" t="str">
            <v>CA</v>
          </cell>
          <cell r="D15398">
            <v>20</v>
          </cell>
          <cell r="H15398" t="str">
            <v>natural gas nonpeaker</v>
          </cell>
        </row>
        <row r="15399">
          <cell r="C15399" t="str">
            <v>CT</v>
          </cell>
          <cell r="D15399">
            <v>37</v>
          </cell>
          <cell r="H15399" t="str">
            <v>natural gas nonpeaker</v>
          </cell>
        </row>
        <row r="15400">
          <cell r="C15400" t="str">
            <v>CT</v>
          </cell>
          <cell r="D15400">
            <v>37</v>
          </cell>
          <cell r="H15400" t="str">
            <v>natural gas nonpeaker</v>
          </cell>
        </row>
        <row r="15401">
          <cell r="C15401" t="str">
            <v>GT</v>
          </cell>
          <cell r="D15401">
            <v>40</v>
          </cell>
          <cell r="H15401" t="str">
            <v>natural gas peaker</v>
          </cell>
        </row>
        <row r="15402">
          <cell r="C15402" t="str">
            <v>GT</v>
          </cell>
          <cell r="D15402">
            <v>90</v>
          </cell>
          <cell r="H15402" t="str">
            <v>natural gas peaker</v>
          </cell>
        </row>
        <row r="15403">
          <cell r="C15403" t="str">
            <v>GT</v>
          </cell>
          <cell r="D15403">
            <v>90</v>
          </cell>
          <cell r="H15403" t="str">
            <v>natural gas peaker</v>
          </cell>
        </row>
        <row r="15404">
          <cell r="C15404" t="str">
            <v>GT</v>
          </cell>
          <cell r="D15404">
            <v>43.5</v>
          </cell>
          <cell r="H15404" t="str">
            <v>natural gas peaker</v>
          </cell>
        </row>
        <row r="15405">
          <cell r="C15405" t="str">
            <v>WT</v>
          </cell>
          <cell r="D15405">
            <v>148</v>
          </cell>
          <cell r="H15405" t="str">
            <v>onshore wind</v>
          </cell>
        </row>
        <row r="15406">
          <cell r="C15406" t="str">
            <v>IC</v>
          </cell>
          <cell r="D15406">
            <v>1.6</v>
          </cell>
          <cell r="H15406" t="str">
            <v>biomass</v>
          </cell>
        </row>
        <row r="15407">
          <cell r="C15407" t="str">
            <v>IC</v>
          </cell>
          <cell r="D15407">
            <v>1.6</v>
          </cell>
          <cell r="H15407" t="str">
            <v>biomass</v>
          </cell>
        </row>
        <row r="15408">
          <cell r="C15408" t="str">
            <v>PV</v>
          </cell>
          <cell r="D15408">
            <v>0.9</v>
          </cell>
          <cell r="H15408" t="str">
            <v>solar PV</v>
          </cell>
        </row>
        <row r="15409">
          <cell r="C15409" t="str">
            <v>PV</v>
          </cell>
          <cell r="D15409">
            <v>0.9</v>
          </cell>
          <cell r="H15409" t="str">
            <v>solar PV</v>
          </cell>
        </row>
        <row r="15410">
          <cell r="C15410" t="str">
            <v>PV</v>
          </cell>
          <cell r="D15410">
            <v>0.9</v>
          </cell>
          <cell r="H15410" t="str">
            <v>solar PV</v>
          </cell>
        </row>
        <row r="15411">
          <cell r="C15411" t="str">
            <v>PV</v>
          </cell>
          <cell r="D15411">
            <v>0.9</v>
          </cell>
          <cell r="H15411" t="str">
            <v>solar PV</v>
          </cell>
        </row>
        <row r="15412">
          <cell r="C15412" t="str">
            <v>PV</v>
          </cell>
          <cell r="D15412">
            <v>0.8</v>
          </cell>
          <cell r="H15412" t="str">
            <v>solar PV</v>
          </cell>
        </row>
        <row r="15413">
          <cell r="C15413" t="str">
            <v>PV</v>
          </cell>
          <cell r="D15413">
            <v>0.9</v>
          </cell>
          <cell r="H15413" t="str">
            <v>solar PV</v>
          </cell>
        </row>
        <row r="15414">
          <cell r="C15414" t="str">
            <v>PV</v>
          </cell>
          <cell r="D15414">
            <v>0.9</v>
          </cell>
          <cell r="H15414" t="str">
            <v>solar PV</v>
          </cell>
        </row>
        <row r="15415">
          <cell r="C15415" t="str">
            <v>PV</v>
          </cell>
          <cell r="D15415">
            <v>0.9</v>
          </cell>
          <cell r="H15415" t="str">
            <v>solar PV</v>
          </cell>
        </row>
        <row r="15416">
          <cell r="C15416" t="str">
            <v>PV</v>
          </cell>
          <cell r="D15416">
            <v>0.9</v>
          </cell>
          <cell r="H15416" t="str">
            <v>solar PV</v>
          </cell>
        </row>
        <row r="15417">
          <cell r="C15417" t="str">
            <v>IC</v>
          </cell>
          <cell r="D15417">
            <v>0.8</v>
          </cell>
          <cell r="H15417" t="str">
            <v>biomass</v>
          </cell>
        </row>
        <row r="15418">
          <cell r="C15418" t="str">
            <v>IC</v>
          </cell>
          <cell r="D15418">
            <v>0.8</v>
          </cell>
          <cell r="H15418" t="str">
            <v>biomass</v>
          </cell>
        </row>
        <row r="15419">
          <cell r="C15419" t="str">
            <v>IC</v>
          </cell>
          <cell r="D15419">
            <v>0.8</v>
          </cell>
          <cell r="H15419" t="str">
            <v>biomass</v>
          </cell>
        </row>
        <row r="15420">
          <cell r="C15420" t="str">
            <v>IC</v>
          </cell>
          <cell r="D15420">
            <v>0.8</v>
          </cell>
          <cell r="H15420" t="str">
            <v>biomass</v>
          </cell>
        </row>
        <row r="15421">
          <cell r="C15421" t="str">
            <v>IC</v>
          </cell>
          <cell r="D15421">
            <v>0.8</v>
          </cell>
          <cell r="H15421" t="str">
            <v>biomass</v>
          </cell>
        </row>
        <row r="15422">
          <cell r="C15422" t="str">
            <v>IC</v>
          </cell>
          <cell r="D15422">
            <v>0.8</v>
          </cell>
          <cell r="H15422" t="str">
            <v>biomass</v>
          </cell>
        </row>
        <row r="15423">
          <cell r="C15423" t="str">
            <v>IC</v>
          </cell>
          <cell r="D15423">
            <v>0.8</v>
          </cell>
          <cell r="H15423" t="str">
            <v>biomass</v>
          </cell>
        </row>
        <row r="15424">
          <cell r="C15424" t="str">
            <v>IC</v>
          </cell>
          <cell r="D15424">
            <v>1.6</v>
          </cell>
          <cell r="H15424" t="str">
            <v>biomass</v>
          </cell>
        </row>
        <row r="15425">
          <cell r="C15425" t="str">
            <v>IC</v>
          </cell>
          <cell r="D15425">
            <v>1.6</v>
          </cell>
          <cell r="H15425" t="str">
            <v>biomass</v>
          </cell>
        </row>
        <row r="15426">
          <cell r="C15426" t="str">
            <v>IC</v>
          </cell>
          <cell r="D15426">
            <v>1.6</v>
          </cell>
          <cell r="H15426" t="str">
            <v>biomass</v>
          </cell>
        </row>
        <row r="15427">
          <cell r="C15427" t="str">
            <v>IC</v>
          </cell>
          <cell r="D15427">
            <v>0.8</v>
          </cell>
          <cell r="H15427" t="str">
            <v>biomass</v>
          </cell>
        </row>
        <row r="15428">
          <cell r="C15428" t="str">
            <v>IC</v>
          </cell>
          <cell r="D15428">
            <v>0.8</v>
          </cell>
          <cell r="H15428" t="str">
            <v>biomass</v>
          </cell>
        </row>
        <row r="15429">
          <cell r="C15429" t="str">
            <v>IC</v>
          </cell>
          <cell r="D15429">
            <v>0.8</v>
          </cell>
          <cell r="H15429" t="str">
            <v>biomass</v>
          </cell>
        </row>
        <row r="15430">
          <cell r="C15430" t="str">
            <v>IC</v>
          </cell>
          <cell r="D15430">
            <v>0.8</v>
          </cell>
          <cell r="H15430" t="str">
            <v>biomass</v>
          </cell>
        </row>
        <row r="15431">
          <cell r="C15431" t="str">
            <v>IC</v>
          </cell>
          <cell r="D15431">
            <v>0.8</v>
          </cell>
          <cell r="H15431" t="str">
            <v>biomass</v>
          </cell>
        </row>
        <row r="15432">
          <cell r="C15432" t="str">
            <v>IC</v>
          </cell>
          <cell r="D15432">
            <v>0.8</v>
          </cell>
          <cell r="H15432" t="str">
            <v>biomass</v>
          </cell>
        </row>
        <row r="15433">
          <cell r="C15433" t="str">
            <v>IC</v>
          </cell>
          <cell r="D15433">
            <v>0.8</v>
          </cell>
          <cell r="H15433" t="str">
            <v>biomass</v>
          </cell>
        </row>
        <row r="15434">
          <cell r="C15434" t="str">
            <v>IC</v>
          </cell>
          <cell r="D15434">
            <v>1.6</v>
          </cell>
          <cell r="H15434" t="str">
            <v>biomass</v>
          </cell>
        </row>
        <row r="15435">
          <cell r="C15435" t="str">
            <v>IC</v>
          </cell>
          <cell r="D15435">
            <v>1.6</v>
          </cell>
          <cell r="H15435" t="str">
            <v>biomass</v>
          </cell>
        </row>
        <row r="15436">
          <cell r="C15436" t="str">
            <v>IC</v>
          </cell>
          <cell r="D15436">
            <v>1.6</v>
          </cell>
          <cell r="H15436" t="str">
            <v>biomass</v>
          </cell>
        </row>
        <row r="15437">
          <cell r="C15437" t="str">
            <v>IC</v>
          </cell>
          <cell r="D15437">
            <v>0.8</v>
          </cell>
          <cell r="H15437" t="str">
            <v>biomass</v>
          </cell>
        </row>
        <row r="15438">
          <cell r="C15438" t="str">
            <v>IC</v>
          </cell>
          <cell r="D15438">
            <v>0.8</v>
          </cell>
          <cell r="H15438" t="str">
            <v>biomass</v>
          </cell>
        </row>
        <row r="15439">
          <cell r="C15439" t="str">
            <v>IC</v>
          </cell>
          <cell r="D15439">
            <v>0.8</v>
          </cell>
          <cell r="H15439" t="str">
            <v>biomass</v>
          </cell>
        </row>
        <row r="15440">
          <cell r="C15440" t="str">
            <v>IC</v>
          </cell>
          <cell r="D15440">
            <v>0.8</v>
          </cell>
          <cell r="H15440" t="str">
            <v>biomass</v>
          </cell>
        </row>
        <row r="15441">
          <cell r="C15441" t="str">
            <v>IC</v>
          </cell>
          <cell r="D15441">
            <v>0.8</v>
          </cell>
          <cell r="H15441" t="str">
            <v>biomass</v>
          </cell>
        </row>
        <row r="15442">
          <cell r="C15442" t="str">
            <v>IC</v>
          </cell>
          <cell r="D15442">
            <v>0.8</v>
          </cell>
          <cell r="H15442" t="str">
            <v>biomass</v>
          </cell>
        </row>
        <row r="15443">
          <cell r="C15443" t="str">
            <v>IC</v>
          </cell>
          <cell r="D15443">
            <v>0.8</v>
          </cell>
          <cell r="H15443" t="str">
            <v>biomass</v>
          </cell>
        </row>
        <row r="15444">
          <cell r="C15444" t="str">
            <v>IC</v>
          </cell>
          <cell r="D15444">
            <v>0.8</v>
          </cell>
          <cell r="H15444" t="str">
            <v>biomass</v>
          </cell>
        </row>
        <row r="15445">
          <cell r="C15445" t="str">
            <v>IC</v>
          </cell>
          <cell r="D15445">
            <v>0.8</v>
          </cell>
          <cell r="H15445" t="str">
            <v>biomass</v>
          </cell>
        </row>
        <row r="15446">
          <cell r="C15446" t="str">
            <v>IC</v>
          </cell>
          <cell r="D15446">
            <v>0.8</v>
          </cell>
          <cell r="H15446" t="str">
            <v>biomass</v>
          </cell>
        </row>
        <row r="15447">
          <cell r="C15447" t="str">
            <v>IC</v>
          </cell>
          <cell r="D15447">
            <v>0.8</v>
          </cell>
          <cell r="H15447" t="str">
            <v>biomass</v>
          </cell>
        </row>
        <row r="15448">
          <cell r="C15448" t="str">
            <v>IC</v>
          </cell>
          <cell r="D15448">
            <v>0.8</v>
          </cell>
          <cell r="H15448" t="str">
            <v>biomass</v>
          </cell>
        </row>
        <row r="15449">
          <cell r="C15449" t="str">
            <v>IC</v>
          </cell>
          <cell r="D15449">
            <v>0.8</v>
          </cell>
          <cell r="H15449" t="str">
            <v>biomass</v>
          </cell>
        </row>
        <row r="15450">
          <cell r="C15450" t="str">
            <v>IC</v>
          </cell>
          <cell r="D15450">
            <v>0.8</v>
          </cell>
          <cell r="H15450" t="str">
            <v>biomass</v>
          </cell>
        </row>
        <row r="15451">
          <cell r="C15451" t="str">
            <v>IC</v>
          </cell>
          <cell r="D15451">
            <v>0.8</v>
          </cell>
          <cell r="H15451" t="str">
            <v>biomass</v>
          </cell>
        </row>
        <row r="15452">
          <cell r="C15452" t="str">
            <v>IC</v>
          </cell>
          <cell r="D15452">
            <v>0.8</v>
          </cell>
          <cell r="H15452" t="str">
            <v>biomass</v>
          </cell>
        </row>
        <row r="15453">
          <cell r="C15453" t="str">
            <v>IC</v>
          </cell>
          <cell r="D15453">
            <v>0.8</v>
          </cell>
          <cell r="H15453" t="str">
            <v>biomass</v>
          </cell>
        </row>
        <row r="15454">
          <cell r="C15454" t="str">
            <v>IC</v>
          </cell>
          <cell r="D15454">
            <v>0.8</v>
          </cell>
          <cell r="H15454" t="str">
            <v>biomass</v>
          </cell>
        </row>
        <row r="15455">
          <cell r="C15455" t="str">
            <v>IC</v>
          </cell>
          <cell r="D15455">
            <v>1.6</v>
          </cell>
          <cell r="H15455" t="str">
            <v>biomass</v>
          </cell>
        </row>
        <row r="15456">
          <cell r="C15456" t="str">
            <v>IC</v>
          </cell>
          <cell r="D15456">
            <v>1.6</v>
          </cell>
          <cell r="H15456" t="str">
            <v>biomass</v>
          </cell>
        </row>
        <row r="15457">
          <cell r="C15457" t="str">
            <v>IC</v>
          </cell>
          <cell r="D15457">
            <v>1.6</v>
          </cell>
          <cell r="H15457" t="str">
            <v>biomass</v>
          </cell>
        </row>
        <row r="15458">
          <cell r="C15458" t="str">
            <v>GT</v>
          </cell>
          <cell r="D15458">
            <v>2.8</v>
          </cell>
          <cell r="H15458" t="str">
            <v>biomass</v>
          </cell>
        </row>
        <row r="15459">
          <cell r="C15459" t="str">
            <v>GT</v>
          </cell>
          <cell r="D15459">
            <v>2.8</v>
          </cell>
          <cell r="H15459" t="str">
            <v>biomass</v>
          </cell>
        </row>
        <row r="15460">
          <cell r="C15460" t="str">
            <v>GT</v>
          </cell>
          <cell r="D15460">
            <v>2.8</v>
          </cell>
          <cell r="H15460" t="str">
            <v>biomass</v>
          </cell>
        </row>
        <row r="15461">
          <cell r="C15461" t="str">
            <v>GT</v>
          </cell>
          <cell r="D15461">
            <v>2.9</v>
          </cell>
          <cell r="H15461" t="str">
            <v>biomass</v>
          </cell>
        </row>
        <row r="15462">
          <cell r="C15462" t="str">
            <v>IC</v>
          </cell>
          <cell r="D15462">
            <v>0.8</v>
          </cell>
          <cell r="H15462" t="str">
            <v>biomass</v>
          </cell>
        </row>
        <row r="15463">
          <cell r="C15463" t="str">
            <v>IC</v>
          </cell>
          <cell r="D15463">
            <v>0.8</v>
          </cell>
          <cell r="H15463" t="str">
            <v>biomass</v>
          </cell>
        </row>
        <row r="15464">
          <cell r="C15464" t="str">
            <v>IC</v>
          </cell>
          <cell r="D15464">
            <v>0.8</v>
          </cell>
          <cell r="H15464" t="str">
            <v>biomass</v>
          </cell>
        </row>
        <row r="15465">
          <cell r="C15465" t="str">
            <v>IC</v>
          </cell>
          <cell r="D15465">
            <v>0.8</v>
          </cell>
          <cell r="H15465" t="str">
            <v>biomass</v>
          </cell>
        </row>
        <row r="15466">
          <cell r="C15466" t="str">
            <v>IC</v>
          </cell>
          <cell r="D15466">
            <v>0.8</v>
          </cell>
          <cell r="H15466" t="str">
            <v>biomass</v>
          </cell>
        </row>
        <row r="15467">
          <cell r="C15467" t="str">
            <v>IC</v>
          </cell>
          <cell r="D15467">
            <v>0.8</v>
          </cell>
          <cell r="H15467" t="str">
            <v>biomass</v>
          </cell>
        </row>
        <row r="15468">
          <cell r="C15468" t="str">
            <v>IC</v>
          </cell>
          <cell r="D15468">
            <v>0.8</v>
          </cell>
          <cell r="H15468" t="str">
            <v>biomass</v>
          </cell>
        </row>
        <row r="15469">
          <cell r="C15469" t="str">
            <v>IC</v>
          </cell>
          <cell r="D15469">
            <v>1.6</v>
          </cell>
          <cell r="H15469" t="str">
            <v>biomass</v>
          </cell>
        </row>
        <row r="15470">
          <cell r="C15470" t="str">
            <v>IC</v>
          </cell>
          <cell r="D15470">
            <v>0.8</v>
          </cell>
          <cell r="H15470" t="str">
            <v>biomass</v>
          </cell>
        </row>
        <row r="15471">
          <cell r="C15471" t="str">
            <v>IC</v>
          </cell>
          <cell r="D15471">
            <v>0.8</v>
          </cell>
          <cell r="H15471" t="str">
            <v>biomass</v>
          </cell>
        </row>
        <row r="15472">
          <cell r="C15472" t="str">
            <v>IC</v>
          </cell>
          <cell r="D15472">
            <v>0.8</v>
          </cell>
          <cell r="H15472" t="str">
            <v>biomass</v>
          </cell>
        </row>
        <row r="15473">
          <cell r="C15473" t="str">
            <v>IC</v>
          </cell>
          <cell r="D15473">
            <v>0.8</v>
          </cell>
          <cell r="H15473" t="str">
            <v>biomass</v>
          </cell>
        </row>
        <row r="15474">
          <cell r="C15474" t="str">
            <v>IC</v>
          </cell>
          <cell r="D15474">
            <v>0.8</v>
          </cell>
          <cell r="H15474" t="str">
            <v>biomass</v>
          </cell>
        </row>
        <row r="15475">
          <cell r="C15475" t="str">
            <v>IC</v>
          </cell>
          <cell r="D15475">
            <v>0.8</v>
          </cell>
          <cell r="H15475" t="str">
            <v>biomass</v>
          </cell>
        </row>
        <row r="15476">
          <cell r="C15476" t="str">
            <v>IC</v>
          </cell>
          <cell r="D15476">
            <v>0.8</v>
          </cell>
          <cell r="H15476" t="str">
            <v>biomass</v>
          </cell>
        </row>
        <row r="15477">
          <cell r="C15477" t="str">
            <v>IC</v>
          </cell>
          <cell r="D15477">
            <v>0.8</v>
          </cell>
          <cell r="H15477" t="str">
            <v>biomass</v>
          </cell>
        </row>
        <row r="15478">
          <cell r="C15478" t="str">
            <v>IC</v>
          </cell>
          <cell r="D15478">
            <v>0.8</v>
          </cell>
          <cell r="H15478" t="str">
            <v>biomass</v>
          </cell>
        </row>
        <row r="15479">
          <cell r="C15479" t="str">
            <v>IC</v>
          </cell>
          <cell r="D15479">
            <v>0.8</v>
          </cell>
          <cell r="H15479" t="str">
            <v>biomass</v>
          </cell>
        </row>
        <row r="15480">
          <cell r="C15480" t="str">
            <v>IC</v>
          </cell>
          <cell r="D15480">
            <v>0.8</v>
          </cell>
          <cell r="H15480" t="str">
            <v>biomass</v>
          </cell>
        </row>
        <row r="15481">
          <cell r="C15481" t="str">
            <v>IC</v>
          </cell>
          <cell r="D15481">
            <v>0.8</v>
          </cell>
          <cell r="H15481" t="str">
            <v>biomass</v>
          </cell>
        </row>
        <row r="15482">
          <cell r="C15482" t="str">
            <v>IC</v>
          </cell>
          <cell r="D15482">
            <v>0.8</v>
          </cell>
          <cell r="H15482" t="str">
            <v>biomass</v>
          </cell>
        </row>
        <row r="15483">
          <cell r="C15483" t="str">
            <v>GT</v>
          </cell>
          <cell r="D15483">
            <v>49.4</v>
          </cell>
          <cell r="H15483" t="str">
            <v>natural gas peaker</v>
          </cell>
        </row>
        <row r="15484">
          <cell r="C15484" t="str">
            <v>GT</v>
          </cell>
          <cell r="D15484">
            <v>48</v>
          </cell>
          <cell r="H15484" t="str">
            <v>natural gas peaker</v>
          </cell>
        </row>
        <row r="15485">
          <cell r="C15485" t="str">
            <v>GT</v>
          </cell>
          <cell r="D15485">
            <v>48</v>
          </cell>
          <cell r="H15485" t="str">
            <v>natural gas peaker</v>
          </cell>
        </row>
        <row r="15486">
          <cell r="C15486" t="str">
            <v>GT</v>
          </cell>
          <cell r="D15486">
            <v>49.4</v>
          </cell>
          <cell r="H15486" t="str">
            <v>natural gas peaker</v>
          </cell>
        </row>
        <row r="15487">
          <cell r="C15487" t="str">
            <v>CT</v>
          </cell>
          <cell r="D15487">
            <v>176.9</v>
          </cell>
          <cell r="H15487" t="str">
            <v>natural gas nonpeaker</v>
          </cell>
        </row>
        <row r="15488">
          <cell r="C15488" t="str">
            <v>CA</v>
          </cell>
          <cell r="D15488">
            <v>122.8</v>
          </cell>
          <cell r="H15488" t="str">
            <v>natural gas nonpeaker</v>
          </cell>
        </row>
        <row r="15489">
          <cell r="C15489" t="str">
            <v>GT</v>
          </cell>
          <cell r="D15489">
            <v>185</v>
          </cell>
          <cell r="H15489" t="str">
            <v>natural gas peaker</v>
          </cell>
        </row>
        <row r="15490">
          <cell r="C15490" t="str">
            <v>GT</v>
          </cell>
          <cell r="D15490">
            <v>187</v>
          </cell>
          <cell r="H15490" t="str">
            <v>natural gas peaker</v>
          </cell>
        </row>
        <row r="15491">
          <cell r="C15491" t="str">
            <v>GT</v>
          </cell>
          <cell r="D15491">
            <v>183.2</v>
          </cell>
          <cell r="H15491" t="str">
            <v>natural gas peaker</v>
          </cell>
        </row>
        <row r="15492">
          <cell r="C15492" t="str">
            <v>GT</v>
          </cell>
          <cell r="D15492">
            <v>183</v>
          </cell>
          <cell r="H15492" t="str">
            <v>natural gas peaker</v>
          </cell>
        </row>
        <row r="15493">
          <cell r="C15493" t="str">
            <v>IC</v>
          </cell>
          <cell r="D15493">
            <v>1.8</v>
          </cell>
          <cell r="H15493" t="str">
            <v>petroleum</v>
          </cell>
        </row>
        <row r="15494">
          <cell r="C15494" t="str">
            <v>IC</v>
          </cell>
          <cell r="D15494">
            <v>1.8</v>
          </cell>
          <cell r="H15494" t="str">
            <v>petroleum</v>
          </cell>
        </row>
        <row r="15495">
          <cell r="C15495" t="str">
            <v>IC</v>
          </cell>
          <cell r="D15495">
            <v>1.8</v>
          </cell>
          <cell r="H15495" t="str">
            <v>petroleum</v>
          </cell>
        </row>
        <row r="15496">
          <cell r="C15496" t="str">
            <v>WT</v>
          </cell>
          <cell r="D15496">
            <v>49.5</v>
          </cell>
          <cell r="H15496" t="str">
            <v>onshore wind</v>
          </cell>
        </row>
        <row r="15497">
          <cell r="C15497" t="str">
            <v>WT</v>
          </cell>
          <cell r="D15497">
            <v>48</v>
          </cell>
          <cell r="H15497" t="str">
            <v>onshore wind</v>
          </cell>
        </row>
        <row r="15498">
          <cell r="C15498" t="str">
            <v>WT</v>
          </cell>
          <cell r="D15498">
            <v>40.5</v>
          </cell>
          <cell r="H15498" t="str">
            <v>onshore wind</v>
          </cell>
        </row>
        <row r="15499">
          <cell r="C15499" t="str">
            <v>IC</v>
          </cell>
          <cell r="D15499">
            <v>2</v>
          </cell>
          <cell r="H15499" t="str">
            <v>petroleum</v>
          </cell>
        </row>
        <row r="15500">
          <cell r="C15500" t="str">
            <v>IC</v>
          </cell>
          <cell r="D15500">
            <v>2</v>
          </cell>
          <cell r="H15500" t="str">
            <v>petroleum</v>
          </cell>
        </row>
        <row r="15501">
          <cell r="C15501" t="str">
            <v>IC</v>
          </cell>
          <cell r="D15501">
            <v>2</v>
          </cell>
          <cell r="H15501" t="str">
            <v>petroleum</v>
          </cell>
        </row>
        <row r="15502">
          <cell r="C15502" t="str">
            <v>IC</v>
          </cell>
          <cell r="D15502">
            <v>2</v>
          </cell>
          <cell r="H15502" t="str">
            <v>petroleum</v>
          </cell>
        </row>
        <row r="15503">
          <cell r="C15503" t="str">
            <v>IC</v>
          </cell>
          <cell r="D15503">
            <v>2</v>
          </cell>
          <cell r="H15503" t="str">
            <v>petroleum</v>
          </cell>
        </row>
        <row r="15504">
          <cell r="C15504" t="str">
            <v>IC</v>
          </cell>
          <cell r="D15504">
            <v>2</v>
          </cell>
          <cell r="H15504" t="str">
            <v>petroleum</v>
          </cell>
        </row>
        <row r="15505">
          <cell r="C15505" t="str">
            <v>CT</v>
          </cell>
          <cell r="D15505">
            <v>39.799999999999997</v>
          </cell>
          <cell r="H15505" t="str">
            <v>natural gas nonpeaker</v>
          </cell>
        </row>
        <row r="15506">
          <cell r="C15506" t="str">
            <v>CT</v>
          </cell>
          <cell r="D15506">
            <v>39.799999999999997</v>
          </cell>
          <cell r="H15506" t="str">
            <v>natural gas nonpeaker</v>
          </cell>
        </row>
        <row r="15507">
          <cell r="C15507" t="str">
            <v>CT</v>
          </cell>
          <cell r="D15507">
            <v>39.799999999999997</v>
          </cell>
          <cell r="H15507" t="str">
            <v>natural gas nonpeaker</v>
          </cell>
        </row>
        <row r="15508">
          <cell r="C15508" t="str">
            <v>CA</v>
          </cell>
          <cell r="D15508">
            <v>50.3</v>
          </cell>
          <cell r="H15508" t="str">
            <v>natural gas nonpeaker</v>
          </cell>
        </row>
        <row r="15509">
          <cell r="C15509" t="str">
            <v>CT</v>
          </cell>
          <cell r="D15509">
            <v>675.3</v>
          </cell>
          <cell r="H15509" t="str">
            <v>natural gas nonpeaker</v>
          </cell>
        </row>
        <row r="15510">
          <cell r="C15510" t="str">
            <v>CT</v>
          </cell>
          <cell r="D15510" t="str">
            <v xml:space="preserve"> </v>
          </cell>
          <cell r="H15510" t="str">
            <v>natural gas nonpeaker</v>
          </cell>
        </row>
        <row r="15511">
          <cell r="C15511" t="str">
            <v>CA</v>
          </cell>
          <cell r="D15511" t="str">
            <v xml:space="preserve"> </v>
          </cell>
          <cell r="H15511" t="str">
            <v>natural gas nonpeaker</v>
          </cell>
        </row>
        <row r="15512">
          <cell r="C15512" t="str">
            <v>WT</v>
          </cell>
          <cell r="D15512">
            <v>36.799999999999997</v>
          </cell>
          <cell r="H15512" t="str">
            <v>onshore wind</v>
          </cell>
        </row>
        <row r="15513">
          <cell r="C15513" t="str">
            <v>WT</v>
          </cell>
          <cell r="D15513">
            <v>45</v>
          </cell>
          <cell r="H15513" t="str">
            <v>onshore wind</v>
          </cell>
        </row>
        <row r="15514">
          <cell r="C15514" t="str">
            <v>WT</v>
          </cell>
          <cell r="D15514">
            <v>28.8</v>
          </cell>
          <cell r="H15514" t="str">
            <v>onshore wind</v>
          </cell>
        </row>
        <row r="15515">
          <cell r="C15515" t="str">
            <v>WT</v>
          </cell>
          <cell r="D15515">
            <v>99</v>
          </cell>
          <cell r="H15515" t="str">
            <v>onshore wind</v>
          </cell>
        </row>
        <row r="15516">
          <cell r="C15516" t="str">
            <v>PV</v>
          </cell>
          <cell r="D15516">
            <v>2</v>
          </cell>
          <cell r="H15516" t="str">
            <v>solar PV</v>
          </cell>
        </row>
        <row r="15517">
          <cell r="C15517" t="str">
            <v>FC</v>
          </cell>
          <cell r="D15517">
            <v>1.4</v>
          </cell>
          <cell r="H15517" t="str">
            <v>other</v>
          </cell>
        </row>
        <row r="15518">
          <cell r="C15518" t="str">
            <v>FC</v>
          </cell>
          <cell r="D15518">
            <v>0.2</v>
          </cell>
          <cell r="H15518" t="str">
            <v>other</v>
          </cell>
        </row>
        <row r="15519">
          <cell r="C15519" t="str">
            <v>FC</v>
          </cell>
          <cell r="D15519">
            <v>1.4</v>
          </cell>
          <cell r="H15519" t="str">
            <v>other</v>
          </cell>
        </row>
        <row r="15520">
          <cell r="C15520" t="str">
            <v>WT</v>
          </cell>
          <cell r="D15520">
            <v>100.5</v>
          </cell>
          <cell r="H15520" t="str">
            <v>onshore wind</v>
          </cell>
        </row>
        <row r="15521">
          <cell r="C15521" t="str">
            <v>WT</v>
          </cell>
          <cell r="D15521">
            <v>25</v>
          </cell>
          <cell r="H15521" t="str">
            <v>onshore wind</v>
          </cell>
        </row>
        <row r="15522">
          <cell r="C15522" t="str">
            <v>BA</v>
          </cell>
          <cell r="D15522">
            <v>0.8</v>
          </cell>
          <cell r="H15522" t="str">
            <v>other</v>
          </cell>
        </row>
        <row r="15523">
          <cell r="C15523" t="str">
            <v>ST</v>
          </cell>
          <cell r="D15523">
            <v>61</v>
          </cell>
          <cell r="H15523" t="str">
            <v>hard coal</v>
          </cell>
        </row>
        <row r="15524">
          <cell r="C15524" t="str">
            <v>WT</v>
          </cell>
          <cell r="D15524">
            <v>200</v>
          </cell>
          <cell r="H15524" t="str">
            <v>onshore wind</v>
          </cell>
        </row>
        <row r="15525">
          <cell r="C15525" t="str">
            <v>WT</v>
          </cell>
          <cell r="D15525">
            <v>104.2</v>
          </cell>
          <cell r="H15525" t="str">
            <v>onshore wind</v>
          </cell>
        </row>
        <row r="15526">
          <cell r="C15526" t="str">
            <v>WT</v>
          </cell>
          <cell r="D15526">
            <v>101.4</v>
          </cell>
          <cell r="H15526" t="str">
            <v>onshore wind</v>
          </cell>
        </row>
        <row r="15527">
          <cell r="C15527" t="str">
            <v>IC</v>
          </cell>
          <cell r="D15527">
            <v>0.5</v>
          </cell>
          <cell r="H15527" t="str">
            <v>petroleum</v>
          </cell>
        </row>
        <row r="15528">
          <cell r="C15528" t="str">
            <v>IC</v>
          </cell>
          <cell r="D15528">
            <v>0.3</v>
          </cell>
          <cell r="H15528" t="str">
            <v>petroleum</v>
          </cell>
        </row>
        <row r="15529">
          <cell r="C15529" t="str">
            <v>IC</v>
          </cell>
          <cell r="D15529">
            <v>0.5</v>
          </cell>
          <cell r="H15529" t="str">
            <v>petroleum</v>
          </cell>
        </row>
        <row r="15530">
          <cell r="C15530" t="str">
            <v>IC</v>
          </cell>
          <cell r="D15530">
            <v>0.5</v>
          </cell>
          <cell r="H15530" t="str">
            <v>petroleum</v>
          </cell>
        </row>
        <row r="15531">
          <cell r="C15531" t="str">
            <v>IC</v>
          </cell>
          <cell r="D15531">
            <v>0.4</v>
          </cell>
          <cell r="H15531" t="str">
            <v>petroleum</v>
          </cell>
        </row>
        <row r="15532">
          <cell r="C15532" t="str">
            <v>IC</v>
          </cell>
          <cell r="D15532">
            <v>0.8</v>
          </cell>
          <cell r="H15532" t="str">
            <v>petroleum</v>
          </cell>
        </row>
        <row r="15533">
          <cell r="C15533" t="str">
            <v>IC</v>
          </cell>
          <cell r="D15533">
            <v>0.8</v>
          </cell>
          <cell r="H15533" t="str">
            <v>petroleum</v>
          </cell>
        </row>
        <row r="15534">
          <cell r="C15534" t="str">
            <v>IC</v>
          </cell>
          <cell r="D15534">
            <v>0.2</v>
          </cell>
          <cell r="H15534" t="str">
            <v>petroleum</v>
          </cell>
        </row>
        <row r="15535">
          <cell r="C15535" t="str">
            <v>IC</v>
          </cell>
          <cell r="D15535">
            <v>0.4</v>
          </cell>
          <cell r="H15535" t="str">
            <v>petroleum</v>
          </cell>
        </row>
        <row r="15536">
          <cell r="C15536" t="str">
            <v>IC</v>
          </cell>
          <cell r="D15536">
            <v>0.5</v>
          </cell>
          <cell r="H15536" t="str">
            <v>petroleum</v>
          </cell>
        </row>
        <row r="15537">
          <cell r="C15537" t="str">
            <v>IC</v>
          </cell>
          <cell r="D15537">
            <v>0.5</v>
          </cell>
          <cell r="H15537" t="str">
            <v>petroleum</v>
          </cell>
        </row>
        <row r="15538">
          <cell r="C15538" t="str">
            <v>IC</v>
          </cell>
          <cell r="D15538">
            <v>0.5</v>
          </cell>
          <cell r="H15538" t="str">
            <v>petroleum</v>
          </cell>
        </row>
        <row r="15539">
          <cell r="C15539" t="str">
            <v>IC</v>
          </cell>
          <cell r="D15539">
            <v>0.5</v>
          </cell>
          <cell r="H15539" t="str">
            <v>petroleum</v>
          </cell>
        </row>
        <row r="15540">
          <cell r="C15540" t="str">
            <v>IC</v>
          </cell>
          <cell r="D15540">
            <v>0.5</v>
          </cell>
          <cell r="H15540" t="str">
            <v>petroleum</v>
          </cell>
        </row>
        <row r="15541">
          <cell r="C15541" t="str">
            <v>IC</v>
          </cell>
          <cell r="D15541">
            <v>0.4</v>
          </cell>
          <cell r="H15541" t="str">
            <v>petroleum</v>
          </cell>
        </row>
        <row r="15542">
          <cell r="C15542" t="str">
            <v>IC</v>
          </cell>
          <cell r="D15542">
            <v>0.4</v>
          </cell>
          <cell r="H15542" t="str">
            <v>petroleum</v>
          </cell>
        </row>
        <row r="15543">
          <cell r="C15543" t="str">
            <v>IC</v>
          </cell>
          <cell r="D15543">
            <v>0.5</v>
          </cell>
          <cell r="H15543" t="str">
            <v>petroleum</v>
          </cell>
        </row>
        <row r="15544">
          <cell r="C15544" t="str">
            <v>IC</v>
          </cell>
          <cell r="D15544">
            <v>0.5</v>
          </cell>
          <cell r="H15544" t="str">
            <v>petroleum</v>
          </cell>
        </row>
        <row r="15545">
          <cell r="C15545" t="str">
            <v>IC</v>
          </cell>
          <cell r="D15545">
            <v>0.4</v>
          </cell>
          <cell r="H15545" t="str">
            <v>petroleum</v>
          </cell>
        </row>
        <row r="15546">
          <cell r="C15546" t="str">
            <v>IC</v>
          </cell>
          <cell r="D15546">
            <v>0.3</v>
          </cell>
          <cell r="H15546" t="str">
            <v>petroleum</v>
          </cell>
        </row>
        <row r="15547">
          <cell r="C15547" t="str">
            <v>IC</v>
          </cell>
          <cell r="D15547">
            <v>0.5</v>
          </cell>
          <cell r="H15547" t="str">
            <v>petroleum</v>
          </cell>
        </row>
        <row r="15548">
          <cell r="C15548" t="str">
            <v>IC</v>
          </cell>
          <cell r="D15548">
            <v>0.5</v>
          </cell>
          <cell r="H15548" t="str">
            <v>petroleum</v>
          </cell>
        </row>
        <row r="15549">
          <cell r="C15549" t="str">
            <v>IC</v>
          </cell>
          <cell r="D15549">
            <v>0.3</v>
          </cell>
          <cell r="H15549" t="str">
            <v>petroleum</v>
          </cell>
        </row>
        <row r="15550">
          <cell r="C15550" t="str">
            <v>IC</v>
          </cell>
          <cell r="D15550">
            <v>0.2</v>
          </cell>
          <cell r="H15550" t="str">
            <v>petroleum</v>
          </cell>
        </row>
        <row r="15551">
          <cell r="C15551" t="str">
            <v>IC</v>
          </cell>
          <cell r="D15551">
            <v>0.4</v>
          </cell>
          <cell r="H15551" t="str">
            <v>petroleum</v>
          </cell>
        </row>
        <row r="15552">
          <cell r="C15552" t="str">
            <v>IC</v>
          </cell>
          <cell r="D15552">
            <v>0.5</v>
          </cell>
          <cell r="H15552" t="str">
            <v>petroleum</v>
          </cell>
        </row>
        <row r="15553">
          <cell r="C15553" t="str">
            <v>IC</v>
          </cell>
          <cell r="D15553">
            <v>0.5</v>
          </cell>
          <cell r="H15553" t="str">
            <v>petroleum</v>
          </cell>
        </row>
        <row r="15554">
          <cell r="C15554" t="str">
            <v>IC</v>
          </cell>
          <cell r="D15554">
            <v>0.2</v>
          </cell>
          <cell r="H15554" t="str">
            <v>petroleum</v>
          </cell>
        </row>
        <row r="15555">
          <cell r="C15555" t="str">
            <v>IC</v>
          </cell>
          <cell r="D15555">
            <v>0.4</v>
          </cell>
          <cell r="H15555" t="str">
            <v>petroleum</v>
          </cell>
        </row>
        <row r="15556">
          <cell r="C15556" t="str">
            <v>IC</v>
          </cell>
          <cell r="D15556">
            <v>0.7</v>
          </cell>
          <cell r="H15556" t="str">
            <v>petroleum</v>
          </cell>
        </row>
        <row r="15557">
          <cell r="C15557" t="str">
            <v>IC</v>
          </cell>
          <cell r="D15557">
            <v>0.3</v>
          </cell>
          <cell r="H15557" t="str">
            <v>petroleum</v>
          </cell>
        </row>
        <row r="15558">
          <cell r="C15558" t="str">
            <v>IC</v>
          </cell>
          <cell r="D15558">
            <v>0.5</v>
          </cell>
          <cell r="H15558" t="str">
            <v>petroleum</v>
          </cell>
        </row>
        <row r="15559">
          <cell r="C15559" t="str">
            <v>IC</v>
          </cell>
          <cell r="D15559">
            <v>0.8</v>
          </cell>
          <cell r="H15559" t="str">
            <v>petroleum</v>
          </cell>
        </row>
        <row r="15560">
          <cell r="C15560" t="str">
            <v>IC</v>
          </cell>
          <cell r="D15560">
            <v>0.2</v>
          </cell>
          <cell r="H15560" t="str">
            <v>petroleum</v>
          </cell>
        </row>
        <row r="15561">
          <cell r="C15561" t="str">
            <v>IC</v>
          </cell>
          <cell r="D15561">
            <v>0.3</v>
          </cell>
          <cell r="H15561" t="str">
            <v>petroleum</v>
          </cell>
        </row>
        <row r="15562">
          <cell r="C15562" t="str">
            <v>IC</v>
          </cell>
          <cell r="D15562">
            <v>0.3</v>
          </cell>
          <cell r="H15562" t="str">
            <v>petroleum</v>
          </cell>
        </row>
        <row r="15563">
          <cell r="C15563" t="str">
            <v>IC</v>
          </cell>
          <cell r="D15563">
            <v>0.4</v>
          </cell>
          <cell r="H15563" t="str">
            <v>petroleum</v>
          </cell>
        </row>
        <row r="15564">
          <cell r="C15564" t="str">
            <v>IC</v>
          </cell>
          <cell r="D15564">
            <v>0.3</v>
          </cell>
          <cell r="H15564" t="str">
            <v>petroleum</v>
          </cell>
        </row>
        <row r="15565">
          <cell r="C15565" t="str">
            <v>IC</v>
          </cell>
          <cell r="D15565">
            <v>0.3</v>
          </cell>
          <cell r="H15565" t="str">
            <v>petroleum</v>
          </cell>
        </row>
        <row r="15566">
          <cell r="C15566" t="str">
            <v>IC</v>
          </cell>
          <cell r="D15566">
            <v>0.5</v>
          </cell>
          <cell r="H15566" t="str">
            <v>petroleum</v>
          </cell>
        </row>
        <row r="15567">
          <cell r="C15567" t="str">
            <v>IC</v>
          </cell>
          <cell r="D15567">
            <v>0.5</v>
          </cell>
          <cell r="H15567" t="str">
            <v>petroleum</v>
          </cell>
        </row>
        <row r="15568">
          <cell r="C15568" t="str">
            <v>IC</v>
          </cell>
          <cell r="D15568">
            <v>0.2</v>
          </cell>
          <cell r="H15568" t="str">
            <v>petroleum</v>
          </cell>
        </row>
        <row r="15569">
          <cell r="C15569" t="str">
            <v>IC</v>
          </cell>
          <cell r="D15569">
            <v>0.3</v>
          </cell>
          <cell r="H15569" t="str">
            <v>petroleum</v>
          </cell>
        </row>
        <row r="15570">
          <cell r="C15570" t="str">
            <v>IC</v>
          </cell>
          <cell r="D15570">
            <v>0.2</v>
          </cell>
          <cell r="H15570" t="str">
            <v>petroleum</v>
          </cell>
        </row>
        <row r="15571">
          <cell r="C15571" t="str">
            <v>IC</v>
          </cell>
          <cell r="D15571">
            <v>0.4</v>
          </cell>
          <cell r="H15571" t="str">
            <v>petroleum</v>
          </cell>
        </row>
        <row r="15572">
          <cell r="C15572" t="str">
            <v>IC</v>
          </cell>
          <cell r="D15572">
            <v>0.8</v>
          </cell>
          <cell r="H15572" t="str">
            <v>petroleum</v>
          </cell>
        </row>
        <row r="15573">
          <cell r="C15573" t="str">
            <v>IC</v>
          </cell>
          <cell r="D15573">
            <v>0.7</v>
          </cell>
          <cell r="H15573" t="str">
            <v>petroleum</v>
          </cell>
        </row>
        <row r="15574">
          <cell r="C15574" t="str">
            <v>IC</v>
          </cell>
          <cell r="D15574">
            <v>0.5</v>
          </cell>
          <cell r="H15574" t="str">
            <v>petroleum</v>
          </cell>
        </row>
        <row r="15575">
          <cell r="C15575" t="str">
            <v>IC</v>
          </cell>
          <cell r="D15575">
            <v>0.8</v>
          </cell>
          <cell r="H15575" t="str">
            <v>petroleum</v>
          </cell>
        </row>
        <row r="15576">
          <cell r="C15576" t="str">
            <v>IC</v>
          </cell>
          <cell r="D15576">
            <v>0.5</v>
          </cell>
          <cell r="H15576" t="str">
            <v>petroleum</v>
          </cell>
        </row>
        <row r="15577">
          <cell r="C15577" t="str">
            <v>IC</v>
          </cell>
          <cell r="D15577">
            <v>0.8</v>
          </cell>
          <cell r="H15577" t="str">
            <v>petroleum</v>
          </cell>
        </row>
        <row r="15578">
          <cell r="C15578" t="str">
            <v>GT</v>
          </cell>
          <cell r="D15578">
            <v>48.5</v>
          </cell>
          <cell r="H15578" t="str">
            <v>other</v>
          </cell>
        </row>
        <row r="15579">
          <cell r="C15579" t="str">
            <v>GT</v>
          </cell>
          <cell r="D15579">
            <v>48.5</v>
          </cell>
          <cell r="H15579" t="str">
            <v>other</v>
          </cell>
        </row>
        <row r="15580">
          <cell r="C15580" t="str">
            <v>GT</v>
          </cell>
          <cell r="D15580">
            <v>48.5</v>
          </cell>
          <cell r="H15580" t="str">
            <v>other</v>
          </cell>
        </row>
        <row r="15581">
          <cell r="C15581" t="str">
            <v>GT</v>
          </cell>
          <cell r="D15581">
            <v>48.5</v>
          </cell>
          <cell r="H15581" t="str">
            <v>other</v>
          </cell>
        </row>
        <row r="15582">
          <cell r="C15582" t="str">
            <v>HY</v>
          </cell>
          <cell r="D15582">
            <v>4.5</v>
          </cell>
          <cell r="H15582" t="str">
            <v>hydro</v>
          </cell>
        </row>
        <row r="15583">
          <cell r="C15583" t="str">
            <v>HY</v>
          </cell>
          <cell r="D15583">
            <v>4.5</v>
          </cell>
          <cell r="H15583" t="str">
            <v>hydro</v>
          </cell>
        </row>
        <row r="15584">
          <cell r="C15584" t="str">
            <v>HY</v>
          </cell>
          <cell r="D15584">
            <v>4.5</v>
          </cell>
          <cell r="H15584" t="str">
            <v>hydro</v>
          </cell>
        </row>
        <row r="15585">
          <cell r="C15585" t="str">
            <v>HY</v>
          </cell>
          <cell r="D15585">
            <v>4.5</v>
          </cell>
          <cell r="H15585" t="str">
            <v>hydro</v>
          </cell>
        </row>
        <row r="15586">
          <cell r="C15586" t="str">
            <v>GT</v>
          </cell>
          <cell r="D15586">
            <v>49</v>
          </cell>
          <cell r="H15586" t="str">
            <v>other</v>
          </cell>
        </row>
        <row r="15587">
          <cell r="C15587" t="str">
            <v>GT</v>
          </cell>
          <cell r="D15587">
            <v>49</v>
          </cell>
          <cell r="H15587" t="str">
            <v>other</v>
          </cell>
        </row>
        <row r="15588">
          <cell r="C15588" t="str">
            <v>GT</v>
          </cell>
          <cell r="D15588">
            <v>49</v>
          </cell>
          <cell r="H15588" t="str">
            <v>other</v>
          </cell>
        </row>
        <row r="15589">
          <cell r="C15589" t="str">
            <v>GT</v>
          </cell>
          <cell r="D15589">
            <v>49</v>
          </cell>
          <cell r="H15589" t="str">
            <v>other</v>
          </cell>
        </row>
        <row r="15590">
          <cell r="C15590" t="str">
            <v>IC</v>
          </cell>
          <cell r="D15590">
            <v>1.6</v>
          </cell>
          <cell r="H15590" t="str">
            <v>biomass</v>
          </cell>
        </row>
        <row r="15591">
          <cell r="C15591" t="str">
            <v>ST</v>
          </cell>
          <cell r="D15591">
            <v>78</v>
          </cell>
          <cell r="H15591" t="str">
            <v>other</v>
          </cell>
        </row>
        <row r="15592">
          <cell r="C15592" t="str">
            <v>ST</v>
          </cell>
          <cell r="D15592">
            <v>133.4</v>
          </cell>
          <cell r="H15592" t="str">
            <v>solar thermal</v>
          </cell>
        </row>
        <row r="15593">
          <cell r="C15593" t="str">
            <v>ST</v>
          </cell>
          <cell r="D15593">
            <v>133</v>
          </cell>
          <cell r="H15593" t="str">
            <v>solar thermal</v>
          </cell>
        </row>
        <row r="15594">
          <cell r="C15594" t="str">
            <v>ST</v>
          </cell>
          <cell r="D15594">
            <v>133.4</v>
          </cell>
          <cell r="H15594" t="str">
            <v>solar thermal</v>
          </cell>
        </row>
        <row r="15595">
          <cell r="C15595" t="str">
            <v>IC</v>
          </cell>
          <cell r="D15595">
            <v>1.8</v>
          </cell>
          <cell r="H15595" t="str">
            <v>biomass</v>
          </cell>
        </row>
        <row r="15596">
          <cell r="C15596" t="str">
            <v>IC</v>
          </cell>
          <cell r="D15596">
            <v>1.8</v>
          </cell>
          <cell r="H15596" t="str">
            <v>biomass</v>
          </cell>
        </row>
        <row r="15597">
          <cell r="C15597" t="str">
            <v>WT</v>
          </cell>
          <cell r="D15597">
            <v>15</v>
          </cell>
          <cell r="H15597" t="str">
            <v>onshore wind</v>
          </cell>
        </row>
        <row r="15598">
          <cell r="C15598" t="str">
            <v>WT</v>
          </cell>
          <cell r="D15598">
            <v>203.5</v>
          </cell>
          <cell r="H15598" t="str">
            <v>onshore wind</v>
          </cell>
        </row>
        <row r="15599">
          <cell r="C15599" t="str">
            <v>WT</v>
          </cell>
          <cell r="D15599">
            <v>40</v>
          </cell>
          <cell r="H15599" t="str">
            <v>onshore wind</v>
          </cell>
        </row>
        <row r="15600">
          <cell r="C15600" t="str">
            <v>PV</v>
          </cell>
          <cell r="D15600">
            <v>2.2999999999999998</v>
          </cell>
          <cell r="H15600" t="str">
            <v>solar PV</v>
          </cell>
        </row>
        <row r="15601">
          <cell r="C15601" t="str">
            <v>PV</v>
          </cell>
          <cell r="D15601">
            <v>1.8</v>
          </cell>
          <cell r="H15601" t="str">
            <v>solar PV</v>
          </cell>
        </row>
        <row r="15602">
          <cell r="C15602" t="str">
            <v>WT</v>
          </cell>
          <cell r="D15602">
            <v>21</v>
          </cell>
          <cell r="H15602" t="str">
            <v>onshore wind</v>
          </cell>
        </row>
        <row r="15603">
          <cell r="C15603" t="str">
            <v>BA</v>
          </cell>
          <cell r="D15603">
            <v>10</v>
          </cell>
          <cell r="H15603" t="str">
            <v>other</v>
          </cell>
        </row>
        <row r="15604">
          <cell r="C15604" t="str">
            <v>WT</v>
          </cell>
          <cell r="D15604">
            <v>34.5</v>
          </cell>
          <cell r="H15604" t="str">
            <v>onshore wind</v>
          </cell>
        </row>
        <row r="15605">
          <cell r="C15605" t="str">
            <v>HY</v>
          </cell>
          <cell r="D15605">
            <v>14.3</v>
          </cell>
          <cell r="H15605" t="str">
            <v>hydro</v>
          </cell>
        </row>
        <row r="15606">
          <cell r="C15606" t="str">
            <v>WT</v>
          </cell>
          <cell r="D15606">
            <v>30</v>
          </cell>
          <cell r="H15606" t="str">
            <v>onshore wind</v>
          </cell>
        </row>
        <row r="15607">
          <cell r="C15607" t="str">
            <v>WT</v>
          </cell>
          <cell r="D15607">
            <v>99</v>
          </cell>
          <cell r="H15607" t="str">
            <v>onshore wind</v>
          </cell>
        </row>
        <row r="15608">
          <cell r="C15608" t="str">
            <v>WT</v>
          </cell>
          <cell r="D15608">
            <v>42</v>
          </cell>
          <cell r="H15608" t="str">
            <v>onshore wind</v>
          </cell>
        </row>
        <row r="15609">
          <cell r="C15609" t="str">
            <v>WT</v>
          </cell>
          <cell r="D15609">
            <v>17</v>
          </cell>
          <cell r="H15609" t="str">
            <v>onshore wind</v>
          </cell>
        </row>
        <row r="15610">
          <cell r="C15610" t="str">
            <v>WT</v>
          </cell>
          <cell r="D15610">
            <v>300</v>
          </cell>
          <cell r="H15610" t="str">
            <v>onshore wind</v>
          </cell>
        </row>
        <row r="15611">
          <cell r="C15611" t="str">
            <v>WT</v>
          </cell>
          <cell r="D15611">
            <v>201</v>
          </cell>
          <cell r="H15611" t="str">
            <v>onshore wind</v>
          </cell>
        </row>
        <row r="15612">
          <cell r="C15612" t="str">
            <v>WT</v>
          </cell>
          <cell r="D15612">
            <v>98.7</v>
          </cell>
          <cell r="H15612" t="str">
            <v>onshore wind</v>
          </cell>
        </row>
        <row r="15613">
          <cell r="C15613" t="str">
            <v>WT</v>
          </cell>
          <cell r="D15613">
            <v>149</v>
          </cell>
          <cell r="H15613" t="str">
            <v>onshore wind</v>
          </cell>
        </row>
        <row r="15614">
          <cell r="C15614" t="str">
            <v>WT</v>
          </cell>
          <cell r="D15614">
            <v>63</v>
          </cell>
          <cell r="H15614" t="str">
            <v>onshore wind</v>
          </cell>
        </row>
        <row r="15615">
          <cell r="C15615" t="str">
            <v>ST</v>
          </cell>
          <cell r="D15615">
            <v>55</v>
          </cell>
          <cell r="H15615" t="str">
            <v>biomass</v>
          </cell>
        </row>
        <row r="15616">
          <cell r="C15616" t="str">
            <v>IC</v>
          </cell>
          <cell r="D15616">
            <v>1</v>
          </cell>
          <cell r="H15616" t="str">
            <v>biomass</v>
          </cell>
        </row>
        <row r="15617">
          <cell r="C15617" t="str">
            <v>IC</v>
          </cell>
          <cell r="D15617">
            <v>1.4</v>
          </cell>
          <cell r="H15617" t="str">
            <v>biomass</v>
          </cell>
        </row>
        <row r="15618">
          <cell r="C15618" t="str">
            <v>IC</v>
          </cell>
          <cell r="D15618">
            <v>1</v>
          </cell>
          <cell r="H15618" t="str">
            <v>biomass</v>
          </cell>
        </row>
        <row r="15619">
          <cell r="C15619" t="str">
            <v>IC</v>
          </cell>
          <cell r="D15619">
            <v>1</v>
          </cell>
          <cell r="H15619" t="str">
            <v>biomass</v>
          </cell>
        </row>
        <row r="15620">
          <cell r="C15620" t="str">
            <v>ST</v>
          </cell>
          <cell r="D15620">
            <v>3</v>
          </cell>
          <cell r="H15620" t="str">
            <v>natural gas peaker</v>
          </cell>
        </row>
        <row r="15621">
          <cell r="C15621" t="str">
            <v>WT</v>
          </cell>
          <cell r="D15621">
            <v>1.5</v>
          </cell>
          <cell r="H15621" t="str">
            <v>onshore wind</v>
          </cell>
        </row>
        <row r="15622">
          <cell r="C15622" t="str">
            <v>WT</v>
          </cell>
          <cell r="D15622">
            <v>102</v>
          </cell>
          <cell r="H15622" t="str">
            <v>onshore wind</v>
          </cell>
        </row>
        <row r="15623">
          <cell r="C15623" t="str">
            <v>WT</v>
          </cell>
          <cell r="D15623">
            <v>99</v>
          </cell>
          <cell r="H15623" t="str">
            <v>onshore wind</v>
          </cell>
        </row>
        <row r="15624">
          <cell r="C15624" t="str">
            <v>WT</v>
          </cell>
          <cell r="D15624">
            <v>199.7</v>
          </cell>
          <cell r="H15624" t="str">
            <v>onshore wind</v>
          </cell>
        </row>
        <row r="15625">
          <cell r="C15625" t="str">
            <v>WT</v>
          </cell>
          <cell r="D15625">
            <v>102</v>
          </cell>
          <cell r="H15625" t="str">
            <v>onshore wind</v>
          </cell>
        </row>
        <row r="15626">
          <cell r="C15626" t="str">
            <v>WT</v>
          </cell>
          <cell r="D15626">
            <v>100</v>
          </cell>
          <cell r="H15626" t="str">
            <v>onshore wind</v>
          </cell>
        </row>
        <row r="15627">
          <cell r="C15627" t="str">
            <v>WT</v>
          </cell>
          <cell r="D15627">
            <v>99</v>
          </cell>
          <cell r="H15627" t="str">
            <v>onshore wind</v>
          </cell>
        </row>
        <row r="15628">
          <cell r="C15628" t="str">
            <v>WT</v>
          </cell>
          <cell r="D15628">
            <v>200</v>
          </cell>
          <cell r="H15628" t="str">
            <v>onshore wind</v>
          </cell>
        </row>
        <row r="15629">
          <cell r="C15629" t="str">
            <v>WT</v>
          </cell>
          <cell r="D15629">
            <v>103.5</v>
          </cell>
          <cell r="H15629" t="str">
            <v>onshore wind</v>
          </cell>
        </row>
        <row r="15630">
          <cell r="C15630" t="str">
            <v>WT</v>
          </cell>
          <cell r="D15630">
            <v>98</v>
          </cell>
          <cell r="H15630" t="str">
            <v>onshore wind</v>
          </cell>
        </row>
        <row r="15631">
          <cell r="C15631" t="str">
            <v>WT</v>
          </cell>
          <cell r="D15631">
            <v>12.5</v>
          </cell>
          <cell r="H15631" t="str">
            <v>onshore wind</v>
          </cell>
        </row>
        <row r="15632">
          <cell r="C15632" t="str">
            <v>ST</v>
          </cell>
          <cell r="D15632">
            <v>20.3</v>
          </cell>
          <cell r="H15632" t="str">
            <v>biomass</v>
          </cell>
        </row>
        <row r="15633">
          <cell r="C15633" t="str">
            <v>WT</v>
          </cell>
          <cell r="D15633">
            <v>49.5</v>
          </cell>
          <cell r="H15633" t="str">
            <v>onshore wind</v>
          </cell>
        </row>
        <row r="15634">
          <cell r="C15634" t="str">
            <v>WT</v>
          </cell>
          <cell r="D15634">
            <v>120</v>
          </cell>
          <cell r="H15634" t="str">
            <v>onshore wind</v>
          </cell>
        </row>
        <row r="15635">
          <cell r="C15635" t="str">
            <v>CT</v>
          </cell>
          <cell r="D15635">
            <v>13.5</v>
          </cell>
          <cell r="H15635" t="str">
            <v>natural gas nonpeaker</v>
          </cell>
        </row>
        <row r="15636">
          <cell r="C15636" t="str">
            <v>CA</v>
          </cell>
          <cell r="D15636">
            <v>5.5</v>
          </cell>
          <cell r="H15636" t="str">
            <v>natural gas nonpeaker</v>
          </cell>
        </row>
        <row r="15637">
          <cell r="C15637" t="str">
            <v>IC</v>
          </cell>
          <cell r="D15637">
            <v>1.5</v>
          </cell>
          <cell r="H15637" t="str">
            <v>biomass</v>
          </cell>
        </row>
        <row r="15638">
          <cell r="C15638" t="str">
            <v>IC</v>
          </cell>
          <cell r="D15638">
            <v>1.5</v>
          </cell>
          <cell r="H15638" t="str">
            <v>biomass</v>
          </cell>
        </row>
        <row r="15639">
          <cell r="C15639" t="str">
            <v>IC</v>
          </cell>
          <cell r="D15639">
            <v>1.5</v>
          </cell>
          <cell r="H15639" t="str">
            <v>biomass</v>
          </cell>
        </row>
        <row r="15640">
          <cell r="C15640" t="str">
            <v>IC</v>
          </cell>
          <cell r="D15640">
            <v>1.5</v>
          </cell>
          <cell r="H15640" t="str">
            <v>biomass</v>
          </cell>
        </row>
        <row r="15641">
          <cell r="C15641" t="str">
            <v>IC</v>
          </cell>
          <cell r="D15641">
            <v>1.5</v>
          </cell>
          <cell r="H15641" t="str">
            <v>biomass</v>
          </cell>
        </row>
        <row r="15642">
          <cell r="C15642" t="str">
            <v>IC</v>
          </cell>
          <cell r="D15642">
            <v>1.5</v>
          </cell>
          <cell r="H15642" t="str">
            <v>biomass</v>
          </cell>
        </row>
        <row r="15643">
          <cell r="C15643" t="str">
            <v>WT</v>
          </cell>
          <cell r="D15643">
            <v>21</v>
          </cell>
          <cell r="H15643" t="str">
            <v>onshore wind</v>
          </cell>
        </row>
        <row r="15644">
          <cell r="C15644" t="str">
            <v>WT</v>
          </cell>
          <cell r="D15644">
            <v>22.5</v>
          </cell>
          <cell r="H15644" t="str">
            <v>onshore wind</v>
          </cell>
        </row>
        <row r="15645">
          <cell r="C15645" t="str">
            <v>WT</v>
          </cell>
          <cell r="D15645">
            <v>21</v>
          </cell>
          <cell r="H15645" t="str">
            <v>onshore wind</v>
          </cell>
        </row>
        <row r="15646">
          <cell r="C15646" t="str">
            <v>IC</v>
          </cell>
          <cell r="D15646">
            <v>1.5</v>
          </cell>
          <cell r="H15646" t="str">
            <v>biomass</v>
          </cell>
        </row>
        <row r="15647">
          <cell r="C15647" t="str">
            <v>IC</v>
          </cell>
          <cell r="D15647">
            <v>1.5</v>
          </cell>
          <cell r="H15647" t="str">
            <v>biomass</v>
          </cell>
        </row>
        <row r="15648">
          <cell r="C15648" t="str">
            <v>IC</v>
          </cell>
          <cell r="D15648">
            <v>0.8</v>
          </cell>
          <cell r="H15648" t="str">
            <v>biomass</v>
          </cell>
        </row>
        <row r="15649">
          <cell r="C15649" t="str">
            <v>WT</v>
          </cell>
          <cell r="D15649">
            <v>4.5</v>
          </cell>
          <cell r="H15649" t="str">
            <v>onshore wind</v>
          </cell>
        </row>
        <row r="15650">
          <cell r="C15650" t="str">
            <v>WT</v>
          </cell>
          <cell r="D15650">
            <v>59</v>
          </cell>
          <cell r="H15650" t="str">
            <v>onshore wind</v>
          </cell>
        </row>
        <row r="15651">
          <cell r="C15651" t="str">
            <v>IC</v>
          </cell>
          <cell r="D15651">
            <v>1.8</v>
          </cell>
          <cell r="H15651" t="str">
            <v>biomass</v>
          </cell>
        </row>
        <row r="15652">
          <cell r="C15652" t="str">
            <v>IC</v>
          </cell>
          <cell r="D15652">
            <v>1.5</v>
          </cell>
          <cell r="H15652" t="str">
            <v>biomass</v>
          </cell>
        </row>
        <row r="15653">
          <cell r="C15653" t="str">
            <v>OT</v>
          </cell>
          <cell r="D15653">
            <v>3</v>
          </cell>
          <cell r="H15653" t="str">
            <v>other</v>
          </cell>
        </row>
        <row r="15654">
          <cell r="C15654" t="str">
            <v>WT</v>
          </cell>
          <cell r="D15654">
            <v>240</v>
          </cell>
          <cell r="H15654" t="str">
            <v>onshore wind</v>
          </cell>
        </row>
        <row r="15655">
          <cell r="C15655" t="str">
            <v>WT</v>
          </cell>
          <cell r="D15655">
            <v>16.8</v>
          </cell>
          <cell r="H15655" t="str">
            <v>onshore wind</v>
          </cell>
        </row>
        <row r="15656">
          <cell r="C15656" t="str">
            <v>WT</v>
          </cell>
          <cell r="D15656">
            <v>66.099999999999994</v>
          </cell>
          <cell r="H15656" t="str">
            <v>onshore wind</v>
          </cell>
        </row>
        <row r="15657">
          <cell r="C15657" t="str">
            <v>ST</v>
          </cell>
          <cell r="D15657">
            <v>19</v>
          </cell>
          <cell r="H15657" t="str">
            <v>biomass</v>
          </cell>
        </row>
        <row r="15658">
          <cell r="C15658" t="str">
            <v>WT</v>
          </cell>
          <cell r="D15658">
            <v>62.5</v>
          </cell>
          <cell r="H15658" t="str">
            <v>onshore wind</v>
          </cell>
        </row>
        <row r="15659">
          <cell r="C15659" t="str">
            <v>PV</v>
          </cell>
          <cell r="D15659">
            <v>1.9</v>
          </cell>
          <cell r="H15659" t="str">
            <v>solar PV</v>
          </cell>
        </row>
        <row r="15660">
          <cell r="C15660" t="str">
            <v>WT</v>
          </cell>
          <cell r="D15660">
            <v>100.5</v>
          </cell>
          <cell r="H15660" t="str">
            <v>onshore wind</v>
          </cell>
        </row>
        <row r="15661">
          <cell r="C15661" t="str">
            <v>WT</v>
          </cell>
          <cell r="D15661">
            <v>98.9</v>
          </cell>
          <cell r="H15661" t="str">
            <v>onshore wind</v>
          </cell>
        </row>
        <row r="15662">
          <cell r="C15662" t="str">
            <v>WT</v>
          </cell>
          <cell r="D15662">
            <v>150</v>
          </cell>
          <cell r="H15662" t="str">
            <v>onshore wind</v>
          </cell>
        </row>
        <row r="15663">
          <cell r="C15663" t="str">
            <v>ST</v>
          </cell>
          <cell r="D15663">
            <v>13</v>
          </cell>
          <cell r="H15663" t="str">
            <v>biomass</v>
          </cell>
        </row>
        <row r="15664">
          <cell r="C15664" t="str">
            <v>WT</v>
          </cell>
          <cell r="D15664">
            <v>120</v>
          </cell>
          <cell r="H15664" t="str">
            <v>onshore wind</v>
          </cell>
        </row>
        <row r="15665">
          <cell r="C15665" t="str">
            <v>WT</v>
          </cell>
          <cell r="D15665">
            <v>262.2</v>
          </cell>
          <cell r="H15665" t="str">
            <v>onshore wind</v>
          </cell>
        </row>
        <row r="15666">
          <cell r="C15666" t="str">
            <v>HY</v>
          </cell>
          <cell r="D15666">
            <v>4.3</v>
          </cell>
          <cell r="H15666" t="str">
            <v>hydro</v>
          </cell>
        </row>
        <row r="15667">
          <cell r="C15667" t="str">
            <v>HY</v>
          </cell>
          <cell r="D15667">
            <v>3.5</v>
          </cell>
          <cell r="H15667" t="str">
            <v>hydro</v>
          </cell>
        </row>
        <row r="15668">
          <cell r="C15668" t="str">
            <v>HY</v>
          </cell>
          <cell r="D15668">
            <v>4.3</v>
          </cell>
          <cell r="H15668" t="str">
            <v>hydro</v>
          </cell>
        </row>
        <row r="15669">
          <cell r="C15669" t="str">
            <v>GT</v>
          </cell>
          <cell r="D15669">
            <v>3.3</v>
          </cell>
          <cell r="H15669" t="str">
            <v>biomass</v>
          </cell>
        </row>
        <row r="15670">
          <cell r="C15670" t="str">
            <v>GT</v>
          </cell>
          <cell r="D15670">
            <v>3.3</v>
          </cell>
          <cell r="H15670" t="str">
            <v>biomass</v>
          </cell>
        </row>
        <row r="15671">
          <cell r="C15671" t="str">
            <v>IC</v>
          </cell>
          <cell r="D15671">
            <v>1.6</v>
          </cell>
          <cell r="H15671" t="str">
            <v>biomass</v>
          </cell>
        </row>
        <row r="15672">
          <cell r="C15672" t="str">
            <v>IC</v>
          </cell>
          <cell r="D15672">
            <v>1.6</v>
          </cell>
          <cell r="H15672" t="str">
            <v>biomass</v>
          </cell>
        </row>
        <row r="15673">
          <cell r="C15673" t="str">
            <v>IC</v>
          </cell>
          <cell r="D15673">
            <v>1.6</v>
          </cell>
          <cell r="H15673" t="str">
            <v>biomass</v>
          </cell>
        </row>
        <row r="15674">
          <cell r="C15674" t="str">
            <v>IC</v>
          </cell>
          <cell r="D15674">
            <v>1.6</v>
          </cell>
          <cell r="H15674" t="str">
            <v>biomass</v>
          </cell>
        </row>
        <row r="15675">
          <cell r="C15675" t="str">
            <v>IC</v>
          </cell>
          <cell r="D15675">
            <v>1.6</v>
          </cell>
          <cell r="H15675" t="str">
            <v>biomass</v>
          </cell>
        </row>
        <row r="15676">
          <cell r="C15676" t="str">
            <v>IC</v>
          </cell>
          <cell r="D15676">
            <v>1.6</v>
          </cell>
          <cell r="H15676" t="str">
            <v>biomass</v>
          </cell>
        </row>
        <row r="15677">
          <cell r="C15677" t="str">
            <v>IC</v>
          </cell>
          <cell r="D15677">
            <v>0.8</v>
          </cell>
          <cell r="H15677" t="str">
            <v>biomass</v>
          </cell>
        </row>
        <row r="15678">
          <cell r="C15678" t="str">
            <v>IC</v>
          </cell>
          <cell r="D15678">
            <v>0.8</v>
          </cell>
          <cell r="H15678" t="str">
            <v>biomass</v>
          </cell>
        </row>
        <row r="15679">
          <cell r="C15679" t="str">
            <v>IC</v>
          </cell>
          <cell r="D15679">
            <v>0.8</v>
          </cell>
          <cell r="H15679" t="str">
            <v>biomass</v>
          </cell>
        </row>
        <row r="15680">
          <cell r="C15680" t="str">
            <v>IC</v>
          </cell>
          <cell r="D15680">
            <v>0.8</v>
          </cell>
          <cell r="H15680" t="str">
            <v>biomass</v>
          </cell>
        </row>
        <row r="15681">
          <cell r="C15681" t="str">
            <v>IC</v>
          </cell>
          <cell r="D15681">
            <v>0.8</v>
          </cell>
          <cell r="H15681" t="str">
            <v>biomass</v>
          </cell>
        </row>
        <row r="15682">
          <cell r="C15682" t="str">
            <v>IC</v>
          </cell>
          <cell r="D15682">
            <v>0.8</v>
          </cell>
          <cell r="H15682" t="str">
            <v>biomass</v>
          </cell>
        </row>
        <row r="15683">
          <cell r="C15683" t="str">
            <v>IC</v>
          </cell>
          <cell r="D15683">
            <v>0.8</v>
          </cell>
          <cell r="H15683" t="str">
            <v>biomass</v>
          </cell>
        </row>
        <row r="15684">
          <cell r="C15684" t="str">
            <v>IC</v>
          </cell>
          <cell r="D15684">
            <v>0.8</v>
          </cell>
          <cell r="H15684" t="str">
            <v>biomass</v>
          </cell>
        </row>
        <row r="15685">
          <cell r="C15685" t="str">
            <v>IC</v>
          </cell>
          <cell r="D15685">
            <v>0.8</v>
          </cell>
          <cell r="H15685" t="str">
            <v>biomass</v>
          </cell>
        </row>
        <row r="15686">
          <cell r="C15686" t="str">
            <v>IC</v>
          </cell>
          <cell r="D15686">
            <v>0.8</v>
          </cell>
          <cell r="H15686" t="str">
            <v>biomass</v>
          </cell>
        </row>
        <row r="15687">
          <cell r="C15687" t="str">
            <v>IC</v>
          </cell>
          <cell r="D15687">
            <v>0.8</v>
          </cell>
          <cell r="H15687" t="str">
            <v>biomass</v>
          </cell>
        </row>
        <row r="15688">
          <cell r="C15688" t="str">
            <v>IC</v>
          </cell>
          <cell r="D15688">
            <v>0.8</v>
          </cell>
          <cell r="H15688" t="str">
            <v>biomass</v>
          </cell>
        </row>
        <row r="15689">
          <cell r="C15689" t="str">
            <v>IC</v>
          </cell>
          <cell r="D15689">
            <v>0.8</v>
          </cell>
          <cell r="H15689" t="str">
            <v>biomass</v>
          </cell>
        </row>
        <row r="15690">
          <cell r="C15690" t="str">
            <v>IC</v>
          </cell>
          <cell r="D15690">
            <v>0.8</v>
          </cell>
          <cell r="H15690" t="str">
            <v>biomass</v>
          </cell>
        </row>
        <row r="15691">
          <cell r="C15691" t="str">
            <v>IC</v>
          </cell>
          <cell r="D15691">
            <v>0.8</v>
          </cell>
          <cell r="H15691" t="str">
            <v>biomass</v>
          </cell>
        </row>
        <row r="15692">
          <cell r="C15692" t="str">
            <v>WT</v>
          </cell>
          <cell r="D15692">
            <v>19.5</v>
          </cell>
          <cell r="H15692" t="str">
            <v>onshore wind</v>
          </cell>
        </row>
        <row r="15693">
          <cell r="C15693" t="str">
            <v>ST</v>
          </cell>
          <cell r="D15693">
            <v>5.3</v>
          </cell>
          <cell r="H15693" t="str">
            <v>other</v>
          </cell>
        </row>
        <row r="15694">
          <cell r="C15694" t="str">
            <v>IC</v>
          </cell>
          <cell r="D15694">
            <v>0.6</v>
          </cell>
          <cell r="H15694" t="str">
            <v>biomass</v>
          </cell>
        </row>
        <row r="15695">
          <cell r="C15695" t="str">
            <v>IC</v>
          </cell>
          <cell r="D15695">
            <v>0.6</v>
          </cell>
          <cell r="H15695" t="str">
            <v>biomass</v>
          </cell>
        </row>
        <row r="15696">
          <cell r="C15696" t="str">
            <v>WT</v>
          </cell>
          <cell r="D15696">
            <v>71</v>
          </cell>
          <cell r="H15696" t="str">
            <v>onshore wind</v>
          </cell>
        </row>
        <row r="15697">
          <cell r="C15697" t="str">
            <v>WT</v>
          </cell>
          <cell r="D15697">
            <v>25.1</v>
          </cell>
          <cell r="H15697" t="str">
            <v>onshore wind</v>
          </cell>
        </row>
        <row r="15698">
          <cell r="C15698" t="str">
            <v>WT</v>
          </cell>
          <cell r="D15698">
            <v>2</v>
          </cell>
          <cell r="H15698" t="str">
            <v>onshore wind</v>
          </cell>
        </row>
        <row r="15699">
          <cell r="C15699" t="str">
            <v>WT</v>
          </cell>
          <cell r="D15699">
            <v>98.7</v>
          </cell>
          <cell r="H15699" t="str">
            <v>onshore wind</v>
          </cell>
        </row>
        <row r="15700">
          <cell r="C15700" t="str">
            <v>GT</v>
          </cell>
          <cell r="D15700">
            <v>3.5</v>
          </cell>
          <cell r="H15700" t="str">
            <v>natural gas peaker</v>
          </cell>
        </row>
        <row r="15701">
          <cell r="C15701" t="str">
            <v>WT</v>
          </cell>
          <cell r="D15701">
            <v>3.2</v>
          </cell>
          <cell r="H15701" t="str">
            <v>onshore wind</v>
          </cell>
        </row>
        <row r="15702">
          <cell r="C15702" t="str">
            <v>IC</v>
          </cell>
          <cell r="D15702">
            <v>1.6</v>
          </cell>
          <cell r="H15702" t="str">
            <v>biomass</v>
          </cell>
        </row>
        <row r="15703">
          <cell r="C15703" t="str">
            <v>IC</v>
          </cell>
          <cell r="D15703">
            <v>1.6</v>
          </cell>
          <cell r="H15703" t="str">
            <v>biomass</v>
          </cell>
        </row>
        <row r="15704">
          <cell r="C15704" t="str">
            <v>HY</v>
          </cell>
          <cell r="D15704">
            <v>0.5</v>
          </cell>
          <cell r="H15704" t="str">
            <v>hydro</v>
          </cell>
        </row>
        <row r="15705">
          <cell r="C15705" t="str">
            <v>HY</v>
          </cell>
          <cell r="D15705">
            <v>0.6</v>
          </cell>
          <cell r="H15705" t="str">
            <v>hydro</v>
          </cell>
        </row>
        <row r="15706">
          <cell r="C15706" t="str">
            <v>HY</v>
          </cell>
          <cell r="D15706">
            <v>0.8</v>
          </cell>
          <cell r="H15706" t="str">
            <v>hydro</v>
          </cell>
        </row>
        <row r="15707">
          <cell r="C15707" t="str">
            <v>HY</v>
          </cell>
          <cell r="D15707">
            <v>0.8</v>
          </cell>
          <cell r="H15707" t="str">
            <v>hydro</v>
          </cell>
        </row>
        <row r="15708">
          <cell r="C15708" t="str">
            <v>IC</v>
          </cell>
          <cell r="D15708">
            <v>1.6</v>
          </cell>
          <cell r="H15708" t="str">
            <v>biomass</v>
          </cell>
        </row>
        <row r="15709">
          <cell r="C15709" t="str">
            <v>IC</v>
          </cell>
          <cell r="D15709">
            <v>1.6</v>
          </cell>
          <cell r="H15709" t="str">
            <v>biomass</v>
          </cell>
        </row>
        <row r="15710">
          <cell r="C15710" t="str">
            <v>IC</v>
          </cell>
          <cell r="D15710">
            <v>1.6</v>
          </cell>
          <cell r="H15710" t="str">
            <v>biomass</v>
          </cell>
        </row>
        <row r="15711">
          <cell r="C15711" t="str">
            <v>IC</v>
          </cell>
          <cell r="D15711">
            <v>1.6</v>
          </cell>
          <cell r="H15711" t="str">
            <v>biomass</v>
          </cell>
        </row>
        <row r="15712">
          <cell r="C15712" t="str">
            <v>IC</v>
          </cell>
          <cell r="D15712">
            <v>1.6</v>
          </cell>
          <cell r="H15712" t="str">
            <v>biomass</v>
          </cell>
        </row>
        <row r="15713">
          <cell r="C15713" t="str">
            <v>IC</v>
          </cell>
          <cell r="D15713">
            <v>1.6</v>
          </cell>
          <cell r="H15713" t="str">
            <v>biomass</v>
          </cell>
        </row>
        <row r="15714">
          <cell r="C15714" t="str">
            <v>WT</v>
          </cell>
          <cell r="D15714">
            <v>4.5</v>
          </cell>
          <cell r="H15714" t="str">
            <v>onshore wind</v>
          </cell>
        </row>
        <row r="15715">
          <cell r="C15715" t="str">
            <v>WT</v>
          </cell>
          <cell r="D15715">
            <v>4.5</v>
          </cell>
          <cell r="H15715" t="str">
            <v>onshore wind</v>
          </cell>
        </row>
        <row r="15716">
          <cell r="C15716" t="str">
            <v>WT</v>
          </cell>
          <cell r="D15716">
            <v>90</v>
          </cell>
          <cell r="H15716" t="str">
            <v>onshore wind</v>
          </cell>
        </row>
        <row r="15717">
          <cell r="C15717" t="str">
            <v>WT</v>
          </cell>
          <cell r="D15717">
            <v>150</v>
          </cell>
          <cell r="H15717" t="str">
            <v>onshore wind</v>
          </cell>
        </row>
        <row r="15718">
          <cell r="C15718" t="str">
            <v>HY</v>
          </cell>
          <cell r="D15718">
            <v>1.9</v>
          </cell>
          <cell r="H15718" t="str">
            <v>hydro</v>
          </cell>
        </row>
        <row r="15719">
          <cell r="C15719" t="str">
            <v>HY</v>
          </cell>
          <cell r="D15719">
            <v>0.8</v>
          </cell>
          <cell r="H15719" t="str">
            <v>hydro</v>
          </cell>
        </row>
        <row r="15720">
          <cell r="C15720" t="str">
            <v>HY</v>
          </cell>
          <cell r="D15720">
            <v>1.9</v>
          </cell>
          <cell r="H15720" t="str">
            <v>hydro</v>
          </cell>
        </row>
        <row r="15721">
          <cell r="C15721" t="str">
            <v>HY</v>
          </cell>
          <cell r="D15721">
            <v>1</v>
          </cell>
          <cell r="H15721" t="str">
            <v>hydro</v>
          </cell>
        </row>
        <row r="15722">
          <cell r="C15722" t="str">
            <v>HY</v>
          </cell>
          <cell r="D15722">
            <v>1</v>
          </cell>
          <cell r="H15722" t="str">
            <v>hydro</v>
          </cell>
        </row>
        <row r="15723">
          <cell r="C15723" t="str">
            <v>HY</v>
          </cell>
          <cell r="D15723">
            <v>2.4</v>
          </cell>
          <cell r="H15723" t="str">
            <v>hydro</v>
          </cell>
        </row>
        <row r="15724">
          <cell r="C15724" t="str">
            <v>PV</v>
          </cell>
          <cell r="D15724">
            <v>9</v>
          </cell>
          <cell r="H15724" t="str">
            <v>solar PV</v>
          </cell>
        </row>
        <row r="15725">
          <cell r="C15725" t="str">
            <v>WT</v>
          </cell>
          <cell r="D15725">
            <v>150</v>
          </cell>
          <cell r="H15725" t="str">
            <v>onshore wind</v>
          </cell>
        </row>
        <row r="15726">
          <cell r="C15726" t="str">
            <v>WT</v>
          </cell>
          <cell r="D15726">
            <v>99</v>
          </cell>
          <cell r="H15726" t="str">
            <v>onshore wind</v>
          </cell>
        </row>
        <row r="15727">
          <cell r="C15727" t="str">
            <v>WT</v>
          </cell>
          <cell r="D15727">
            <v>342.7</v>
          </cell>
          <cell r="H15727" t="str">
            <v>onshore wind</v>
          </cell>
        </row>
        <row r="15728">
          <cell r="C15728" t="str">
            <v>IC</v>
          </cell>
          <cell r="D15728">
            <v>1.8</v>
          </cell>
          <cell r="H15728" t="str">
            <v>petroleum</v>
          </cell>
        </row>
        <row r="15729">
          <cell r="C15729" t="str">
            <v>PV</v>
          </cell>
          <cell r="D15729">
            <v>13.5</v>
          </cell>
          <cell r="H15729" t="str">
            <v>solar PV</v>
          </cell>
        </row>
        <row r="15730">
          <cell r="C15730" t="str">
            <v>WT</v>
          </cell>
          <cell r="D15730">
            <v>201.3</v>
          </cell>
          <cell r="H15730" t="str">
            <v>onshore wind</v>
          </cell>
        </row>
        <row r="15731">
          <cell r="C15731" t="str">
            <v>WT</v>
          </cell>
          <cell r="D15731">
            <v>24</v>
          </cell>
          <cell r="H15731" t="str">
            <v>onshore wind</v>
          </cell>
        </row>
        <row r="15732">
          <cell r="C15732" t="str">
            <v>PV</v>
          </cell>
          <cell r="D15732">
            <v>1</v>
          </cell>
          <cell r="H15732" t="str">
            <v>solar PV</v>
          </cell>
        </row>
        <row r="15733">
          <cell r="C15733" t="str">
            <v>WT</v>
          </cell>
          <cell r="D15733">
            <v>36.799999999999997</v>
          </cell>
          <cell r="H15733" t="str">
            <v>onshore wind</v>
          </cell>
        </row>
        <row r="15734">
          <cell r="C15734" t="str">
            <v>PV</v>
          </cell>
          <cell r="D15734">
            <v>12.5</v>
          </cell>
          <cell r="H15734" t="str">
            <v>solar PV</v>
          </cell>
        </row>
        <row r="15735">
          <cell r="C15735" t="str">
            <v>PV</v>
          </cell>
          <cell r="D15735">
            <v>10</v>
          </cell>
          <cell r="H15735" t="str">
            <v>solar PV</v>
          </cell>
        </row>
        <row r="15736">
          <cell r="C15736" t="str">
            <v>PV</v>
          </cell>
          <cell r="D15736">
            <v>2.2000000000000002</v>
          </cell>
          <cell r="H15736" t="str">
            <v>solar PV</v>
          </cell>
        </row>
        <row r="15737">
          <cell r="C15737" t="str">
            <v>PV</v>
          </cell>
          <cell r="D15737">
            <v>8</v>
          </cell>
          <cell r="H15737" t="str">
            <v>solar PV</v>
          </cell>
        </row>
        <row r="15738">
          <cell r="C15738" t="str">
            <v>PV</v>
          </cell>
          <cell r="D15738">
            <v>10</v>
          </cell>
          <cell r="H15738" t="str">
            <v>solar PV</v>
          </cell>
        </row>
        <row r="15739">
          <cell r="C15739" t="str">
            <v>PV</v>
          </cell>
          <cell r="D15739">
            <v>10</v>
          </cell>
          <cell r="H15739" t="str">
            <v>solar PV</v>
          </cell>
        </row>
        <row r="15740">
          <cell r="C15740" t="str">
            <v>PV</v>
          </cell>
          <cell r="D15740">
            <v>10</v>
          </cell>
          <cell r="H15740" t="str">
            <v>solar PV</v>
          </cell>
        </row>
        <row r="15741">
          <cell r="C15741" t="str">
            <v>PV</v>
          </cell>
          <cell r="D15741">
            <v>10</v>
          </cell>
          <cell r="H15741" t="str">
            <v>solar PV</v>
          </cell>
        </row>
        <row r="15742">
          <cell r="C15742" t="str">
            <v>GT</v>
          </cell>
          <cell r="D15742">
            <v>44</v>
          </cell>
          <cell r="H15742" t="str">
            <v>natural gas peaker</v>
          </cell>
        </row>
        <row r="15743">
          <cell r="C15743" t="str">
            <v>IC</v>
          </cell>
          <cell r="D15743">
            <v>0.6</v>
          </cell>
          <cell r="H15743" t="str">
            <v>petroleum</v>
          </cell>
        </row>
        <row r="15744">
          <cell r="C15744" t="str">
            <v>IC</v>
          </cell>
          <cell r="D15744">
            <v>0.6</v>
          </cell>
          <cell r="H15744" t="str">
            <v>petroleum</v>
          </cell>
        </row>
        <row r="15745">
          <cell r="C15745" t="str">
            <v>IC</v>
          </cell>
          <cell r="D15745">
            <v>0.6</v>
          </cell>
          <cell r="H15745" t="str">
            <v>petroleum</v>
          </cell>
        </row>
        <row r="15746">
          <cell r="C15746" t="str">
            <v>IC</v>
          </cell>
          <cell r="D15746">
            <v>0.6</v>
          </cell>
          <cell r="H15746" t="str">
            <v>petroleum</v>
          </cell>
        </row>
        <row r="15747">
          <cell r="C15747" t="str">
            <v>IC</v>
          </cell>
          <cell r="D15747">
            <v>0.6</v>
          </cell>
          <cell r="H15747" t="str">
            <v>petroleum</v>
          </cell>
        </row>
        <row r="15748">
          <cell r="C15748" t="str">
            <v>WT</v>
          </cell>
          <cell r="D15748">
            <v>248.3</v>
          </cell>
          <cell r="H15748" t="str">
            <v>onshore wind</v>
          </cell>
        </row>
        <row r="15749">
          <cell r="C15749" t="str">
            <v>WT</v>
          </cell>
          <cell r="D15749">
            <v>124.5</v>
          </cell>
          <cell r="H15749" t="str">
            <v>onshore wind</v>
          </cell>
        </row>
        <row r="15750">
          <cell r="C15750" t="str">
            <v>WT</v>
          </cell>
          <cell r="D15750">
            <v>200.1</v>
          </cell>
          <cell r="H15750" t="str">
            <v>onshore wind</v>
          </cell>
        </row>
        <row r="15751">
          <cell r="C15751" t="str">
            <v>BT</v>
          </cell>
          <cell r="D15751">
            <v>10.1</v>
          </cell>
          <cell r="H15751" t="str">
            <v>geothermal</v>
          </cell>
        </row>
        <row r="15752">
          <cell r="C15752" t="str">
            <v>BT</v>
          </cell>
          <cell r="D15752">
            <v>10.1</v>
          </cell>
          <cell r="H15752" t="str">
            <v>geothermal</v>
          </cell>
        </row>
        <row r="15753">
          <cell r="C15753" t="str">
            <v>WT</v>
          </cell>
          <cell r="D15753">
            <v>0.9</v>
          </cell>
          <cell r="H15753" t="str">
            <v>onshore wind</v>
          </cell>
        </row>
        <row r="15754">
          <cell r="C15754" t="str">
            <v>WT</v>
          </cell>
          <cell r="D15754">
            <v>0.9</v>
          </cell>
          <cell r="H15754" t="str">
            <v>onshore wind</v>
          </cell>
        </row>
        <row r="15755">
          <cell r="C15755" t="str">
            <v>WT</v>
          </cell>
          <cell r="D15755">
            <v>0.9</v>
          </cell>
          <cell r="H15755" t="str">
            <v>onshore wind</v>
          </cell>
        </row>
        <row r="15756">
          <cell r="C15756" t="str">
            <v>PV</v>
          </cell>
          <cell r="D15756">
            <v>1</v>
          </cell>
          <cell r="H15756" t="str">
            <v>solar PV</v>
          </cell>
        </row>
        <row r="15757">
          <cell r="C15757" t="str">
            <v>PV</v>
          </cell>
          <cell r="D15757">
            <v>1</v>
          </cell>
          <cell r="H15757" t="str">
            <v>solar PV</v>
          </cell>
        </row>
        <row r="15758">
          <cell r="C15758" t="str">
            <v>PV</v>
          </cell>
          <cell r="D15758">
            <v>0.8</v>
          </cell>
          <cell r="H15758" t="str">
            <v>solar PV</v>
          </cell>
        </row>
        <row r="15759">
          <cell r="C15759" t="str">
            <v>PV</v>
          </cell>
          <cell r="D15759">
            <v>0.5</v>
          </cell>
          <cell r="H15759" t="str">
            <v>solar PV</v>
          </cell>
        </row>
        <row r="15760">
          <cell r="C15760" t="str">
            <v>PV</v>
          </cell>
          <cell r="D15760">
            <v>0.5</v>
          </cell>
          <cell r="H15760" t="str">
            <v>solar PV</v>
          </cell>
        </row>
        <row r="15761">
          <cell r="C15761" t="str">
            <v>PV</v>
          </cell>
          <cell r="D15761">
            <v>0.5</v>
          </cell>
          <cell r="H15761" t="str">
            <v>solar PV</v>
          </cell>
        </row>
        <row r="15762">
          <cell r="C15762" t="str">
            <v>PV</v>
          </cell>
          <cell r="D15762">
            <v>0.5</v>
          </cell>
          <cell r="H15762" t="str">
            <v>solar PV</v>
          </cell>
        </row>
        <row r="15763">
          <cell r="C15763" t="str">
            <v>PV</v>
          </cell>
          <cell r="D15763">
            <v>0.5</v>
          </cell>
          <cell r="H15763" t="str">
            <v>solar PV</v>
          </cell>
        </row>
        <row r="15764">
          <cell r="C15764" t="str">
            <v>PV</v>
          </cell>
          <cell r="D15764">
            <v>0.5</v>
          </cell>
          <cell r="H15764" t="str">
            <v>solar PV</v>
          </cell>
        </row>
        <row r="15765">
          <cell r="C15765" t="str">
            <v>PV</v>
          </cell>
          <cell r="D15765">
            <v>0.5</v>
          </cell>
          <cell r="H15765" t="str">
            <v>solar PV</v>
          </cell>
        </row>
        <row r="15766">
          <cell r="C15766" t="str">
            <v>PV</v>
          </cell>
          <cell r="D15766">
            <v>0.5</v>
          </cell>
          <cell r="H15766" t="str">
            <v>solar PV</v>
          </cell>
        </row>
        <row r="15767">
          <cell r="C15767" t="str">
            <v>PV</v>
          </cell>
          <cell r="D15767">
            <v>0.5</v>
          </cell>
          <cell r="H15767" t="str">
            <v>solar PV</v>
          </cell>
        </row>
        <row r="15768">
          <cell r="C15768" t="str">
            <v>PV</v>
          </cell>
          <cell r="D15768">
            <v>0.5</v>
          </cell>
          <cell r="H15768" t="str">
            <v>solar PV</v>
          </cell>
        </row>
        <row r="15769">
          <cell r="C15769" t="str">
            <v>PV</v>
          </cell>
          <cell r="D15769">
            <v>0.5</v>
          </cell>
          <cell r="H15769" t="str">
            <v>solar PV</v>
          </cell>
        </row>
        <row r="15770">
          <cell r="C15770" t="str">
            <v>PV</v>
          </cell>
          <cell r="D15770">
            <v>0.5</v>
          </cell>
          <cell r="H15770" t="str">
            <v>solar PV</v>
          </cell>
        </row>
        <row r="15771">
          <cell r="C15771" t="str">
            <v>PV</v>
          </cell>
          <cell r="D15771">
            <v>0.5</v>
          </cell>
          <cell r="H15771" t="str">
            <v>solar PV</v>
          </cell>
        </row>
        <row r="15772">
          <cell r="C15772" t="str">
            <v>PV</v>
          </cell>
          <cell r="D15772">
            <v>0.5</v>
          </cell>
          <cell r="H15772" t="str">
            <v>solar PV</v>
          </cell>
        </row>
        <row r="15773">
          <cell r="C15773" t="str">
            <v>PV</v>
          </cell>
          <cell r="D15773">
            <v>0.5</v>
          </cell>
          <cell r="H15773" t="str">
            <v>solar PV</v>
          </cell>
        </row>
        <row r="15774">
          <cell r="C15774" t="str">
            <v>PV</v>
          </cell>
          <cell r="D15774">
            <v>0.5</v>
          </cell>
          <cell r="H15774" t="str">
            <v>solar PV</v>
          </cell>
        </row>
        <row r="15775">
          <cell r="C15775" t="str">
            <v>PV</v>
          </cell>
          <cell r="D15775">
            <v>0.5</v>
          </cell>
          <cell r="H15775" t="str">
            <v>solar PV</v>
          </cell>
        </row>
        <row r="15776">
          <cell r="C15776" t="str">
            <v>PV</v>
          </cell>
          <cell r="D15776">
            <v>0.5</v>
          </cell>
          <cell r="H15776" t="str">
            <v>solar PV</v>
          </cell>
        </row>
        <row r="15777">
          <cell r="C15777" t="str">
            <v>PV</v>
          </cell>
          <cell r="D15777">
            <v>0.5</v>
          </cell>
          <cell r="H15777" t="str">
            <v>solar PV</v>
          </cell>
        </row>
        <row r="15778">
          <cell r="C15778" t="str">
            <v>PV</v>
          </cell>
          <cell r="D15778">
            <v>0.5</v>
          </cell>
          <cell r="H15778" t="str">
            <v>solar PV</v>
          </cell>
        </row>
        <row r="15779">
          <cell r="C15779" t="str">
            <v>PV</v>
          </cell>
          <cell r="D15779">
            <v>0.5</v>
          </cell>
          <cell r="H15779" t="str">
            <v>solar PV</v>
          </cell>
        </row>
        <row r="15780">
          <cell r="C15780" t="str">
            <v>PV</v>
          </cell>
          <cell r="D15780">
            <v>0.5</v>
          </cell>
          <cell r="H15780" t="str">
            <v>solar PV</v>
          </cell>
        </row>
        <row r="15781">
          <cell r="C15781" t="str">
            <v>PV</v>
          </cell>
          <cell r="D15781">
            <v>0.5</v>
          </cell>
          <cell r="H15781" t="str">
            <v>solar PV</v>
          </cell>
        </row>
        <row r="15782">
          <cell r="C15782" t="str">
            <v>PV</v>
          </cell>
          <cell r="D15782">
            <v>0.5</v>
          </cell>
          <cell r="H15782" t="str">
            <v>solar PV</v>
          </cell>
        </row>
        <row r="15783">
          <cell r="C15783" t="str">
            <v>PV</v>
          </cell>
          <cell r="D15783">
            <v>0.5</v>
          </cell>
          <cell r="H15783" t="str">
            <v>solar PV</v>
          </cell>
        </row>
        <row r="15784">
          <cell r="C15784" t="str">
            <v>PV</v>
          </cell>
          <cell r="D15784">
            <v>0.5</v>
          </cell>
          <cell r="H15784" t="str">
            <v>solar PV</v>
          </cell>
        </row>
        <row r="15785">
          <cell r="C15785" t="str">
            <v>PV</v>
          </cell>
          <cell r="D15785">
            <v>0.5</v>
          </cell>
          <cell r="H15785" t="str">
            <v>solar PV</v>
          </cell>
        </row>
        <row r="15786">
          <cell r="C15786" t="str">
            <v>PV</v>
          </cell>
          <cell r="D15786">
            <v>0.5</v>
          </cell>
          <cell r="H15786" t="str">
            <v>solar PV</v>
          </cell>
        </row>
        <row r="15787">
          <cell r="C15787" t="str">
            <v>PV</v>
          </cell>
          <cell r="D15787">
            <v>0.5</v>
          </cell>
          <cell r="H15787" t="str">
            <v>solar PV</v>
          </cell>
        </row>
        <row r="15788">
          <cell r="C15788" t="str">
            <v>PV</v>
          </cell>
          <cell r="D15788">
            <v>0.5</v>
          </cell>
          <cell r="H15788" t="str">
            <v>solar PV</v>
          </cell>
        </row>
        <row r="15789">
          <cell r="C15789" t="str">
            <v>PV</v>
          </cell>
          <cell r="D15789">
            <v>0.5</v>
          </cell>
          <cell r="H15789" t="str">
            <v>solar PV</v>
          </cell>
        </row>
        <row r="15790">
          <cell r="C15790" t="str">
            <v>PV</v>
          </cell>
          <cell r="D15790">
            <v>0.5</v>
          </cell>
          <cell r="H15790" t="str">
            <v>solar PV</v>
          </cell>
        </row>
        <row r="15791">
          <cell r="C15791" t="str">
            <v>PV</v>
          </cell>
          <cell r="D15791">
            <v>0.5</v>
          </cell>
          <cell r="H15791" t="str">
            <v>solar PV</v>
          </cell>
        </row>
        <row r="15792">
          <cell r="C15792" t="str">
            <v>PV</v>
          </cell>
          <cell r="D15792">
            <v>0.5</v>
          </cell>
          <cell r="H15792" t="str">
            <v>solar PV</v>
          </cell>
        </row>
        <row r="15793">
          <cell r="C15793" t="str">
            <v>PV</v>
          </cell>
          <cell r="D15793">
            <v>0.5</v>
          </cell>
          <cell r="H15793" t="str">
            <v>solar PV</v>
          </cell>
        </row>
        <row r="15794">
          <cell r="C15794" t="str">
            <v>PV</v>
          </cell>
          <cell r="D15794">
            <v>0.5</v>
          </cell>
          <cell r="H15794" t="str">
            <v>solar PV</v>
          </cell>
        </row>
        <row r="15795">
          <cell r="C15795" t="str">
            <v>PV</v>
          </cell>
          <cell r="D15795">
            <v>0.5</v>
          </cell>
          <cell r="H15795" t="str">
            <v>solar PV</v>
          </cell>
        </row>
        <row r="15796">
          <cell r="C15796" t="str">
            <v>PV</v>
          </cell>
          <cell r="D15796">
            <v>0.5</v>
          </cell>
          <cell r="H15796" t="str">
            <v>solar PV</v>
          </cell>
        </row>
        <row r="15797">
          <cell r="C15797" t="str">
            <v>PV</v>
          </cell>
          <cell r="D15797">
            <v>0.5</v>
          </cell>
          <cell r="H15797" t="str">
            <v>solar PV</v>
          </cell>
        </row>
        <row r="15798">
          <cell r="C15798" t="str">
            <v>PV</v>
          </cell>
          <cell r="D15798">
            <v>0.5</v>
          </cell>
          <cell r="H15798" t="str">
            <v>solar PV</v>
          </cell>
        </row>
        <row r="15799">
          <cell r="C15799" t="str">
            <v>PV</v>
          </cell>
          <cell r="D15799">
            <v>0.5</v>
          </cell>
          <cell r="H15799" t="str">
            <v>solar PV</v>
          </cell>
        </row>
        <row r="15800">
          <cell r="C15800" t="str">
            <v>PV</v>
          </cell>
          <cell r="D15800">
            <v>0.5</v>
          </cell>
          <cell r="H15800" t="str">
            <v>solar PV</v>
          </cell>
        </row>
        <row r="15801">
          <cell r="C15801" t="str">
            <v>PV</v>
          </cell>
          <cell r="D15801">
            <v>0.5</v>
          </cell>
          <cell r="H15801" t="str">
            <v>solar PV</v>
          </cell>
        </row>
        <row r="15802">
          <cell r="C15802" t="str">
            <v>PV</v>
          </cell>
          <cell r="D15802">
            <v>0.5</v>
          </cell>
          <cell r="H15802" t="str">
            <v>solar PV</v>
          </cell>
        </row>
        <row r="15803">
          <cell r="C15803" t="str">
            <v>PV</v>
          </cell>
          <cell r="D15803">
            <v>0.5</v>
          </cell>
          <cell r="H15803" t="str">
            <v>solar PV</v>
          </cell>
        </row>
        <row r="15804">
          <cell r="C15804" t="str">
            <v>PV</v>
          </cell>
          <cell r="D15804">
            <v>0.5</v>
          </cell>
          <cell r="H15804" t="str">
            <v>solar PV</v>
          </cell>
        </row>
        <row r="15805">
          <cell r="C15805" t="str">
            <v>PV</v>
          </cell>
          <cell r="D15805">
            <v>0.5</v>
          </cell>
          <cell r="H15805" t="str">
            <v>solar PV</v>
          </cell>
        </row>
        <row r="15806">
          <cell r="C15806" t="str">
            <v>PV</v>
          </cell>
          <cell r="D15806">
            <v>0.5</v>
          </cell>
          <cell r="H15806" t="str">
            <v>solar PV</v>
          </cell>
        </row>
        <row r="15807">
          <cell r="C15807" t="str">
            <v>PV</v>
          </cell>
          <cell r="D15807">
            <v>0.5</v>
          </cell>
          <cell r="H15807" t="str">
            <v>solar PV</v>
          </cell>
        </row>
        <row r="15808">
          <cell r="C15808" t="str">
            <v>PV</v>
          </cell>
          <cell r="D15808">
            <v>0.5</v>
          </cell>
          <cell r="H15808" t="str">
            <v>solar PV</v>
          </cell>
        </row>
        <row r="15809">
          <cell r="C15809" t="str">
            <v>PV</v>
          </cell>
          <cell r="D15809">
            <v>0.5</v>
          </cell>
          <cell r="H15809" t="str">
            <v>solar PV</v>
          </cell>
        </row>
        <row r="15810">
          <cell r="C15810" t="str">
            <v>PV</v>
          </cell>
          <cell r="D15810">
            <v>0.5</v>
          </cell>
          <cell r="H15810" t="str">
            <v>solar PV</v>
          </cell>
        </row>
        <row r="15811">
          <cell r="C15811" t="str">
            <v>PV</v>
          </cell>
          <cell r="D15811">
            <v>0.5</v>
          </cell>
          <cell r="H15811" t="str">
            <v>solar PV</v>
          </cell>
        </row>
        <row r="15812">
          <cell r="C15812" t="str">
            <v>PV</v>
          </cell>
          <cell r="D15812">
            <v>0.5</v>
          </cell>
          <cell r="H15812" t="str">
            <v>solar PV</v>
          </cell>
        </row>
        <row r="15813">
          <cell r="C15813" t="str">
            <v>PV</v>
          </cell>
          <cell r="D15813">
            <v>0.5</v>
          </cell>
          <cell r="H15813" t="str">
            <v>solar PV</v>
          </cell>
        </row>
        <row r="15814">
          <cell r="C15814" t="str">
            <v>PV</v>
          </cell>
          <cell r="D15814">
            <v>0.5</v>
          </cell>
          <cell r="H15814" t="str">
            <v>solar PV</v>
          </cell>
        </row>
        <row r="15815">
          <cell r="C15815" t="str">
            <v>PV</v>
          </cell>
          <cell r="D15815">
            <v>0.5</v>
          </cell>
          <cell r="H15815" t="str">
            <v>solar PV</v>
          </cell>
        </row>
        <row r="15816">
          <cell r="C15816" t="str">
            <v>PV</v>
          </cell>
          <cell r="D15816">
            <v>0.5</v>
          </cell>
          <cell r="H15816" t="str">
            <v>solar PV</v>
          </cell>
        </row>
        <row r="15817">
          <cell r="C15817" t="str">
            <v>PV</v>
          </cell>
          <cell r="D15817">
            <v>0.5</v>
          </cell>
          <cell r="H15817" t="str">
            <v>solar PV</v>
          </cell>
        </row>
        <row r="15818">
          <cell r="C15818" t="str">
            <v>PV</v>
          </cell>
          <cell r="D15818">
            <v>0.5</v>
          </cell>
          <cell r="H15818" t="str">
            <v>solar PV</v>
          </cell>
        </row>
        <row r="15819">
          <cell r="C15819" t="str">
            <v>PV</v>
          </cell>
          <cell r="D15819">
            <v>0.5</v>
          </cell>
          <cell r="H15819" t="str">
            <v>solar PV</v>
          </cell>
        </row>
        <row r="15820">
          <cell r="C15820" t="str">
            <v>PV</v>
          </cell>
          <cell r="D15820">
            <v>0.5</v>
          </cell>
          <cell r="H15820" t="str">
            <v>solar PV</v>
          </cell>
        </row>
        <row r="15821">
          <cell r="C15821" t="str">
            <v>PV</v>
          </cell>
          <cell r="D15821">
            <v>0.5</v>
          </cell>
          <cell r="H15821" t="str">
            <v>solar PV</v>
          </cell>
        </row>
        <row r="15822">
          <cell r="C15822" t="str">
            <v>PV</v>
          </cell>
          <cell r="D15822">
            <v>0.5</v>
          </cell>
          <cell r="H15822" t="str">
            <v>solar PV</v>
          </cell>
        </row>
        <row r="15823">
          <cell r="C15823" t="str">
            <v>PV</v>
          </cell>
          <cell r="D15823">
            <v>0.5</v>
          </cell>
          <cell r="H15823" t="str">
            <v>solar PV</v>
          </cell>
        </row>
        <row r="15824">
          <cell r="C15824" t="str">
            <v>PV</v>
          </cell>
          <cell r="D15824">
            <v>0.5</v>
          </cell>
          <cell r="H15824" t="str">
            <v>solar PV</v>
          </cell>
        </row>
        <row r="15825">
          <cell r="C15825" t="str">
            <v>PV</v>
          </cell>
          <cell r="D15825">
            <v>0.5</v>
          </cell>
          <cell r="H15825" t="str">
            <v>solar PV</v>
          </cell>
        </row>
        <row r="15826">
          <cell r="C15826" t="str">
            <v>PV</v>
          </cell>
          <cell r="D15826">
            <v>0.5</v>
          </cell>
          <cell r="H15826" t="str">
            <v>solar PV</v>
          </cell>
        </row>
        <row r="15827">
          <cell r="C15827" t="str">
            <v>PV</v>
          </cell>
          <cell r="D15827">
            <v>0.5</v>
          </cell>
          <cell r="H15827" t="str">
            <v>solar PV</v>
          </cell>
        </row>
        <row r="15828">
          <cell r="C15828" t="str">
            <v>WT</v>
          </cell>
          <cell r="D15828">
            <v>40</v>
          </cell>
          <cell r="H15828" t="str">
            <v>onshore wind</v>
          </cell>
        </row>
        <row r="15829">
          <cell r="C15829" t="str">
            <v>WT</v>
          </cell>
          <cell r="D15829">
            <v>10</v>
          </cell>
          <cell r="H15829" t="str">
            <v>onshore wind</v>
          </cell>
        </row>
        <row r="15830">
          <cell r="C15830" t="str">
            <v>ST</v>
          </cell>
          <cell r="D15830">
            <v>102.5</v>
          </cell>
          <cell r="H15830" t="str">
            <v>biomass</v>
          </cell>
        </row>
        <row r="15831">
          <cell r="C15831" t="str">
            <v>PV</v>
          </cell>
          <cell r="D15831">
            <v>30.6</v>
          </cell>
          <cell r="H15831" t="str">
            <v>solar PV</v>
          </cell>
        </row>
        <row r="15832">
          <cell r="C15832" t="str">
            <v>WT</v>
          </cell>
          <cell r="D15832">
            <v>51</v>
          </cell>
          <cell r="H15832" t="str">
            <v>onshore wind</v>
          </cell>
        </row>
        <row r="15833">
          <cell r="C15833" t="str">
            <v>PV</v>
          </cell>
          <cell r="D15833">
            <v>0.5</v>
          </cell>
          <cell r="H15833" t="str">
            <v>solar PV</v>
          </cell>
        </row>
        <row r="15834">
          <cell r="C15834" t="str">
            <v>PV</v>
          </cell>
          <cell r="D15834">
            <v>0.5</v>
          </cell>
          <cell r="H15834" t="str">
            <v>solar PV</v>
          </cell>
        </row>
        <row r="15835">
          <cell r="C15835" t="str">
            <v>PV</v>
          </cell>
          <cell r="D15835">
            <v>0.5</v>
          </cell>
          <cell r="H15835" t="str">
            <v>solar PV</v>
          </cell>
        </row>
        <row r="15836">
          <cell r="C15836" t="str">
            <v>PV</v>
          </cell>
          <cell r="D15836">
            <v>0.5</v>
          </cell>
          <cell r="H15836" t="str">
            <v>solar PV</v>
          </cell>
        </row>
        <row r="15837">
          <cell r="C15837" t="str">
            <v>PV</v>
          </cell>
          <cell r="D15837">
            <v>0.5</v>
          </cell>
          <cell r="H15837" t="str">
            <v>solar PV</v>
          </cell>
        </row>
        <row r="15838">
          <cell r="C15838" t="str">
            <v>PV</v>
          </cell>
          <cell r="D15838">
            <v>0.5</v>
          </cell>
          <cell r="H15838" t="str">
            <v>solar PV</v>
          </cell>
        </row>
        <row r="15839">
          <cell r="C15839" t="str">
            <v>PV</v>
          </cell>
          <cell r="D15839">
            <v>0.5</v>
          </cell>
          <cell r="H15839" t="str">
            <v>solar PV</v>
          </cell>
        </row>
        <row r="15840">
          <cell r="C15840" t="str">
            <v>PV</v>
          </cell>
          <cell r="D15840">
            <v>0.5</v>
          </cell>
          <cell r="H15840" t="str">
            <v>solar PV</v>
          </cell>
        </row>
        <row r="15841">
          <cell r="C15841" t="str">
            <v>PV</v>
          </cell>
          <cell r="D15841">
            <v>0.5</v>
          </cell>
          <cell r="H15841" t="str">
            <v>solar PV</v>
          </cell>
        </row>
        <row r="15842">
          <cell r="C15842" t="str">
            <v>PV</v>
          </cell>
          <cell r="D15842">
            <v>0.5</v>
          </cell>
          <cell r="H15842" t="str">
            <v>solar PV</v>
          </cell>
        </row>
        <row r="15843">
          <cell r="C15843" t="str">
            <v>PV</v>
          </cell>
          <cell r="D15843">
            <v>0.5</v>
          </cell>
          <cell r="H15843" t="str">
            <v>solar PV</v>
          </cell>
        </row>
        <row r="15844">
          <cell r="C15844" t="str">
            <v>PV</v>
          </cell>
          <cell r="D15844">
            <v>0.5</v>
          </cell>
          <cell r="H15844" t="str">
            <v>solar PV</v>
          </cell>
        </row>
        <row r="15845">
          <cell r="C15845" t="str">
            <v>PV</v>
          </cell>
          <cell r="D15845">
            <v>0.5</v>
          </cell>
          <cell r="H15845" t="str">
            <v>solar PV</v>
          </cell>
        </row>
        <row r="15846">
          <cell r="C15846" t="str">
            <v>PV</v>
          </cell>
          <cell r="D15846">
            <v>0.5</v>
          </cell>
          <cell r="H15846" t="str">
            <v>solar PV</v>
          </cell>
        </row>
        <row r="15847">
          <cell r="C15847" t="str">
            <v>PV</v>
          </cell>
          <cell r="D15847">
            <v>0.5</v>
          </cell>
          <cell r="H15847" t="str">
            <v>solar PV</v>
          </cell>
        </row>
        <row r="15848">
          <cell r="C15848" t="str">
            <v>PV</v>
          </cell>
          <cell r="D15848">
            <v>0.5</v>
          </cell>
          <cell r="H15848" t="str">
            <v>solar PV</v>
          </cell>
        </row>
        <row r="15849">
          <cell r="C15849" t="str">
            <v>PV</v>
          </cell>
          <cell r="D15849">
            <v>0.5</v>
          </cell>
          <cell r="H15849" t="str">
            <v>solar PV</v>
          </cell>
        </row>
        <row r="15850">
          <cell r="C15850" t="str">
            <v>PV</v>
          </cell>
          <cell r="D15850">
            <v>0.5</v>
          </cell>
          <cell r="H15850" t="str">
            <v>solar PV</v>
          </cell>
        </row>
        <row r="15851">
          <cell r="C15851" t="str">
            <v>PV</v>
          </cell>
          <cell r="D15851">
            <v>0.5</v>
          </cell>
          <cell r="H15851" t="str">
            <v>solar PV</v>
          </cell>
        </row>
        <row r="15852">
          <cell r="C15852" t="str">
            <v>PV</v>
          </cell>
          <cell r="D15852">
            <v>0.5</v>
          </cell>
          <cell r="H15852" t="str">
            <v>solar PV</v>
          </cell>
        </row>
        <row r="15853">
          <cell r="C15853" t="str">
            <v>PV</v>
          </cell>
          <cell r="D15853">
            <v>0.5</v>
          </cell>
          <cell r="H15853" t="str">
            <v>solar PV</v>
          </cell>
        </row>
        <row r="15854">
          <cell r="C15854" t="str">
            <v>PV</v>
          </cell>
          <cell r="D15854">
            <v>0.5</v>
          </cell>
          <cell r="H15854" t="str">
            <v>solar PV</v>
          </cell>
        </row>
        <row r="15855">
          <cell r="C15855" t="str">
            <v>PV</v>
          </cell>
          <cell r="D15855">
            <v>0.5</v>
          </cell>
          <cell r="H15855" t="str">
            <v>solar PV</v>
          </cell>
        </row>
        <row r="15856">
          <cell r="C15856" t="str">
            <v>WT</v>
          </cell>
          <cell r="D15856">
            <v>2.1</v>
          </cell>
          <cell r="H15856" t="str">
            <v>onshore wind</v>
          </cell>
        </row>
        <row r="15857">
          <cell r="C15857" t="str">
            <v>IC</v>
          </cell>
          <cell r="D15857">
            <v>1.6</v>
          </cell>
          <cell r="H15857" t="str">
            <v>biomass</v>
          </cell>
        </row>
        <row r="15858">
          <cell r="C15858" t="str">
            <v>IC</v>
          </cell>
          <cell r="D15858">
            <v>0.8</v>
          </cell>
          <cell r="H15858" t="str">
            <v>biomass</v>
          </cell>
        </row>
        <row r="15859">
          <cell r="C15859" t="str">
            <v>IC</v>
          </cell>
          <cell r="D15859">
            <v>0.8</v>
          </cell>
          <cell r="H15859" t="str">
            <v>biomass</v>
          </cell>
        </row>
        <row r="15860">
          <cell r="C15860" t="str">
            <v>IC</v>
          </cell>
          <cell r="D15860">
            <v>0.8</v>
          </cell>
          <cell r="H15860" t="str">
            <v>biomass</v>
          </cell>
        </row>
        <row r="15861">
          <cell r="C15861" t="str">
            <v>IC</v>
          </cell>
          <cell r="D15861">
            <v>0.8</v>
          </cell>
          <cell r="H15861" t="str">
            <v>biomass</v>
          </cell>
        </row>
        <row r="15862">
          <cell r="C15862" t="str">
            <v>IC</v>
          </cell>
          <cell r="D15862">
            <v>0.8</v>
          </cell>
          <cell r="H15862" t="str">
            <v>biomass</v>
          </cell>
        </row>
        <row r="15863">
          <cell r="C15863" t="str">
            <v>IC</v>
          </cell>
          <cell r="D15863">
            <v>0.8</v>
          </cell>
          <cell r="H15863" t="str">
            <v>biomass</v>
          </cell>
        </row>
        <row r="15864">
          <cell r="C15864" t="str">
            <v>IC</v>
          </cell>
          <cell r="D15864">
            <v>0.8</v>
          </cell>
          <cell r="H15864" t="str">
            <v>biomass</v>
          </cell>
        </row>
        <row r="15865">
          <cell r="C15865" t="str">
            <v>WT</v>
          </cell>
          <cell r="D15865">
            <v>10.5</v>
          </cell>
          <cell r="H15865" t="str">
            <v>onshore wind</v>
          </cell>
        </row>
        <row r="15866">
          <cell r="C15866" t="str">
            <v>WT</v>
          </cell>
          <cell r="D15866">
            <v>10.5</v>
          </cell>
          <cell r="H15866" t="str">
            <v>onshore wind</v>
          </cell>
        </row>
        <row r="15867">
          <cell r="C15867" t="str">
            <v>WT</v>
          </cell>
          <cell r="D15867">
            <v>1.5</v>
          </cell>
          <cell r="H15867" t="str">
            <v>onshore wind</v>
          </cell>
        </row>
        <row r="15868">
          <cell r="C15868" t="str">
            <v>WT</v>
          </cell>
          <cell r="D15868">
            <v>1.5</v>
          </cell>
          <cell r="H15868" t="str">
            <v>onshore wind</v>
          </cell>
        </row>
        <row r="15869">
          <cell r="C15869" t="str">
            <v>WT</v>
          </cell>
          <cell r="D15869">
            <v>1.5</v>
          </cell>
          <cell r="H15869" t="str">
            <v>onshore wind</v>
          </cell>
        </row>
        <row r="15870">
          <cell r="C15870" t="str">
            <v>PV</v>
          </cell>
          <cell r="D15870">
            <v>1</v>
          </cell>
          <cell r="H15870" t="str">
            <v>solar PV</v>
          </cell>
        </row>
        <row r="15871">
          <cell r="C15871" t="str">
            <v>PV</v>
          </cell>
          <cell r="D15871">
            <v>10</v>
          </cell>
          <cell r="H15871" t="str">
            <v>solar PV</v>
          </cell>
        </row>
        <row r="15872">
          <cell r="C15872" t="str">
            <v>WT</v>
          </cell>
          <cell r="D15872">
            <v>1</v>
          </cell>
          <cell r="H15872" t="str">
            <v>onshore wind</v>
          </cell>
        </row>
        <row r="15873">
          <cell r="C15873" t="str">
            <v>WT</v>
          </cell>
          <cell r="D15873">
            <v>0.7</v>
          </cell>
          <cell r="H15873" t="str">
            <v>onshore wind</v>
          </cell>
        </row>
        <row r="15874">
          <cell r="C15874" t="str">
            <v>WT</v>
          </cell>
          <cell r="D15874">
            <v>0.6</v>
          </cell>
          <cell r="H15874" t="str">
            <v>onshore wind</v>
          </cell>
        </row>
        <row r="15875">
          <cell r="C15875" t="str">
            <v>WT</v>
          </cell>
          <cell r="D15875">
            <v>0.6</v>
          </cell>
          <cell r="H15875" t="str">
            <v>onshore wind</v>
          </cell>
        </row>
        <row r="15876">
          <cell r="C15876" t="str">
            <v>WT</v>
          </cell>
          <cell r="D15876">
            <v>150</v>
          </cell>
          <cell r="H15876" t="str">
            <v>onshore wind</v>
          </cell>
        </row>
        <row r="15877">
          <cell r="C15877" t="str">
            <v>WT</v>
          </cell>
          <cell r="D15877">
            <v>130</v>
          </cell>
          <cell r="H15877" t="str">
            <v>onshore wind</v>
          </cell>
        </row>
        <row r="15878">
          <cell r="C15878" t="str">
            <v>WT</v>
          </cell>
          <cell r="D15878">
            <v>79.900000000000006</v>
          </cell>
          <cell r="H15878" t="str">
            <v>onshore wind</v>
          </cell>
        </row>
        <row r="15879">
          <cell r="C15879" t="str">
            <v>WT</v>
          </cell>
          <cell r="D15879">
            <v>10</v>
          </cell>
          <cell r="H15879" t="str">
            <v>onshore wind</v>
          </cell>
        </row>
        <row r="15880">
          <cell r="C15880" t="str">
            <v>WT</v>
          </cell>
          <cell r="D15880">
            <v>10</v>
          </cell>
          <cell r="H15880" t="str">
            <v>onshore wind</v>
          </cell>
        </row>
        <row r="15881">
          <cell r="C15881" t="str">
            <v>PV</v>
          </cell>
          <cell r="D15881">
            <v>1</v>
          </cell>
          <cell r="H15881" t="str">
            <v>solar PV</v>
          </cell>
        </row>
        <row r="15882">
          <cell r="C15882" t="str">
            <v>GT</v>
          </cell>
          <cell r="D15882">
            <v>191.9</v>
          </cell>
          <cell r="H15882" t="str">
            <v>natural gas peaker</v>
          </cell>
        </row>
        <row r="15883">
          <cell r="C15883" t="str">
            <v>GT</v>
          </cell>
          <cell r="D15883">
            <v>191.1</v>
          </cell>
          <cell r="H15883" t="str">
            <v>natural gas peaker</v>
          </cell>
        </row>
        <row r="15884">
          <cell r="C15884" t="str">
            <v>GT</v>
          </cell>
          <cell r="D15884">
            <v>190.4</v>
          </cell>
          <cell r="H15884" t="str">
            <v>natural gas peaker</v>
          </cell>
        </row>
        <row r="15885">
          <cell r="C15885" t="str">
            <v>GT</v>
          </cell>
          <cell r="D15885">
            <v>191.8</v>
          </cell>
          <cell r="H15885" t="str">
            <v>natural gas peaker</v>
          </cell>
        </row>
        <row r="15886">
          <cell r="C15886" t="str">
            <v>WT</v>
          </cell>
          <cell r="D15886">
            <v>38</v>
          </cell>
          <cell r="H15886" t="str">
            <v>onshore wind</v>
          </cell>
        </row>
        <row r="15887">
          <cell r="C15887" t="str">
            <v>PV</v>
          </cell>
          <cell r="D15887">
            <v>0.8</v>
          </cell>
          <cell r="H15887" t="str">
            <v>solar PV</v>
          </cell>
        </row>
        <row r="15888">
          <cell r="C15888" t="str">
            <v>PV</v>
          </cell>
          <cell r="D15888">
            <v>0.8</v>
          </cell>
          <cell r="H15888" t="str">
            <v>solar PV</v>
          </cell>
        </row>
        <row r="15889">
          <cell r="C15889" t="str">
            <v>WT</v>
          </cell>
          <cell r="D15889">
            <v>20</v>
          </cell>
          <cell r="H15889" t="str">
            <v>onshore wind</v>
          </cell>
        </row>
        <row r="15890">
          <cell r="C15890" t="str">
            <v>CP</v>
          </cell>
          <cell r="D15890">
            <v>110</v>
          </cell>
          <cell r="H15890" t="str">
            <v>solar thermal</v>
          </cell>
        </row>
        <row r="15891">
          <cell r="C15891" t="str">
            <v>WT</v>
          </cell>
          <cell r="D15891">
            <v>40</v>
          </cell>
          <cell r="H15891" t="str">
            <v>onshore wind</v>
          </cell>
        </row>
        <row r="15892">
          <cell r="C15892" t="str">
            <v>PV</v>
          </cell>
          <cell r="D15892">
            <v>0.9</v>
          </cell>
          <cell r="H15892" t="str">
            <v>solar PV</v>
          </cell>
        </row>
        <row r="15893">
          <cell r="C15893" t="str">
            <v>OT</v>
          </cell>
          <cell r="D15893">
            <v>3.3</v>
          </cell>
          <cell r="H15893" t="str">
            <v>other</v>
          </cell>
        </row>
        <row r="15894">
          <cell r="C15894" t="str">
            <v>WT</v>
          </cell>
          <cell r="D15894">
            <v>150</v>
          </cell>
          <cell r="H15894" t="str">
            <v>onshore wind</v>
          </cell>
        </row>
        <row r="15895">
          <cell r="C15895" t="str">
            <v>WT</v>
          </cell>
          <cell r="D15895">
            <v>60</v>
          </cell>
          <cell r="H15895" t="str">
            <v>onshore wind</v>
          </cell>
        </row>
        <row r="15896">
          <cell r="C15896" t="str">
            <v>WT</v>
          </cell>
          <cell r="D15896">
            <v>192.3</v>
          </cell>
          <cell r="H15896" t="str">
            <v>onshore wind</v>
          </cell>
        </row>
        <row r="15897">
          <cell r="C15897" t="str">
            <v>WT</v>
          </cell>
          <cell r="D15897">
            <v>48.2</v>
          </cell>
          <cell r="H15897" t="str">
            <v>onshore wind</v>
          </cell>
        </row>
        <row r="15898">
          <cell r="C15898" t="str">
            <v>WT</v>
          </cell>
          <cell r="D15898">
            <v>101.2</v>
          </cell>
          <cell r="H15898" t="str">
            <v>onshore wind</v>
          </cell>
        </row>
        <row r="15899">
          <cell r="C15899" t="str">
            <v>WT</v>
          </cell>
          <cell r="D15899">
            <v>74</v>
          </cell>
          <cell r="H15899" t="str">
            <v>onshore wind</v>
          </cell>
        </row>
        <row r="15900">
          <cell r="C15900" t="str">
            <v>WT</v>
          </cell>
          <cell r="D15900">
            <v>36</v>
          </cell>
          <cell r="H15900" t="str">
            <v>onshore wind</v>
          </cell>
        </row>
        <row r="15901">
          <cell r="C15901" t="str">
            <v>WT</v>
          </cell>
          <cell r="D15901">
            <v>22.5</v>
          </cell>
          <cell r="H15901" t="str">
            <v>onshore wind</v>
          </cell>
        </row>
        <row r="15902">
          <cell r="C15902" t="str">
            <v>WT</v>
          </cell>
          <cell r="D15902">
            <v>151.80000000000001</v>
          </cell>
          <cell r="H15902" t="str">
            <v>onshore wind</v>
          </cell>
        </row>
        <row r="15903">
          <cell r="C15903" t="str">
            <v>WT</v>
          </cell>
          <cell r="D15903">
            <v>150</v>
          </cell>
          <cell r="H15903" t="str">
            <v>onshore wind</v>
          </cell>
        </row>
        <row r="15904">
          <cell r="C15904" t="str">
            <v>WT</v>
          </cell>
          <cell r="D15904">
            <v>150</v>
          </cell>
          <cell r="H15904" t="str">
            <v>onshore wind</v>
          </cell>
        </row>
        <row r="15905">
          <cell r="C15905" t="str">
            <v>WT</v>
          </cell>
          <cell r="D15905">
            <v>102</v>
          </cell>
          <cell r="H15905" t="str">
            <v>onshore wind</v>
          </cell>
        </row>
        <row r="15906">
          <cell r="C15906" t="str">
            <v>WT</v>
          </cell>
          <cell r="D15906">
            <v>168</v>
          </cell>
          <cell r="H15906" t="str">
            <v>onshore wind</v>
          </cell>
        </row>
        <row r="15907">
          <cell r="C15907" t="str">
            <v>PV</v>
          </cell>
          <cell r="D15907">
            <v>66</v>
          </cell>
          <cell r="H15907" t="str">
            <v>solar PV</v>
          </cell>
        </row>
        <row r="15908">
          <cell r="C15908" t="str">
            <v>IC</v>
          </cell>
          <cell r="D15908">
            <v>2.2999999999999998</v>
          </cell>
          <cell r="H15908" t="str">
            <v>petroleum</v>
          </cell>
        </row>
        <row r="15909">
          <cell r="C15909" t="str">
            <v>IC</v>
          </cell>
          <cell r="D15909">
            <v>2.2999999999999998</v>
          </cell>
          <cell r="H15909" t="str">
            <v>petroleum</v>
          </cell>
        </row>
        <row r="15910">
          <cell r="C15910" t="str">
            <v>WT</v>
          </cell>
          <cell r="D15910">
            <v>1.6</v>
          </cell>
          <cell r="H15910" t="str">
            <v>onshore wind</v>
          </cell>
        </row>
        <row r="15911">
          <cell r="C15911" t="str">
            <v>WT</v>
          </cell>
          <cell r="D15911">
            <v>1.6</v>
          </cell>
          <cell r="H15911" t="str">
            <v>onshore wind</v>
          </cell>
        </row>
        <row r="15912">
          <cell r="C15912" t="str">
            <v>IC</v>
          </cell>
          <cell r="D15912">
            <v>0.3</v>
          </cell>
          <cell r="H15912" t="str">
            <v>biomass</v>
          </cell>
        </row>
        <row r="15913">
          <cell r="C15913" t="str">
            <v>IC</v>
          </cell>
          <cell r="D15913">
            <v>0.3</v>
          </cell>
          <cell r="H15913" t="str">
            <v>biomass</v>
          </cell>
        </row>
        <row r="15914">
          <cell r="C15914" t="str">
            <v>IC</v>
          </cell>
          <cell r="D15914">
            <v>0.3</v>
          </cell>
          <cell r="H15914" t="str">
            <v>biomass</v>
          </cell>
        </row>
        <row r="15915">
          <cell r="C15915" t="str">
            <v>IC</v>
          </cell>
          <cell r="D15915">
            <v>0.3</v>
          </cell>
          <cell r="H15915" t="str">
            <v>biomass</v>
          </cell>
        </row>
        <row r="15916">
          <cell r="C15916" t="str">
            <v>IC</v>
          </cell>
          <cell r="D15916">
            <v>0.3</v>
          </cell>
          <cell r="H15916" t="str">
            <v>biomass</v>
          </cell>
        </row>
        <row r="15917">
          <cell r="C15917" t="str">
            <v>IC</v>
          </cell>
          <cell r="D15917">
            <v>0.3</v>
          </cell>
          <cell r="H15917" t="str">
            <v>biomass</v>
          </cell>
        </row>
        <row r="15918">
          <cell r="C15918" t="str">
            <v>IC</v>
          </cell>
          <cell r="D15918">
            <v>0.3</v>
          </cell>
          <cell r="H15918" t="str">
            <v>biomass</v>
          </cell>
        </row>
        <row r="15919">
          <cell r="C15919" t="str">
            <v>IC</v>
          </cell>
          <cell r="D15919">
            <v>0.3</v>
          </cell>
          <cell r="H15919" t="str">
            <v>biomass</v>
          </cell>
        </row>
        <row r="15920">
          <cell r="C15920" t="str">
            <v>IC</v>
          </cell>
          <cell r="D15920">
            <v>0.3</v>
          </cell>
          <cell r="H15920" t="str">
            <v>biomass</v>
          </cell>
        </row>
        <row r="15921">
          <cell r="C15921" t="str">
            <v>IC</v>
          </cell>
          <cell r="D15921">
            <v>0.3</v>
          </cell>
          <cell r="H15921" t="str">
            <v>biomass</v>
          </cell>
        </row>
        <row r="15922">
          <cell r="C15922" t="str">
            <v>IC</v>
          </cell>
          <cell r="D15922">
            <v>0.3</v>
          </cell>
          <cell r="H15922" t="str">
            <v>biomass</v>
          </cell>
        </row>
        <row r="15923">
          <cell r="C15923" t="str">
            <v>IC</v>
          </cell>
          <cell r="D15923">
            <v>0.3</v>
          </cell>
          <cell r="H15923" t="str">
            <v>biomass</v>
          </cell>
        </row>
        <row r="15924">
          <cell r="C15924" t="str">
            <v>IC</v>
          </cell>
          <cell r="D15924">
            <v>0.3</v>
          </cell>
          <cell r="H15924" t="str">
            <v>biomass</v>
          </cell>
        </row>
        <row r="15925">
          <cell r="C15925" t="str">
            <v>IC</v>
          </cell>
          <cell r="D15925">
            <v>0.3</v>
          </cell>
          <cell r="H15925" t="str">
            <v>biomass</v>
          </cell>
        </row>
        <row r="15926">
          <cell r="C15926" t="str">
            <v>IC</v>
          </cell>
          <cell r="D15926">
            <v>0.3</v>
          </cell>
          <cell r="H15926" t="str">
            <v>biomass</v>
          </cell>
        </row>
        <row r="15927">
          <cell r="C15927" t="str">
            <v>IC</v>
          </cell>
          <cell r="D15927">
            <v>0.3</v>
          </cell>
          <cell r="H15927" t="str">
            <v>biomass</v>
          </cell>
        </row>
        <row r="15928">
          <cell r="C15928" t="str">
            <v>IC</v>
          </cell>
          <cell r="D15928">
            <v>0.3</v>
          </cell>
          <cell r="H15928" t="str">
            <v>biomass</v>
          </cell>
        </row>
        <row r="15929">
          <cell r="C15929" t="str">
            <v>IC</v>
          </cell>
          <cell r="D15929">
            <v>0.3</v>
          </cell>
          <cell r="H15929" t="str">
            <v>biomass</v>
          </cell>
        </row>
        <row r="15930">
          <cell r="C15930" t="str">
            <v>WT</v>
          </cell>
          <cell r="D15930">
            <v>111</v>
          </cell>
          <cell r="H15930" t="str">
            <v>onshore wind</v>
          </cell>
        </row>
        <row r="15931">
          <cell r="C15931" t="str">
            <v>WT</v>
          </cell>
          <cell r="D15931">
            <v>70</v>
          </cell>
          <cell r="H15931" t="str">
            <v>onshore wind</v>
          </cell>
        </row>
        <row r="15932">
          <cell r="C15932" t="str">
            <v>WT</v>
          </cell>
          <cell r="D15932">
            <v>8</v>
          </cell>
          <cell r="H15932" t="str">
            <v>onshore wind</v>
          </cell>
        </row>
        <row r="15933">
          <cell r="C15933" t="str">
            <v>WT</v>
          </cell>
          <cell r="D15933">
            <v>6.5</v>
          </cell>
          <cell r="H15933" t="str">
            <v>onshore wind</v>
          </cell>
        </row>
        <row r="15934">
          <cell r="C15934" t="str">
            <v>WT</v>
          </cell>
          <cell r="D15934">
            <v>75</v>
          </cell>
          <cell r="H15934" t="str">
            <v>onshore wind</v>
          </cell>
        </row>
        <row r="15935">
          <cell r="C15935" t="str">
            <v>WT</v>
          </cell>
          <cell r="D15935">
            <v>75</v>
          </cell>
          <cell r="H15935" t="str">
            <v>onshore wind</v>
          </cell>
        </row>
        <row r="15936">
          <cell r="C15936" t="str">
            <v>PV</v>
          </cell>
          <cell r="D15936">
            <v>10</v>
          </cell>
          <cell r="H15936" t="str">
            <v>solar PV</v>
          </cell>
        </row>
        <row r="15937">
          <cell r="C15937" t="str">
            <v>PV</v>
          </cell>
          <cell r="D15937">
            <v>8.5</v>
          </cell>
          <cell r="H15937" t="str">
            <v>solar PV</v>
          </cell>
        </row>
        <row r="15938">
          <cell r="C15938" t="str">
            <v>PV</v>
          </cell>
          <cell r="D15938">
            <v>2.2000000000000002</v>
          </cell>
          <cell r="H15938" t="str">
            <v>solar PV</v>
          </cell>
        </row>
        <row r="15939">
          <cell r="C15939" t="str">
            <v>PV</v>
          </cell>
          <cell r="D15939">
            <v>1.1000000000000001</v>
          </cell>
          <cell r="H15939" t="str">
            <v>solar PV</v>
          </cell>
        </row>
        <row r="15940">
          <cell r="C15940" t="str">
            <v>PV</v>
          </cell>
          <cell r="D15940">
            <v>1.3</v>
          </cell>
          <cell r="H15940" t="str">
            <v>solar PV</v>
          </cell>
        </row>
        <row r="15941">
          <cell r="C15941" t="str">
            <v>PV</v>
          </cell>
          <cell r="D15941">
            <v>1</v>
          </cell>
          <cell r="H15941" t="str">
            <v>solar PV</v>
          </cell>
        </row>
        <row r="15942">
          <cell r="C15942" t="str">
            <v>PV</v>
          </cell>
          <cell r="D15942">
            <v>1.2</v>
          </cell>
          <cell r="H15942" t="str">
            <v>solar PV</v>
          </cell>
        </row>
        <row r="15943">
          <cell r="C15943" t="str">
            <v>PV</v>
          </cell>
          <cell r="D15943">
            <v>2.2000000000000002</v>
          </cell>
          <cell r="H15943" t="str">
            <v>solar PV</v>
          </cell>
        </row>
        <row r="15944">
          <cell r="C15944" t="str">
            <v>WT</v>
          </cell>
          <cell r="D15944">
            <v>252</v>
          </cell>
          <cell r="H15944" t="str">
            <v>onshore wind</v>
          </cell>
        </row>
        <row r="15945">
          <cell r="C15945" t="str">
            <v>PV</v>
          </cell>
          <cell r="D15945">
            <v>35</v>
          </cell>
          <cell r="H15945" t="str">
            <v>solar PV</v>
          </cell>
        </row>
        <row r="15946">
          <cell r="C15946" t="str">
            <v>PV</v>
          </cell>
          <cell r="D15946">
            <v>20</v>
          </cell>
          <cell r="H15946" t="str">
            <v>solar PV</v>
          </cell>
        </row>
        <row r="15947">
          <cell r="C15947" t="str">
            <v>WT</v>
          </cell>
          <cell r="D15947">
            <v>50</v>
          </cell>
          <cell r="H15947" t="str">
            <v>onshore wind</v>
          </cell>
        </row>
        <row r="15948">
          <cell r="C15948" t="str">
            <v>WT</v>
          </cell>
          <cell r="D15948">
            <v>151.19999999999999</v>
          </cell>
          <cell r="H15948" t="str">
            <v>onshore wind</v>
          </cell>
        </row>
        <row r="15949">
          <cell r="C15949" t="str">
            <v>PV</v>
          </cell>
          <cell r="D15949">
            <v>1.2</v>
          </cell>
          <cell r="H15949" t="str">
            <v>solar PV</v>
          </cell>
        </row>
        <row r="15950">
          <cell r="C15950" t="str">
            <v>GT</v>
          </cell>
          <cell r="D15950">
            <v>12.3</v>
          </cell>
          <cell r="H15950" t="str">
            <v>natural gas peaker</v>
          </cell>
        </row>
        <row r="15951">
          <cell r="C15951" t="str">
            <v>ST</v>
          </cell>
          <cell r="D15951">
            <v>3.2</v>
          </cell>
          <cell r="H15951" t="str">
            <v>solar thermal</v>
          </cell>
        </row>
        <row r="15952">
          <cell r="C15952" t="str">
            <v>PV</v>
          </cell>
          <cell r="D15952">
            <v>12.8</v>
          </cell>
          <cell r="H15952" t="str">
            <v>solar PV</v>
          </cell>
        </row>
        <row r="15953">
          <cell r="C15953" t="str">
            <v>BA</v>
          </cell>
          <cell r="D15953">
            <v>20</v>
          </cell>
          <cell r="H15953" t="str">
            <v>other</v>
          </cell>
        </row>
        <row r="15954">
          <cell r="C15954" t="str">
            <v>WT</v>
          </cell>
          <cell r="D15954">
            <v>217.5</v>
          </cell>
          <cell r="H15954" t="str">
            <v>onshore wind</v>
          </cell>
        </row>
        <row r="15955">
          <cell r="C15955" t="str">
            <v>WT</v>
          </cell>
          <cell r="D15955">
            <v>49.5</v>
          </cell>
          <cell r="H15955" t="str">
            <v>onshore wind</v>
          </cell>
        </row>
        <row r="15956">
          <cell r="C15956" t="str">
            <v>WT</v>
          </cell>
          <cell r="D15956">
            <v>200</v>
          </cell>
          <cell r="H15956" t="str">
            <v>onshore wind</v>
          </cell>
        </row>
        <row r="15957">
          <cell r="C15957" t="str">
            <v>PV</v>
          </cell>
          <cell r="D15957">
            <v>1.2</v>
          </cell>
          <cell r="H15957" t="str">
            <v>solar PV</v>
          </cell>
        </row>
        <row r="15958">
          <cell r="C15958" t="str">
            <v>ST</v>
          </cell>
          <cell r="D15958">
            <v>137.5</v>
          </cell>
          <cell r="H15958" t="str">
            <v>solar thermal</v>
          </cell>
        </row>
        <row r="15959">
          <cell r="C15959" t="str">
            <v>ST</v>
          </cell>
          <cell r="D15959">
            <v>137.5</v>
          </cell>
          <cell r="H15959" t="str">
            <v>solar thermal</v>
          </cell>
        </row>
        <row r="15960">
          <cell r="C15960" t="str">
            <v>WT</v>
          </cell>
          <cell r="D15960">
            <v>227</v>
          </cell>
          <cell r="H15960" t="str">
            <v>onshore wind</v>
          </cell>
        </row>
        <row r="15961">
          <cell r="C15961" t="str">
            <v>WT</v>
          </cell>
          <cell r="D15961">
            <v>201</v>
          </cell>
          <cell r="H15961" t="str">
            <v>onshore wind</v>
          </cell>
        </row>
        <row r="15962">
          <cell r="C15962" t="str">
            <v>PV</v>
          </cell>
          <cell r="D15962">
            <v>1.9</v>
          </cell>
          <cell r="H15962" t="str">
            <v>solar PV</v>
          </cell>
        </row>
        <row r="15963">
          <cell r="C15963" t="str">
            <v>PV</v>
          </cell>
          <cell r="D15963">
            <v>1.3</v>
          </cell>
          <cell r="H15963" t="str">
            <v>solar PV</v>
          </cell>
        </row>
        <row r="15964">
          <cell r="C15964" t="str">
            <v>PV</v>
          </cell>
          <cell r="D15964">
            <v>1</v>
          </cell>
          <cell r="H15964" t="str">
            <v>solar PV</v>
          </cell>
        </row>
        <row r="15965">
          <cell r="C15965" t="str">
            <v>PV</v>
          </cell>
          <cell r="D15965">
            <v>10</v>
          </cell>
          <cell r="H15965" t="str">
            <v>solar PV</v>
          </cell>
        </row>
        <row r="15966">
          <cell r="C15966" t="str">
            <v>PV</v>
          </cell>
          <cell r="D15966">
            <v>20</v>
          </cell>
          <cell r="H15966" t="str">
            <v>solar PV</v>
          </cell>
        </row>
        <row r="15967">
          <cell r="C15967" t="str">
            <v>PV</v>
          </cell>
          <cell r="D15967">
            <v>140</v>
          </cell>
          <cell r="H15967" t="str">
            <v>solar PV</v>
          </cell>
        </row>
        <row r="15968">
          <cell r="C15968" t="str">
            <v>PV</v>
          </cell>
          <cell r="D15968">
            <v>1.7</v>
          </cell>
          <cell r="H15968" t="str">
            <v>solar PV</v>
          </cell>
        </row>
        <row r="15969">
          <cell r="C15969" t="str">
            <v>WT</v>
          </cell>
          <cell r="D15969">
            <v>150</v>
          </cell>
          <cell r="H15969" t="str">
            <v>onshore wind</v>
          </cell>
        </row>
        <row r="15970">
          <cell r="C15970" t="str">
            <v>IC</v>
          </cell>
          <cell r="D15970">
            <v>1.1000000000000001</v>
          </cell>
          <cell r="H15970" t="str">
            <v>biomass</v>
          </cell>
        </row>
        <row r="15971">
          <cell r="C15971" t="str">
            <v>IC</v>
          </cell>
          <cell r="D15971">
            <v>1.1000000000000001</v>
          </cell>
          <cell r="H15971" t="str">
            <v>biomass</v>
          </cell>
        </row>
        <row r="15972">
          <cell r="C15972" t="str">
            <v>IC</v>
          </cell>
          <cell r="D15972">
            <v>0.8</v>
          </cell>
          <cell r="H15972" t="str">
            <v>biomass</v>
          </cell>
        </row>
        <row r="15973">
          <cell r="C15973" t="str">
            <v>IC</v>
          </cell>
          <cell r="D15973">
            <v>0.8</v>
          </cell>
          <cell r="H15973" t="str">
            <v>biomass</v>
          </cell>
        </row>
        <row r="15974">
          <cell r="C15974" t="str">
            <v>IC</v>
          </cell>
          <cell r="D15974">
            <v>0.8</v>
          </cell>
          <cell r="H15974" t="str">
            <v>biomass</v>
          </cell>
        </row>
        <row r="15975">
          <cell r="C15975" t="str">
            <v>IC</v>
          </cell>
          <cell r="D15975">
            <v>0.9</v>
          </cell>
          <cell r="H15975" t="str">
            <v>biomass</v>
          </cell>
        </row>
        <row r="15976">
          <cell r="C15976" t="str">
            <v>IC</v>
          </cell>
          <cell r="D15976">
            <v>0.9</v>
          </cell>
          <cell r="H15976" t="str">
            <v>biomass</v>
          </cell>
        </row>
        <row r="15977">
          <cell r="C15977" t="str">
            <v>WT</v>
          </cell>
          <cell r="D15977">
            <v>98.9</v>
          </cell>
          <cell r="H15977" t="str">
            <v>onshore wind</v>
          </cell>
        </row>
        <row r="15978">
          <cell r="C15978" t="str">
            <v>WT</v>
          </cell>
          <cell r="D15978">
            <v>99.2</v>
          </cell>
          <cell r="H15978" t="str">
            <v>onshore wind</v>
          </cell>
        </row>
        <row r="15979">
          <cell r="C15979" t="str">
            <v>WT</v>
          </cell>
          <cell r="D15979">
            <v>102.4</v>
          </cell>
          <cell r="H15979" t="str">
            <v>onshore wind</v>
          </cell>
        </row>
        <row r="15980">
          <cell r="C15980" t="str">
            <v>GT</v>
          </cell>
          <cell r="D15980">
            <v>4</v>
          </cell>
          <cell r="H15980" t="str">
            <v>natural gas peaker</v>
          </cell>
        </row>
        <row r="15981">
          <cell r="C15981" t="str">
            <v>GT</v>
          </cell>
          <cell r="D15981">
            <v>4</v>
          </cell>
          <cell r="H15981" t="str">
            <v>natural gas peaker</v>
          </cell>
        </row>
        <row r="15982">
          <cell r="C15982" t="str">
            <v>CT</v>
          </cell>
          <cell r="D15982">
            <v>186</v>
          </cell>
          <cell r="H15982" t="str">
            <v>natural gas nonpeaker</v>
          </cell>
        </row>
        <row r="15983">
          <cell r="C15983" t="str">
            <v>CA</v>
          </cell>
          <cell r="D15983">
            <v>123</v>
          </cell>
          <cell r="H15983" t="str">
            <v>natural gas nonpeaker</v>
          </cell>
        </row>
        <row r="15984">
          <cell r="C15984" t="str">
            <v>WT</v>
          </cell>
          <cell r="D15984">
            <v>1.5</v>
          </cell>
          <cell r="H15984" t="str">
            <v>onshore wind</v>
          </cell>
        </row>
        <row r="15985">
          <cell r="C15985" t="str">
            <v>WT</v>
          </cell>
          <cell r="D15985">
            <v>1.5</v>
          </cell>
          <cell r="H15985" t="str">
            <v>onshore wind</v>
          </cell>
        </row>
        <row r="15986">
          <cell r="C15986" t="str">
            <v>WT</v>
          </cell>
          <cell r="D15986">
            <v>1.5</v>
          </cell>
          <cell r="H15986" t="str">
            <v>onshore wind</v>
          </cell>
        </row>
        <row r="15987">
          <cell r="C15987" t="str">
            <v>PV</v>
          </cell>
          <cell r="D15987">
            <v>1</v>
          </cell>
          <cell r="H15987" t="str">
            <v>solar PV</v>
          </cell>
        </row>
        <row r="15988">
          <cell r="C15988" t="str">
            <v>BT</v>
          </cell>
          <cell r="D15988">
            <v>14</v>
          </cell>
          <cell r="H15988" t="str">
            <v>geothermal</v>
          </cell>
        </row>
        <row r="15989">
          <cell r="C15989" t="str">
            <v>WT</v>
          </cell>
          <cell r="D15989">
            <v>4.5</v>
          </cell>
          <cell r="H15989" t="str">
            <v>onshore wind</v>
          </cell>
        </row>
        <row r="15990">
          <cell r="C15990" t="str">
            <v>IC</v>
          </cell>
          <cell r="D15990">
            <v>0.3</v>
          </cell>
          <cell r="H15990" t="str">
            <v>biomass</v>
          </cell>
        </row>
        <row r="15991">
          <cell r="C15991" t="str">
            <v>IC</v>
          </cell>
          <cell r="D15991">
            <v>0.3</v>
          </cell>
          <cell r="H15991" t="str">
            <v>biomass</v>
          </cell>
        </row>
        <row r="15992">
          <cell r="C15992" t="str">
            <v>IC</v>
          </cell>
          <cell r="D15992">
            <v>0.3</v>
          </cell>
          <cell r="H15992" t="str">
            <v>biomass</v>
          </cell>
        </row>
        <row r="15993">
          <cell r="C15993" t="str">
            <v>IC</v>
          </cell>
          <cell r="D15993">
            <v>0.3</v>
          </cell>
          <cell r="H15993" t="str">
            <v>biomass</v>
          </cell>
        </row>
        <row r="15994">
          <cell r="C15994" t="str">
            <v>IC</v>
          </cell>
          <cell r="D15994">
            <v>0.3</v>
          </cell>
          <cell r="H15994" t="str">
            <v>biomass</v>
          </cell>
        </row>
        <row r="15995">
          <cell r="C15995" t="str">
            <v>IC</v>
          </cell>
          <cell r="D15995">
            <v>0.3</v>
          </cell>
          <cell r="H15995" t="str">
            <v>biomass</v>
          </cell>
        </row>
        <row r="15996">
          <cell r="C15996" t="str">
            <v>IC</v>
          </cell>
          <cell r="D15996">
            <v>0.3</v>
          </cell>
          <cell r="H15996" t="str">
            <v>biomass</v>
          </cell>
        </row>
        <row r="15997">
          <cell r="C15997" t="str">
            <v>IC</v>
          </cell>
          <cell r="D15997">
            <v>0.3</v>
          </cell>
          <cell r="H15997" t="str">
            <v>biomass</v>
          </cell>
        </row>
        <row r="15998">
          <cell r="C15998" t="str">
            <v>IC</v>
          </cell>
          <cell r="D15998">
            <v>0.3</v>
          </cell>
          <cell r="H15998" t="str">
            <v>biomass</v>
          </cell>
        </row>
        <row r="15999">
          <cell r="C15999" t="str">
            <v>IC</v>
          </cell>
          <cell r="D15999">
            <v>0.3</v>
          </cell>
          <cell r="H15999" t="str">
            <v>biomass</v>
          </cell>
        </row>
        <row r="16000">
          <cell r="C16000" t="str">
            <v>IC</v>
          </cell>
          <cell r="D16000">
            <v>0.3</v>
          </cell>
          <cell r="H16000" t="str">
            <v>biomass</v>
          </cell>
        </row>
        <row r="16001">
          <cell r="C16001" t="str">
            <v>IC</v>
          </cell>
          <cell r="D16001">
            <v>0.3</v>
          </cell>
          <cell r="H16001" t="str">
            <v>biomass</v>
          </cell>
        </row>
        <row r="16002">
          <cell r="C16002" t="str">
            <v>WT</v>
          </cell>
          <cell r="D16002">
            <v>102.4</v>
          </cell>
          <cell r="H16002" t="str">
            <v>onshore wind</v>
          </cell>
        </row>
        <row r="16003">
          <cell r="C16003" t="str">
            <v>WT</v>
          </cell>
          <cell r="D16003">
            <v>151.80000000000001</v>
          </cell>
          <cell r="H16003" t="str">
            <v>onshore wind</v>
          </cell>
        </row>
        <row r="16004">
          <cell r="C16004" t="str">
            <v>PV</v>
          </cell>
          <cell r="D16004">
            <v>6</v>
          </cell>
          <cell r="H16004" t="str">
            <v>solar PV</v>
          </cell>
        </row>
        <row r="16005">
          <cell r="C16005" t="str">
            <v>PV</v>
          </cell>
          <cell r="D16005">
            <v>20</v>
          </cell>
          <cell r="H16005" t="str">
            <v>solar PV</v>
          </cell>
        </row>
        <row r="16006">
          <cell r="C16006" t="str">
            <v>PV</v>
          </cell>
          <cell r="D16006">
            <v>19</v>
          </cell>
          <cell r="H16006" t="str">
            <v>solar PV</v>
          </cell>
        </row>
        <row r="16007">
          <cell r="C16007" t="str">
            <v>PV</v>
          </cell>
          <cell r="D16007">
            <v>1.6</v>
          </cell>
          <cell r="H16007" t="str">
            <v>solar PV</v>
          </cell>
        </row>
        <row r="16008">
          <cell r="C16008" t="str">
            <v>PV</v>
          </cell>
          <cell r="D16008">
            <v>1.3</v>
          </cell>
          <cell r="H16008" t="str">
            <v>solar PV</v>
          </cell>
        </row>
        <row r="16009">
          <cell r="C16009" t="str">
            <v>HY</v>
          </cell>
          <cell r="D16009">
            <v>2.2000000000000002</v>
          </cell>
          <cell r="H16009" t="str">
            <v>hydro</v>
          </cell>
        </row>
        <row r="16010">
          <cell r="C16010" t="str">
            <v>HY</v>
          </cell>
          <cell r="D16010">
            <v>2.2000000000000002</v>
          </cell>
          <cell r="H16010" t="str">
            <v>hydro</v>
          </cell>
        </row>
        <row r="16011">
          <cell r="C16011" t="str">
            <v>IC</v>
          </cell>
          <cell r="D16011">
            <v>1.1000000000000001</v>
          </cell>
          <cell r="H16011" t="str">
            <v>biomass</v>
          </cell>
        </row>
        <row r="16012">
          <cell r="C16012" t="str">
            <v>IC</v>
          </cell>
          <cell r="D16012">
            <v>1.1000000000000001</v>
          </cell>
          <cell r="H16012" t="str">
            <v>biomass</v>
          </cell>
        </row>
        <row r="16013">
          <cell r="C16013" t="str">
            <v>IC</v>
          </cell>
          <cell r="D16013">
            <v>1.1000000000000001</v>
          </cell>
          <cell r="H16013" t="str">
            <v>biomass</v>
          </cell>
        </row>
        <row r="16014">
          <cell r="C16014" t="str">
            <v>IC</v>
          </cell>
          <cell r="D16014">
            <v>1.1000000000000001</v>
          </cell>
          <cell r="H16014" t="str">
            <v>biomass</v>
          </cell>
        </row>
        <row r="16015">
          <cell r="C16015" t="str">
            <v>IC</v>
          </cell>
          <cell r="D16015">
            <v>1.1000000000000001</v>
          </cell>
          <cell r="H16015" t="str">
            <v>biomass</v>
          </cell>
        </row>
        <row r="16016">
          <cell r="C16016" t="str">
            <v>PV</v>
          </cell>
          <cell r="D16016">
            <v>3</v>
          </cell>
          <cell r="H16016" t="str">
            <v>solar PV</v>
          </cell>
        </row>
        <row r="16017">
          <cell r="C16017" t="str">
            <v>PV</v>
          </cell>
          <cell r="D16017">
            <v>30</v>
          </cell>
          <cell r="H16017" t="str">
            <v>solar PV</v>
          </cell>
        </row>
        <row r="16018">
          <cell r="C16018" t="str">
            <v>PV</v>
          </cell>
          <cell r="D16018">
            <v>1</v>
          </cell>
          <cell r="H16018" t="str">
            <v>solar PV</v>
          </cell>
        </row>
        <row r="16019">
          <cell r="C16019" t="str">
            <v>PV</v>
          </cell>
          <cell r="D16019">
            <v>1.6</v>
          </cell>
          <cell r="H16019" t="str">
            <v>solar PV</v>
          </cell>
        </row>
        <row r="16020">
          <cell r="C16020" t="str">
            <v>PV</v>
          </cell>
          <cell r="D16020">
            <v>90.7</v>
          </cell>
          <cell r="H16020" t="str">
            <v>solar PV</v>
          </cell>
        </row>
        <row r="16021">
          <cell r="C16021" t="str">
            <v>PV</v>
          </cell>
          <cell r="D16021">
            <v>136</v>
          </cell>
          <cell r="H16021" t="str">
            <v>solar PV</v>
          </cell>
        </row>
        <row r="16022">
          <cell r="C16022" t="str">
            <v>PV</v>
          </cell>
          <cell r="D16022">
            <v>121</v>
          </cell>
          <cell r="H16022" t="str">
            <v>solar PV</v>
          </cell>
        </row>
        <row r="16023">
          <cell r="C16023" t="str">
            <v>WT</v>
          </cell>
          <cell r="D16023">
            <v>205.5</v>
          </cell>
          <cell r="H16023" t="str">
            <v>onshore wind</v>
          </cell>
        </row>
        <row r="16024">
          <cell r="C16024" t="str">
            <v>WT</v>
          </cell>
          <cell r="D16024">
            <v>20</v>
          </cell>
          <cell r="H16024" t="str">
            <v>onshore wind</v>
          </cell>
        </row>
        <row r="16025">
          <cell r="C16025" t="str">
            <v>BT</v>
          </cell>
          <cell r="D16025">
            <v>10.6</v>
          </cell>
          <cell r="H16025" t="str">
            <v>geothermal</v>
          </cell>
        </row>
        <row r="16026">
          <cell r="C16026" t="str">
            <v>BT</v>
          </cell>
          <cell r="D16026">
            <v>5</v>
          </cell>
          <cell r="H16026" t="str">
            <v>geothermal</v>
          </cell>
        </row>
        <row r="16027">
          <cell r="C16027" t="str">
            <v>PV</v>
          </cell>
          <cell r="D16027">
            <v>10</v>
          </cell>
          <cell r="H16027" t="str">
            <v>solar PV</v>
          </cell>
        </row>
        <row r="16028">
          <cell r="C16028" t="str">
            <v>PV</v>
          </cell>
          <cell r="D16028">
            <v>9</v>
          </cell>
          <cell r="H16028" t="str">
            <v>solar PV</v>
          </cell>
        </row>
        <row r="16029">
          <cell r="C16029" t="str">
            <v>PV</v>
          </cell>
          <cell r="D16029">
            <v>241.5</v>
          </cell>
          <cell r="H16029" t="str">
            <v>solar PV</v>
          </cell>
        </row>
        <row r="16030">
          <cell r="C16030" t="str">
            <v>WT</v>
          </cell>
          <cell r="D16030">
            <v>65.099999999999994</v>
          </cell>
          <cell r="H16030" t="str">
            <v>onshore wind</v>
          </cell>
        </row>
        <row r="16031">
          <cell r="C16031" t="str">
            <v>WT</v>
          </cell>
          <cell r="D16031">
            <v>28.5</v>
          </cell>
          <cell r="H16031" t="str">
            <v>onshore wind</v>
          </cell>
        </row>
        <row r="16032">
          <cell r="C16032" t="str">
            <v>PV</v>
          </cell>
          <cell r="D16032">
            <v>2.7</v>
          </cell>
          <cell r="H16032" t="str">
            <v>solar PV</v>
          </cell>
        </row>
        <row r="16033">
          <cell r="C16033" t="str">
            <v>PV</v>
          </cell>
          <cell r="D16033">
            <v>3.6</v>
          </cell>
          <cell r="H16033" t="str">
            <v>solar PV</v>
          </cell>
        </row>
        <row r="16034">
          <cell r="C16034" t="str">
            <v>PV</v>
          </cell>
          <cell r="D16034">
            <v>1.5</v>
          </cell>
          <cell r="H16034" t="str">
            <v>solar PV</v>
          </cell>
        </row>
        <row r="16035">
          <cell r="C16035" t="str">
            <v>PV</v>
          </cell>
          <cell r="D16035">
            <v>2.5</v>
          </cell>
          <cell r="H16035" t="str">
            <v>solar PV</v>
          </cell>
        </row>
        <row r="16036">
          <cell r="C16036" t="str">
            <v>WT</v>
          </cell>
          <cell r="D16036">
            <v>30</v>
          </cell>
          <cell r="H16036" t="str">
            <v>onshore wind</v>
          </cell>
        </row>
        <row r="16037">
          <cell r="C16037" t="str">
            <v>WT</v>
          </cell>
          <cell r="D16037">
            <v>25.3</v>
          </cell>
          <cell r="H16037" t="str">
            <v>onshore wind</v>
          </cell>
        </row>
        <row r="16038">
          <cell r="C16038" t="str">
            <v>WT</v>
          </cell>
          <cell r="D16038">
            <v>62.4</v>
          </cell>
          <cell r="H16038" t="str">
            <v>onshore wind</v>
          </cell>
        </row>
        <row r="16039">
          <cell r="C16039" t="str">
            <v>PV</v>
          </cell>
          <cell r="D16039">
            <v>1.6</v>
          </cell>
          <cell r="H16039" t="str">
            <v>solar PV</v>
          </cell>
        </row>
        <row r="16040">
          <cell r="C16040" t="str">
            <v>PV</v>
          </cell>
          <cell r="D16040">
            <v>1.2</v>
          </cell>
          <cell r="H16040" t="str">
            <v>solar PV</v>
          </cell>
        </row>
        <row r="16041">
          <cell r="C16041" t="str">
            <v>IC</v>
          </cell>
          <cell r="D16041">
            <v>0.7</v>
          </cell>
          <cell r="H16041" t="str">
            <v>biomass</v>
          </cell>
        </row>
        <row r="16042">
          <cell r="C16042" t="str">
            <v>IC</v>
          </cell>
          <cell r="D16042">
            <v>0.7</v>
          </cell>
          <cell r="H16042" t="str">
            <v>biomass</v>
          </cell>
        </row>
        <row r="16043">
          <cell r="C16043" t="str">
            <v>ST</v>
          </cell>
          <cell r="D16043">
            <v>125</v>
          </cell>
          <cell r="H16043" t="str">
            <v>solar thermal</v>
          </cell>
        </row>
        <row r="16044">
          <cell r="C16044" t="str">
            <v>ST</v>
          </cell>
          <cell r="D16044">
            <v>125</v>
          </cell>
          <cell r="H16044" t="str">
            <v>solar thermal</v>
          </cell>
        </row>
        <row r="16045">
          <cell r="C16045" t="str">
            <v>WT</v>
          </cell>
          <cell r="D16045">
            <v>20</v>
          </cell>
          <cell r="H16045" t="str">
            <v>onshore wind</v>
          </cell>
        </row>
        <row r="16046">
          <cell r="C16046" t="str">
            <v>PV</v>
          </cell>
          <cell r="D16046">
            <v>2.5</v>
          </cell>
          <cell r="H16046" t="str">
            <v>solar PV</v>
          </cell>
        </row>
        <row r="16047">
          <cell r="C16047" t="str">
            <v>PV</v>
          </cell>
          <cell r="D16047">
            <v>1.6</v>
          </cell>
          <cell r="H16047" t="str">
            <v>solar PV</v>
          </cell>
        </row>
        <row r="16048">
          <cell r="C16048" t="str">
            <v>HY</v>
          </cell>
          <cell r="D16048">
            <v>29.3</v>
          </cell>
          <cell r="H16048" t="str">
            <v>hydro</v>
          </cell>
        </row>
        <row r="16049">
          <cell r="C16049" t="str">
            <v>HY</v>
          </cell>
          <cell r="D16049">
            <v>29.3</v>
          </cell>
          <cell r="H16049" t="str">
            <v>hydro</v>
          </cell>
        </row>
        <row r="16050">
          <cell r="C16050" t="str">
            <v>HY</v>
          </cell>
          <cell r="D16050">
            <v>29.3</v>
          </cell>
          <cell r="H16050" t="str">
            <v>hydro</v>
          </cell>
        </row>
        <row r="16051">
          <cell r="C16051" t="str">
            <v>HY</v>
          </cell>
          <cell r="D16051">
            <v>25.3</v>
          </cell>
          <cell r="H16051" t="str">
            <v>hydro</v>
          </cell>
        </row>
        <row r="16052">
          <cell r="C16052" t="str">
            <v>HY</v>
          </cell>
          <cell r="D16052">
            <v>25.3</v>
          </cell>
          <cell r="H16052" t="str">
            <v>hydro</v>
          </cell>
        </row>
        <row r="16053">
          <cell r="C16053" t="str">
            <v>HY</v>
          </cell>
          <cell r="D16053">
            <v>25.3</v>
          </cell>
          <cell r="H16053" t="str">
            <v>hydro</v>
          </cell>
        </row>
        <row r="16054">
          <cell r="C16054" t="str">
            <v>HY</v>
          </cell>
          <cell r="D16054">
            <v>22</v>
          </cell>
          <cell r="H16054" t="str">
            <v>hydro</v>
          </cell>
        </row>
        <row r="16055">
          <cell r="C16055" t="str">
            <v>HY</v>
          </cell>
          <cell r="D16055">
            <v>22</v>
          </cell>
          <cell r="H16055" t="str">
            <v>hydro</v>
          </cell>
        </row>
        <row r="16056">
          <cell r="C16056" t="str">
            <v>PV</v>
          </cell>
          <cell r="D16056">
            <v>1</v>
          </cell>
          <cell r="H16056" t="str">
            <v>solar PV</v>
          </cell>
        </row>
        <row r="16057">
          <cell r="C16057" t="str">
            <v>IC</v>
          </cell>
          <cell r="D16057">
            <v>1.6</v>
          </cell>
          <cell r="H16057" t="str">
            <v>biomass</v>
          </cell>
        </row>
        <row r="16058">
          <cell r="C16058" t="str">
            <v>IC</v>
          </cell>
          <cell r="D16058">
            <v>1.6</v>
          </cell>
          <cell r="H16058" t="str">
            <v>biomass</v>
          </cell>
        </row>
        <row r="16059">
          <cell r="C16059" t="str">
            <v>IC</v>
          </cell>
          <cell r="D16059">
            <v>1.6</v>
          </cell>
          <cell r="H16059" t="str">
            <v>biomass</v>
          </cell>
        </row>
        <row r="16060">
          <cell r="C16060" t="str">
            <v>IC</v>
          </cell>
          <cell r="D16060">
            <v>1.6</v>
          </cell>
          <cell r="H16060" t="str">
            <v>biomass</v>
          </cell>
        </row>
        <row r="16061">
          <cell r="C16061" t="str">
            <v>IC</v>
          </cell>
          <cell r="D16061">
            <v>1.6</v>
          </cell>
          <cell r="H16061" t="str">
            <v>biomass</v>
          </cell>
        </row>
        <row r="16062">
          <cell r="C16062" t="str">
            <v>IC</v>
          </cell>
          <cell r="D16062">
            <v>1.6</v>
          </cell>
          <cell r="H16062" t="str">
            <v>biomass</v>
          </cell>
        </row>
        <row r="16063">
          <cell r="C16063" t="str">
            <v>IC</v>
          </cell>
          <cell r="D16063">
            <v>1.6</v>
          </cell>
          <cell r="H16063" t="str">
            <v>biomass</v>
          </cell>
        </row>
        <row r="16064">
          <cell r="C16064" t="str">
            <v>IC</v>
          </cell>
          <cell r="D16064">
            <v>1.6</v>
          </cell>
          <cell r="H16064" t="str">
            <v>biomass</v>
          </cell>
        </row>
        <row r="16065">
          <cell r="C16065" t="str">
            <v>IC</v>
          </cell>
          <cell r="D16065">
            <v>1.6</v>
          </cell>
          <cell r="H16065" t="str">
            <v>biomass</v>
          </cell>
        </row>
        <row r="16066">
          <cell r="C16066" t="str">
            <v>IC</v>
          </cell>
          <cell r="D16066">
            <v>1.6</v>
          </cell>
          <cell r="H16066" t="str">
            <v>biomass</v>
          </cell>
        </row>
        <row r="16067">
          <cell r="C16067" t="str">
            <v>IC</v>
          </cell>
          <cell r="D16067">
            <v>1.6</v>
          </cell>
          <cell r="H16067" t="str">
            <v>biomass</v>
          </cell>
        </row>
        <row r="16068">
          <cell r="C16068" t="str">
            <v>IC</v>
          </cell>
          <cell r="D16068">
            <v>1.6</v>
          </cell>
          <cell r="H16068" t="str">
            <v>biomass</v>
          </cell>
        </row>
        <row r="16069">
          <cell r="C16069" t="str">
            <v>IC</v>
          </cell>
          <cell r="D16069">
            <v>1.6</v>
          </cell>
          <cell r="H16069" t="str">
            <v>biomass</v>
          </cell>
        </row>
        <row r="16070">
          <cell r="C16070" t="str">
            <v>IC</v>
          </cell>
          <cell r="D16070">
            <v>0.8</v>
          </cell>
          <cell r="H16070" t="str">
            <v>biomass</v>
          </cell>
        </row>
        <row r="16071">
          <cell r="C16071" t="str">
            <v>IC</v>
          </cell>
          <cell r="D16071">
            <v>0.8</v>
          </cell>
          <cell r="H16071" t="str">
            <v>biomass</v>
          </cell>
        </row>
        <row r="16072">
          <cell r="C16072" t="str">
            <v>IC</v>
          </cell>
          <cell r="D16072">
            <v>0.8</v>
          </cell>
          <cell r="H16072" t="str">
            <v>biomass</v>
          </cell>
        </row>
        <row r="16073">
          <cell r="C16073" t="str">
            <v>IC</v>
          </cell>
          <cell r="D16073">
            <v>0.8</v>
          </cell>
          <cell r="H16073" t="str">
            <v>biomass</v>
          </cell>
        </row>
        <row r="16074">
          <cell r="C16074" t="str">
            <v>IC</v>
          </cell>
          <cell r="D16074">
            <v>0.8</v>
          </cell>
          <cell r="H16074" t="str">
            <v>biomass</v>
          </cell>
        </row>
        <row r="16075">
          <cell r="C16075" t="str">
            <v>IC</v>
          </cell>
          <cell r="D16075">
            <v>0.8</v>
          </cell>
          <cell r="H16075" t="str">
            <v>biomass</v>
          </cell>
        </row>
        <row r="16076">
          <cell r="C16076" t="str">
            <v>IC</v>
          </cell>
          <cell r="D16076">
            <v>0.8</v>
          </cell>
          <cell r="H16076" t="str">
            <v>biomass</v>
          </cell>
        </row>
        <row r="16077">
          <cell r="C16077" t="str">
            <v>IC</v>
          </cell>
          <cell r="D16077">
            <v>0.8</v>
          </cell>
          <cell r="H16077" t="str">
            <v>biomass</v>
          </cell>
        </row>
        <row r="16078">
          <cell r="C16078" t="str">
            <v>IC</v>
          </cell>
          <cell r="D16078">
            <v>0.8</v>
          </cell>
          <cell r="H16078" t="str">
            <v>biomass</v>
          </cell>
        </row>
        <row r="16079">
          <cell r="C16079" t="str">
            <v>IC</v>
          </cell>
          <cell r="D16079">
            <v>0.8</v>
          </cell>
          <cell r="H16079" t="str">
            <v>biomass</v>
          </cell>
        </row>
        <row r="16080">
          <cell r="C16080" t="str">
            <v>PV</v>
          </cell>
          <cell r="D16080">
            <v>2.8</v>
          </cell>
          <cell r="H16080" t="str">
            <v>solar PV</v>
          </cell>
        </row>
        <row r="16081">
          <cell r="C16081" t="str">
            <v>WT</v>
          </cell>
          <cell r="D16081">
            <v>1.7</v>
          </cell>
          <cell r="H16081" t="str">
            <v>onshore wind</v>
          </cell>
        </row>
        <row r="16082">
          <cell r="C16082" t="str">
            <v>WT</v>
          </cell>
          <cell r="D16082">
            <v>145</v>
          </cell>
          <cell r="H16082" t="str">
            <v>onshore wind</v>
          </cell>
        </row>
        <row r="16083">
          <cell r="C16083" t="str">
            <v>WT</v>
          </cell>
          <cell r="D16083">
            <v>40.799999999999997</v>
          </cell>
          <cell r="H16083" t="str">
            <v>onshore wind</v>
          </cell>
        </row>
        <row r="16084">
          <cell r="C16084" t="str">
            <v>WT</v>
          </cell>
          <cell r="D16084">
            <v>102</v>
          </cell>
          <cell r="H16084" t="str">
            <v>onshore wind</v>
          </cell>
        </row>
        <row r="16085">
          <cell r="C16085" t="str">
            <v>PV</v>
          </cell>
          <cell r="D16085">
            <v>1</v>
          </cell>
          <cell r="H16085" t="str">
            <v>solar PV</v>
          </cell>
        </row>
        <row r="16086">
          <cell r="C16086" t="str">
            <v>WT</v>
          </cell>
          <cell r="D16086">
            <v>210</v>
          </cell>
          <cell r="H16086" t="str">
            <v>onshore wind</v>
          </cell>
        </row>
        <row r="16087">
          <cell r="C16087" t="str">
            <v>WT</v>
          </cell>
          <cell r="D16087">
            <v>23</v>
          </cell>
          <cell r="H16087" t="str">
            <v>onshore wind</v>
          </cell>
        </row>
        <row r="16088">
          <cell r="C16088" t="str">
            <v>WT</v>
          </cell>
          <cell r="D16088">
            <v>23</v>
          </cell>
          <cell r="H16088" t="str">
            <v>onshore wind</v>
          </cell>
        </row>
        <row r="16089">
          <cell r="C16089" t="str">
            <v>WT</v>
          </cell>
          <cell r="D16089">
            <v>23</v>
          </cell>
          <cell r="H16089" t="str">
            <v>onshore wind</v>
          </cell>
        </row>
        <row r="16090">
          <cell r="C16090" t="str">
            <v>WT</v>
          </cell>
          <cell r="D16090">
            <v>23</v>
          </cell>
          <cell r="H16090" t="str">
            <v>onshore wind</v>
          </cell>
        </row>
        <row r="16091">
          <cell r="C16091" t="str">
            <v>WT</v>
          </cell>
          <cell r="D16091">
            <v>23</v>
          </cell>
          <cell r="H16091" t="str">
            <v>onshore wind</v>
          </cell>
        </row>
        <row r="16092">
          <cell r="C16092" t="str">
            <v>WT</v>
          </cell>
          <cell r="D16092">
            <v>44</v>
          </cell>
          <cell r="H16092" t="str">
            <v>onshore wind</v>
          </cell>
        </row>
        <row r="16093">
          <cell r="C16093" t="str">
            <v>WT</v>
          </cell>
          <cell r="D16093">
            <v>10</v>
          </cell>
          <cell r="H16093" t="str">
            <v>onshore wind</v>
          </cell>
        </row>
        <row r="16094">
          <cell r="C16094" t="str">
            <v>PV</v>
          </cell>
          <cell r="D16094">
            <v>1</v>
          </cell>
          <cell r="H16094" t="str">
            <v>solar PV</v>
          </cell>
        </row>
        <row r="16095">
          <cell r="C16095" t="str">
            <v>PV</v>
          </cell>
          <cell r="D16095">
            <v>1</v>
          </cell>
          <cell r="H16095" t="str">
            <v>solar PV</v>
          </cell>
        </row>
        <row r="16096">
          <cell r="C16096" t="str">
            <v>PV</v>
          </cell>
          <cell r="D16096">
            <v>1</v>
          </cell>
          <cell r="H16096" t="str">
            <v>solar PV</v>
          </cell>
        </row>
        <row r="16097">
          <cell r="C16097" t="str">
            <v>PV</v>
          </cell>
          <cell r="D16097">
            <v>1</v>
          </cell>
          <cell r="H16097" t="str">
            <v>solar PV</v>
          </cell>
        </row>
        <row r="16098">
          <cell r="C16098" t="str">
            <v>PV</v>
          </cell>
          <cell r="D16098">
            <v>1</v>
          </cell>
          <cell r="H16098" t="str">
            <v>solar PV</v>
          </cell>
        </row>
        <row r="16099">
          <cell r="C16099" t="str">
            <v>IC</v>
          </cell>
          <cell r="D16099">
            <v>1.6</v>
          </cell>
          <cell r="H16099" t="str">
            <v>biomass</v>
          </cell>
        </row>
        <row r="16100">
          <cell r="C16100" t="str">
            <v>HY</v>
          </cell>
          <cell r="D16100">
            <v>3.3</v>
          </cell>
          <cell r="H16100" t="str">
            <v>hydro</v>
          </cell>
        </row>
        <row r="16101">
          <cell r="C16101" t="str">
            <v>PV</v>
          </cell>
          <cell r="D16101">
            <v>1.6</v>
          </cell>
          <cell r="H16101" t="str">
            <v>solar PV</v>
          </cell>
        </row>
        <row r="16102">
          <cell r="C16102" t="str">
            <v>PV</v>
          </cell>
          <cell r="D16102">
            <v>32.299999999999997</v>
          </cell>
          <cell r="H16102" t="str">
            <v>solar PV</v>
          </cell>
        </row>
        <row r="16103">
          <cell r="C16103" t="str">
            <v>PV</v>
          </cell>
          <cell r="D16103">
            <v>21</v>
          </cell>
          <cell r="H16103" t="str">
            <v>solar PV</v>
          </cell>
        </row>
        <row r="16104">
          <cell r="C16104" t="str">
            <v>PV</v>
          </cell>
          <cell r="D16104">
            <v>86.5</v>
          </cell>
          <cell r="H16104" t="str">
            <v>solar PV</v>
          </cell>
        </row>
        <row r="16105">
          <cell r="C16105" t="str">
            <v>PV</v>
          </cell>
          <cell r="D16105">
            <v>70</v>
          </cell>
          <cell r="H16105" t="str">
            <v>solar PV</v>
          </cell>
        </row>
        <row r="16106">
          <cell r="C16106" t="str">
            <v>PV</v>
          </cell>
          <cell r="D16106">
            <v>40</v>
          </cell>
          <cell r="H16106" t="str">
            <v>solar PV</v>
          </cell>
        </row>
        <row r="16107">
          <cell r="C16107" t="str">
            <v>PV</v>
          </cell>
          <cell r="D16107">
            <v>0.5</v>
          </cell>
          <cell r="H16107" t="str">
            <v>solar PV</v>
          </cell>
        </row>
        <row r="16108">
          <cell r="C16108" t="str">
            <v>PV</v>
          </cell>
          <cell r="D16108">
            <v>0.5</v>
          </cell>
          <cell r="H16108" t="str">
            <v>solar PV</v>
          </cell>
        </row>
        <row r="16109">
          <cell r="C16109" t="str">
            <v>PV</v>
          </cell>
          <cell r="D16109">
            <v>0.5</v>
          </cell>
          <cell r="H16109" t="str">
            <v>solar PV</v>
          </cell>
        </row>
        <row r="16110">
          <cell r="C16110" t="str">
            <v>PV</v>
          </cell>
          <cell r="D16110">
            <v>0.5</v>
          </cell>
          <cell r="H16110" t="str">
            <v>solar PV</v>
          </cell>
        </row>
        <row r="16111">
          <cell r="C16111" t="str">
            <v>PV</v>
          </cell>
          <cell r="D16111">
            <v>0.5</v>
          </cell>
          <cell r="H16111" t="str">
            <v>solar PV</v>
          </cell>
        </row>
        <row r="16112">
          <cell r="C16112" t="str">
            <v>PV</v>
          </cell>
          <cell r="D16112">
            <v>0.5</v>
          </cell>
          <cell r="H16112" t="str">
            <v>solar PV</v>
          </cell>
        </row>
        <row r="16113">
          <cell r="C16113" t="str">
            <v>PV</v>
          </cell>
          <cell r="D16113">
            <v>0.5</v>
          </cell>
          <cell r="H16113" t="str">
            <v>solar PV</v>
          </cell>
        </row>
        <row r="16114">
          <cell r="C16114" t="str">
            <v>PV</v>
          </cell>
          <cell r="D16114">
            <v>0.5</v>
          </cell>
          <cell r="H16114" t="str">
            <v>solar PV</v>
          </cell>
        </row>
        <row r="16115">
          <cell r="C16115" t="str">
            <v>PV</v>
          </cell>
          <cell r="D16115">
            <v>0.5</v>
          </cell>
          <cell r="H16115" t="str">
            <v>solar PV</v>
          </cell>
        </row>
        <row r="16116">
          <cell r="C16116" t="str">
            <v>PV</v>
          </cell>
          <cell r="D16116">
            <v>0.5</v>
          </cell>
          <cell r="H16116" t="str">
            <v>solar PV</v>
          </cell>
        </row>
        <row r="16117">
          <cell r="C16117" t="str">
            <v>PV</v>
          </cell>
          <cell r="D16117">
            <v>50</v>
          </cell>
          <cell r="H16117" t="str">
            <v>solar PV</v>
          </cell>
        </row>
        <row r="16118">
          <cell r="C16118" t="str">
            <v>IC</v>
          </cell>
          <cell r="D16118">
            <v>1.6</v>
          </cell>
          <cell r="H16118" t="str">
            <v>biomass</v>
          </cell>
        </row>
        <row r="16119">
          <cell r="C16119" t="str">
            <v>IC</v>
          </cell>
          <cell r="D16119">
            <v>1.6</v>
          </cell>
          <cell r="H16119" t="str">
            <v>biomass</v>
          </cell>
        </row>
        <row r="16120">
          <cell r="C16120" t="str">
            <v>IC</v>
          </cell>
          <cell r="D16120">
            <v>1.6</v>
          </cell>
          <cell r="H16120" t="str">
            <v>biomass</v>
          </cell>
        </row>
        <row r="16121">
          <cell r="C16121" t="str">
            <v>IC</v>
          </cell>
          <cell r="D16121">
            <v>1.6</v>
          </cell>
          <cell r="H16121" t="str">
            <v>biomass</v>
          </cell>
        </row>
        <row r="16122">
          <cell r="C16122" t="str">
            <v>IC</v>
          </cell>
          <cell r="D16122">
            <v>1.6</v>
          </cell>
          <cell r="H16122" t="str">
            <v>biomass</v>
          </cell>
        </row>
        <row r="16123">
          <cell r="C16123" t="str">
            <v>IC</v>
          </cell>
          <cell r="D16123">
            <v>1.6</v>
          </cell>
          <cell r="H16123" t="str">
            <v>biomass</v>
          </cell>
        </row>
        <row r="16124">
          <cell r="C16124" t="str">
            <v>IC</v>
          </cell>
          <cell r="D16124">
            <v>1.6</v>
          </cell>
          <cell r="H16124" t="str">
            <v>biomass</v>
          </cell>
        </row>
        <row r="16125">
          <cell r="C16125" t="str">
            <v>IC</v>
          </cell>
          <cell r="D16125">
            <v>1.6</v>
          </cell>
          <cell r="H16125" t="str">
            <v>biomass</v>
          </cell>
        </row>
        <row r="16126">
          <cell r="C16126" t="str">
            <v>WT</v>
          </cell>
          <cell r="D16126">
            <v>23</v>
          </cell>
          <cell r="H16126" t="str">
            <v>onshore wind</v>
          </cell>
        </row>
        <row r="16127">
          <cell r="C16127" t="str">
            <v>BT</v>
          </cell>
          <cell r="D16127">
            <v>13.3</v>
          </cell>
          <cell r="H16127" t="str">
            <v>geothermal</v>
          </cell>
        </row>
        <row r="16128">
          <cell r="C16128" t="str">
            <v>BT</v>
          </cell>
          <cell r="D16128">
            <v>13.3</v>
          </cell>
          <cell r="H16128" t="str">
            <v>geothermal</v>
          </cell>
        </row>
        <row r="16129">
          <cell r="C16129" t="str">
            <v>BT</v>
          </cell>
          <cell r="D16129">
            <v>8</v>
          </cell>
          <cell r="H16129" t="str">
            <v>geothermal</v>
          </cell>
        </row>
        <row r="16130">
          <cell r="C16130" t="str">
            <v>BT</v>
          </cell>
          <cell r="D16130">
            <v>12</v>
          </cell>
          <cell r="H16130" t="str">
            <v>geothermal</v>
          </cell>
        </row>
        <row r="16131">
          <cell r="C16131" t="str">
            <v>BT</v>
          </cell>
          <cell r="D16131">
            <v>12</v>
          </cell>
          <cell r="H16131" t="str">
            <v>geothermal</v>
          </cell>
        </row>
        <row r="16132">
          <cell r="C16132" t="str">
            <v>BT</v>
          </cell>
          <cell r="D16132">
            <v>8</v>
          </cell>
          <cell r="H16132" t="str">
            <v>geothermal</v>
          </cell>
        </row>
        <row r="16133">
          <cell r="C16133" t="str">
            <v>WT</v>
          </cell>
          <cell r="D16133">
            <v>97.6</v>
          </cell>
          <cell r="H16133" t="str">
            <v>onshore wind</v>
          </cell>
        </row>
        <row r="16134">
          <cell r="C16134" t="str">
            <v>BA</v>
          </cell>
          <cell r="D16134">
            <v>16</v>
          </cell>
          <cell r="H16134" t="str">
            <v>other</v>
          </cell>
        </row>
        <row r="16135">
          <cell r="C16135" t="str">
            <v>PV</v>
          </cell>
          <cell r="D16135">
            <v>17.7</v>
          </cell>
          <cell r="H16135" t="str">
            <v>solar PV</v>
          </cell>
        </row>
        <row r="16136">
          <cell r="C16136" t="str">
            <v>WT</v>
          </cell>
          <cell r="D16136">
            <v>302</v>
          </cell>
          <cell r="H16136" t="str">
            <v>onshore wind</v>
          </cell>
        </row>
        <row r="16137">
          <cell r="C16137" t="str">
            <v>BT</v>
          </cell>
          <cell r="D16137">
            <v>10.7</v>
          </cell>
          <cell r="H16137" t="str">
            <v>geothermal</v>
          </cell>
        </row>
        <row r="16138">
          <cell r="C16138" t="str">
            <v>BT</v>
          </cell>
          <cell r="D16138">
            <v>10.7</v>
          </cell>
          <cell r="H16138" t="str">
            <v>geothermal</v>
          </cell>
        </row>
        <row r="16139">
          <cell r="C16139" t="str">
            <v>PV</v>
          </cell>
          <cell r="D16139">
            <v>26</v>
          </cell>
          <cell r="H16139" t="str">
            <v>solar PV</v>
          </cell>
        </row>
        <row r="16140">
          <cell r="C16140" t="str">
            <v>ST</v>
          </cell>
          <cell r="D16140">
            <v>6</v>
          </cell>
          <cell r="H16140" t="str">
            <v>geothermal</v>
          </cell>
        </row>
        <row r="16141">
          <cell r="C16141" t="str">
            <v>ST</v>
          </cell>
          <cell r="D16141">
            <v>19.8</v>
          </cell>
          <cell r="H16141" t="str">
            <v>biomass</v>
          </cell>
        </row>
        <row r="16142">
          <cell r="C16142" t="str">
            <v>PV</v>
          </cell>
          <cell r="D16142">
            <v>3.8</v>
          </cell>
          <cell r="H16142" t="str">
            <v>solar PV</v>
          </cell>
        </row>
        <row r="16143">
          <cell r="C16143" t="str">
            <v>WT</v>
          </cell>
          <cell r="D16143">
            <v>49</v>
          </cell>
          <cell r="H16143" t="str">
            <v>onshore wind</v>
          </cell>
        </row>
        <row r="16144">
          <cell r="C16144" t="str">
            <v>FC</v>
          </cell>
          <cell r="D16144">
            <v>0.1</v>
          </cell>
          <cell r="H16144" t="str">
            <v>biomass</v>
          </cell>
        </row>
        <row r="16145">
          <cell r="C16145" t="str">
            <v>FC</v>
          </cell>
          <cell r="D16145">
            <v>0.1</v>
          </cell>
          <cell r="H16145" t="str">
            <v>biomass</v>
          </cell>
        </row>
        <row r="16146">
          <cell r="C16146" t="str">
            <v>FC</v>
          </cell>
          <cell r="D16146">
            <v>0.1</v>
          </cell>
          <cell r="H16146" t="str">
            <v>biomass</v>
          </cell>
        </row>
        <row r="16147">
          <cell r="C16147" t="str">
            <v>FC</v>
          </cell>
          <cell r="D16147">
            <v>0.1</v>
          </cell>
          <cell r="H16147" t="str">
            <v>biomass</v>
          </cell>
        </row>
        <row r="16148">
          <cell r="C16148" t="str">
            <v>FC</v>
          </cell>
          <cell r="D16148">
            <v>0.1</v>
          </cell>
          <cell r="H16148" t="str">
            <v>biomass</v>
          </cell>
        </row>
        <row r="16149">
          <cell r="C16149" t="str">
            <v>FC</v>
          </cell>
          <cell r="D16149">
            <v>0.1</v>
          </cell>
          <cell r="H16149" t="str">
            <v>biomass</v>
          </cell>
        </row>
        <row r="16150">
          <cell r="C16150" t="str">
            <v>FC</v>
          </cell>
          <cell r="D16150">
            <v>0.1</v>
          </cell>
          <cell r="H16150" t="str">
            <v>biomass</v>
          </cell>
        </row>
        <row r="16151">
          <cell r="C16151" t="str">
            <v>FC</v>
          </cell>
          <cell r="D16151">
            <v>0.1</v>
          </cell>
          <cell r="H16151" t="str">
            <v>biomass</v>
          </cell>
        </row>
        <row r="16152">
          <cell r="C16152" t="str">
            <v>FC</v>
          </cell>
          <cell r="D16152">
            <v>0.1</v>
          </cell>
          <cell r="H16152" t="str">
            <v>biomass</v>
          </cell>
        </row>
        <row r="16153">
          <cell r="C16153" t="str">
            <v>FC</v>
          </cell>
          <cell r="D16153">
            <v>0.1</v>
          </cell>
          <cell r="H16153" t="str">
            <v>biomass</v>
          </cell>
        </row>
        <row r="16154">
          <cell r="C16154" t="str">
            <v>FC</v>
          </cell>
          <cell r="D16154">
            <v>0.1</v>
          </cell>
          <cell r="H16154" t="str">
            <v>biomass</v>
          </cell>
        </row>
        <row r="16155">
          <cell r="C16155" t="str">
            <v>PV</v>
          </cell>
          <cell r="D16155">
            <v>0.9</v>
          </cell>
          <cell r="H16155" t="str">
            <v>solar PV</v>
          </cell>
        </row>
        <row r="16156">
          <cell r="C16156" t="str">
            <v>PV</v>
          </cell>
          <cell r="D16156">
            <v>8</v>
          </cell>
          <cell r="H16156" t="str">
            <v>solar PV</v>
          </cell>
        </row>
        <row r="16157">
          <cell r="C16157" t="str">
            <v>WT</v>
          </cell>
          <cell r="D16157">
            <v>200</v>
          </cell>
          <cell r="H16157" t="str">
            <v>onshore wind</v>
          </cell>
        </row>
        <row r="16158">
          <cell r="C16158" t="str">
            <v>PV</v>
          </cell>
          <cell r="D16158">
            <v>1.8</v>
          </cell>
          <cell r="H16158" t="str">
            <v>solar PV</v>
          </cell>
        </row>
        <row r="16159">
          <cell r="C16159" t="str">
            <v>IC</v>
          </cell>
          <cell r="D16159">
            <v>1.6</v>
          </cell>
          <cell r="H16159" t="str">
            <v>biomass</v>
          </cell>
        </row>
        <row r="16160">
          <cell r="C16160" t="str">
            <v>IC</v>
          </cell>
          <cell r="D16160">
            <v>1.6</v>
          </cell>
          <cell r="H16160" t="str">
            <v>biomass</v>
          </cell>
        </row>
        <row r="16161">
          <cell r="C16161" t="str">
            <v>IC</v>
          </cell>
          <cell r="D16161">
            <v>1.6</v>
          </cell>
          <cell r="H16161" t="str">
            <v>biomass</v>
          </cell>
        </row>
        <row r="16162">
          <cell r="C16162" t="str">
            <v>IC</v>
          </cell>
          <cell r="D16162">
            <v>1.6</v>
          </cell>
          <cell r="H16162" t="str">
            <v>biomass</v>
          </cell>
        </row>
        <row r="16163">
          <cell r="C16163" t="str">
            <v>ST</v>
          </cell>
          <cell r="D16163">
            <v>8.1999999999999993</v>
          </cell>
          <cell r="H16163" t="str">
            <v>biomass</v>
          </cell>
        </row>
        <row r="16164">
          <cell r="C16164" t="str">
            <v>WT</v>
          </cell>
          <cell r="D16164">
            <v>66</v>
          </cell>
          <cell r="H16164" t="str">
            <v>onshore wind</v>
          </cell>
        </row>
        <row r="16165">
          <cell r="C16165" t="str">
            <v>WT</v>
          </cell>
          <cell r="D16165">
            <v>150</v>
          </cell>
          <cell r="H16165" t="str">
            <v>onshore wind</v>
          </cell>
        </row>
        <row r="16166">
          <cell r="C16166" t="str">
            <v>ST</v>
          </cell>
          <cell r="D16166">
            <v>34.200000000000003</v>
          </cell>
          <cell r="H16166" t="str">
            <v>biomass</v>
          </cell>
        </row>
        <row r="16167">
          <cell r="C16167" t="str">
            <v>PV</v>
          </cell>
          <cell r="D16167">
            <v>1</v>
          </cell>
          <cell r="H16167" t="str">
            <v>solar PV</v>
          </cell>
        </row>
        <row r="16168">
          <cell r="C16168" t="str">
            <v>PV</v>
          </cell>
          <cell r="D16168">
            <v>1.6</v>
          </cell>
          <cell r="H16168" t="str">
            <v>solar PV</v>
          </cell>
        </row>
        <row r="16169">
          <cell r="C16169" t="str">
            <v>WT</v>
          </cell>
          <cell r="D16169">
            <v>10</v>
          </cell>
          <cell r="H16169" t="str">
            <v>onshore wind</v>
          </cell>
        </row>
        <row r="16170">
          <cell r="C16170" t="str">
            <v>ST</v>
          </cell>
          <cell r="D16170">
            <v>49.9</v>
          </cell>
          <cell r="H16170" t="str">
            <v>geothermal</v>
          </cell>
        </row>
        <row r="16171">
          <cell r="C16171" t="str">
            <v>IC</v>
          </cell>
          <cell r="D16171">
            <v>2</v>
          </cell>
          <cell r="H16171" t="str">
            <v>petroleum</v>
          </cell>
        </row>
        <row r="16172">
          <cell r="C16172" t="str">
            <v>PV</v>
          </cell>
          <cell r="D16172">
            <v>2.2000000000000002</v>
          </cell>
          <cell r="H16172" t="str">
            <v>solar PV</v>
          </cell>
        </row>
        <row r="16173">
          <cell r="C16173" t="str">
            <v>GT</v>
          </cell>
          <cell r="D16173">
            <v>100</v>
          </cell>
          <cell r="H16173" t="str">
            <v>natural gas peaker</v>
          </cell>
        </row>
        <row r="16174">
          <cell r="C16174" t="str">
            <v>GT</v>
          </cell>
          <cell r="D16174">
            <v>100</v>
          </cell>
          <cell r="H16174" t="str">
            <v>natural gas peaker</v>
          </cell>
        </row>
        <row r="16175">
          <cell r="C16175" t="str">
            <v>GT</v>
          </cell>
          <cell r="D16175">
            <v>100</v>
          </cell>
          <cell r="H16175" t="str">
            <v>natural gas peaker</v>
          </cell>
        </row>
        <row r="16176">
          <cell r="C16176" t="str">
            <v>GT</v>
          </cell>
          <cell r="D16176">
            <v>100</v>
          </cell>
          <cell r="H16176" t="str">
            <v>natural gas peaker</v>
          </cell>
        </row>
        <row r="16177">
          <cell r="C16177" t="str">
            <v>GT</v>
          </cell>
          <cell r="D16177">
            <v>100</v>
          </cell>
          <cell r="H16177" t="str">
            <v>natural gas peaker</v>
          </cell>
        </row>
        <row r="16178">
          <cell r="C16178" t="str">
            <v>GT</v>
          </cell>
          <cell r="D16178">
            <v>100</v>
          </cell>
          <cell r="H16178" t="str">
            <v>natural gas peaker</v>
          </cell>
        </row>
        <row r="16179">
          <cell r="C16179" t="str">
            <v>GT</v>
          </cell>
          <cell r="D16179">
            <v>100</v>
          </cell>
          <cell r="H16179" t="str">
            <v>natural gas peaker</v>
          </cell>
        </row>
        <row r="16180">
          <cell r="C16180" t="str">
            <v>GT</v>
          </cell>
          <cell r="D16180">
            <v>100</v>
          </cell>
          <cell r="H16180" t="str">
            <v>natural gas peaker</v>
          </cell>
        </row>
        <row r="16181">
          <cell r="C16181" t="str">
            <v>GT</v>
          </cell>
          <cell r="D16181">
            <v>49.9</v>
          </cell>
          <cell r="H16181" t="str">
            <v>natural gas peaker</v>
          </cell>
        </row>
        <row r="16182">
          <cell r="C16182" t="str">
            <v>GT</v>
          </cell>
          <cell r="D16182">
            <v>49.9</v>
          </cell>
          <cell r="H16182" t="str">
            <v>natural gas peaker</v>
          </cell>
        </row>
        <row r="16183">
          <cell r="C16183" t="str">
            <v>GT</v>
          </cell>
          <cell r="D16183">
            <v>49.9</v>
          </cell>
          <cell r="H16183" t="str">
            <v>natural gas peaker</v>
          </cell>
        </row>
        <row r="16184">
          <cell r="C16184" t="str">
            <v>GT</v>
          </cell>
          <cell r="D16184">
            <v>49.9</v>
          </cell>
          <cell r="H16184" t="str">
            <v>natural gas peaker</v>
          </cell>
        </row>
        <row r="16185">
          <cell r="C16185" t="str">
            <v>WT</v>
          </cell>
          <cell r="D16185">
            <v>189</v>
          </cell>
          <cell r="H16185" t="str">
            <v>onshore wind</v>
          </cell>
        </row>
        <row r="16186">
          <cell r="C16186" t="str">
            <v>PV</v>
          </cell>
          <cell r="D16186">
            <v>7.9</v>
          </cell>
          <cell r="H16186" t="str">
            <v>solar PV</v>
          </cell>
        </row>
        <row r="16187">
          <cell r="C16187" t="str">
            <v>PV</v>
          </cell>
          <cell r="D16187">
            <v>3</v>
          </cell>
          <cell r="H16187" t="str">
            <v>solar PV</v>
          </cell>
        </row>
        <row r="16188">
          <cell r="C16188" t="str">
            <v>PV</v>
          </cell>
          <cell r="D16188">
            <v>3</v>
          </cell>
          <cell r="H16188" t="str">
            <v>solar PV</v>
          </cell>
        </row>
        <row r="16189">
          <cell r="C16189" t="str">
            <v>PV</v>
          </cell>
          <cell r="D16189">
            <v>2</v>
          </cell>
          <cell r="H16189" t="str">
            <v>solar PV</v>
          </cell>
        </row>
        <row r="16190">
          <cell r="C16190" t="str">
            <v>IC</v>
          </cell>
          <cell r="D16190">
            <v>1.5</v>
          </cell>
          <cell r="H16190" t="str">
            <v>biomass</v>
          </cell>
        </row>
        <row r="16191">
          <cell r="C16191" t="str">
            <v>IC</v>
          </cell>
          <cell r="D16191">
            <v>1.9</v>
          </cell>
          <cell r="H16191" t="str">
            <v>biomass</v>
          </cell>
        </row>
        <row r="16192">
          <cell r="C16192" t="str">
            <v>PV</v>
          </cell>
          <cell r="D16192">
            <v>128.9</v>
          </cell>
          <cell r="H16192" t="str">
            <v>solar PV</v>
          </cell>
        </row>
        <row r="16193">
          <cell r="C16193" t="str">
            <v>PV</v>
          </cell>
          <cell r="D16193">
            <v>148.69999999999999</v>
          </cell>
          <cell r="H16193" t="str">
            <v>solar PV</v>
          </cell>
        </row>
        <row r="16194">
          <cell r="C16194" t="str">
            <v>IC</v>
          </cell>
          <cell r="D16194">
            <v>1.6</v>
          </cell>
          <cell r="H16194" t="str">
            <v>biomass</v>
          </cell>
        </row>
        <row r="16195">
          <cell r="C16195" t="str">
            <v>IC</v>
          </cell>
          <cell r="D16195">
            <v>1.6</v>
          </cell>
          <cell r="H16195" t="str">
            <v>biomass</v>
          </cell>
        </row>
        <row r="16196">
          <cell r="C16196" t="str">
            <v>IC</v>
          </cell>
          <cell r="D16196">
            <v>1.6</v>
          </cell>
          <cell r="H16196" t="str">
            <v>biomass</v>
          </cell>
        </row>
        <row r="16197">
          <cell r="C16197" t="str">
            <v>IC</v>
          </cell>
          <cell r="D16197">
            <v>1.6</v>
          </cell>
          <cell r="H16197" t="str">
            <v>biomass</v>
          </cell>
        </row>
        <row r="16198">
          <cell r="C16198" t="str">
            <v>IC</v>
          </cell>
          <cell r="D16198">
            <v>1.6</v>
          </cell>
          <cell r="H16198" t="str">
            <v>biomass</v>
          </cell>
        </row>
        <row r="16199">
          <cell r="C16199" t="str">
            <v>IC</v>
          </cell>
          <cell r="D16199">
            <v>1.6</v>
          </cell>
          <cell r="H16199" t="str">
            <v>biomass</v>
          </cell>
        </row>
        <row r="16200">
          <cell r="C16200" t="str">
            <v>WT</v>
          </cell>
          <cell r="D16200">
            <v>150.4</v>
          </cell>
          <cell r="H16200" t="str">
            <v>onshore wind</v>
          </cell>
        </row>
        <row r="16201">
          <cell r="C16201" t="str">
            <v>PV</v>
          </cell>
          <cell r="D16201">
            <v>1</v>
          </cell>
          <cell r="H16201" t="str">
            <v>solar PV</v>
          </cell>
        </row>
        <row r="16202">
          <cell r="C16202" t="str">
            <v>HY</v>
          </cell>
          <cell r="D16202">
            <v>6.9</v>
          </cell>
          <cell r="H16202" t="str">
            <v>hydro</v>
          </cell>
        </row>
        <row r="16203">
          <cell r="C16203" t="str">
            <v>HY</v>
          </cell>
          <cell r="D16203">
            <v>6.9</v>
          </cell>
          <cell r="H16203" t="str">
            <v>hydro</v>
          </cell>
        </row>
        <row r="16204">
          <cell r="C16204" t="str">
            <v>PV</v>
          </cell>
          <cell r="D16204">
            <v>20</v>
          </cell>
          <cell r="H16204" t="str">
            <v>solar PV</v>
          </cell>
        </row>
        <row r="16205">
          <cell r="C16205" t="str">
            <v>PV</v>
          </cell>
          <cell r="D16205">
            <v>15</v>
          </cell>
          <cell r="H16205" t="str">
            <v>solar PV</v>
          </cell>
        </row>
        <row r="16206">
          <cell r="C16206" t="str">
            <v>PV</v>
          </cell>
          <cell r="D16206">
            <v>15</v>
          </cell>
          <cell r="H16206" t="str">
            <v>solar PV</v>
          </cell>
        </row>
        <row r="16207">
          <cell r="C16207" t="str">
            <v>WT</v>
          </cell>
          <cell r="D16207">
            <v>119.6</v>
          </cell>
          <cell r="H16207" t="str">
            <v>onshore wind</v>
          </cell>
        </row>
        <row r="16208">
          <cell r="C16208" t="str">
            <v>WT</v>
          </cell>
          <cell r="D16208">
            <v>443.9</v>
          </cell>
          <cell r="H16208" t="str">
            <v>onshore wind</v>
          </cell>
        </row>
        <row r="16209">
          <cell r="C16209" t="str">
            <v>IC</v>
          </cell>
          <cell r="D16209">
            <v>1.5</v>
          </cell>
          <cell r="H16209" t="str">
            <v>biomass</v>
          </cell>
        </row>
        <row r="16210">
          <cell r="C16210" t="str">
            <v>IC</v>
          </cell>
          <cell r="D16210">
            <v>1.5</v>
          </cell>
          <cell r="H16210" t="str">
            <v>biomass</v>
          </cell>
        </row>
        <row r="16211">
          <cell r="C16211" t="str">
            <v>GT</v>
          </cell>
          <cell r="D16211">
            <v>48</v>
          </cell>
          <cell r="H16211" t="str">
            <v>natural gas peaker</v>
          </cell>
        </row>
        <row r="16212">
          <cell r="C16212" t="str">
            <v>GT</v>
          </cell>
          <cell r="D16212">
            <v>12</v>
          </cell>
          <cell r="H16212" t="str">
            <v>natural gas peaker</v>
          </cell>
        </row>
        <row r="16213">
          <cell r="C16213" t="str">
            <v>GT</v>
          </cell>
          <cell r="D16213">
            <v>12</v>
          </cell>
          <cell r="H16213" t="str">
            <v>natural gas peaker</v>
          </cell>
        </row>
        <row r="16214">
          <cell r="C16214" t="str">
            <v>PV</v>
          </cell>
          <cell r="D16214">
            <v>1</v>
          </cell>
          <cell r="H16214" t="str">
            <v>solar PV</v>
          </cell>
        </row>
        <row r="16215">
          <cell r="C16215" t="str">
            <v>PV</v>
          </cell>
          <cell r="D16215">
            <v>3</v>
          </cell>
          <cell r="H16215" t="str">
            <v>solar PV</v>
          </cell>
        </row>
        <row r="16216">
          <cell r="C16216" t="str">
            <v>PV</v>
          </cell>
          <cell r="D16216">
            <v>1.5</v>
          </cell>
          <cell r="H16216" t="str">
            <v>solar PV</v>
          </cell>
        </row>
        <row r="16217">
          <cell r="C16217" t="str">
            <v>WT</v>
          </cell>
          <cell r="D16217">
            <v>265.39999999999998</v>
          </cell>
          <cell r="H16217" t="str">
            <v>onshore wind</v>
          </cell>
        </row>
        <row r="16218">
          <cell r="C16218" t="str">
            <v>GT</v>
          </cell>
          <cell r="D16218">
            <v>97</v>
          </cell>
          <cell r="H16218" t="str">
            <v>natural gas peaker</v>
          </cell>
        </row>
        <row r="16219">
          <cell r="C16219" t="str">
            <v>GT</v>
          </cell>
          <cell r="D16219">
            <v>97</v>
          </cell>
          <cell r="H16219" t="str">
            <v>natural gas peaker</v>
          </cell>
        </row>
        <row r="16220">
          <cell r="C16220" t="str">
            <v>GT</v>
          </cell>
          <cell r="D16220">
            <v>97</v>
          </cell>
          <cell r="H16220" t="str">
            <v>natural gas peaker</v>
          </cell>
        </row>
        <row r="16221">
          <cell r="C16221" t="str">
            <v>GT</v>
          </cell>
          <cell r="D16221">
            <v>97</v>
          </cell>
          <cell r="H16221" t="str">
            <v>natural gas peaker</v>
          </cell>
        </row>
        <row r="16222">
          <cell r="C16222" t="str">
            <v>GT</v>
          </cell>
          <cell r="D16222">
            <v>97</v>
          </cell>
          <cell r="H16222" t="str">
            <v>natural gas peaker</v>
          </cell>
        </row>
        <row r="16223">
          <cell r="C16223" t="str">
            <v>WT</v>
          </cell>
          <cell r="D16223">
            <v>80</v>
          </cell>
          <cell r="H16223" t="str">
            <v>onshore wind</v>
          </cell>
        </row>
        <row r="16224">
          <cell r="C16224" t="str">
            <v>WT</v>
          </cell>
          <cell r="D16224">
            <v>20</v>
          </cell>
          <cell r="H16224" t="str">
            <v>onshore wind</v>
          </cell>
        </row>
        <row r="16225">
          <cell r="C16225" t="str">
            <v>PV</v>
          </cell>
          <cell r="D16225">
            <v>1.9</v>
          </cell>
          <cell r="H16225" t="str">
            <v>solar PV</v>
          </cell>
        </row>
        <row r="16226">
          <cell r="C16226" t="str">
            <v>WT</v>
          </cell>
          <cell r="D16226">
            <v>225</v>
          </cell>
          <cell r="H16226" t="str">
            <v>onshore wind</v>
          </cell>
        </row>
        <row r="16227">
          <cell r="C16227" t="str">
            <v>PV</v>
          </cell>
          <cell r="D16227">
            <v>10</v>
          </cell>
          <cell r="H16227" t="str">
            <v>solar PV</v>
          </cell>
        </row>
        <row r="16228">
          <cell r="C16228" t="str">
            <v>PV</v>
          </cell>
          <cell r="D16228">
            <v>20</v>
          </cell>
          <cell r="H16228" t="str">
            <v>solar PV</v>
          </cell>
        </row>
        <row r="16229">
          <cell r="C16229" t="str">
            <v>PV</v>
          </cell>
          <cell r="D16229">
            <v>20</v>
          </cell>
          <cell r="H16229" t="str">
            <v>solar PV</v>
          </cell>
        </row>
        <row r="16230">
          <cell r="C16230" t="str">
            <v>PV</v>
          </cell>
          <cell r="D16230">
            <v>0.9</v>
          </cell>
          <cell r="H16230" t="str">
            <v>solar PV</v>
          </cell>
        </row>
        <row r="16231">
          <cell r="C16231" t="str">
            <v>PV</v>
          </cell>
          <cell r="D16231">
            <v>1</v>
          </cell>
          <cell r="H16231" t="str">
            <v>solar PV</v>
          </cell>
        </row>
        <row r="16232">
          <cell r="C16232" t="str">
            <v>WT</v>
          </cell>
          <cell r="D16232">
            <v>265</v>
          </cell>
          <cell r="H16232" t="str">
            <v>onshore wind</v>
          </cell>
        </row>
        <row r="16233">
          <cell r="C16233" t="str">
            <v>WT</v>
          </cell>
          <cell r="D16233">
            <v>69</v>
          </cell>
          <cell r="H16233" t="str">
            <v>onshore wind</v>
          </cell>
        </row>
        <row r="16234">
          <cell r="C16234" t="str">
            <v>WT</v>
          </cell>
          <cell r="D16234">
            <v>105.3</v>
          </cell>
          <cell r="H16234" t="str">
            <v>onshore wind</v>
          </cell>
        </row>
        <row r="16235">
          <cell r="C16235" t="str">
            <v>WT</v>
          </cell>
          <cell r="D16235">
            <v>186</v>
          </cell>
          <cell r="H16235" t="str">
            <v>onshore wind</v>
          </cell>
        </row>
        <row r="16236">
          <cell r="C16236" t="str">
            <v>PV</v>
          </cell>
          <cell r="D16236">
            <v>0.5</v>
          </cell>
          <cell r="H16236" t="str">
            <v>solar PV</v>
          </cell>
        </row>
        <row r="16237">
          <cell r="C16237" t="str">
            <v>PV</v>
          </cell>
          <cell r="D16237">
            <v>0.5</v>
          </cell>
          <cell r="H16237" t="str">
            <v>solar PV</v>
          </cell>
        </row>
        <row r="16238">
          <cell r="C16238" t="str">
            <v>PV</v>
          </cell>
          <cell r="D16238">
            <v>0.5</v>
          </cell>
          <cell r="H16238" t="str">
            <v>solar PV</v>
          </cell>
        </row>
        <row r="16239">
          <cell r="C16239" t="str">
            <v>PV</v>
          </cell>
          <cell r="D16239">
            <v>0.5</v>
          </cell>
          <cell r="H16239" t="str">
            <v>solar PV</v>
          </cell>
        </row>
        <row r="16240">
          <cell r="C16240" t="str">
            <v>PV</v>
          </cell>
          <cell r="D16240">
            <v>0.5</v>
          </cell>
          <cell r="H16240" t="str">
            <v>solar PV</v>
          </cell>
        </row>
        <row r="16241">
          <cell r="C16241" t="str">
            <v>FC</v>
          </cell>
          <cell r="D16241">
            <v>1.4</v>
          </cell>
          <cell r="H16241" t="str">
            <v>other</v>
          </cell>
        </row>
        <row r="16242">
          <cell r="C16242" t="str">
            <v>WT</v>
          </cell>
          <cell r="D16242">
            <v>0.5</v>
          </cell>
          <cell r="H16242" t="str">
            <v>onshore wind</v>
          </cell>
        </row>
        <row r="16243">
          <cell r="C16243" t="str">
            <v>WT</v>
          </cell>
          <cell r="D16243">
            <v>290</v>
          </cell>
          <cell r="H16243" t="str">
            <v>onshore wind</v>
          </cell>
        </row>
        <row r="16244">
          <cell r="C16244" t="str">
            <v>WT</v>
          </cell>
          <cell r="D16244">
            <v>290</v>
          </cell>
          <cell r="H16244" t="str">
            <v>onshore wind</v>
          </cell>
        </row>
        <row r="16245">
          <cell r="C16245" t="str">
            <v>HY</v>
          </cell>
          <cell r="D16245">
            <v>2.6</v>
          </cell>
          <cell r="H16245" t="str">
            <v>hydro</v>
          </cell>
        </row>
        <row r="16246">
          <cell r="C16246" t="str">
            <v>WT</v>
          </cell>
          <cell r="D16246">
            <v>20</v>
          </cell>
          <cell r="H16246" t="str">
            <v>onshore wind</v>
          </cell>
        </row>
        <row r="16247">
          <cell r="C16247" t="str">
            <v>PV</v>
          </cell>
          <cell r="D16247">
            <v>5.5</v>
          </cell>
          <cell r="H16247" t="str">
            <v>solar PV</v>
          </cell>
        </row>
        <row r="16248">
          <cell r="C16248" t="str">
            <v>GT</v>
          </cell>
          <cell r="D16248">
            <v>106</v>
          </cell>
          <cell r="H16248" t="str">
            <v>natural gas peaker</v>
          </cell>
        </row>
        <row r="16249">
          <cell r="C16249" t="str">
            <v>GT</v>
          </cell>
          <cell r="D16249">
            <v>106</v>
          </cell>
          <cell r="H16249" t="str">
            <v>natural gas peaker</v>
          </cell>
        </row>
        <row r="16250">
          <cell r="C16250" t="str">
            <v>GT</v>
          </cell>
          <cell r="D16250">
            <v>106</v>
          </cell>
          <cell r="H16250" t="str">
            <v>natural gas peaker</v>
          </cell>
        </row>
        <row r="16251">
          <cell r="C16251" t="str">
            <v>PV</v>
          </cell>
          <cell r="D16251">
            <v>1</v>
          </cell>
          <cell r="H16251" t="str">
            <v>solar PV</v>
          </cell>
        </row>
        <row r="16252">
          <cell r="C16252" t="str">
            <v>IC</v>
          </cell>
          <cell r="D16252">
            <v>0.8</v>
          </cell>
          <cell r="H16252" t="str">
            <v>biomass</v>
          </cell>
        </row>
        <row r="16253">
          <cell r="C16253" t="str">
            <v>IC</v>
          </cell>
          <cell r="D16253">
            <v>0.8</v>
          </cell>
          <cell r="H16253" t="str">
            <v>biomass</v>
          </cell>
        </row>
        <row r="16254">
          <cell r="C16254" t="str">
            <v>PV</v>
          </cell>
          <cell r="D16254">
            <v>4.5</v>
          </cell>
          <cell r="H16254" t="str">
            <v>solar PV</v>
          </cell>
        </row>
        <row r="16255">
          <cell r="C16255" t="str">
            <v>PV</v>
          </cell>
          <cell r="D16255">
            <v>19</v>
          </cell>
          <cell r="H16255" t="str">
            <v>solar PV</v>
          </cell>
        </row>
        <row r="16256">
          <cell r="C16256" t="str">
            <v>PV</v>
          </cell>
          <cell r="D16256">
            <v>17</v>
          </cell>
          <cell r="H16256" t="str">
            <v>solar PV</v>
          </cell>
        </row>
        <row r="16257">
          <cell r="C16257" t="str">
            <v>PV</v>
          </cell>
          <cell r="D16257">
            <v>17.600000000000001</v>
          </cell>
          <cell r="H16257" t="str">
            <v>solar PV</v>
          </cell>
        </row>
        <row r="16258">
          <cell r="C16258" t="str">
            <v>PV</v>
          </cell>
          <cell r="D16258">
            <v>17</v>
          </cell>
          <cell r="H16258" t="str">
            <v>solar PV</v>
          </cell>
        </row>
        <row r="16259">
          <cell r="C16259" t="str">
            <v>PV</v>
          </cell>
          <cell r="D16259">
            <v>5</v>
          </cell>
          <cell r="H16259" t="str">
            <v>solar PV</v>
          </cell>
        </row>
        <row r="16260">
          <cell r="C16260" t="str">
            <v>CT</v>
          </cell>
          <cell r="D16260">
            <v>49</v>
          </cell>
          <cell r="H16260" t="str">
            <v>natural gas nonpeaker</v>
          </cell>
        </row>
        <row r="16261">
          <cell r="C16261" t="str">
            <v>CA</v>
          </cell>
          <cell r="D16261">
            <v>12.5</v>
          </cell>
          <cell r="H16261" t="str">
            <v>natural gas nonpeaker</v>
          </cell>
        </row>
        <row r="16262">
          <cell r="C16262" t="str">
            <v>PV</v>
          </cell>
          <cell r="D16262">
            <v>5.0999999999999996</v>
          </cell>
          <cell r="H16262" t="str">
            <v>solar PV</v>
          </cell>
        </row>
        <row r="16263">
          <cell r="C16263" t="str">
            <v>WT</v>
          </cell>
          <cell r="D16263">
            <v>2.5</v>
          </cell>
          <cell r="H16263" t="str">
            <v>onshore wind</v>
          </cell>
        </row>
        <row r="16264">
          <cell r="C16264" t="str">
            <v>WT</v>
          </cell>
          <cell r="D16264">
            <v>2.8</v>
          </cell>
          <cell r="H16264" t="str">
            <v>onshore wind</v>
          </cell>
        </row>
        <row r="16265">
          <cell r="C16265" t="str">
            <v>PV</v>
          </cell>
          <cell r="D16265">
            <v>2</v>
          </cell>
          <cell r="H16265" t="str">
            <v>solar PV</v>
          </cell>
        </row>
        <row r="16266">
          <cell r="C16266" t="str">
            <v>WT</v>
          </cell>
          <cell r="D16266">
            <v>50.6</v>
          </cell>
          <cell r="H16266" t="str">
            <v>onshore wind</v>
          </cell>
        </row>
        <row r="16267">
          <cell r="C16267" t="str">
            <v>WT</v>
          </cell>
          <cell r="D16267">
            <v>4.5</v>
          </cell>
          <cell r="H16267" t="str">
            <v>onshore wind</v>
          </cell>
        </row>
        <row r="16268">
          <cell r="C16268" t="str">
            <v>PV</v>
          </cell>
          <cell r="D16268">
            <v>5</v>
          </cell>
          <cell r="H16268" t="str">
            <v>solar PV</v>
          </cell>
        </row>
        <row r="16269">
          <cell r="C16269" t="str">
            <v>PV</v>
          </cell>
          <cell r="D16269">
            <v>2</v>
          </cell>
          <cell r="H16269" t="str">
            <v>solar PV</v>
          </cell>
        </row>
        <row r="16270">
          <cell r="C16270" t="str">
            <v>GT</v>
          </cell>
          <cell r="D16270">
            <v>3</v>
          </cell>
          <cell r="H16270" t="str">
            <v>natural gas peaker</v>
          </cell>
        </row>
        <row r="16271">
          <cell r="C16271" t="str">
            <v>PV</v>
          </cell>
          <cell r="D16271">
            <v>1.3</v>
          </cell>
          <cell r="H16271" t="str">
            <v>solar PV</v>
          </cell>
        </row>
        <row r="16272">
          <cell r="C16272" t="str">
            <v>PV</v>
          </cell>
          <cell r="D16272">
            <v>5</v>
          </cell>
          <cell r="H16272" t="str">
            <v>solar PV</v>
          </cell>
        </row>
        <row r="16273">
          <cell r="C16273" t="str">
            <v>PV</v>
          </cell>
          <cell r="D16273">
            <v>4</v>
          </cell>
          <cell r="H16273" t="str">
            <v>solar PV</v>
          </cell>
        </row>
        <row r="16274">
          <cell r="C16274" t="str">
            <v>PV</v>
          </cell>
          <cell r="D16274">
            <v>5</v>
          </cell>
          <cell r="H16274" t="str">
            <v>solar PV</v>
          </cell>
        </row>
        <row r="16275">
          <cell r="C16275" t="str">
            <v>PV</v>
          </cell>
          <cell r="D16275">
            <v>4.9000000000000004</v>
          </cell>
          <cell r="H16275" t="str">
            <v>solar PV</v>
          </cell>
        </row>
        <row r="16276">
          <cell r="C16276" t="str">
            <v>WT</v>
          </cell>
          <cell r="D16276">
            <v>9</v>
          </cell>
          <cell r="H16276" t="str">
            <v>onshore wind</v>
          </cell>
        </row>
        <row r="16277">
          <cell r="C16277" t="str">
            <v>PV</v>
          </cell>
          <cell r="D16277">
            <v>0.9</v>
          </cell>
          <cell r="H16277" t="str">
            <v>solar PV</v>
          </cell>
        </row>
        <row r="16278">
          <cell r="C16278" t="str">
            <v>PV</v>
          </cell>
          <cell r="D16278">
            <v>0.4</v>
          </cell>
          <cell r="H16278" t="str">
            <v>solar PV</v>
          </cell>
        </row>
        <row r="16279">
          <cell r="C16279" t="str">
            <v>IC</v>
          </cell>
          <cell r="D16279">
            <v>2.1</v>
          </cell>
          <cell r="H16279" t="str">
            <v>natural gas peaker</v>
          </cell>
        </row>
        <row r="16280">
          <cell r="C16280" t="str">
            <v>IC</v>
          </cell>
          <cell r="D16280">
            <v>2.1</v>
          </cell>
          <cell r="H16280" t="str">
            <v>natural gas peaker</v>
          </cell>
        </row>
        <row r="16281">
          <cell r="C16281" t="str">
            <v>PV</v>
          </cell>
          <cell r="D16281">
            <v>0.3</v>
          </cell>
          <cell r="H16281" t="str">
            <v>solar PV</v>
          </cell>
        </row>
        <row r="16282">
          <cell r="C16282" t="str">
            <v>PV</v>
          </cell>
          <cell r="D16282">
            <v>0.5</v>
          </cell>
          <cell r="H16282" t="str">
            <v>solar PV</v>
          </cell>
        </row>
        <row r="16283">
          <cell r="C16283" t="str">
            <v>IC</v>
          </cell>
          <cell r="D16283">
            <v>1.6</v>
          </cell>
          <cell r="H16283" t="str">
            <v>biomass</v>
          </cell>
        </row>
        <row r="16284">
          <cell r="C16284" t="str">
            <v>IC</v>
          </cell>
          <cell r="D16284">
            <v>1.6</v>
          </cell>
          <cell r="H16284" t="str">
            <v>biomass</v>
          </cell>
        </row>
        <row r="16285">
          <cell r="C16285" t="str">
            <v>IC</v>
          </cell>
          <cell r="D16285">
            <v>1.5</v>
          </cell>
          <cell r="H16285" t="str">
            <v>biomass</v>
          </cell>
        </row>
        <row r="16286">
          <cell r="C16286" t="str">
            <v>IC</v>
          </cell>
          <cell r="D16286">
            <v>1.5</v>
          </cell>
          <cell r="H16286" t="str">
            <v>biomass</v>
          </cell>
        </row>
        <row r="16287">
          <cell r="C16287" t="str">
            <v>BA</v>
          </cell>
          <cell r="D16287">
            <v>40</v>
          </cell>
          <cell r="H16287" t="str">
            <v>other</v>
          </cell>
        </row>
        <row r="16288">
          <cell r="C16288" t="str">
            <v>BA</v>
          </cell>
          <cell r="D16288">
            <v>2.5</v>
          </cell>
          <cell r="H16288" t="str">
            <v>other</v>
          </cell>
        </row>
        <row r="16289">
          <cell r="C16289" t="str">
            <v>CT</v>
          </cell>
          <cell r="D16289">
            <v>13.5</v>
          </cell>
          <cell r="H16289" t="str">
            <v>natural gas nonpeaker</v>
          </cell>
        </row>
        <row r="16290">
          <cell r="C16290" t="str">
            <v>CT</v>
          </cell>
          <cell r="D16290">
            <v>13.5</v>
          </cell>
          <cell r="H16290" t="str">
            <v>natural gas nonpeaker</v>
          </cell>
        </row>
        <row r="16291">
          <cell r="C16291" t="str">
            <v>CA</v>
          </cell>
          <cell r="D16291">
            <v>3</v>
          </cell>
          <cell r="H16291" t="str">
            <v>natural gas nonpeaker</v>
          </cell>
        </row>
        <row r="16292">
          <cell r="C16292" t="str">
            <v>GT</v>
          </cell>
          <cell r="D16292">
            <v>29</v>
          </cell>
          <cell r="H16292" t="str">
            <v>natural gas peaker</v>
          </cell>
        </row>
        <row r="16293">
          <cell r="C16293" t="str">
            <v>WT</v>
          </cell>
          <cell r="D16293">
            <v>102.5</v>
          </cell>
          <cell r="H16293" t="str">
            <v>onshore wind</v>
          </cell>
        </row>
        <row r="16294">
          <cell r="C16294" t="str">
            <v>PV</v>
          </cell>
          <cell r="D16294">
            <v>2.6</v>
          </cell>
          <cell r="H16294" t="str">
            <v>solar PV</v>
          </cell>
        </row>
        <row r="16295">
          <cell r="C16295" t="str">
            <v>PV</v>
          </cell>
          <cell r="D16295">
            <v>31.5</v>
          </cell>
          <cell r="H16295" t="str">
            <v>solar PV</v>
          </cell>
        </row>
        <row r="16296">
          <cell r="C16296" t="str">
            <v>WT</v>
          </cell>
          <cell r="D16296">
            <v>99.2</v>
          </cell>
          <cell r="H16296" t="str">
            <v>onshore wind</v>
          </cell>
        </row>
        <row r="16297">
          <cell r="C16297" t="str">
            <v>PV</v>
          </cell>
          <cell r="D16297">
            <v>5</v>
          </cell>
          <cell r="H16297" t="str">
            <v>solar PV</v>
          </cell>
        </row>
        <row r="16298">
          <cell r="C16298" t="str">
            <v>WT</v>
          </cell>
          <cell r="D16298">
            <v>79.900000000000006</v>
          </cell>
          <cell r="H16298" t="str">
            <v>onshore wind</v>
          </cell>
        </row>
        <row r="16299">
          <cell r="C16299" t="str">
            <v>WT</v>
          </cell>
          <cell r="D16299">
            <v>1</v>
          </cell>
          <cell r="H16299" t="str">
            <v>onshore wind</v>
          </cell>
        </row>
        <row r="16300">
          <cell r="C16300" t="str">
            <v>WT</v>
          </cell>
          <cell r="D16300">
            <v>55.2</v>
          </cell>
          <cell r="H16300" t="str">
            <v>onshore wind</v>
          </cell>
        </row>
        <row r="16301">
          <cell r="C16301" t="str">
            <v>IC</v>
          </cell>
          <cell r="D16301">
            <v>2.5</v>
          </cell>
          <cell r="H16301" t="str">
            <v>petroleum</v>
          </cell>
        </row>
        <row r="16302">
          <cell r="C16302" t="str">
            <v>IC</v>
          </cell>
          <cell r="D16302">
            <v>2.5</v>
          </cell>
          <cell r="H16302" t="str">
            <v>petroleum</v>
          </cell>
        </row>
        <row r="16303">
          <cell r="C16303" t="str">
            <v>IC</v>
          </cell>
          <cell r="D16303">
            <v>2.5</v>
          </cell>
          <cell r="H16303" t="str">
            <v>petroleum</v>
          </cell>
        </row>
        <row r="16304">
          <cell r="C16304" t="str">
            <v>IC</v>
          </cell>
          <cell r="D16304">
            <v>2.5</v>
          </cell>
          <cell r="H16304" t="str">
            <v>petroleum</v>
          </cell>
        </row>
        <row r="16305">
          <cell r="C16305" t="str">
            <v>IC</v>
          </cell>
          <cell r="D16305">
            <v>2.5</v>
          </cell>
          <cell r="H16305" t="str">
            <v>petroleum</v>
          </cell>
        </row>
        <row r="16306">
          <cell r="C16306" t="str">
            <v>IC</v>
          </cell>
          <cell r="D16306">
            <v>2.5</v>
          </cell>
          <cell r="H16306" t="str">
            <v>petroleum</v>
          </cell>
        </row>
        <row r="16307">
          <cell r="C16307" t="str">
            <v>IC</v>
          </cell>
          <cell r="D16307">
            <v>2.5</v>
          </cell>
          <cell r="H16307" t="str">
            <v>petroleum</v>
          </cell>
        </row>
        <row r="16308">
          <cell r="C16308" t="str">
            <v>IC</v>
          </cell>
          <cell r="D16308">
            <v>2.5</v>
          </cell>
          <cell r="H16308" t="str">
            <v>petroleum</v>
          </cell>
        </row>
        <row r="16309">
          <cell r="C16309" t="str">
            <v>IC</v>
          </cell>
          <cell r="D16309">
            <v>2.5</v>
          </cell>
          <cell r="H16309" t="str">
            <v>petroleum</v>
          </cell>
        </row>
        <row r="16310">
          <cell r="C16310" t="str">
            <v>IC</v>
          </cell>
          <cell r="D16310">
            <v>2.5</v>
          </cell>
          <cell r="H16310" t="str">
            <v>petroleum</v>
          </cell>
        </row>
        <row r="16311">
          <cell r="C16311" t="str">
            <v>IC</v>
          </cell>
          <cell r="D16311">
            <v>2.5</v>
          </cell>
          <cell r="H16311" t="str">
            <v>petroleum</v>
          </cell>
        </row>
        <row r="16312">
          <cell r="C16312" t="str">
            <v>IC</v>
          </cell>
          <cell r="D16312">
            <v>2.5</v>
          </cell>
          <cell r="H16312" t="str">
            <v>petroleum</v>
          </cell>
        </row>
        <row r="16313">
          <cell r="C16313" t="str">
            <v>IC</v>
          </cell>
          <cell r="D16313">
            <v>2.5</v>
          </cell>
          <cell r="H16313" t="str">
            <v>petroleum</v>
          </cell>
        </row>
        <row r="16314">
          <cell r="C16314" t="str">
            <v>IC</v>
          </cell>
          <cell r="D16314">
            <v>2.5</v>
          </cell>
          <cell r="H16314" t="str">
            <v>petroleum</v>
          </cell>
        </row>
        <row r="16315">
          <cell r="C16315" t="str">
            <v>IC</v>
          </cell>
          <cell r="D16315">
            <v>2.5</v>
          </cell>
          <cell r="H16315" t="str">
            <v>petroleum</v>
          </cell>
        </row>
        <row r="16316">
          <cell r="C16316" t="str">
            <v>IC</v>
          </cell>
          <cell r="D16316">
            <v>2.5</v>
          </cell>
          <cell r="H16316" t="str">
            <v>petroleum</v>
          </cell>
        </row>
        <row r="16317">
          <cell r="C16317" t="str">
            <v>IC</v>
          </cell>
          <cell r="D16317">
            <v>2.5</v>
          </cell>
          <cell r="H16317" t="str">
            <v>petroleum</v>
          </cell>
        </row>
        <row r="16318">
          <cell r="C16318" t="str">
            <v>IC</v>
          </cell>
          <cell r="D16318">
            <v>2.5</v>
          </cell>
          <cell r="H16318" t="str">
            <v>petroleum</v>
          </cell>
        </row>
        <row r="16319">
          <cell r="C16319" t="str">
            <v>IC</v>
          </cell>
          <cell r="D16319">
            <v>2.5</v>
          </cell>
          <cell r="H16319" t="str">
            <v>petroleum</v>
          </cell>
        </row>
        <row r="16320">
          <cell r="C16320" t="str">
            <v>IC</v>
          </cell>
          <cell r="D16320">
            <v>1.8</v>
          </cell>
          <cell r="H16320" t="str">
            <v>petroleum</v>
          </cell>
        </row>
        <row r="16321">
          <cell r="C16321" t="str">
            <v>IC</v>
          </cell>
          <cell r="D16321">
            <v>1.8</v>
          </cell>
          <cell r="H16321" t="str">
            <v>petroleum</v>
          </cell>
        </row>
        <row r="16322">
          <cell r="C16322" t="str">
            <v>IC</v>
          </cell>
          <cell r="D16322">
            <v>1.8</v>
          </cell>
          <cell r="H16322" t="str">
            <v>petroleum</v>
          </cell>
        </row>
        <row r="16323">
          <cell r="C16323" t="str">
            <v>IC</v>
          </cell>
          <cell r="D16323">
            <v>1</v>
          </cell>
          <cell r="H16323" t="str">
            <v>petroleum</v>
          </cell>
        </row>
        <row r="16324">
          <cell r="C16324" t="str">
            <v>IC</v>
          </cell>
          <cell r="D16324">
            <v>1</v>
          </cell>
          <cell r="H16324" t="str">
            <v>petroleum</v>
          </cell>
        </row>
        <row r="16325">
          <cell r="C16325" t="str">
            <v>IC</v>
          </cell>
          <cell r="D16325">
            <v>1.8</v>
          </cell>
          <cell r="H16325" t="str">
            <v>petroleum</v>
          </cell>
        </row>
        <row r="16326">
          <cell r="C16326" t="str">
            <v>WT</v>
          </cell>
          <cell r="D16326">
            <v>100</v>
          </cell>
          <cell r="H16326" t="str">
            <v>onshore wind</v>
          </cell>
        </row>
        <row r="16327">
          <cell r="C16327" t="str">
            <v>WT</v>
          </cell>
          <cell r="D16327">
            <v>2.5</v>
          </cell>
          <cell r="H16327" t="str">
            <v>onshore wind</v>
          </cell>
        </row>
        <row r="16328">
          <cell r="C16328" t="str">
            <v>WT</v>
          </cell>
          <cell r="D16328">
            <v>199</v>
          </cell>
          <cell r="H16328" t="str">
            <v>onshore wind</v>
          </cell>
        </row>
        <row r="16329">
          <cell r="C16329" t="str">
            <v>WT</v>
          </cell>
          <cell r="D16329">
            <v>100</v>
          </cell>
          <cell r="H16329" t="str">
            <v>onshore wind</v>
          </cell>
        </row>
        <row r="16330">
          <cell r="C16330" t="str">
            <v>WT</v>
          </cell>
          <cell r="D16330">
            <v>250</v>
          </cell>
          <cell r="H16330" t="str">
            <v>onshore wind</v>
          </cell>
        </row>
        <row r="16331">
          <cell r="C16331" t="str">
            <v>WT</v>
          </cell>
          <cell r="D16331">
            <v>99</v>
          </cell>
          <cell r="H16331" t="str">
            <v>onshore wind</v>
          </cell>
        </row>
        <row r="16332">
          <cell r="C16332" t="str">
            <v>WT</v>
          </cell>
          <cell r="D16332">
            <v>79.2</v>
          </cell>
          <cell r="H16332" t="str">
            <v>onshore wind</v>
          </cell>
        </row>
        <row r="16333">
          <cell r="C16333" t="str">
            <v>WT</v>
          </cell>
          <cell r="D16333">
            <v>205.2</v>
          </cell>
          <cell r="H16333" t="str">
            <v>onshore wind</v>
          </cell>
        </row>
        <row r="16334">
          <cell r="C16334" t="str">
            <v>IC</v>
          </cell>
          <cell r="D16334">
            <v>2</v>
          </cell>
          <cell r="H16334" t="str">
            <v>petroleum</v>
          </cell>
        </row>
        <row r="16335">
          <cell r="C16335" t="str">
            <v>IC</v>
          </cell>
          <cell r="D16335">
            <v>0.6</v>
          </cell>
          <cell r="H16335" t="str">
            <v>natural gas peaker</v>
          </cell>
        </row>
        <row r="16336">
          <cell r="C16336" t="str">
            <v>IC</v>
          </cell>
          <cell r="D16336">
            <v>0.3</v>
          </cell>
          <cell r="H16336" t="str">
            <v>natural gas peaker</v>
          </cell>
        </row>
        <row r="16337">
          <cell r="C16337" t="str">
            <v>WT</v>
          </cell>
          <cell r="D16337">
            <v>2</v>
          </cell>
          <cell r="H16337" t="str">
            <v>onshore wind</v>
          </cell>
        </row>
        <row r="16338">
          <cell r="C16338" t="str">
            <v>WT</v>
          </cell>
          <cell r="D16338">
            <v>100</v>
          </cell>
          <cell r="H16338" t="str">
            <v>onshore wind</v>
          </cell>
        </row>
        <row r="16339">
          <cell r="C16339" t="str">
            <v>IC</v>
          </cell>
          <cell r="D16339">
            <v>1.8</v>
          </cell>
          <cell r="H16339" t="str">
            <v>petroleum</v>
          </cell>
        </row>
        <row r="16340">
          <cell r="C16340" t="str">
            <v>IC</v>
          </cell>
          <cell r="D16340">
            <v>1.7</v>
          </cell>
          <cell r="H16340" t="str">
            <v>petroleum</v>
          </cell>
        </row>
        <row r="16341">
          <cell r="C16341" t="str">
            <v>IC</v>
          </cell>
          <cell r="D16341">
            <v>1.7</v>
          </cell>
          <cell r="H16341" t="str">
            <v>petroleum</v>
          </cell>
        </row>
        <row r="16342">
          <cell r="C16342" t="str">
            <v>IC</v>
          </cell>
          <cell r="D16342">
            <v>1.7</v>
          </cell>
          <cell r="H16342" t="str">
            <v>petroleum</v>
          </cell>
        </row>
        <row r="16343">
          <cell r="C16343" t="str">
            <v>WT</v>
          </cell>
          <cell r="D16343">
            <v>1.5</v>
          </cell>
          <cell r="H16343" t="str">
            <v>onshore wind</v>
          </cell>
        </row>
        <row r="16344">
          <cell r="C16344" t="str">
            <v>WT</v>
          </cell>
          <cell r="D16344">
            <v>1.5</v>
          </cell>
          <cell r="H16344" t="str">
            <v>onshore wind</v>
          </cell>
        </row>
        <row r="16345">
          <cell r="C16345" t="str">
            <v>WT</v>
          </cell>
          <cell r="D16345">
            <v>50</v>
          </cell>
          <cell r="H16345" t="str">
            <v>onshore wind</v>
          </cell>
        </row>
        <row r="16346">
          <cell r="C16346" t="str">
            <v>IC</v>
          </cell>
          <cell r="D16346">
            <v>1.1000000000000001</v>
          </cell>
          <cell r="H16346" t="str">
            <v>biomass</v>
          </cell>
        </row>
        <row r="16347">
          <cell r="C16347" t="str">
            <v>IC</v>
          </cell>
          <cell r="D16347">
            <v>1.1000000000000001</v>
          </cell>
          <cell r="H16347" t="str">
            <v>biomass</v>
          </cell>
        </row>
        <row r="16348">
          <cell r="C16348" t="str">
            <v>WT</v>
          </cell>
          <cell r="D16348">
            <v>1</v>
          </cell>
          <cell r="H16348" t="str">
            <v>onshore wind</v>
          </cell>
        </row>
        <row r="16349">
          <cell r="C16349" t="str">
            <v>WT</v>
          </cell>
          <cell r="D16349">
            <v>1</v>
          </cell>
          <cell r="H16349" t="str">
            <v>onshore wind</v>
          </cell>
        </row>
        <row r="16350">
          <cell r="C16350" t="str">
            <v>WT</v>
          </cell>
          <cell r="D16350">
            <v>167.9</v>
          </cell>
          <cell r="H16350" t="str">
            <v>onshore wind</v>
          </cell>
        </row>
        <row r="16351">
          <cell r="C16351" t="str">
            <v>PV</v>
          </cell>
          <cell r="D16351">
            <v>1</v>
          </cell>
          <cell r="H16351" t="str">
            <v>solar PV</v>
          </cell>
        </row>
        <row r="16352">
          <cell r="C16352" t="str">
            <v>WT</v>
          </cell>
          <cell r="D16352">
            <v>1.8</v>
          </cell>
          <cell r="H16352" t="str">
            <v>onshore wind</v>
          </cell>
        </row>
        <row r="16353">
          <cell r="C16353" t="str">
            <v>WT</v>
          </cell>
          <cell r="D16353">
            <v>200</v>
          </cell>
          <cell r="H16353" t="str">
            <v>onshore wind</v>
          </cell>
        </row>
        <row r="16354">
          <cell r="C16354" t="str">
            <v>PV</v>
          </cell>
          <cell r="D16354">
            <v>3.4</v>
          </cell>
          <cell r="H16354" t="str">
            <v>solar PV</v>
          </cell>
        </row>
        <row r="16355">
          <cell r="C16355" t="str">
            <v>PV</v>
          </cell>
          <cell r="D16355">
            <v>1.4</v>
          </cell>
          <cell r="H16355" t="str">
            <v>solar PV</v>
          </cell>
        </row>
        <row r="16356">
          <cell r="C16356" t="str">
            <v>PV</v>
          </cell>
          <cell r="D16356">
            <v>4.0999999999999996</v>
          </cell>
          <cell r="H16356" t="str">
            <v>solar PV</v>
          </cell>
        </row>
        <row r="16357">
          <cell r="C16357" t="str">
            <v>WT</v>
          </cell>
          <cell r="D16357">
            <v>1.7</v>
          </cell>
          <cell r="H16357" t="str">
            <v>onshore wind</v>
          </cell>
        </row>
        <row r="16358">
          <cell r="C16358" t="str">
            <v>WT</v>
          </cell>
          <cell r="D16358">
            <v>1.7</v>
          </cell>
          <cell r="H16358" t="str">
            <v>onshore wind</v>
          </cell>
        </row>
        <row r="16359">
          <cell r="C16359" t="str">
            <v>WT</v>
          </cell>
          <cell r="D16359">
            <v>148.80000000000001</v>
          </cell>
          <cell r="H16359" t="str">
            <v>onshore wind</v>
          </cell>
        </row>
        <row r="16360">
          <cell r="C16360" t="str">
            <v>PV</v>
          </cell>
          <cell r="D16360">
            <v>60</v>
          </cell>
          <cell r="H16360" t="str">
            <v>solar PV</v>
          </cell>
        </row>
        <row r="16361">
          <cell r="C16361" t="str">
            <v>PV</v>
          </cell>
          <cell r="D16361">
            <v>20</v>
          </cell>
          <cell r="H16361" t="str">
            <v>solar PV</v>
          </cell>
        </row>
        <row r="16362">
          <cell r="C16362" t="str">
            <v>PV</v>
          </cell>
          <cell r="D16362">
            <v>1</v>
          </cell>
          <cell r="H16362" t="str">
            <v>solar PV</v>
          </cell>
        </row>
        <row r="16363">
          <cell r="C16363" t="str">
            <v>CT</v>
          </cell>
          <cell r="D16363">
            <v>5.2</v>
          </cell>
          <cell r="H16363" t="str">
            <v>natural gas nonpeaker</v>
          </cell>
        </row>
        <row r="16364">
          <cell r="C16364" t="str">
            <v>CA</v>
          </cell>
          <cell r="D16364">
            <v>0.5</v>
          </cell>
          <cell r="H16364" t="str">
            <v>natural gas nonpeaker</v>
          </cell>
        </row>
        <row r="16365">
          <cell r="C16365" t="str">
            <v>PV</v>
          </cell>
          <cell r="D16365">
            <v>1.1000000000000001</v>
          </cell>
          <cell r="H16365" t="str">
            <v>solar PV</v>
          </cell>
        </row>
        <row r="16366">
          <cell r="C16366" t="str">
            <v>PV</v>
          </cell>
          <cell r="D16366">
            <v>1.5</v>
          </cell>
          <cell r="H16366" t="str">
            <v>solar PV</v>
          </cell>
        </row>
        <row r="16367">
          <cell r="C16367" t="str">
            <v>PV</v>
          </cell>
          <cell r="D16367">
            <v>25</v>
          </cell>
          <cell r="H16367" t="str">
            <v>solar PV</v>
          </cell>
        </row>
        <row r="16368">
          <cell r="C16368" t="str">
            <v>PV</v>
          </cell>
          <cell r="D16368">
            <v>3.7</v>
          </cell>
          <cell r="H16368" t="str">
            <v>solar PV</v>
          </cell>
        </row>
        <row r="16369">
          <cell r="C16369" t="str">
            <v>PV</v>
          </cell>
          <cell r="D16369">
            <v>3.5</v>
          </cell>
          <cell r="H16369" t="str">
            <v>solar PV</v>
          </cell>
        </row>
        <row r="16370">
          <cell r="C16370" t="str">
            <v>PV</v>
          </cell>
          <cell r="D16370">
            <v>12</v>
          </cell>
          <cell r="H16370" t="str">
            <v>solar PV</v>
          </cell>
        </row>
        <row r="16371">
          <cell r="C16371" t="str">
            <v>WT</v>
          </cell>
          <cell r="D16371">
            <v>131</v>
          </cell>
          <cell r="H16371" t="str">
            <v>onshore wind</v>
          </cell>
        </row>
        <row r="16372">
          <cell r="C16372" t="str">
            <v>CT</v>
          </cell>
          <cell r="D16372">
            <v>156</v>
          </cell>
          <cell r="H16372" t="str">
            <v>natural gas nonpeaker</v>
          </cell>
        </row>
        <row r="16373">
          <cell r="C16373" t="str">
            <v>CT</v>
          </cell>
          <cell r="D16373">
            <v>156</v>
          </cell>
          <cell r="H16373" t="str">
            <v>natural gas nonpeaker</v>
          </cell>
        </row>
        <row r="16374">
          <cell r="C16374" t="str">
            <v>CA</v>
          </cell>
          <cell r="D16374">
            <v>228</v>
          </cell>
          <cell r="H16374" t="str">
            <v>natural gas nonpeaker</v>
          </cell>
        </row>
        <row r="16375">
          <cell r="C16375" t="str">
            <v>HY</v>
          </cell>
          <cell r="D16375">
            <v>0.6</v>
          </cell>
          <cell r="H16375" t="str">
            <v>hydro</v>
          </cell>
        </row>
        <row r="16376">
          <cell r="C16376" t="str">
            <v>HY</v>
          </cell>
          <cell r="D16376">
            <v>0.6</v>
          </cell>
          <cell r="H16376" t="str">
            <v>hydro</v>
          </cell>
        </row>
        <row r="16377">
          <cell r="C16377" t="str">
            <v>HY</v>
          </cell>
          <cell r="D16377">
            <v>0.6</v>
          </cell>
          <cell r="H16377" t="str">
            <v>hydro</v>
          </cell>
        </row>
        <row r="16378">
          <cell r="C16378" t="str">
            <v>HY</v>
          </cell>
          <cell r="D16378">
            <v>0.6</v>
          </cell>
          <cell r="H16378" t="str">
            <v>hydro</v>
          </cell>
        </row>
        <row r="16379">
          <cell r="C16379" t="str">
            <v>HY</v>
          </cell>
          <cell r="D16379">
            <v>0.6</v>
          </cell>
          <cell r="H16379" t="str">
            <v>hydro</v>
          </cell>
        </row>
        <row r="16380">
          <cell r="C16380" t="str">
            <v>HY</v>
          </cell>
          <cell r="D16380">
            <v>0.6</v>
          </cell>
          <cell r="H16380" t="str">
            <v>hydro</v>
          </cell>
        </row>
        <row r="16381">
          <cell r="C16381" t="str">
            <v>HY</v>
          </cell>
          <cell r="D16381">
            <v>0.6</v>
          </cell>
          <cell r="H16381" t="str">
            <v>hydro</v>
          </cell>
        </row>
        <row r="16382">
          <cell r="C16382" t="str">
            <v>HY</v>
          </cell>
          <cell r="D16382">
            <v>0.6</v>
          </cell>
          <cell r="H16382" t="str">
            <v>hydro</v>
          </cell>
        </row>
        <row r="16383">
          <cell r="C16383" t="str">
            <v>HY</v>
          </cell>
          <cell r="D16383">
            <v>0.6</v>
          </cell>
          <cell r="H16383" t="str">
            <v>hydro</v>
          </cell>
        </row>
        <row r="16384">
          <cell r="C16384" t="str">
            <v>HY</v>
          </cell>
          <cell r="D16384">
            <v>0.6</v>
          </cell>
          <cell r="H16384" t="str">
            <v>hydro</v>
          </cell>
        </row>
        <row r="16385">
          <cell r="C16385" t="str">
            <v>HY</v>
          </cell>
          <cell r="D16385">
            <v>0.6</v>
          </cell>
          <cell r="H16385" t="str">
            <v>hydro</v>
          </cell>
        </row>
        <row r="16386">
          <cell r="C16386" t="str">
            <v>HY</v>
          </cell>
          <cell r="D16386">
            <v>0.6</v>
          </cell>
          <cell r="H16386" t="str">
            <v>hydro</v>
          </cell>
        </row>
        <row r="16387">
          <cell r="C16387" t="str">
            <v>HY</v>
          </cell>
          <cell r="D16387">
            <v>0.6</v>
          </cell>
          <cell r="H16387" t="str">
            <v>hydro</v>
          </cell>
        </row>
        <row r="16388">
          <cell r="C16388" t="str">
            <v>HY</v>
          </cell>
          <cell r="D16388">
            <v>0.6</v>
          </cell>
          <cell r="H16388" t="str">
            <v>hydro</v>
          </cell>
        </row>
        <row r="16389">
          <cell r="C16389" t="str">
            <v>HY</v>
          </cell>
          <cell r="D16389">
            <v>0.6</v>
          </cell>
          <cell r="H16389" t="str">
            <v>hydro</v>
          </cell>
        </row>
        <row r="16390">
          <cell r="C16390" t="str">
            <v>HY</v>
          </cell>
          <cell r="D16390">
            <v>0.6</v>
          </cell>
          <cell r="H16390" t="str">
            <v>hydro</v>
          </cell>
        </row>
        <row r="16391">
          <cell r="C16391" t="str">
            <v>CT</v>
          </cell>
          <cell r="D16391">
            <v>6</v>
          </cell>
          <cell r="H16391" t="str">
            <v>natural gas nonpeaker</v>
          </cell>
        </row>
        <row r="16392">
          <cell r="C16392" t="str">
            <v>CT</v>
          </cell>
          <cell r="D16392">
            <v>6</v>
          </cell>
          <cell r="H16392" t="str">
            <v>natural gas nonpeaker</v>
          </cell>
        </row>
        <row r="16393">
          <cell r="C16393" t="str">
            <v>CA</v>
          </cell>
          <cell r="D16393">
            <v>2.5</v>
          </cell>
          <cell r="H16393" t="str">
            <v>natural gas nonpeaker</v>
          </cell>
        </row>
        <row r="16394">
          <cell r="C16394" t="str">
            <v>PV</v>
          </cell>
          <cell r="D16394">
            <v>1.5</v>
          </cell>
          <cell r="H16394" t="str">
            <v>solar PV</v>
          </cell>
        </row>
        <row r="16395">
          <cell r="C16395" t="str">
            <v>PV</v>
          </cell>
          <cell r="D16395">
            <v>1.5</v>
          </cell>
          <cell r="H16395" t="str">
            <v>solar PV</v>
          </cell>
        </row>
        <row r="16396">
          <cell r="C16396" t="str">
            <v>PV</v>
          </cell>
          <cell r="D16396">
            <v>0.8</v>
          </cell>
          <cell r="H16396" t="str">
            <v>solar PV</v>
          </cell>
        </row>
        <row r="16397">
          <cell r="C16397" t="str">
            <v>PV</v>
          </cell>
          <cell r="D16397">
            <v>3</v>
          </cell>
          <cell r="H16397" t="str">
            <v>solar PV</v>
          </cell>
        </row>
        <row r="16398">
          <cell r="C16398" t="str">
            <v>PV</v>
          </cell>
          <cell r="D16398">
            <v>0.9</v>
          </cell>
          <cell r="H16398" t="str">
            <v>solar PV</v>
          </cell>
        </row>
        <row r="16399">
          <cell r="C16399" t="str">
            <v>PV</v>
          </cell>
          <cell r="D16399">
            <v>0.4</v>
          </cell>
          <cell r="H16399" t="str">
            <v>solar PV</v>
          </cell>
        </row>
        <row r="16400">
          <cell r="C16400" t="str">
            <v>PV</v>
          </cell>
          <cell r="D16400">
            <v>18</v>
          </cell>
          <cell r="H16400" t="str">
            <v>solar PV</v>
          </cell>
        </row>
        <row r="16401">
          <cell r="C16401" t="str">
            <v>PV</v>
          </cell>
          <cell r="D16401">
            <v>2.9</v>
          </cell>
          <cell r="H16401" t="str">
            <v>solar PV</v>
          </cell>
        </row>
        <row r="16402">
          <cell r="C16402" t="str">
            <v>PV</v>
          </cell>
          <cell r="D16402">
            <v>2.9</v>
          </cell>
          <cell r="H16402" t="str">
            <v>solar PV</v>
          </cell>
        </row>
        <row r="16403">
          <cell r="C16403" t="str">
            <v>IC</v>
          </cell>
          <cell r="D16403">
            <v>1.4</v>
          </cell>
          <cell r="H16403" t="str">
            <v>natural gas peaker</v>
          </cell>
        </row>
        <row r="16404">
          <cell r="C16404" t="str">
            <v>IC</v>
          </cell>
          <cell r="D16404">
            <v>1.4</v>
          </cell>
          <cell r="H16404" t="str">
            <v>natural gas peaker</v>
          </cell>
        </row>
        <row r="16405">
          <cell r="C16405" t="str">
            <v>PV</v>
          </cell>
          <cell r="D16405">
            <v>3.5</v>
          </cell>
          <cell r="H16405" t="str">
            <v>solar PV</v>
          </cell>
        </row>
        <row r="16406">
          <cell r="C16406" t="str">
            <v>PV</v>
          </cell>
          <cell r="D16406">
            <v>2.2999999999999998</v>
          </cell>
          <cell r="H16406" t="str">
            <v>solar PV</v>
          </cell>
        </row>
        <row r="16407">
          <cell r="C16407" t="str">
            <v>WT</v>
          </cell>
          <cell r="D16407">
            <v>150.4</v>
          </cell>
          <cell r="H16407" t="str">
            <v>onshore wind</v>
          </cell>
        </row>
        <row r="16408">
          <cell r="C16408" t="str">
            <v>PV</v>
          </cell>
          <cell r="D16408">
            <v>1.8</v>
          </cell>
          <cell r="H16408" t="str">
            <v>solar PV</v>
          </cell>
        </row>
        <row r="16409">
          <cell r="C16409" t="str">
            <v>PV</v>
          </cell>
          <cell r="D16409">
            <v>0.9</v>
          </cell>
          <cell r="H16409" t="str">
            <v>solar PV</v>
          </cell>
        </row>
        <row r="16410">
          <cell r="C16410" t="str">
            <v>WT</v>
          </cell>
          <cell r="D16410">
            <v>201</v>
          </cell>
          <cell r="H16410" t="str">
            <v>onshore wind</v>
          </cell>
        </row>
        <row r="16411">
          <cell r="C16411" t="str">
            <v>PV</v>
          </cell>
          <cell r="D16411">
            <v>18.5</v>
          </cell>
          <cell r="H16411" t="str">
            <v>solar PV</v>
          </cell>
        </row>
        <row r="16412">
          <cell r="C16412" t="str">
            <v>PV</v>
          </cell>
          <cell r="D16412">
            <v>27.3</v>
          </cell>
          <cell r="H16412" t="str">
            <v>solar PV</v>
          </cell>
        </row>
        <row r="16413">
          <cell r="C16413" t="str">
            <v>PV</v>
          </cell>
          <cell r="D16413">
            <v>27.3</v>
          </cell>
          <cell r="H16413" t="str">
            <v>solar PV</v>
          </cell>
        </row>
        <row r="16414">
          <cell r="C16414" t="str">
            <v>PV</v>
          </cell>
          <cell r="D16414">
            <v>25</v>
          </cell>
          <cell r="H16414" t="str">
            <v>solar PV</v>
          </cell>
        </row>
        <row r="16415">
          <cell r="C16415" t="str">
            <v>PV</v>
          </cell>
          <cell r="D16415">
            <v>27.3</v>
          </cell>
          <cell r="H16415" t="str">
            <v>solar PV</v>
          </cell>
        </row>
        <row r="16416">
          <cell r="C16416" t="str">
            <v>PV</v>
          </cell>
          <cell r="D16416">
            <v>0.9</v>
          </cell>
          <cell r="H16416" t="str">
            <v>solar PV</v>
          </cell>
        </row>
        <row r="16417">
          <cell r="C16417" t="str">
            <v>PV</v>
          </cell>
          <cell r="D16417">
            <v>1</v>
          </cell>
          <cell r="H16417" t="str">
            <v>solar PV</v>
          </cell>
        </row>
        <row r="16418">
          <cell r="C16418" t="str">
            <v>PV</v>
          </cell>
          <cell r="D16418">
            <v>0.9</v>
          </cell>
          <cell r="H16418" t="str">
            <v>solar PV</v>
          </cell>
        </row>
        <row r="16419">
          <cell r="C16419" t="str">
            <v>ST</v>
          </cell>
          <cell r="D16419">
            <v>6.5</v>
          </cell>
          <cell r="H16419" t="str">
            <v>other</v>
          </cell>
        </row>
        <row r="16420">
          <cell r="C16420" t="str">
            <v>PV</v>
          </cell>
          <cell r="D16420">
            <v>10</v>
          </cell>
          <cell r="H16420" t="str">
            <v>solar PV</v>
          </cell>
        </row>
        <row r="16421">
          <cell r="C16421" t="str">
            <v>PV</v>
          </cell>
          <cell r="D16421">
            <v>0.9</v>
          </cell>
          <cell r="H16421" t="str">
            <v>solar PV</v>
          </cell>
        </row>
        <row r="16422">
          <cell r="C16422" t="str">
            <v>IC</v>
          </cell>
          <cell r="D16422">
            <v>2</v>
          </cell>
          <cell r="H16422" t="str">
            <v>petroleum</v>
          </cell>
        </row>
        <row r="16423">
          <cell r="C16423" t="str">
            <v>IC</v>
          </cell>
          <cell r="D16423">
            <v>2</v>
          </cell>
          <cell r="H16423" t="str">
            <v>petroleum</v>
          </cell>
        </row>
        <row r="16424">
          <cell r="C16424" t="str">
            <v>IC</v>
          </cell>
          <cell r="D16424">
            <v>2</v>
          </cell>
          <cell r="H16424" t="str">
            <v>petroleum</v>
          </cell>
        </row>
        <row r="16425">
          <cell r="C16425" t="str">
            <v>HY</v>
          </cell>
          <cell r="D16425">
            <v>5.3</v>
          </cell>
          <cell r="H16425" t="str">
            <v>hydro</v>
          </cell>
        </row>
        <row r="16426">
          <cell r="C16426" t="str">
            <v>HY</v>
          </cell>
          <cell r="D16426">
            <v>7.7</v>
          </cell>
          <cell r="H16426" t="str">
            <v>hydro</v>
          </cell>
        </row>
        <row r="16427">
          <cell r="C16427" t="str">
            <v>PV</v>
          </cell>
          <cell r="D16427">
            <v>1.1000000000000001</v>
          </cell>
          <cell r="H16427" t="str">
            <v>solar PV</v>
          </cell>
        </row>
        <row r="16428">
          <cell r="C16428" t="str">
            <v>BA</v>
          </cell>
          <cell r="D16428">
            <v>0.3</v>
          </cell>
          <cell r="H16428" t="str">
            <v>other</v>
          </cell>
        </row>
        <row r="16429">
          <cell r="C16429" t="str">
            <v>PV</v>
          </cell>
          <cell r="D16429">
            <v>0.3</v>
          </cell>
          <cell r="H16429" t="str">
            <v>solar PV</v>
          </cell>
        </row>
        <row r="16430">
          <cell r="C16430" t="str">
            <v>PV</v>
          </cell>
          <cell r="D16430">
            <v>0.4</v>
          </cell>
          <cell r="H16430" t="str">
            <v>solar PV</v>
          </cell>
        </row>
        <row r="16431">
          <cell r="C16431" t="str">
            <v>WT</v>
          </cell>
          <cell r="D16431">
            <v>2</v>
          </cell>
          <cell r="H16431" t="str">
            <v>onshore wind</v>
          </cell>
        </row>
        <row r="16432">
          <cell r="C16432" t="str">
            <v>WT</v>
          </cell>
          <cell r="D16432">
            <v>1.5</v>
          </cell>
          <cell r="H16432" t="str">
            <v>onshore wind</v>
          </cell>
        </row>
        <row r="16433">
          <cell r="C16433" t="str">
            <v>BA</v>
          </cell>
          <cell r="D16433">
            <v>1</v>
          </cell>
          <cell r="H16433" t="str">
            <v>other</v>
          </cell>
        </row>
        <row r="16434">
          <cell r="C16434" t="str">
            <v>WT</v>
          </cell>
          <cell r="D16434">
            <v>2.2999999999999998</v>
          </cell>
          <cell r="H16434" t="str">
            <v>onshore wind</v>
          </cell>
        </row>
        <row r="16435">
          <cell r="C16435" t="str">
            <v>PV</v>
          </cell>
          <cell r="D16435">
            <v>0.7</v>
          </cell>
          <cell r="H16435" t="str">
            <v>solar PV</v>
          </cell>
        </row>
        <row r="16436">
          <cell r="C16436" t="str">
            <v>PV</v>
          </cell>
          <cell r="D16436">
            <v>1.2</v>
          </cell>
          <cell r="H16436" t="str">
            <v>solar PV</v>
          </cell>
        </row>
        <row r="16437">
          <cell r="C16437" t="str">
            <v>PV</v>
          </cell>
          <cell r="D16437">
            <v>0.5</v>
          </cell>
          <cell r="H16437" t="str">
            <v>solar PV</v>
          </cell>
        </row>
        <row r="16438">
          <cell r="C16438" t="str">
            <v>PV</v>
          </cell>
          <cell r="D16438">
            <v>0.4</v>
          </cell>
          <cell r="H16438" t="str">
            <v>solar PV</v>
          </cell>
        </row>
        <row r="16439">
          <cell r="C16439" t="str">
            <v>PV</v>
          </cell>
          <cell r="D16439">
            <v>0.4</v>
          </cell>
          <cell r="H16439" t="str">
            <v>solar PV</v>
          </cell>
        </row>
        <row r="16440">
          <cell r="C16440" t="str">
            <v>PV</v>
          </cell>
          <cell r="D16440">
            <v>0.1</v>
          </cell>
          <cell r="H16440" t="str">
            <v>solar PV</v>
          </cell>
        </row>
        <row r="16441">
          <cell r="C16441" t="str">
            <v>PV</v>
          </cell>
          <cell r="D16441">
            <v>129.80000000000001</v>
          </cell>
          <cell r="H16441" t="str">
            <v>solar PV</v>
          </cell>
        </row>
        <row r="16442">
          <cell r="C16442" t="str">
            <v>PV</v>
          </cell>
          <cell r="D16442">
            <v>151.19999999999999</v>
          </cell>
          <cell r="H16442" t="str">
            <v>solar PV</v>
          </cell>
        </row>
        <row r="16443">
          <cell r="C16443" t="str">
            <v>PV</v>
          </cell>
          <cell r="D16443">
            <v>102.1</v>
          </cell>
          <cell r="H16443" t="str">
            <v>solar PV</v>
          </cell>
        </row>
        <row r="16444">
          <cell r="C16444" t="str">
            <v>PV</v>
          </cell>
          <cell r="D16444">
            <v>90.3</v>
          </cell>
          <cell r="H16444" t="str">
            <v>solar PV</v>
          </cell>
        </row>
        <row r="16445">
          <cell r="C16445" t="str">
            <v>PV</v>
          </cell>
          <cell r="D16445">
            <v>112.5</v>
          </cell>
          <cell r="H16445" t="str">
            <v>solar PV</v>
          </cell>
        </row>
        <row r="16446">
          <cell r="C16446" t="str">
            <v>GT</v>
          </cell>
          <cell r="D16446">
            <v>3.8</v>
          </cell>
          <cell r="H16446" t="str">
            <v>biomass</v>
          </cell>
        </row>
        <row r="16447">
          <cell r="C16447" t="str">
            <v>PV</v>
          </cell>
          <cell r="D16447">
            <v>3</v>
          </cell>
          <cell r="H16447" t="str">
            <v>solar PV</v>
          </cell>
        </row>
        <row r="16448">
          <cell r="C16448" t="str">
            <v>PV</v>
          </cell>
          <cell r="D16448">
            <v>2.7</v>
          </cell>
          <cell r="H16448" t="str">
            <v>solar PV</v>
          </cell>
        </row>
        <row r="16449">
          <cell r="C16449" t="str">
            <v>PV</v>
          </cell>
          <cell r="D16449">
            <v>30</v>
          </cell>
          <cell r="H16449" t="str">
            <v>solar PV</v>
          </cell>
        </row>
        <row r="16450">
          <cell r="C16450" t="str">
            <v>WT</v>
          </cell>
          <cell r="D16450">
            <v>78.2</v>
          </cell>
          <cell r="H16450" t="str">
            <v>onshore wind</v>
          </cell>
        </row>
        <row r="16451">
          <cell r="C16451" t="str">
            <v>WT</v>
          </cell>
          <cell r="D16451">
            <v>78.2</v>
          </cell>
          <cell r="H16451" t="str">
            <v>onshore wind</v>
          </cell>
        </row>
        <row r="16452">
          <cell r="C16452" t="str">
            <v>GT</v>
          </cell>
          <cell r="D16452">
            <v>5.7</v>
          </cell>
          <cell r="H16452" t="str">
            <v>other</v>
          </cell>
        </row>
        <row r="16453">
          <cell r="C16453" t="str">
            <v>CT</v>
          </cell>
          <cell r="D16453">
            <v>37</v>
          </cell>
          <cell r="H16453" t="str">
            <v>natural gas nonpeaker</v>
          </cell>
        </row>
        <row r="16454">
          <cell r="C16454" t="str">
            <v>CT</v>
          </cell>
          <cell r="D16454">
            <v>37</v>
          </cell>
          <cell r="H16454" t="str">
            <v>natural gas nonpeaker</v>
          </cell>
        </row>
        <row r="16455">
          <cell r="C16455" t="str">
            <v>CA</v>
          </cell>
          <cell r="D16455">
            <v>20</v>
          </cell>
          <cell r="H16455" t="str">
            <v>natural gas nonpeaker</v>
          </cell>
        </row>
        <row r="16456">
          <cell r="C16456" t="str">
            <v>GT</v>
          </cell>
          <cell r="D16456">
            <v>37</v>
          </cell>
          <cell r="H16456" t="str">
            <v>natural gas peaker</v>
          </cell>
        </row>
        <row r="16457">
          <cell r="C16457" t="str">
            <v>IC</v>
          </cell>
          <cell r="D16457">
            <v>1.6</v>
          </cell>
          <cell r="H16457" t="str">
            <v>biomass</v>
          </cell>
        </row>
        <row r="16458">
          <cell r="C16458" t="str">
            <v>IC</v>
          </cell>
          <cell r="D16458">
            <v>1.6</v>
          </cell>
          <cell r="H16458" t="str">
            <v>biomass</v>
          </cell>
        </row>
        <row r="16459">
          <cell r="C16459" t="str">
            <v>PV</v>
          </cell>
          <cell r="D16459">
            <v>16</v>
          </cell>
          <cell r="H16459" t="str">
            <v>solar PV</v>
          </cell>
        </row>
        <row r="16460">
          <cell r="C16460" t="str">
            <v>PV</v>
          </cell>
          <cell r="D16460">
            <v>12</v>
          </cell>
          <cell r="H16460" t="str">
            <v>solar PV</v>
          </cell>
        </row>
        <row r="16461">
          <cell r="C16461" t="str">
            <v>PV</v>
          </cell>
          <cell r="D16461">
            <v>16</v>
          </cell>
          <cell r="H16461" t="str">
            <v>solar PV</v>
          </cell>
        </row>
        <row r="16462">
          <cell r="C16462" t="str">
            <v>PV</v>
          </cell>
          <cell r="D16462">
            <v>16</v>
          </cell>
          <cell r="H16462" t="str">
            <v>solar PV</v>
          </cell>
        </row>
        <row r="16463">
          <cell r="C16463" t="str">
            <v>PV</v>
          </cell>
          <cell r="D16463">
            <v>16</v>
          </cell>
          <cell r="H16463" t="str">
            <v>solar PV</v>
          </cell>
        </row>
        <row r="16464">
          <cell r="C16464" t="str">
            <v>PV</v>
          </cell>
          <cell r="D16464">
            <v>10</v>
          </cell>
          <cell r="H16464" t="str">
            <v>solar PV</v>
          </cell>
        </row>
        <row r="16465">
          <cell r="C16465" t="str">
            <v>PV</v>
          </cell>
          <cell r="D16465">
            <v>16</v>
          </cell>
          <cell r="H16465" t="str">
            <v>solar PV</v>
          </cell>
        </row>
        <row r="16466">
          <cell r="C16466" t="str">
            <v>PV</v>
          </cell>
          <cell r="D16466">
            <v>16</v>
          </cell>
          <cell r="H16466" t="str">
            <v>solar PV</v>
          </cell>
        </row>
        <row r="16467">
          <cell r="C16467" t="str">
            <v>PV</v>
          </cell>
          <cell r="D16467">
            <v>8</v>
          </cell>
          <cell r="H16467" t="str">
            <v>solar PV</v>
          </cell>
        </row>
        <row r="16468">
          <cell r="C16468" t="str">
            <v>PV</v>
          </cell>
          <cell r="D16468">
            <v>16</v>
          </cell>
          <cell r="H16468" t="str">
            <v>solar PV</v>
          </cell>
        </row>
        <row r="16469">
          <cell r="C16469" t="str">
            <v>PV</v>
          </cell>
          <cell r="D16469">
            <v>12</v>
          </cell>
          <cell r="H16469" t="str">
            <v>solar PV</v>
          </cell>
        </row>
        <row r="16470">
          <cell r="C16470" t="str">
            <v>PV</v>
          </cell>
          <cell r="D16470">
            <v>16</v>
          </cell>
          <cell r="H16470" t="str">
            <v>solar PV</v>
          </cell>
        </row>
        <row r="16471">
          <cell r="C16471" t="str">
            <v>PV</v>
          </cell>
          <cell r="D16471">
            <v>110</v>
          </cell>
          <cell r="H16471" t="str">
            <v>solar PV</v>
          </cell>
        </row>
        <row r="16472">
          <cell r="C16472" t="str">
            <v>FW</v>
          </cell>
          <cell r="D16472">
            <v>20</v>
          </cell>
          <cell r="H16472" t="str">
            <v>other</v>
          </cell>
        </row>
        <row r="16473">
          <cell r="C16473" t="str">
            <v>IC</v>
          </cell>
          <cell r="D16473">
            <v>1.1000000000000001</v>
          </cell>
          <cell r="H16473" t="str">
            <v>natural gas peaker</v>
          </cell>
        </row>
        <row r="16474">
          <cell r="C16474" t="str">
            <v>IC</v>
          </cell>
          <cell r="D16474">
            <v>1.1000000000000001</v>
          </cell>
          <cell r="H16474" t="str">
            <v>natural gas peaker</v>
          </cell>
        </row>
        <row r="16475">
          <cell r="C16475" t="str">
            <v>IC</v>
          </cell>
          <cell r="D16475">
            <v>1.1000000000000001</v>
          </cell>
          <cell r="H16475" t="str">
            <v>natural gas peaker</v>
          </cell>
        </row>
        <row r="16476">
          <cell r="C16476" t="str">
            <v>IC</v>
          </cell>
          <cell r="D16476">
            <v>1.1000000000000001</v>
          </cell>
          <cell r="H16476" t="str">
            <v>natural gas peaker</v>
          </cell>
        </row>
        <row r="16477">
          <cell r="C16477" t="str">
            <v>IC</v>
          </cell>
          <cell r="D16477">
            <v>1</v>
          </cell>
          <cell r="H16477" t="str">
            <v>natural gas peaker</v>
          </cell>
        </row>
        <row r="16478">
          <cell r="C16478" t="str">
            <v>IC</v>
          </cell>
          <cell r="D16478">
            <v>1</v>
          </cell>
          <cell r="H16478" t="str">
            <v>natural gas peaker</v>
          </cell>
        </row>
        <row r="16479">
          <cell r="C16479" t="str">
            <v>FW</v>
          </cell>
          <cell r="D16479">
            <v>20</v>
          </cell>
          <cell r="H16479" t="str">
            <v>other</v>
          </cell>
        </row>
        <row r="16480">
          <cell r="C16480" t="str">
            <v>WT</v>
          </cell>
          <cell r="D16480">
            <v>15</v>
          </cell>
          <cell r="H16480" t="str">
            <v>onshore wind</v>
          </cell>
        </row>
        <row r="16481">
          <cell r="C16481" t="str">
            <v>WT</v>
          </cell>
          <cell r="D16481">
            <v>2.2999999999999998</v>
          </cell>
          <cell r="H16481" t="str">
            <v>onshore wind</v>
          </cell>
        </row>
        <row r="16482">
          <cell r="C16482" t="str">
            <v>WT</v>
          </cell>
          <cell r="D16482">
            <v>2.2999999999999998</v>
          </cell>
          <cell r="H16482" t="str">
            <v>onshore wind</v>
          </cell>
        </row>
        <row r="16483">
          <cell r="C16483" t="str">
            <v>PV</v>
          </cell>
          <cell r="D16483">
            <v>4</v>
          </cell>
          <cell r="H16483" t="str">
            <v>solar PV</v>
          </cell>
        </row>
        <row r="16484">
          <cell r="C16484" t="str">
            <v>PV</v>
          </cell>
          <cell r="D16484">
            <v>4</v>
          </cell>
          <cell r="H16484" t="str">
            <v>solar PV</v>
          </cell>
        </row>
        <row r="16485">
          <cell r="C16485" t="str">
            <v>PV</v>
          </cell>
          <cell r="D16485">
            <v>2.5</v>
          </cell>
          <cell r="H16485" t="str">
            <v>solar PV</v>
          </cell>
        </row>
        <row r="16486">
          <cell r="C16486" t="str">
            <v>WT</v>
          </cell>
          <cell r="D16486">
            <v>102.5</v>
          </cell>
          <cell r="H16486" t="str">
            <v>onshore wind</v>
          </cell>
        </row>
        <row r="16487">
          <cell r="C16487" t="str">
            <v>PV</v>
          </cell>
          <cell r="D16487">
            <v>1.9</v>
          </cell>
          <cell r="H16487" t="str">
            <v>solar PV</v>
          </cell>
        </row>
        <row r="16488">
          <cell r="C16488" t="str">
            <v>PV</v>
          </cell>
          <cell r="D16488">
            <v>2.5</v>
          </cell>
          <cell r="H16488" t="str">
            <v>solar PV</v>
          </cell>
        </row>
        <row r="16489">
          <cell r="C16489" t="str">
            <v>PV</v>
          </cell>
          <cell r="D16489">
            <v>3.5</v>
          </cell>
          <cell r="H16489" t="str">
            <v>solar PV</v>
          </cell>
        </row>
        <row r="16490">
          <cell r="C16490" t="str">
            <v>PS</v>
          </cell>
          <cell r="D16490">
            <v>21</v>
          </cell>
          <cell r="H16490" t="str">
            <v>other</v>
          </cell>
        </row>
        <row r="16491">
          <cell r="C16491" t="str">
            <v>PS</v>
          </cell>
          <cell r="D16491">
            <v>21</v>
          </cell>
          <cell r="H16491" t="str">
            <v>other</v>
          </cell>
        </row>
        <row r="16492">
          <cell r="C16492" t="str">
            <v>WT</v>
          </cell>
          <cell r="D16492">
            <v>0.6</v>
          </cell>
          <cell r="H16492" t="str">
            <v>onshore wind</v>
          </cell>
        </row>
        <row r="16493">
          <cell r="C16493" t="str">
            <v>PV</v>
          </cell>
          <cell r="D16493">
            <v>1.4</v>
          </cell>
          <cell r="H16493" t="str">
            <v>solar PV</v>
          </cell>
        </row>
        <row r="16494">
          <cell r="C16494" t="str">
            <v>PV</v>
          </cell>
          <cell r="D16494">
            <v>1.1000000000000001</v>
          </cell>
          <cell r="H16494" t="str">
            <v>solar PV</v>
          </cell>
        </row>
        <row r="16495">
          <cell r="C16495" t="str">
            <v>FC</v>
          </cell>
          <cell r="D16495">
            <v>2.8</v>
          </cell>
          <cell r="H16495" t="str">
            <v>biomass</v>
          </cell>
        </row>
        <row r="16496">
          <cell r="C16496" t="str">
            <v>PV</v>
          </cell>
          <cell r="D16496">
            <v>10</v>
          </cell>
          <cell r="H16496" t="str">
            <v>solar PV</v>
          </cell>
        </row>
        <row r="16497">
          <cell r="C16497" t="str">
            <v>PV</v>
          </cell>
          <cell r="D16497">
            <v>10</v>
          </cell>
          <cell r="H16497" t="str">
            <v>solar PV</v>
          </cell>
        </row>
        <row r="16498">
          <cell r="C16498" t="str">
            <v>PV</v>
          </cell>
          <cell r="D16498">
            <v>10</v>
          </cell>
          <cell r="H16498" t="str">
            <v>solar PV</v>
          </cell>
        </row>
        <row r="16499">
          <cell r="C16499" t="str">
            <v>PV</v>
          </cell>
          <cell r="D16499">
            <v>10.1</v>
          </cell>
          <cell r="H16499" t="str">
            <v>solar PV</v>
          </cell>
        </row>
        <row r="16500">
          <cell r="C16500" t="str">
            <v>PV</v>
          </cell>
          <cell r="D16500">
            <v>10.1</v>
          </cell>
          <cell r="H16500" t="str">
            <v>solar PV</v>
          </cell>
        </row>
        <row r="16501">
          <cell r="C16501" t="str">
            <v>WT</v>
          </cell>
          <cell r="D16501">
            <v>2.1</v>
          </cell>
          <cell r="H16501" t="str">
            <v>onshore wind</v>
          </cell>
        </row>
        <row r="16502">
          <cell r="C16502" t="str">
            <v>WT</v>
          </cell>
          <cell r="D16502">
            <v>2.1</v>
          </cell>
          <cell r="H16502" t="str">
            <v>onshore wind</v>
          </cell>
        </row>
        <row r="16503">
          <cell r="C16503" t="str">
            <v>PV</v>
          </cell>
          <cell r="D16503">
            <v>1.1000000000000001</v>
          </cell>
          <cell r="H16503" t="str">
            <v>solar PV</v>
          </cell>
        </row>
        <row r="16504">
          <cell r="C16504" t="str">
            <v>PV</v>
          </cell>
          <cell r="D16504">
            <v>2.4</v>
          </cell>
          <cell r="H16504" t="str">
            <v>solar PV</v>
          </cell>
        </row>
        <row r="16505">
          <cell r="C16505" t="str">
            <v>WT</v>
          </cell>
          <cell r="D16505">
            <v>69</v>
          </cell>
          <cell r="H16505" t="str">
            <v>onshore wind</v>
          </cell>
        </row>
        <row r="16506">
          <cell r="C16506" t="str">
            <v>PV</v>
          </cell>
          <cell r="D16506">
            <v>3.7</v>
          </cell>
          <cell r="H16506" t="str">
            <v>solar PV</v>
          </cell>
        </row>
        <row r="16507">
          <cell r="C16507" t="str">
            <v>PV</v>
          </cell>
          <cell r="D16507">
            <v>2.2999999999999998</v>
          </cell>
          <cell r="H16507" t="str">
            <v>solar PV</v>
          </cell>
        </row>
        <row r="16508">
          <cell r="C16508" t="str">
            <v>PV</v>
          </cell>
          <cell r="D16508">
            <v>2</v>
          </cell>
          <cell r="H16508" t="str">
            <v>solar PV</v>
          </cell>
        </row>
        <row r="16509">
          <cell r="C16509" t="str">
            <v>WT</v>
          </cell>
          <cell r="D16509">
            <v>2.7</v>
          </cell>
          <cell r="H16509" t="str">
            <v>onshore wind</v>
          </cell>
        </row>
        <row r="16510">
          <cell r="C16510" t="str">
            <v>WT</v>
          </cell>
          <cell r="D16510">
            <v>9.6</v>
          </cell>
          <cell r="H16510" t="str">
            <v>onshore wind</v>
          </cell>
        </row>
        <row r="16511">
          <cell r="C16511" t="str">
            <v>WT</v>
          </cell>
          <cell r="D16511">
            <v>2.7</v>
          </cell>
          <cell r="H16511" t="str">
            <v>onshore wind</v>
          </cell>
        </row>
        <row r="16512">
          <cell r="C16512" t="str">
            <v>WT</v>
          </cell>
          <cell r="D16512">
            <v>2.7</v>
          </cell>
          <cell r="H16512" t="str">
            <v>onshore wind</v>
          </cell>
        </row>
        <row r="16513">
          <cell r="C16513" t="str">
            <v>WT</v>
          </cell>
          <cell r="D16513">
            <v>22.4</v>
          </cell>
          <cell r="H16513" t="str">
            <v>onshore wind</v>
          </cell>
        </row>
        <row r="16514">
          <cell r="C16514" t="str">
            <v>PV</v>
          </cell>
          <cell r="D16514">
            <v>1.6</v>
          </cell>
          <cell r="H16514" t="str">
            <v>solar PV</v>
          </cell>
        </row>
        <row r="16515">
          <cell r="C16515" t="str">
            <v>PV</v>
          </cell>
          <cell r="D16515">
            <v>0.8</v>
          </cell>
          <cell r="H16515" t="str">
            <v>solar PV</v>
          </cell>
        </row>
        <row r="16516">
          <cell r="C16516" t="str">
            <v>WT</v>
          </cell>
          <cell r="D16516">
            <v>200</v>
          </cell>
          <cell r="H16516" t="str">
            <v>onshore wind</v>
          </cell>
        </row>
        <row r="16517">
          <cell r="C16517" t="str">
            <v>WT</v>
          </cell>
          <cell r="D16517">
            <v>201.6</v>
          </cell>
          <cell r="H16517" t="str">
            <v>onshore wind</v>
          </cell>
        </row>
        <row r="16518">
          <cell r="C16518" t="str">
            <v>PV</v>
          </cell>
          <cell r="D16518">
            <v>1</v>
          </cell>
          <cell r="H16518" t="str">
            <v>solar PV</v>
          </cell>
        </row>
        <row r="16519">
          <cell r="C16519" t="str">
            <v>IC</v>
          </cell>
          <cell r="D16519">
            <v>1</v>
          </cell>
          <cell r="H16519" t="str">
            <v>biomass</v>
          </cell>
        </row>
        <row r="16520">
          <cell r="C16520" t="str">
            <v>IC</v>
          </cell>
          <cell r="D16520">
            <v>1</v>
          </cell>
          <cell r="H16520" t="str">
            <v>biomass</v>
          </cell>
        </row>
        <row r="16521">
          <cell r="C16521" t="str">
            <v>WT</v>
          </cell>
          <cell r="D16521">
            <v>40.5</v>
          </cell>
          <cell r="H16521" t="str">
            <v>onshore wind</v>
          </cell>
        </row>
        <row r="16522">
          <cell r="C16522" t="str">
            <v>WT</v>
          </cell>
          <cell r="D16522">
            <v>6</v>
          </cell>
          <cell r="H16522" t="str">
            <v>onshore wind</v>
          </cell>
        </row>
        <row r="16523">
          <cell r="C16523" t="str">
            <v>WT</v>
          </cell>
          <cell r="D16523">
            <v>140</v>
          </cell>
          <cell r="H16523" t="str">
            <v>onshore wind</v>
          </cell>
        </row>
        <row r="16524">
          <cell r="C16524" t="str">
            <v>PV</v>
          </cell>
          <cell r="D16524">
            <v>13.7</v>
          </cell>
          <cell r="H16524" t="str">
            <v>solar PV</v>
          </cell>
        </row>
        <row r="16525">
          <cell r="C16525" t="str">
            <v>WT</v>
          </cell>
          <cell r="D16525">
            <v>22.5</v>
          </cell>
          <cell r="H16525" t="str">
            <v>onshore wind</v>
          </cell>
        </row>
        <row r="16526">
          <cell r="C16526" t="str">
            <v>WT</v>
          </cell>
          <cell r="D16526">
            <v>22.5</v>
          </cell>
          <cell r="H16526" t="str">
            <v>onshore wind</v>
          </cell>
        </row>
        <row r="16527">
          <cell r="C16527" t="str">
            <v>WT</v>
          </cell>
          <cell r="D16527">
            <v>165.6</v>
          </cell>
          <cell r="H16527" t="str">
            <v>onshore wind</v>
          </cell>
        </row>
        <row r="16528">
          <cell r="C16528" t="str">
            <v>HY</v>
          </cell>
          <cell r="D16528">
            <v>7.9</v>
          </cell>
          <cell r="H16528" t="str">
            <v>hydro</v>
          </cell>
        </row>
        <row r="16529">
          <cell r="C16529" t="str">
            <v>PV</v>
          </cell>
          <cell r="D16529">
            <v>11.1</v>
          </cell>
          <cell r="H16529" t="str">
            <v>solar PV</v>
          </cell>
        </row>
        <row r="16530">
          <cell r="C16530" t="str">
            <v>PV</v>
          </cell>
          <cell r="D16530">
            <v>1</v>
          </cell>
          <cell r="H16530" t="str">
            <v>solar PV</v>
          </cell>
        </row>
        <row r="16531">
          <cell r="C16531" t="str">
            <v>PV</v>
          </cell>
          <cell r="D16531">
            <v>0.9</v>
          </cell>
          <cell r="H16531" t="str">
            <v>solar PV</v>
          </cell>
        </row>
        <row r="16532">
          <cell r="C16532" t="str">
            <v>PV</v>
          </cell>
          <cell r="D16532">
            <v>1</v>
          </cell>
          <cell r="H16532" t="str">
            <v>solar PV</v>
          </cell>
        </row>
        <row r="16533">
          <cell r="C16533" t="str">
            <v>PV</v>
          </cell>
          <cell r="D16533">
            <v>0.9</v>
          </cell>
          <cell r="H16533" t="str">
            <v>solar PV</v>
          </cell>
        </row>
        <row r="16534">
          <cell r="C16534" t="str">
            <v>PV</v>
          </cell>
          <cell r="D16534">
            <v>0.9</v>
          </cell>
          <cell r="H16534" t="str">
            <v>solar PV</v>
          </cell>
        </row>
        <row r="16535">
          <cell r="C16535" t="str">
            <v>WT</v>
          </cell>
          <cell r="D16535">
            <v>79.2</v>
          </cell>
          <cell r="H16535" t="str">
            <v>onshore wind</v>
          </cell>
        </row>
        <row r="16536">
          <cell r="C16536" t="str">
            <v>WT</v>
          </cell>
          <cell r="D16536">
            <v>1.5</v>
          </cell>
          <cell r="H16536" t="str">
            <v>onshore wind</v>
          </cell>
        </row>
        <row r="16537">
          <cell r="C16537" t="str">
            <v>PV</v>
          </cell>
          <cell r="D16537">
            <v>1.3</v>
          </cell>
          <cell r="H16537" t="str">
            <v>solar PV</v>
          </cell>
        </row>
        <row r="16538">
          <cell r="C16538" t="str">
            <v>WT</v>
          </cell>
          <cell r="D16538">
            <v>140.80000000000001</v>
          </cell>
          <cell r="H16538" t="str">
            <v>onshore wind</v>
          </cell>
        </row>
        <row r="16539">
          <cell r="C16539" t="str">
            <v>FC</v>
          </cell>
          <cell r="D16539">
            <v>1.4</v>
          </cell>
          <cell r="H16539" t="str">
            <v>biomass</v>
          </cell>
        </row>
        <row r="16540">
          <cell r="C16540" t="str">
            <v>IC</v>
          </cell>
          <cell r="D16540">
            <v>2</v>
          </cell>
          <cell r="H16540" t="str">
            <v>biomass</v>
          </cell>
        </row>
        <row r="16541">
          <cell r="C16541" t="str">
            <v>PV</v>
          </cell>
          <cell r="D16541">
            <v>1.3</v>
          </cell>
          <cell r="H16541" t="str">
            <v>solar PV</v>
          </cell>
        </row>
        <row r="16542">
          <cell r="C16542" t="str">
            <v>PV</v>
          </cell>
          <cell r="D16542">
            <v>1.2</v>
          </cell>
          <cell r="H16542" t="str">
            <v>solar PV</v>
          </cell>
        </row>
        <row r="16543">
          <cell r="C16543" t="str">
            <v>WT</v>
          </cell>
          <cell r="D16543">
            <v>120</v>
          </cell>
          <cell r="H16543" t="str">
            <v>onshore wind</v>
          </cell>
        </row>
        <row r="16544">
          <cell r="C16544" t="str">
            <v>PV</v>
          </cell>
          <cell r="D16544">
            <v>0.5</v>
          </cell>
          <cell r="H16544" t="str">
            <v>solar PV</v>
          </cell>
        </row>
        <row r="16545">
          <cell r="C16545" t="str">
            <v>WT</v>
          </cell>
          <cell r="D16545">
            <v>10</v>
          </cell>
          <cell r="H16545" t="str">
            <v>onshore wind</v>
          </cell>
        </row>
        <row r="16546">
          <cell r="C16546" t="str">
            <v>PV</v>
          </cell>
          <cell r="D16546">
            <v>2.4</v>
          </cell>
          <cell r="H16546" t="str">
            <v>solar PV</v>
          </cell>
        </row>
        <row r="16547">
          <cell r="C16547" t="str">
            <v>PV</v>
          </cell>
          <cell r="D16547">
            <v>3</v>
          </cell>
          <cell r="H16547" t="str">
            <v>solar PV</v>
          </cell>
        </row>
        <row r="16548">
          <cell r="C16548" t="str">
            <v>PV</v>
          </cell>
          <cell r="D16548">
            <v>5</v>
          </cell>
          <cell r="H16548" t="str">
            <v>solar PV</v>
          </cell>
        </row>
        <row r="16549">
          <cell r="C16549" t="str">
            <v>PV</v>
          </cell>
          <cell r="D16549">
            <v>3</v>
          </cell>
          <cell r="H16549" t="str">
            <v>solar PV</v>
          </cell>
        </row>
        <row r="16550">
          <cell r="C16550" t="str">
            <v>PV</v>
          </cell>
          <cell r="D16550">
            <v>5</v>
          </cell>
          <cell r="H16550" t="str">
            <v>solar PV</v>
          </cell>
        </row>
        <row r="16551">
          <cell r="C16551" t="str">
            <v>PV</v>
          </cell>
          <cell r="D16551">
            <v>3</v>
          </cell>
          <cell r="H16551" t="str">
            <v>solar PV</v>
          </cell>
        </row>
        <row r="16552">
          <cell r="C16552" t="str">
            <v>PV</v>
          </cell>
          <cell r="D16552">
            <v>5</v>
          </cell>
          <cell r="H16552" t="str">
            <v>solar PV</v>
          </cell>
        </row>
        <row r="16553">
          <cell r="C16553" t="str">
            <v>PV</v>
          </cell>
          <cell r="D16553">
            <v>5</v>
          </cell>
          <cell r="H16553" t="str">
            <v>solar PV</v>
          </cell>
        </row>
        <row r="16554">
          <cell r="C16554" t="str">
            <v>PV</v>
          </cell>
          <cell r="D16554">
            <v>5</v>
          </cell>
          <cell r="H16554" t="str">
            <v>solar PV</v>
          </cell>
        </row>
        <row r="16555">
          <cell r="C16555" t="str">
            <v>PV</v>
          </cell>
          <cell r="D16555">
            <v>5</v>
          </cell>
          <cell r="H16555" t="str">
            <v>solar PV</v>
          </cell>
        </row>
        <row r="16556">
          <cell r="C16556" t="str">
            <v>WT</v>
          </cell>
          <cell r="D16556">
            <v>470.4</v>
          </cell>
          <cell r="H16556" t="str">
            <v>onshore wind</v>
          </cell>
        </row>
        <row r="16557">
          <cell r="C16557" t="str">
            <v>GT</v>
          </cell>
          <cell r="D16557">
            <v>4.5</v>
          </cell>
          <cell r="H16557" t="str">
            <v>natural gas peaker</v>
          </cell>
        </row>
        <row r="16558">
          <cell r="C16558" t="str">
            <v>GT</v>
          </cell>
          <cell r="D16558">
            <v>4.5</v>
          </cell>
          <cell r="H16558" t="str">
            <v>natural gas peaker</v>
          </cell>
        </row>
        <row r="16559">
          <cell r="C16559" t="str">
            <v>IC</v>
          </cell>
          <cell r="D16559">
            <v>2</v>
          </cell>
          <cell r="H16559" t="str">
            <v>natural gas peaker</v>
          </cell>
        </row>
        <row r="16560">
          <cell r="C16560" t="str">
            <v>IC</v>
          </cell>
          <cell r="D16560">
            <v>2</v>
          </cell>
          <cell r="H16560" t="str">
            <v>natural gas peaker</v>
          </cell>
        </row>
        <row r="16561">
          <cell r="C16561" t="str">
            <v>IC</v>
          </cell>
          <cell r="D16561">
            <v>2</v>
          </cell>
          <cell r="H16561" t="str">
            <v>natural gas peaker</v>
          </cell>
        </row>
        <row r="16562">
          <cell r="C16562" t="str">
            <v>PV</v>
          </cell>
          <cell r="D16562">
            <v>15</v>
          </cell>
          <cell r="H16562" t="str">
            <v>solar PV</v>
          </cell>
        </row>
        <row r="16563">
          <cell r="C16563" t="str">
            <v>WT</v>
          </cell>
          <cell r="D16563">
            <v>1.5</v>
          </cell>
          <cell r="H16563" t="str">
            <v>onshore wind</v>
          </cell>
        </row>
        <row r="16564">
          <cell r="C16564" t="str">
            <v>WT</v>
          </cell>
          <cell r="D16564">
            <v>1</v>
          </cell>
          <cell r="H16564" t="str">
            <v>onshore wind</v>
          </cell>
        </row>
        <row r="16565">
          <cell r="C16565" t="str">
            <v>FC</v>
          </cell>
          <cell r="D16565">
            <v>1.4</v>
          </cell>
          <cell r="H16565" t="str">
            <v>other</v>
          </cell>
        </row>
        <row r="16566">
          <cell r="C16566" t="str">
            <v>CT</v>
          </cell>
          <cell r="D16566">
            <v>237</v>
          </cell>
          <cell r="H16566" t="str">
            <v>natural gas nonpeaker</v>
          </cell>
        </row>
        <row r="16567">
          <cell r="C16567" t="str">
            <v>CT</v>
          </cell>
          <cell r="D16567">
            <v>237</v>
          </cell>
          <cell r="H16567" t="str">
            <v>natural gas nonpeaker</v>
          </cell>
        </row>
        <row r="16568">
          <cell r="C16568" t="str">
            <v>CA</v>
          </cell>
          <cell r="D16568">
            <v>232</v>
          </cell>
          <cell r="H16568" t="str">
            <v>natural gas nonpeaker</v>
          </cell>
        </row>
        <row r="16569">
          <cell r="C16569" t="str">
            <v>PV</v>
          </cell>
          <cell r="D16569">
            <v>4.5</v>
          </cell>
          <cell r="H16569" t="str">
            <v>solar PV</v>
          </cell>
        </row>
        <row r="16570">
          <cell r="C16570" t="str">
            <v>PV</v>
          </cell>
          <cell r="D16570">
            <v>1.2</v>
          </cell>
          <cell r="H16570" t="str">
            <v>solar PV</v>
          </cell>
        </row>
        <row r="16571">
          <cell r="C16571" t="str">
            <v>PV</v>
          </cell>
          <cell r="D16571">
            <v>1.3</v>
          </cell>
          <cell r="H16571" t="str">
            <v>solar PV</v>
          </cell>
        </row>
        <row r="16572">
          <cell r="C16572" t="str">
            <v>GT</v>
          </cell>
          <cell r="D16572">
            <v>4.5999999999999996</v>
          </cell>
          <cell r="H16572" t="str">
            <v>natural gas peaker</v>
          </cell>
        </row>
        <row r="16573">
          <cell r="C16573" t="str">
            <v>PV</v>
          </cell>
          <cell r="D16573">
            <v>1.4</v>
          </cell>
          <cell r="H16573" t="str">
            <v>solar PV</v>
          </cell>
        </row>
        <row r="16574">
          <cell r="C16574" t="str">
            <v>WT</v>
          </cell>
          <cell r="D16574">
            <v>105</v>
          </cell>
          <cell r="H16574" t="str">
            <v>onshore wind</v>
          </cell>
        </row>
        <row r="16575">
          <cell r="C16575" t="str">
            <v>WT</v>
          </cell>
          <cell r="D16575">
            <v>105</v>
          </cell>
          <cell r="H16575" t="str">
            <v>onshore wind</v>
          </cell>
        </row>
        <row r="16576">
          <cell r="C16576" t="str">
            <v>WT</v>
          </cell>
          <cell r="D16576">
            <v>203</v>
          </cell>
          <cell r="H16576" t="str">
            <v>onshore wind</v>
          </cell>
        </row>
        <row r="16577">
          <cell r="C16577" t="str">
            <v>WT</v>
          </cell>
          <cell r="D16577">
            <v>3</v>
          </cell>
          <cell r="H16577" t="str">
            <v>onshore wind</v>
          </cell>
        </row>
        <row r="16578">
          <cell r="C16578" t="str">
            <v>ST</v>
          </cell>
          <cell r="D16578">
            <v>0.4</v>
          </cell>
          <cell r="H16578" t="str">
            <v>biomass</v>
          </cell>
        </row>
        <row r="16579">
          <cell r="C16579" t="str">
            <v>ST</v>
          </cell>
          <cell r="D16579">
            <v>0.3</v>
          </cell>
          <cell r="H16579" t="str">
            <v>biomass</v>
          </cell>
        </row>
        <row r="16580">
          <cell r="C16580" t="str">
            <v>PV</v>
          </cell>
          <cell r="D16580">
            <v>1.4</v>
          </cell>
          <cell r="H16580" t="str">
            <v>solar PV</v>
          </cell>
        </row>
        <row r="16581">
          <cell r="C16581" t="str">
            <v>PV</v>
          </cell>
          <cell r="D16581">
            <v>0.4</v>
          </cell>
          <cell r="H16581" t="str">
            <v>solar PV</v>
          </cell>
        </row>
        <row r="16582">
          <cell r="C16582" t="str">
            <v>FC</v>
          </cell>
          <cell r="D16582">
            <v>1</v>
          </cell>
          <cell r="H16582" t="str">
            <v>other</v>
          </cell>
        </row>
        <row r="16583">
          <cell r="C16583" t="str">
            <v>FC</v>
          </cell>
          <cell r="D16583">
            <v>1</v>
          </cell>
          <cell r="H16583" t="str">
            <v>other</v>
          </cell>
        </row>
        <row r="16584">
          <cell r="C16584" t="str">
            <v>FC</v>
          </cell>
          <cell r="D16584">
            <v>1</v>
          </cell>
          <cell r="H16584" t="str">
            <v>other</v>
          </cell>
        </row>
        <row r="16585">
          <cell r="C16585" t="str">
            <v>FC</v>
          </cell>
          <cell r="D16585">
            <v>0.8</v>
          </cell>
          <cell r="H16585" t="str">
            <v>other</v>
          </cell>
        </row>
        <row r="16586">
          <cell r="C16586" t="str">
            <v>FC</v>
          </cell>
          <cell r="D16586">
            <v>0.4</v>
          </cell>
          <cell r="H16586" t="str">
            <v>other</v>
          </cell>
        </row>
        <row r="16587">
          <cell r="C16587" t="str">
            <v>WT</v>
          </cell>
          <cell r="D16587">
            <v>0.9</v>
          </cell>
          <cell r="H16587" t="str">
            <v>onshore wind</v>
          </cell>
        </row>
        <row r="16588">
          <cell r="C16588" t="str">
            <v>WT</v>
          </cell>
          <cell r="D16588">
            <v>2.4</v>
          </cell>
          <cell r="H16588" t="str">
            <v>onshore wind</v>
          </cell>
        </row>
        <row r="16589">
          <cell r="C16589" t="str">
            <v>PV</v>
          </cell>
          <cell r="D16589">
            <v>4.0999999999999996</v>
          </cell>
          <cell r="H16589" t="str">
            <v>solar PV</v>
          </cell>
        </row>
        <row r="16590">
          <cell r="C16590" t="str">
            <v>PV</v>
          </cell>
          <cell r="D16590">
            <v>5</v>
          </cell>
          <cell r="H16590" t="str">
            <v>solar PV</v>
          </cell>
        </row>
        <row r="16591">
          <cell r="C16591" t="str">
            <v>PV</v>
          </cell>
          <cell r="D16591">
            <v>5</v>
          </cell>
          <cell r="H16591" t="str">
            <v>solar PV</v>
          </cell>
        </row>
        <row r="16592">
          <cell r="C16592" t="str">
            <v>PV</v>
          </cell>
          <cell r="D16592">
            <v>5</v>
          </cell>
          <cell r="H16592" t="str">
            <v>solar PV</v>
          </cell>
        </row>
        <row r="16593">
          <cell r="C16593" t="str">
            <v>PV</v>
          </cell>
          <cell r="D16593">
            <v>5</v>
          </cell>
          <cell r="H16593" t="str">
            <v>solar PV</v>
          </cell>
        </row>
        <row r="16594">
          <cell r="C16594" t="str">
            <v>PV</v>
          </cell>
          <cell r="D16594">
            <v>5</v>
          </cell>
          <cell r="H16594" t="str">
            <v>solar PV</v>
          </cell>
        </row>
        <row r="16595">
          <cell r="C16595" t="str">
            <v>PV</v>
          </cell>
          <cell r="D16595">
            <v>5</v>
          </cell>
          <cell r="H16595" t="str">
            <v>solar PV</v>
          </cell>
        </row>
        <row r="16596">
          <cell r="C16596" t="str">
            <v>ST</v>
          </cell>
          <cell r="D16596">
            <v>47</v>
          </cell>
          <cell r="H16596" t="str">
            <v>other</v>
          </cell>
        </row>
        <row r="16597">
          <cell r="C16597" t="str">
            <v>WT</v>
          </cell>
          <cell r="D16597">
            <v>0.4</v>
          </cell>
          <cell r="H16597" t="str">
            <v>onshore wind</v>
          </cell>
        </row>
        <row r="16598">
          <cell r="C16598" t="str">
            <v>IC</v>
          </cell>
          <cell r="D16598">
            <v>1.1000000000000001</v>
          </cell>
          <cell r="H16598" t="str">
            <v>biomass</v>
          </cell>
        </row>
        <row r="16599">
          <cell r="C16599" t="str">
            <v>PV</v>
          </cell>
          <cell r="D16599">
            <v>1</v>
          </cell>
          <cell r="H16599" t="str">
            <v>solar PV</v>
          </cell>
        </row>
        <row r="16600">
          <cell r="C16600" t="str">
            <v>IC</v>
          </cell>
          <cell r="D16600">
            <v>1.4</v>
          </cell>
          <cell r="H16600" t="str">
            <v>biomass</v>
          </cell>
        </row>
        <row r="16601">
          <cell r="C16601" t="str">
            <v>IC</v>
          </cell>
          <cell r="D16601">
            <v>1.4</v>
          </cell>
          <cell r="H16601" t="str">
            <v>biomass</v>
          </cell>
        </row>
        <row r="16602">
          <cell r="C16602" t="str">
            <v>IC</v>
          </cell>
          <cell r="D16602">
            <v>1.4</v>
          </cell>
          <cell r="H16602" t="str">
            <v>biomass</v>
          </cell>
        </row>
        <row r="16603">
          <cell r="C16603" t="str">
            <v>IC</v>
          </cell>
          <cell r="D16603">
            <v>1.4</v>
          </cell>
          <cell r="H16603" t="str">
            <v>biomass</v>
          </cell>
        </row>
        <row r="16604">
          <cell r="C16604" t="str">
            <v>WT</v>
          </cell>
          <cell r="D16604">
            <v>50</v>
          </cell>
          <cell r="H16604" t="str">
            <v>onshore wind</v>
          </cell>
        </row>
        <row r="16605">
          <cell r="C16605" t="str">
            <v>PV</v>
          </cell>
          <cell r="D16605">
            <v>1.3</v>
          </cell>
          <cell r="H16605" t="str">
            <v>solar PV</v>
          </cell>
        </row>
        <row r="16606">
          <cell r="C16606" t="str">
            <v>WT</v>
          </cell>
          <cell r="D16606">
            <v>34</v>
          </cell>
          <cell r="H16606" t="str">
            <v>onshore wind</v>
          </cell>
        </row>
        <row r="16607">
          <cell r="C16607" t="str">
            <v>WT</v>
          </cell>
          <cell r="D16607">
            <v>150</v>
          </cell>
          <cell r="H16607" t="str">
            <v>onshore wind</v>
          </cell>
        </row>
        <row r="16608">
          <cell r="C16608" t="str">
            <v>WT</v>
          </cell>
          <cell r="D16608">
            <v>168</v>
          </cell>
          <cell r="H16608" t="str">
            <v>onshore wind</v>
          </cell>
        </row>
        <row r="16609">
          <cell r="C16609" t="str">
            <v>WT</v>
          </cell>
          <cell r="D16609">
            <v>150</v>
          </cell>
          <cell r="H16609" t="str">
            <v>onshore wind</v>
          </cell>
        </row>
        <row r="16610">
          <cell r="C16610" t="str">
            <v>PV</v>
          </cell>
          <cell r="D16610">
            <v>1.3</v>
          </cell>
          <cell r="H16610" t="str">
            <v>solar PV</v>
          </cell>
        </row>
        <row r="16611">
          <cell r="C16611" t="str">
            <v>WT</v>
          </cell>
          <cell r="D16611">
            <v>132</v>
          </cell>
          <cell r="H16611" t="str">
            <v>onshore wind</v>
          </cell>
        </row>
        <row r="16612">
          <cell r="C16612" t="str">
            <v>PV</v>
          </cell>
          <cell r="D16612">
            <v>2</v>
          </cell>
          <cell r="H16612" t="str">
            <v>solar PV</v>
          </cell>
        </row>
        <row r="16613">
          <cell r="C16613" t="str">
            <v>CT</v>
          </cell>
          <cell r="D16613">
            <v>208</v>
          </cell>
          <cell r="H16613" t="str">
            <v>natural gas nonpeaker</v>
          </cell>
        </row>
        <row r="16614">
          <cell r="C16614" t="str">
            <v>CT</v>
          </cell>
          <cell r="D16614">
            <v>206.3</v>
          </cell>
          <cell r="H16614" t="str">
            <v>natural gas nonpeaker</v>
          </cell>
        </row>
        <row r="16615">
          <cell r="C16615" t="str">
            <v>CA</v>
          </cell>
          <cell r="D16615">
            <v>312.39999999999998</v>
          </cell>
          <cell r="H16615" t="str">
            <v>natural gas nonpeaker</v>
          </cell>
        </row>
        <row r="16616">
          <cell r="C16616" t="str">
            <v>PV</v>
          </cell>
          <cell r="D16616">
            <v>1.1000000000000001</v>
          </cell>
          <cell r="H16616" t="str">
            <v>solar PV</v>
          </cell>
        </row>
        <row r="16617">
          <cell r="C16617" t="str">
            <v>PV</v>
          </cell>
          <cell r="D16617">
            <v>1.1000000000000001</v>
          </cell>
          <cell r="H16617" t="str">
            <v>solar PV</v>
          </cell>
        </row>
        <row r="16618">
          <cell r="C16618" t="str">
            <v>GT</v>
          </cell>
          <cell r="D16618">
            <v>138</v>
          </cell>
          <cell r="H16618" t="str">
            <v>natural gas peaker</v>
          </cell>
        </row>
        <row r="16619">
          <cell r="C16619" t="str">
            <v>IC</v>
          </cell>
          <cell r="D16619">
            <v>1.8</v>
          </cell>
          <cell r="H16619" t="str">
            <v>biomass</v>
          </cell>
        </row>
        <row r="16620">
          <cell r="C16620" t="str">
            <v>WT</v>
          </cell>
          <cell r="D16620">
            <v>99</v>
          </cell>
          <cell r="H16620" t="str">
            <v>onshore wind</v>
          </cell>
        </row>
        <row r="16621">
          <cell r="C16621" t="str">
            <v>IC</v>
          </cell>
          <cell r="D16621">
            <v>1.5</v>
          </cell>
          <cell r="H16621" t="str">
            <v>biomass</v>
          </cell>
        </row>
        <row r="16622">
          <cell r="C16622" t="str">
            <v>IC</v>
          </cell>
          <cell r="D16622">
            <v>1.8</v>
          </cell>
          <cell r="H16622" t="str">
            <v>biomass</v>
          </cell>
        </row>
        <row r="16623">
          <cell r="C16623" t="str">
            <v>IC</v>
          </cell>
          <cell r="D16623">
            <v>1.5</v>
          </cell>
          <cell r="H16623" t="str">
            <v>biomass</v>
          </cell>
        </row>
        <row r="16624">
          <cell r="C16624" t="str">
            <v>IC</v>
          </cell>
          <cell r="D16624">
            <v>1.5</v>
          </cell>
          <cell r="H16624" t="str">
            <v>biomass</v>
          </cell>
        </row>
        <row r="16625">
          <cell r="C16625" t="str">
            <v>IC</v>
          </cell>
          <cell r="D16625">
            <v>1.4</v>
          </cell>
          <cell r="H16625" t="str">
            <v>biomass</v>
          </cell>
        </row>
        <row r="16626">
          <cell r="C16626" t="str">
            <v>IC</v>
          </cell>
          <cell r="D16626">
            <v>1.4</v>
          </cell>
          <cell r="H16626" t="str">
            <v>biomass</v>
          </cell>
        </row>
        <row r="16627">
          <cell r="C16627" t="str">
            <v>IC</v>
          </cell>
          <cell r="D16627">
            <v>1.4</v>
          </cell>
          <cell r="H16627" t="str">
            <v>biomass</v>
          </cell>
        </row>
        <row r="16628">
          <cell r="C16628" t="str">
            <v>IC</v>
          </cell>
          <cell r="D16628">
            <v>1.4</v>
          </cell>
          <cell r="H16628" t="str">
            <v>biomass</v>
          </cell>
        </row>
        <row r="16629">
          <cell r="C16629" t="str">
            <v>IC</v>
          </cell>
          <cell r="D16629">
            <v>1.4</v>
          </cell>
          <cell r="H16629" t="str">
            <v>biomass</v>
          </cell>
        </row>
        <row r="16630">
          <cell r="C16630" t="str">
            <v>PV</v>
          </cell>
          <cell r="D16630">
            <v>1</v>
          </cell>
          <cell r="H16630" t="str">
            <v>solar PV</v>
          </cell>
        </row>
        <row r="16631">
          <cell r="C16631" t="str">
            <v>PV</v>
          </cell>
          <cell r="D16631">
            <v>2.8</v>
          </cell>
          <cell r="H16631" t="str">
            <v>solar PV</v>
          </cell>
        </row>
        <row r="16632">
          <cell r="C16632" t="str">
            <v>PV</v>
          </cell>
          <cell r="D16632">
            <v>0.9</v>
          </cell>
          <cell r="H16632" t="str">
            <v>solar PV</v>
          </cell>
        </row>
        <row r="16633">
          <cell r="C16633" t="str">
            <v>WT</v>
          </cell>
          <cell r="D16633">
            <v>64</v>
          </cell>
          <cell r="H16633" t="str">
            <v>onshore wind</v>
          </cell>
        </row>
        <row r="16634">
          <cell r="C16634" t="str">
            <v>WT</v>
          </cell>
          <cell r="D16634">
            <v>32</v>
          </cell>
          <cell r="H16634" t="str">
            <v>onshore wind</v>
          </cell>
        </row>
        <row r="16635">
          <cell r="C16635" t="str">
            <v>WT</v>
          </cell>
          <cell r="D16635">
            <v>14</v>
          </cell>
          <cell r="H16635" t="str">
            <v>onshore wind</v>
          </cell>
        </row>
        <row r="16636">
          <cell r="C16636" t="str">
            <v>HY</v>
          </cell>
          <cell r="D16636">
            <v>1.8</v>
          </cell>
          <cell r="H16636" t="str">
            <v>hydro</v>
          </cell>
        </row>
        <row r="16637">
          <cell r="C16637" t="str">
            <v>HY</v>
          </cell>
          <cell r="D16637">
            <v>1.8</v>
          </cell>
          <cell r="H16637" t="str">
            <v>hydro</v>
          </cell>
        </row>
        <row r="16638">
          <cell r="C16638" t="str">
            <v>HY</v>
          </cell>
          <cell r="D16638">
            <v>1.8</v>
          </cell>
          <cell r="H16638" t="str">
            <v>hydro</v>
          </cell>
        </row>
        <row r="16639">
          <cell r="C16639" t="str">
            <v>HY</v>
          </cell>
          <cell r="D16639">
            <v>1.2</v>
          </cell>
          <cell r="H16639" t="str">
            <v>hydro</v>
          </cell>
        </row>
        <row r="16640">
          <cell r="C16640" t="str">
            <v>HY</v>
          </cell>
          <cell r="D16640">
            <v>1.2</v>
          </cell>
          <cell r="H16640" t="str">
            <v>hydro</v>
          </cell>
        </row>
        <row r="16641">
          <cell r="C16641" t="str">
            <v>HY</v>
          </cell>
          <cell r="D16641">
            <v>0.5</v>
          </cell>
          <cell r="H16641" t="str">
            <v>hydro</v>
          </cell>
        </row>
        <row r="16642">
          <cell r="C16642" t="str">
            <v>HY</v>
          </cell>
          <cell r="D16642">
            <v>0.5</v>
          </cell>
          <cell r="H16642" t="str">
            <v>hydro</v>
          </cell>
        </row>
        <row r="16643">
          <cell r="C16643" t="str">
            <v>HY</v>
          </cell>
          <cell r="D16643">
            <v>0.2</v>
          </cell>
          <cell r="H16643" t="str">
            <v>hydro</v>
          </cell>
        </row>
        <row r="16644">
          <cell r="C16644" t="str">
            <v>WT</v>
          </cell>
          <cell r="D16644">
            <v>1.6</v>
          </cell>
          <cell r="H16644" t="str">
            <v>onshore wind</v>
          </cell>
        </row>
        <row r="16645">
          <cell r="C16645" t="str">
            <v>PV</v>
          </cell>
          <cell r="D16645">
            <v>1.2</v>
          </cell>
          <cell r="H16645" t="str">
            <v>solar PV</v>
          </cell>
        </row>
        <row r="16646">
          <cell r="C16646" t="str">
            <v>WT</v>
          </cell>
          <cell r="D16646">
            <v>200</v>
          </cell>
          <cell r="H16646" t="str">
            <v>onshore wind</v>
          </cell>
        </row>
        <row r="16647">
          <cell r="C16647" t="str">
            <v>PV</v>
          </cell>
          <cell r="D16647">
            <v>250</v>
          </cell>
          <cell r="H16647" t="str">
            <v>solar PV</v>
          </cell>
        </row>
        <row r="16648">
          <cell r="C16648" t="str">
            <v>PV</v>
          </cell>
          <cell r="D16648">
            <v>1.5</v>
          </cell>
          <cell r="H16648" t="str">
            <v>solar PV</v>
          </cell>
        </row>
        <row r="16649">
          <cell r="C16649" t="str">
            <v>IC</v>
          </cell>
          <cell r="D16649">
            <v>1.5</v>
          </cell>
          <cell r="H16649" t="str">
            <v>biomass</v>
          </cell>
        </row>
        <row r="16650">
          <cell r="C16650" t="str">
            <v>IC</v>
          </cell>
          <cell r="D16650">
            <v>1.5</v>
          </cell>
          <cell r="H16650" t="str">
            <v>biomass</v>
          </cell>
        </row>
        <row r="16651">
          <cell r="C16651" t="str">
            <v>WT</v>
          </cell>
          <cell r="D16651">
            <v>200</v>
          </cell>
          <cell r="H16651" t="str">
            <v>onshore wind</v>
          </cell>
        </row>
        <row r="16652">
          <cell r="C16652" t="str">
            <v>PV</v>
          </cell>
          <cell r="D16652">
            <v>2.4</v>
          </cell>
          <cell r="H16652" t="str">
            <v>solar PV</v>
          </cell>
        </row>
        <row r="16653">
          <cell r="C16653" t="str">
            <v>PV</v>
          </cell>
          <cell r="D16653">
            <v>0.5</v>
          </cell>
          <cell r="H16653" t="str">
            <v>solar PV</v>
          </cell>
        </row>
        <row r="16654">
          <cell r="C16654" t="str">
            <v>PV</v>
          </cell>
          <cell r="D16654">
            <v>0.3</v>
          </cell>
          <cell r="H16654" t="str">
            <v>solar PV</v>
          </cell>
        </row>
        <row r="16655">
          <cell r="C16655" t="str">
            <v>PV</v>
          </cell>
          <cell r="D16655">
            <v>0.3</v>
          </cell>
          <cell r="H16655" t="str">
            <v>solar PV</v>
          </cell>
        </row>
        <row r="16656">
          <cell r="C16656" t="str">
            <v>PV</v>
          </cell>
          <cell r="D16656">
            <v>0.3</v>
          </cell>
          <cell r="H16656" t="str">
            <v>solar PV</v>
          </cell>
        </row>
        <row r="16657">
          <cell r="C16657" t="str">
            <v>IC</v>
          </cell>
          <cell r="D16657">
            <v>8.9</v>
          </cell>
          <cell r="H16657" t="str">
            <v>natural gas peaker</v>
          </cell>
        </row>
        <row r="16658">
          <cell r="C16658" t="str">
            <v>IC</v>
          </cell>
          <cell r="D16658">
            <v>8.9</v>
          </cell>
          <cell r="H16658" t="str">
            <v>natural gas peaker</v>
          </cell>
        </row>
        <row r="16659">
          <cell r="C16659" t="str">
            <v>IC</v>
          </cell>
          <cell r="D16659">
            <v>8.9</v>
          </cell>
          <cell r="H16659" t="str">
            <v>natural gas peaker</v>
          </cell>
        </row>
        <row r="16660">
          <cell r="C16660" t="str">
            <v>IC</v>
          </cell>
          <cell r="D16660">
            <v>8.8000000000000007</v>
          </cell>
          <cell r="H16660" t="str">
            <v>natural gas peaker</v>
          </cell>
        </row>
        <row r="16661">
          <cell r="C16661" t="str">
            <v>IC</v>
          </cell>
          <cell r="D16661">
            <v>8.9</v>
          </cell>
          <cell r="H16661" t="str">
            <v>natural gas peaker</v>
          </cell>
        </row>
        <row r="16662">
          <cell r="C16662" t="str">
            <v>IC</v>
          </cell>
          <cell r="D16662">
            <v>8.9</v>
          </cell>
          <cell r="H16662" t="str">
            <v>natural gas peaker</v>
          </cell>
        </row>
        <row r="16663">
          <cell r="C16663" t="str">
            <v>IC</v>
          </cell>
          <cell r="D16663">
            <v>8.5</v>
          </cell>
          <cell r="H16663" t="str">
            <v>natural gas peaker</v>
          </cell>
        </row>
        <row r="16664">
          <cell r="C16664" t="str">
            <v>IC</v>
          </cell>
          <cell r="D16664">
            <v>8.9</v>
          </cell>
          <cell r="H16664" t="str">
            <v>natural gas peaker</v>
          </cell>
        </row>
        <row r="16665">
          <cell r="C16665" t="str">
            <v>IC</v>
          </cell>
          <cell r="D16665">
            <v>9</v>
          </cell>
          <cell r="H16665" t="str">
            <v>natural gas peaker</v>
          </cell>
        </row>
        <row r="16666">
          <cell r="C16666" t="str">
            <v>IC</v>
          </cell>
          <cell r="D16666">
            <v>8.9</v>
          </cell>
          <cell r="H16666" t="str">
            <v>natural gas peaker</v>
          </cell>
        </row>
        <row r="16667">
          <cell r="C16667" t="str">
            <v>IC</v>
          </cell>
          <cell r="D16667">
            <v>8.9</v>
          </cell>
          <cell r="H16667" t="str">
            <v>natural gas peaker</v>
          </cell>
        </row>
        <row r="16668">
          <cell r="C16668" t="str">
            <v>IC</v>
          </cell>
          <cell r="D16668">
            <v>8.6999999999999993</v>
          </cell>
          <cell r="H16668" t="str">
            <v>natural gas peaker</v>
          </cell>
        </row>
        <row r="16669">
          <cell r="C16669" t="str">
            <v>IC</v>
          </cell>
          <cell r="D16669">
            <v>8.9</v>
          </cell>
          <cell r="H16669" t="str">
            <v>natural gas peaker</v>
          </cell>
        </row>
        <row r="16670">
          <cell r="C16670" t="str">
            <v>IC</v>
          </cell>
          <cell r="D16670">
            <v>8.9</v>
          </cell>
          <cell r="H16670" t="str">
            <v>natural gas peaker</v>
          </cell>
        </row>
        <row r="16671">
          <cell r="C16671" t="str">
            <v>IC</v>
          </cell>
          <cell r="D16671">
            <v>8.9</v>
          </cell>
          <cell r="H16671" t="str">
            <v>natural gas peaker</v>
          </cell>
        </row>
        <row r="16672">
          <cell r="C16672" t="str">
            <v>IC</v>
          </cell>
          <cell r="D16672">
            <v>8.3000000000000007</v>
          </cell>
          <cell r="H16672" t="str">
            <v>natural gas peaker</v>
          </cell>
        </row>
        <row r="16673">
          <cell r="C16673" t="str">
            <v>IC</v>
          </cell>
          <cell r="D16673">
            <v>8.9</v>
          </cell>
          <cell r="H16673" t="str">
            <v>natural gas peaker</v>
          </cell>
        </row>
        <row r="16674">
          <cell r="C16674" t="str">
            <v>IC</v>
          </cell>
          <cell r="D16674">
            <v>8.8000000000000007</v>
          </cell>
          <cell r="H16674" t="str">
            <v>natural gas peaker</v>
          </cell>
        </row>
        <row r="16675">
          <cell r="C16675" t="str">
            <v>WT</v>
          </cell>
          <cell r="D16675">
            <v>78.2</v>
          </cell>
          <cell r="H16675" t="str">
            <v>onshore wind</v>
          </cell>
        </row>
        <row r="16676">
          <cell r="C16676" t="str">
            <v>WT</v>
          </cell>
          <cell r="D16676">
            <v>51.3</v>
          </cell>
          <cell r="H16676" t="str">
            <v>onshore wind</v>
          </cell>
        </row>
        <row r="16677">
          <cell r="C16677" t="str">
            <v>WT</v>
          </cell>
          <cell r="D16677">
            <v>4.0999999999999996</v>
          </cell>
          <cell r="H16677" t="str">
            <v>onshore wind</v>
          </cell>
        </row>
        <row r="16678">
          <cell r="C16678" t="str">
            <v>PV</v>
          </cell>
          <cell r="D16678">
            <v>0.8</v>
          </cell>
          <cell r="H16678" t="str">
            <v>solar PV</v>
          </cell>
        </row>
        <row r="16679">
          <cell r="C16679" t="str">
            <v>PV</v>
          </cell>
          <cell r="D16679">
            <v>0.3</v>
          </cell>
          <cell r="H16679" t="str">
            <v>solar PV</v>
          </cell>
        </row>
        <row r="16680">
          <cell r="C16680" t="str">
            <v>PV</v>
          </cell>
          <cell r="D16680">
            <v>0.7</v>
          </cell>
          <cell r="H16680" t="str">
            <v>solar PV</v>
          </cell>
        </row>
        <row r="16681">
          <cell r="C16681" t="str">
            <v>PV</v>
          </cell>
          <cell r="D16681">
            <v>0.5</v>
          </cell>
          <cell r="H16681" t="str">
            <v>solar PV</v>
          </cell>
        </row>
        <row r="16682">
          <cell r="C16682" t="str">
            <v>PV</v>
          </cell>
          <cell r="D16682">
            <v>0.4</v>
          </cell>
          <cell r="H16682" t="str">
            <v>solar PV</v>
          </cell>
        </row>
        <row r="16683">
          <cell r="C16683" t="str">
            <v>PV</v>
          </cell>
          <cell r="D16683">
            <v>0.2</v>
          </cell>
          <cell r="H16683" t="str">
            <v>solar PV</v>
          </cell>
        </row>
        <row r="16684">
          <cell r="C16684" t="str">
            <v>PV</v>
          </cell>
          <cell r="D16684">
            <v>0.8</v>
          </cell>
          <cell r="H16684" t="str">
            <v>solar PV</v>
          </cell>
        </row>
        <row r="16685">
          <cell r="C16685" t="str">
            <v>PV</v>
          </cell>
          <cell r="D16685">
            <v>2.7</v>
          </cell>
          <cell r="H16685" t="str">
            <v>solar PV</v>
          </cell>
        </row>
        <row r="16686">
          <cell r="C16686" t="str">
            <v>PV</v>
          </cell>
          <cell r="D16686">
            <v>1</v>
          </cell>
          <cell r="H16686" t="str">
            <v>solar PV</v>
          </cell>
        </row>
        <row r="16687">
          <cell r="C16687" t="str">
            <v>PV</v>
          </cell>
          <cell r="D16687">
            <v>1</v>
          </cell>
          <cell r="H16687" t="str">
            <v>solar PV</v>
          </cell>
        </row>
        <row r="16688">
          <cell r="C16688" t="str">
            <v>IC</v>
          </cell>
          <cell r="D16688">
            <v>8.6999999999999993</v>
          </cell>
          <cell r="H16688" t="str">
            <v>natural gas peaker</v>
          </cell>
        </row>
        <row r="16689">
          <cell r="C16689" t="str">
            <v>IC</v>
          </cell>
          <cell r="D16689">
            <v>8.6999999999999993</v>
          </cell>
          <cell r="H16689" t="str">
            <v>natural gas peaker</v>
          </cell>
        </row>
        <row r="16690">
          <cell r="C16690" t="str">
            <v>IC</v>
          </cell>
          <cell r="D16690">
            <v>8.6999999999999993</v>
          </cell>
          <cell r="H16690" t="str">
            <v>natural gas peaker</v>
          </cell>
        </row>
        <row r="16691">
          <cell r="C16691" t="str">
            <v>IC</v>
          </cell>
          <cell r="D16691">
            <v>8.6999999999999993</v>
          </cell>
          <cell r="H16691" t="str">
            <v>natural gas peaker</v>
          </cell>
        </row>
        <row r="16692">
          <cell r="C16692" t="str">
            <v>IC</v>
          </cell>
          <cell r="D16692">
            <v>8.6999999999999993</v>
          </cell>
          <cell r="H16692" t="str">
            <v>natural gas peaker</v>
          </cell>
        </row>
        <row r="16693">
          <cell r="C16693" t="str">
            <v>WT</v>
          </cell>
          <cell r="D16693">
            <v>200.1</v>
          </cell>
          <cell r="H16693" t="str">
            <v>onshore wind</v>
          </cell>
        </row>
        <row r="16694">
          <cell r="C16694" t="str">
            <v>WT</v>
          </cell>
          <cell r="D16694">
            <v>44.6</v>
          </cell>
          <cell r="H16694" t="str">
            <v>onshore wind</v>
          </cell>
        </row>
        <row r="16695">
          <cell r="C16695" t="str">
            <v>WT</v>
          </cell>
          <cell r="D16695">
            <v>105.6</v>
          </cell>
          <cell r="H16695" t="str">
            <v>onshore wind</v>
          </cell>
        </row>
        <row r="16696">
          <cell r="C16696" t="str">
            <v>WT</v>
          </cell>
          <cell r="D16696">
            <v>101.2</v>
          </cell>
          <cell r="H16696" t="str">
            <v>onshore wind</v>
          </cell>
        </row>
        <row r="16697">
          <cell r="C16697" t="str">
            <v>IC</v>
          </cell>
          <cell r="D16697">
            <v>1.5</v>
          </cell>
          <cell r="H16697" t="str">
            <v>biomass</v>
          </cell>
        </row>
        <row r="16698">
          <cell r="C16698" t="str">
            <v>PV</v>
          </cell>
          <cell r="D16698">
            <v>1</v>
          </cell>
          <cell r="H16698" t="str">
            <v>solar PV</v>
          </cell>
        </row>
        <row r="16699">
          <cell r="C16699" t="str">
            <v>WT</v>
          </cell>
          <cell r="D16699">
            <v>2.5</v>
          </cell>
          <cell r="H16699" t="str">
            <v>onshore wind</v>
          </cell>
        </row>
        <row r="16700">
          <cell r="C16700" t="str">
            <v>GT</v>
          </cell>
          <cell r="D16700">
            <v>42</v>
          </cell>
          <cell r="H16700" t="str">
            <v>natural gas peaker</v>
          </cell>
        </row>
        <row r="16701">
          <cell r="C16701" t="str">
            <v>GT</v>
          </cell>
          <cell r="D16701">
            <v>42</v>
          </cell>
          <cell r="H16701" t="str">
            <v>natural gas peaker</v>
          </cell>
        </row>
        <row r="16702">
          <cell r="C16702" t="str">
            <v>GT</v>
          </cell>
          <cell r="D16702">
            <v>42</v>
          </cell>
          <cell r="H16702" t="str">
            <v>natural gas peaker</v>
          </cell>
        </row>
        <row r="16703">
          <cell r="C16703" t="str">
            <v>IC</v>
          </cell>
          <cell r="D16703">
            <v>8.9</v>
          </cell>
          <cell r="H16703" t="str">
            <v>natural gas peaker</v>
          </cell>
        </row>
        <row r="16704">
          <cell r="C16704" t="str">
            <v>IC</v>
          </cell>
          <cell r="D16704">
            <v>8.9</v>
          </cell>
          <cell r="H16704" t="str">
            <v>natural gas peaker</v>
          </cell>
        </row>
        <row r="16705">
          <cell r="C16705" t="str">
            <v>IC</v>
          </cell>
          <cell r="D16705">
            <v>8.9</v>
          </cell>
          <cell r="H16705" t="str">
            <v>natural gas peaker</v>
          </cell>
        </row>
        <row r="16706">
          <cell r="C16706" t="str">
            <v>IC</v>
          </cell>
          <cell r="D16706">
            <v>8.9</v>
          </cell>
          <cell r="H16706" t="str">
            <v>natural gas peaker</v>
          </cell>
        </row>
        <row r="16707">
          <cell r="C16707" t="str">
            <v>IC</v>
          </cell>
          <cell r="D16707">
            <v>8.9</v>
          </cell>
          <cell r="H16707" t="str">
            <v>natural gas peaker</v>
          </cell>
        </row>
        <row r="16708">
          <cell r="C16708" t="str">
            <v>IC</v>
          </cell>
          <cell r="D16708">
            <v>8.9</v>
          </cell>
          <cell r="H16708" t="str">
            <v>natural gas peaker</v>
          </cell>
        </row>
        <row r="16709">
          <cell r="C16709" t="str">
            <v>IC</v>
          </cell>
          <cell r="D16709">
            <v>8.9</v>
          </cell>
          <cell r="H16709" t="str">
            <v>natural gas peaker</v>
          </cell>
        </row>
        <row r="16710">
          <cell r="C16710" t="str">
            <v>IC</v>
          </cell>
          <cell r="D16710">
            <v>8.9</v>
          </cell>
          <cell r="H16710" t="str">
            <v>natural gas peaker</v>
          </cell>
        </row>
        <row r="16711">
          <cell r="C16711" t="str">
            <v>IC</v>
          </cell>
          <cell r="D16711">
            <v>8.9</v>
          </cell>
          <cell r="H16711" t="str">
            <v>natural gas peaker</v>
          </cell>
        </row>
        <row r="16712">
          <cell r="C16712" t="str">
            <v>IC</v>
          </cell>
          <cell r="D16712">
            <v>8.9</v>
          </cell>
          <cell r="H16712" t="str">
            <v>natural gas peaker</v>
          </cell>
        </row>
        <row r="16713">
          <cell r="C16713" t="str">
            <v>IC</v>
          </cell>
          <cell r="D16713">
            <v>8.9</v>
          </cell>
          <cell r="H16713" t="str">
            <v>natural gas peaker</v>
          </cell>
        </row>
        <row r="16714">
          <cell r="C16714" t="str">
            <v>IC</v>
          </cell>
          <cell r="D16714">
            <v>8.9</v>
          </cell>
          <cell r="H16714" t="str">
            <v>natural gas peaker</v>
          </cell>
        </row>
        <row r="16715">
          <cell r="C16715" t="str">
            <v>PV</v>
          </cell>
          <cell r="D16715">
            <v>1.7</v>
          </cell>
          <cell r="H16715" t="str">
            <v>solar PV</v>
          </cell>
        </row>
        <row r="16716">
          <cell r="C16716" t="str">
            <v>PV</v>
          </cell>
          <cell r="D16716">
            <v>18.600000000000001</v>
          </cell>
          <cell r="H16716" t="str">
            <v>solar PV</v>
          </cell>
        </row>
        <row r="16717">
          <cell r="C16717" t="str">
            <v>GT</v>
          </cell>
          <cell r="D16717">
            <v>12.5</v>
          </cell>
          <cell r="H16717" t="str">
            <v>natural gas peaker</v>
          </cell>
        </row>
        <row r="16718">
          <cell r="C16718" t="str">
            <v>IC</v>
          </cell>
          <cell r="D16718">
            <v>8</v>
          </cell>
          <cell r="H16718" t="str">
            <v>natural gas peaker</v>
          </cell>
        </row>
        <row r="16719">
          <cell r="C16719" t="str">
            <v>IC</v>
          </cell>
          <cell r="D16719">
            <v>8</v>
          </cell>
          <cell r="H16719" t="str">
            <v>natural gas peaker</v>
          </cell>
        </row>
        <row r="16720">
          <cell r="C16720" t="str">
            <v>IC</v>
          </cell>
          <cell r="D16720">
            <v>1.6</v>
          </cell>
          <cell r="H16720" t="str">
            <v>biomass</v>
          </cell>
        </row>
        <row r="16721">
          <cell r="C16721" t="str">
            <v>IC</v>
          </cell>
          <cell r="D16721">
            <v>1.8</v>
          </cell>
          <cell r="H16721" t="str">
            <v>petroleum</v>
          </cell>
        </row>
        <row r="16722">
          <cell r="C16722" t="str">
            <v>IC</v>
          </cell>
          <cell r="D16722">
            <v>1.8</v>
          </cell>
          <cell r="H16722" t="str">
            <v>petroleum</v>
          </cell>
        </row>
        <row r="16723">
          <cell r="C16723" t="str">
            <v>IC</v>
          </cell>
          <cell r="D16723">
            <v>1.8</v>
          </cell>
          <cell r="H16723" t="str">
            <v>petroleum</v>
          </cell>
        </row>
        <row r="16724">
          <cell r="C16724" t="str">
            <v>IC</v>
          </cell>
          <cell r="D16724">
            <v>1.8</v>
          </cell>
          <cell r="H16724" t="str">
            <v>petroleum</v>
          </cell>
        </row>
        <row r="16725">
          <cell r="C16725" t="str">
            <v>WT</v>
          </cell>
          <cell r="D16725">
            <v>27.3</v>
          </cell>
          <cell r="H16725" t="str">
            <v>onshore wind</v>
          </cell>
        </row>
        <row r="16726">
          <cell r="C16726" t="str">
            <v>WT</v>
          </cell>
          <cell r="D16726">
            <v>59.4</v>
          </cell>
          <cell r="H16726" t="str">
            <v>onshore wind</v>
          </cell>
        </row>
        <row r="16727">
          <cell r="C16727" t="str">
            <v>WT</v>
          </cell>
          <cell r="D16727">
            <v>40</v>
          </cell>
          <cell r="H16727" t="str">
            <v>onshore wind</v>
          </cell>
        </row>
        <row r="16728">
          <cell r="C16728" t="str">
            <v>WT</v>
          </cell>
          <cell r="D16728">
            <v>57.6</v>
          </cell>
          <cell r="H16728" t="str">
            <v>onshore wind</v>
          </cell>
        </row>
        <row r="16729">
          <cell r="C16729" t="str">
            <v>PV</v>
          </cell>
          <cell r="D16729">
            <v>20</v>
          </cell>
          <cell r="H16729" t="str">
            <v>solar PV</v>
          </cell>
        </row>
        <row r="16730">
          <cell r="C16730" t="str">
            <v>PV</v>
          </cell>
          <cell r="D16730">
            <v>20</v>
          </cell>
          <cell r="H16730" t="str">
            <v>solar PV</v>
          </cell>
        </row>
        <row r="16731">
          <cell r="C16731" t="str">
            <v>IC</v>
          </cell>
          <cell r="D16731">
            <v>1</v>
          </cell>
          <cell r="H16731" t="str">
            <v>biomass</v>
          </cell>
        </row>
        <row r="16732">
          <cell r="C16732" t="str">
            <v>PV</v>
          </cell>
          <cell r="D16732">
            <v>1.1000000000000001</v>
          </cell>
          <cell r="H16732" t="str">
            <v>solar PV</v>
          </cell>
        </row>
        <row r="16733">
          <cell r="C16733" t="str">
            <v>GT</v>
          </cell>
          <cell r="D16733">
            <v>3.9</v>
          </cell>
          <cell r="H16733" t="str">
            <v>biomass</v>
          </cell>
        </row>
        <row r="16734">
          <cell r="C16734" t="str">
            <v>GT</v>
          </cell>
          <cell r="D16734">
            <v>3.9</v>
          </cell>
          <cell r="H16734" t="str">
            <v>biomass</v>
          </cell>
        </row>
        <row r="16735">
          <cell r="C16735" t="str">
            <v>IC</v>
          </cell>
          <cell r="D16735">
            <v>1.6</v>
          </cell>
          <cell r="H16735" t="str">
            <v>biomass</v>
          </cell>
        </row>
        <row r="16736">
          <cell r="C16736" t="str">
            <v>IC</v>
          </cell>
          <cell r="D16736">
            <v>1.6</v>
          </cell>
          <cell r="H16736" t="str">
            <v>biomass</v>
          </cell>
        </row>
        <row r="16737">
          <cell r="C16737" t="str">
            <v>IC</v>
          </cell>
          <cell r="D16737">
            <v>1.6</v>
          </cell>
          <cell r="H16737" t="str">
            <v>biomass</v>
          </cell>
        </row>
        <row r="16738">
          <cell r="C16738" t="str">
            <v>IC</v>
          </cell>
          <cell r="D16738">
            <v>1.6</v>
          </cell>
          <cell r="H16738" t="str">
            <v>biomass</v>
          </cell>
        </row>
        <row r="16739">
          <cell r="C16739" t="str">
            <v>ST</v>
          </cell>
          <cell r="D16739">
            <v>85</v>
          </cell>
          <cell r="H16739" t="str">
            <v>municipal solid waste</v>
          </cell>
        </row>
        <row r="16740">
          <cell r="C16740" t="str">
            <v>IC</v>
          </cell>
          <cell r="D16740">
            <v>1.6</v>
          </cell>
          <cell r="H16740" t="str">
            <v>petroleum</v>
          </cell>
        </row>
        <row r="16741">
          <cell r="C16741" t="str">
            <v>IC</v>
          </cell>
          <cell r="D16741">
            <v>1.6</v>
          </cell>
          <cell r="H16741" t="str">
            <v>petroleum</v>
          </cell>
        </row>
        <row r="16742">
          <cell r="C16742" t="str">
            <v>IC</v>
          </cell>
          <cell r="D16742">
            <v>1.6</v>
          </cell>
          <cell r="H16742" t="str">
            <v>petroleum</v>
          </cell>
        </row>
        <row r="16743">
          <cell r="C16743" t="str">
            <v>IC</v>
          </cell>
          <cell r="D16743">
            <v>1.9</v>
          </cell>
          <cell r="H16743" t="str">
            <v>natural gas peaker</v>
          </cell>
        </row>
        <row r="16744">
          <cell r="C16744" t="str">
            <v>IC</v>
          </cell>
          <cell r="D16744">
            <v>1.9</v>
          </cell>
          <cell r="H16744" t="str">
            <v>natural gas peaker</v>
          </cell>
        </row>
        <row r="16745">
          <cell r="C16745" t="str">
            <v>IC</v>
          </cell>
          <cell r="D16745">
            <v>1.9</v>
          </cell>
          <cell r="H16745" t="str">
            <v>natural gas peaker</v>
          </cell>
        </row>
        <row r="16746">
          <cell r="C16746" t="str">
            <v>IC</v>
          </cell>
          <cell r="D16746">
            <v>1.9</v>
          </cell>
          <cell r="H16746" t="str">
            <v>natural gas peaker</v>
          </cell>
        </row>
        <row r="16747">
          <cell r="C16747" t="str">
            <v>IC</v>
          </cell>
          <cell r="D16747">
            <v>1.9</v>
          </cell>
          <cell r="H16747" t="str">
            <v>natural gas peaker</v>
          </cell>
        </row>
        <row r="16748">
          <cell r="C16748" t="str">
            <v>PV</v>
          </cell>
          <cell r="D16748">
            <v>0.5</v>
          </cell>
          <cell r="H16748" t="str">
            <v>solar PV</v>
          </cell>
        </row>
        <row r="16749">
          <cell r="C16749" t="str">
            <v>PV</v>
          </cell>
          <cell r="D16749">
            <v>0.5</v>
          </cell>
          <cell r="H16749" t="str">
            <v>solar PV</v>
          </cell>
        </row>
        <row r="16750">
          <cell r="C16750" t="str">
            <v>PV</v>
          </cell>
          <cell r="D16750">
            <v>0.5</v>
          </cell>
          <cell r="H16750" t="str">
            <v>solar PV</v>
          </cell>
        </row>
        <row r="16751">
          <cell r="C16751" t="str">
            <v>PV</v>
          </cell>
          <cell r="D16751">
            <v>0.5</v>
          </cell>
          <cell r="H16751" t="str">
            <v>solar PV</v>
          </cell>
        </row>
        <row r="16752">
          <cell r="C16752" t="str">
            <v>PV</v>
          </cell>
          <cell r="D16752">
            <v>0.5</v>
          </cell>
          <cell r="H16752" t="str">
            <v>solar PV</v>
          </cell>
        </row>
        <row r="16753">
          <cell r="C16753" t="str">
            <v>PV</v>
          </cell>
          <cell r="D16753">
            <v>0.5</v>
          </cell>
          <cell r="H16753" t="str">
            <v>solar PV</v>
          </cell>
        </row>
        <row r="16754">
          <cell r="C16754" t="str">
            <v>PV</v>
          </cell>
          <cell r="D16754">
            <v>0.5</v>
          </cell>
          <cell r="H16754" t="str">
            <v>solar PV</v>
          </cell>
        </row>
        <row r="16755">
          <cell r="C16755" t="str">
            <v>PV</v>
          </cell>
          <cell r="D16755">
            <v>0.5</v>
          </cell>
          <cell r="H16755" t="str">
            <v>solar PV</v>
          </cell>
        </row>
        <row r="16756">
          <cell r="C16756" t="str">
            <v>PV</v>
          </cell>
          <cell r="D16756">
            <v>0.5</v>
          </cell>
          <cell r="H16756" t="str">
            <v>solar PV</v>
          </cell>
        </row>
        <row r="16757">
          <cell r="C16757" t="str">
            <v>PV</v>
          </cell>
          <cell r="D16757">
            <v>0.5</v>
          </cell>
          <cell r="H16757" t="str">
            <v>solar PV</v>
          </cell>
        </row>
        <row r="16758">
          <cell r="C16758" t="str">
            <v>CT</v>
          </cell>
          <cell r="D16758">
            <v>195</v>
          </cell>
          <cell r="H16758" t="str">
            <v>natural gas nonpeaker</v>
          </cell>
        </row>
        <row r="16759">
          <cell r="C16759" t="str">
            <v>CA</v>
          </cell>
          <cell r="D16759">
            <v>60</v>
          </cell>
          <cell r="H16759" t="str">
            <v>natural gas nonpeaker</v>
          </cell>
        </row>
        <row r="16760">
          <cell r="C16760" t="str">
            <v>CT</v>
          </cell>
          <cell r="D16760">
            <v>195</v>
          </cell>
          <cell r="H16760" t="str">
            <v>natural gas nonpeaker</v>
          </cell>
        </row>
        <row r="16761">
          <cell r="C16761" t="str">
            <v>CA</v>
          </cell>
          <cell r="D16761">
            <v>60</v>
          </cell>
          <cell r="H16761" t="str">
            <v>natural gas nonpeaker</v>
          </cell>
        </row>
        <row r="16762">
          <cell r="C16762" t="str">
            <v>IC</v>
          </cell>
          <cell r="D16762">
            <v>1.6</v>
          </cell>
          <cell r="H16762" t="str">
            <v>biomass</v>
          </cell>
        </row>
        <row r="16763">
          <cell r="C16763" t="str">
            <v>IC</v>
          </cell>
          <cell r="D16763">
            <v>1.6</v>
          </cell>
          <cell r="H16763" t="str">
            <v>biomass</v>
          </cell>
        </row>
        <row r="16764">
          <cell r="C16764" t="str">
            <v>IC</v>
          </cell>
          <cell r="D16764">
            <v>1.5</v>
          </cell>
          <cell r="H16764" t="str">
            <v>biomass</v>
          </cell>
        </row>
        <row r="16765">
          <cell r="C16765" t="str">
            <v>PV</v>
          </cell>
          <cell r="D16765">
            <v>1.5</v>
          </cell>
          <cell r="H16765" t="str">
            <v>solar PV</v>
          </cell>
        </row>
        <row r="16766">
          <cell r="C16766" t="str">
            <v>CT</v>
          </cell>
          <cell r="D16766">
            <v>12.5</v>
          </cell>
          <cell r="H16766" t="str">
            <v>natural gas nonpeaker</v>
          </cell>
        </row>
        <row r="16767">
          <cell r="C16767" t="str">
            <v>CT</v>
          </cell>
          <cell r="D16767">
            <v>12.5</v>
          </cell>
          <cell r="H16767" t="str">
            <v>natural gas nonpeaker</v>
          </cell>
        </row>
        <row r="16768">
          <cell r="C16768" t="str">
            <v>IC</v>
          </cell>
          <cell r="D16768">
            <v>1.9</v>
          </cell>
          <cell r="H16768" t="str">
            <v>petroleum</v>
          </cell>
        </row>
        <row r="16769">
          <cell r="C16769" t="str">
            <v>CA</v>
          </cell>
          <cell r="D16769">
            <v>21.5</v>
          </cell>
          <cell r="H16769" t="str">
            <v>natural gas nonpeaker</v>
          </cell>
        </row>
        <row r="16770">
          <cell r="C16770" t="str">
            <v>ST</v>
          </cell>
          <cell r="D16770">
            <v>55</v>
          </cell>
          <cell r="H16770" t="str">
            <v>biomass</v>
          </cell>
        </row>
        <row r="16771">
          <cell r="C16771" t="str">
            <v>IC</v>
          </cell>
          <cell r="D16771">
            <v>2</v>
          </cell>
          <cell r="H16771" t="str">
            <v>petroleum</v>
          </cell>
        </row>
        <row r="16772">
          <cell r="C16772" t="str">
            <v>IC</v>
          </cell>
          <cell r="D16772">
            <v>2</v>
          </cell>
          <cell r="H16772" t="str">
            <v>petroleum</v>
          </cell>
        </row>
        <row r="16773">
          <cell r="C16773" t="str">
            <v>IC</v>
          </cell>
          <cell r="D16773">
            <v>2</v>
          </cell>
          <cell r="H16773" t="str">
            <v>petroleum</v>
          </cell>
        </row>
        <row r="16774">
          <cell r="C16774" t="str">
            <v>IC</v>
          </cell>
          <cell r="D16774">
            <v>2</v>
          </cell>
          <cell r="H16774" t="str">
            <v>petroleum</v>
          </cell>
        </row>
        <row r="16775">
          <cell r="C16775" t="str">
            <v>IC</v>
          </cell>
          <cell r="D16775">
            <v>2</v>
          </cell>
          <cell r="H16775" t="str">
            <v>petroleum</v>
          </cell>
        </row>
        <row r="16776">
          <cell r="C16776" t="str">
            <v>IC</v>
          </cell>
          <cell r="D16776">
            <v>1.6</v>
          </cell>
          <cell r="H16776" t="str">
            <v>biomass</v>
          </cell>
        </row>
        <row r="16777">
          <cell r="C16777" t="str">
            <v>PV</v>
          </cell>
          <cell r="D16777">
            <v>20</v>
          </cell>
          <cell r="H16777" t="str">
            <v>solar PV</v>
          </cell>
        </row>
        <row r="16778">
          <cell r="C16778" t="str">
            <v>WT</v>
          </cell>
          <cell r="D16778">
            <v>143</v>
          </cell>
          <cell r="H16778" t="str">
            <v>onshore wind</v>
          </cell>
        </row>
        <row r="16779">
          <cell r="C16779" t="str">
            <v>ST</v>
          </cell>
          <cell r="D16779">
            <v>2</v>
          </cell>
          <cell r="H16779" t="str">
            <v>lignite</v>
          </cell>
        </row>
        <row r="16780">
          <cell r="C16780" t="str">
            <v>ST</v>
          </cell>
          <cell r="D16780">
            <v>2</v>
          </cell>
          <cell r="H16780" t="str">
            <v>lignite</v>
          </cell>
        </row>
        <row r="16781">
          <cell r="C16781" t="str">
            <v>ST</v>
          </cell>
          <cell r="D16781">
            <v>3.5</v>
          </cell>
          <cell r="H16781" t="str">
            <v>hard coal</v>
          </cell>
        </row>
        <row r="16782">
          <cell r="C16782" t="str">
            <v>ST</v>
          </cell>
          <cell r="D16782">
            <v>3.5</v>
          </cell>
          <cell r="H16782" t="str">
            <v>hard coal</v>
          </cell>
        </row>
        <row r="16783">
          <cell r="C16783" t="str">
            <v>ST</v>
          </cell>
          <cell r="D16783">
            <v>4</v>
          </cell>
          <cell r="H16783" t="str">
            <v>hard coal</v>
          </cell>
        </row>
        <row r="16784">
          <cell r="C16784" t="str">
            <v>ST</v>
          </cell>
          <cell r="D16784">
            <v>10</v>
          </cell>
          <cell r="H16784" t="str">
            <v>hard coal</v>
          </cell>
        </row>
        <row r="16785">
          <cell r="C16785" t="str">
            <v>ST</v>
          </cell>
          <cell r="D16785">
            <v>10</v>
          </cell>
          <cell r="H16785" t="str">
            <v>hard coal</v>
          </cell>
        </row>
        <row r="16786">
          <cell r="C16786" t="str">
            <v>ST</v>
          </cell>
          <cell r="D16786">
            <v>10</v>
          </cell>
          <cell r="H16786" t="str">
            <v>hard coal</v>
          </cell>
        </row>
        <row r="16787">
          <cell r="C16787" t="str">
            <v>ST</v>
          </cell>
          <cell r="D16787">
            <v>8.9</v>
          </cell>
          <cell r="H16787" t="str">
            <v>natural gas peaker</v>
          </cell>
        </row>
        <row r="16788">
          <cell r="C16788" t="str">
            <v>ST</v>
          </cell>
          <cell r="D16788">
            <v>2.5</v>
          </cell>
          <cell r="H16788" t="str">
            <v>natural gas peaker</v>
          </cell>
        </row>
        <row r="16789">
          <cell r="C16789" t="str">
            <v>ST</v>
          </cell>
          <cell r="D16789">
            <v>10</v>
          </cell>
          <cell r="H16789" t="str">
            <v>biomass</v>
          </cell>
        </row>
        <row r="16790">
          <cell r="C16790" t="str">
            <v>ST</v>
          </cell>
          <cell r="D16790">
            <v>28</v>
          </cell>
          <cell r="H16790" t="str">
            <v>biomass</v>
          </cell>
        </row>
        <row r="16791">
          <cell r="C16791" t="str">
            <v>WT</v>
          </cell>
          <cell r="D16791">
            <v>188</v>
          </cell>
          <cell r="H16791" t="str">
            <v>onshore wind</v>
          </cell>
        </row>
        <row r="16792">
          <cell r="C16792" t="str">
            <v>IC</v>
          </cell>
          <cell r="D16792">
            <v>1.6</v>
          </cell>
          <cell r="H16792" t="str">
            <v>petroleum</v>
          </cell>
        </row>
        <row r="16793">
          <cell r="C16793" t="str">
            <v>ST</v>
          </cell>
          <cell r="D16793">
            <v>2.8</v>
          </cell>
          <cell r="H16793" t="str">
            <v>hard coal</v>
          </cell>
        </row>
        <row r="16794">
          <cell r="C16794" t="str">
            <v>IC</v>
          </cell>
          <cell r="D16794">
            <v>1.7</v>
          </cell>
          <cell r="H16794" t="str">
            <v>petroleum</v>
          </cell>
        </row>
        <row r="16795">
          <cell r="C16795" t="str">
            <v>IC</v>
          </cell>
          <cell r="D16795">
            <v>1.5</v>
          </cell>
          <cell r="H16795" t="str">
            <v>petroleum</v>
          </cell>
        </row>
        <row r="16796">
          <cell r="C16796" t="str">
            <v>ST</v>
          </cell>
          <cell r="D16796">
            <v>1.2</v>
          </cell>
          <cell r="H16796" t="str">
            <v>natural gas peaker</v>
          </cell>
        </row>
        <row r="16797">
          <cell r="C16797" t="str">
            <v>PV</v>
          </cell>
          <cell r="D16797">
            <v>1.9</v>
          </cell>
          <cell r="H16797" t="str">
            <v>solar PV</v>
          </cell>
        </row>
        <row r="16798">
          <cell r="C16798" t="str">
            <v>PV</v>
          </cell>
          <cell r="D16798">
            <v>2.7</v>
          </cell>
          <cell r="H16798" t="str">
            <v>solar PV</v>
          </cell>
        </row>
        <row r="16799">
          <cell r="C16799" t="str">
            <v>PV</v>
          </cell>
          <cell r="D16799">
            <v>2</v>
          </cell>
          <cell r="H16799" t="str">
            <v>solar PV</v>
          </cell>
        </row>
        <row r="16800">
          <cell r="C16800" t="str">
            <v>PV</v>
          </cell>
          <cell r="D16800">
            <v>2</v>
          </cell>
          <cell r="H16800" t="str">
            <v>solar PV</v>
          </cell>
        </row>
        <row r="16801">
          <cell r="C16801" t="str">
            <v>WT</v>
          </cell>
          <cell r="D16801">
            <v>24.6</v>
          </cell>
          <cell r="H16801" t="str">
            <v>onshore wind</v>
          </cell>
        </row>
        <row r="16802">
          <cell r="C16802" t="str">
            <v>ST</v>
          </cell>
          <cell r="D16802">
            <v>5</v>
          </cell>
          <cell r="H16802" t="str">
            <v>hard coal</v>
          </cell>
        </row>
        <row r="16803">
          <cell r="C16803" t="str">
            <v>ST</v>
          </cell>
          <cell r="D16803">
            <v>20.5</v>
          </cell>
          <cell r="H16803" t="str">
            <v>other</v>
          </cell>
        </row>
        <row r="16804">
          <cell r="C16804" t="str">
            <v>PV</v>
          </cell>
          <cell r="D16804">
            <v>1</v>
          </cell>
          <cell r="H16804" t="str">
            <v>solar PV</v>
          </cell>
        </row>
        <row r="16805">
          <cell r="C16805" t="str">
            <v>PV</v>
          </cell>
          <cell r="D16805">
            <v>1</v>
          </cell>
          <cell r="H16805" t="str">
            <v>solar PV</v>
          </cell>
        </row>
        <row r="16806">
          <cell r="C16806" t="str">
            <v>ST</v>
          </cell>
          <cell r="D16806">
            <v>7.5</v>
          </cell>
          <cell r="H16806" t="str">
            <v>hard coal</v>
          </cell>
        </row>
        <row r="16807">
          <cell r="C16807" t="str">
            <v>PV</v>
          </cell>
          <cell r="D16807">
            <v>1.8</v>
          </cell>
          <cell r="H16807" t="str">
            <v>solar PV</v>
          </cell>
        </row>
        <row r="16808">
          <cell r="C16808" t="str">
            <v>PV</v>
          </cell>
          <cell r="D16808">
            <v>1.2</v>
          </cell>
          <cell r="H16808" t="str">
            <v>solar PV</v>
          </cell>
        </row>
        <row r="16809">
          <cell r="C16809" t="str">
            <v>GT</v>
          </cell>
          <cell r="D16809">
            <v>40</v>
          </cell>
          <cell r="H16809" t="str">
            <v>natural gas peaker</v>
          </cell>
        </row>
        <row r="16810">
          <cell r="C16810" t="str">
            <v>GT</v>
          </cell>
          <cell r="D16810">
            <v>40</v>
          </cell>
          <cell r="H16810" t="str">
            <v>natural gas peaker</v>
          </cell>
        </row>
        <row r="16811">
          <cell r="C16811" t="str">
            <v>GT</v>
          </cell>
          <cell r="D16811">
            <v>40</v>
          </cell>
          <cell r="H16811" t="str">
            <v>natural gas peaker</v>
          </cell>
        </row>
        <row r="16812">
          <cell r="C16812" t="str">
            <v>GT</v>
          </cell>
          <cell r="D16812">
            <v>40</v>
          </cell>
          <cell r="H16812" t="str">
            <v>natural gas peaker</v>
          </cell>
        </row>
        <row r="16813">
          <cell r="C16813" t="str">
            <v>GT</v>
          </cell>
          <cell r="D16813">
            <v>40</v>
          </cell>
          <cell r="H16813" t="str">
            <v>natural gas peaker</v>
          </cell>
        </row>
        <row r="16814">
          <cell r="C16814" t="str">
            <v>IC</v>
          </cell>
          <cell r="D16814">
            <v>1.5</v>
          </cell>
          <cell r="H16814" t="str">
            <v>biomass</v>
          </cell>
        </row>
        <row r="16815">
          <cell r="C16815" t="str">
            <v>IC</v>
          </cell>
          <cell r="D16815">
            <v>1.5</v>
          </cell>
          <cell r="H16815" t="str">
            <v>biomass</v>
          </cell>
        </row>
        <row r="16816">
          <cell r="C16816" t="str">
            <v>GT</v>
          </cell>
          <cell r="D16816">
            <v>12</v>
          </cell>
          <cell r="H16816" t="str">
            <v>natural gas peaker</v>
          </cell>
        </row>
        <row r="16817">
          <cell r="C16817" t="str">
            <v>GT</v>
          </cell>
          <cell r="D16817">
            <v>12</v>
          </cell>
          <cell r="H16817" t="str">
            <v>natural gas peaker</v>
          </cell>
        </row>
        <row r="16818">
          <cell r="C16818" t="str">
            <v>WT</v>
          </cell>
          <cell r="D16818">
            <v>50.4</v>
          </cell>
          <cell r="H16818" t="str">
            <v>onshore wind</v>
          </cell>
        </row>
        <row r="16819">
          <cell r="C16819" t="str">
            <v>PV</v>
          </cell>
          <cell r="D16819">
            <v>10</v>
          </cell>
          <cell r="H16819" t="str">
            <v>solar PV</v>
          </cell>
        </row>
        <row r="16820">
          <cell r="C16820" t="str">
            <v>ST</v>
          </cell>
          <cell r="D16820" t="str">
            <v xml:space="preserve"> </v>
          </cell>
          <cell r="H16820" t="str">
            <v>hard coal</v>
          </cell>
        </row>
        <row r="16821">
          <cell r="C16821" t="str">
            <v>ST</v>
          </cell>
          <cell r="D16821" t="str">
            <v xml:space="preserve"> </v>
          </cell>
          <cell r="H16821" t="str">
            <v>hard coal</v>
          </cell>
        </row>
        <row r="16822">
          <cell r="C16822" t="str">
            <v>ST</v>
          </cell>
          <cell r="D16822" t="str">
            <v xml:space="preserve"> </v>
          </cell>
          <cell r="H16822" t="str">
            <v>natural gas peaker</v>
          </cell>
        </row>
        <row r="16823">
          <cell r="C16823" t="str">
            <v>PV</v>
          </cell>
          <cell r="D16823">
            <v>1</v>
          </cell>
          <cell r="H16823" t="str">
            <v>solar PV</v>
          </cell>
        </row>
        <row r="16824">
          <cell r="C16824" t="str">
            <v>IC</v>
          </cell>
          <cell r="D16824">
            <v>1</v>
          </cell>
          <cell r="H16824" t="str">
            <v>natural gas peaker</v>
          </cell>
        </row>
        <row r="16825">
          <cell r="C16825" t="str">
            <v>IC</v>
          </cell>
          <cell r="D16825">
            <v>1</v>
          </cell>
          <cell r="H16825" t="str">
            <v>natural gas peaker</v>
          </cell>
        </row>
        <row r="16826">
          <cell r="C16826" t="str">
            <v>IC</v>
          </cell>
          <cell r="D16826">
            <v>1</v>
          </cell>
          <cell r="H16826" t="str">
            <v>natural gas peaker</v>
          </cell>
        </row>
        <row r="16827">
          <cell r="C16827" t="str">
            <v>CT</v>
          </cell>
          <cell r="D16827">
            <v>38</v>
          </cell>
          <cell r="H16827" t="str">
            <v>natural gas nonpeaker</v>
          </cell>
        </row>
        <row r="16828">
          <cell r="C16828" t="str">
            <v>CA</v>
          </cell>
          <cell r="D16828">
            <v>10</v>
          </cell>
          <cell r="H16828" t="str">
            <v>natural gas nonpeaker</v>
          </cell>
        </row>
        <row r="16829">
          <cell r="C16829" t="str">
            <v>ST</v>
          </cell>
          <cell r="D16829">
            <v>32</v>
          </cell>
          <cell r="H16829" t="str">
            <v>petroleum</v>
          </cell>
        </row>
        <row r="16830">
          <cell r="C16830" t="str">
            <v>WT</v>
          </cell>
          <cell r="D16830">
            <v>100.8</v>
          </cell>
          <cell r="H16830" t="str">
            <v>onshore wind</v>
          </cell>
        </row>
        <row r="16831">
          <cell r="C16831" t="str">
            <v>PV</v>
          </cell>
          <cell r="D16831">
            <v>6.3</v>
          </cell>
          <cell r="H16831" t="str">
            <v>solar PV</v>
          </cell>
        </row>
        <row r="16832">
          <cell r="C16832" t="str">
            <v>WT</v>
          </cell>
          <cell r="D16832">
            <v>102</v>
          </cell>
          <cell r="H16832" t="str">
            <v>onshore wind</v>
          </cell>
        </row>
        <row r="16833">
          <cell r="C16833" t="str">
            <v>WT</v>
          </cell>
          <cell r="D16833">
            <v>10</v>
          </cell>
          <cell r="H16833" t="str">
            <v>onshore wind</v>
          </cell>
        </row>
        <row r="16834">
          <cell r="C16834" t="str">
            <v>WT</v>
          </cell>
          <cell r="D16834">
            <v>109.5</v>
          </cell>
          <cell r="H16834" t="str">
            <v>onshore wind</v>
          </cell>
        </row>
        <row r="16835">
          <cell r="C16835" t="str">
            <v>WT</v>
          </cell>
          <cell r="D16835">
            <v>10</v>
          </cell>
          <cell r="H16835" t="str">
            <v>onshore wind</v>
          </cell>
        </row>
        <row r="16836">
          <cell r="C16836" t="str">
            <v>ST</v>
          </cell>
          <cell r="D16836">
            <v>2</v>
          </cell>
          <cell r="H16836" t="str">
            <v>natural gas peaker</v>
          </cell>
        </row>
        <row r="16837">
          <cell r="C16837" t="str">
            <v>WT</v>
          </cell>
          <cell r="D16837">
            <v>4.8</v>
          </cell>
          <cell r="H16837" t="str">
            <v>onshore wind</v>
          </cell>
        </row>
        <row r="16838">
          <cell r="C16838" t="str">
            <v>ST</v>
          </cell>
          <cell r="D16838">
            <v>4.5</v>
          </cell>
          <cell r="H16838" t="str">
            <v>biomass</v>
          </cell>
        </row>
        <row r="16839">
          <cell r="C16839" t="str">
            <v>PV</v>
          </cell>
          <cell r="D16839">
            <v>3.2</v>
          </cell>
          <cell r="H16839" t="str">
            <v>solar PV</v>
          </cell>
        </row>
        <row r="16840">
          <cell r="C16840" t="str">
            <v>IC</v>
          </cell>
          <cell r="D16840">
            <v>1.9</v>
          </cell>
          <cell r="H16840" t="str">
            <v>biomass</v>
          </cell>
        </row>
        <row r="16841">
          <cell r="C16841" t="str">
            <v>WT</v>
          </cell>
          <cell r="D16841">
            <v>161</v>
          </cell>
          <cell r="H16841" t="str">
            <v>onshore wind</v>
          </cell>
        </row>
        <row r="16842">
          <cell r="C16842" t="str">
            <v>WT</v>
          </cell>
          <cell r="D16842">
            <v>161</v>
          </cell>
          <cell r="H16842" t="str">
            <v>onshore wind</v>
          </cell>
        </row>
        <row r="16843">
          <cell r="C16843" t="str">
            <v>WT</v>
          </cell>
          <cell r="D16843">
            <v>108</v>
          </cell>
          <cell r="H16843" t="str">
            <v>onshore wind</v>
          </cell>
        </row>
        <row r="16844">
          <cell r="C16844" t="str">
            <v>WT</v>
          </cell>
          <cell r="D16844">
            <v>80</v>
          </cell>
          <cell r="H16844" t="str">
            <v>onshore wind</v>
          </cell>
        </row>
        <row r="16845">
          <cell r="C16845" t="str">
            <v>IC</v>
          </cell>
          <cell r="D16845">
            <v>2.5</v>
          </cell>
          <cell r="H16845" t="str">
            <v>natural gas peaker</v>
          </cell>
        </row>
        <row r="16846">
          <cell r="C16846" t="str">
            <v>IC</v>
          </cell>
          <cell r="D16846">
            <v>2.5</v>
          </cell>
          <cell r="H16846" t="str">
            <v>natural gas peaker</v>
          </cell>
        </row>
        <row r="16847">
          <cell r="C16847" t="str">
            <v>CT</v>
          </cell>
          <cell r="D16847">
            <v>162</v>
          </cell>
          <cell r="H16847" t="str">
            <v>natural gas nonpeaker</v>
          </cell>
        </row>
        <row r="16848">
          <cell r="C16848" t="str">
            <v>CA</v>
          </cell>
          <cell r="D16848">
            <v>95</v>
          </cell>
          <cell r="H16848" t="str">
            <v>natural gas nonpeaker</v>
          </cell>
        </row>
        <row r="16849">
          <cell r="C16849" t="str">
            <v>WT</v>
          </cell>
          <cell r="D16849">
            <v>65</v>
          </cell>
          <cell r="H16849" t="str">
            <v>onshore wind</v>
          </cell>
        </row>
        <row r="16850">
          <cell r="C16850" t="str">
            <v>WT</v>
          </cell>
          <cell r="D16850">
            <v>29</v>
          </cell>
          <cell r="H16850" t="str">
            <v>onshore wind</v>
          </cell>
        </row>
        <row r="16851">
          <cell r="C16851" t="str">
            <v>WT</v>
          </cell>
          <cell r="D16851">
            <v>150</v>
          </cell>
          <cell r="H16851" t="str">
            <v>onshore wind</v>
          </cell>
        </row>
        <row r="16852">
          <cell r="C16852" t="str">
            <v>PV</v>
          </cell>
          <cell r="D16852">
            <v>0.5</v>
          </cell>
          <cell r="H16852" t="str">
            <v>solar PV</v>
          </cell>
        </row>
        <row r="16853">
          <cell r="C16853" t="str">
            <v>PV</v>
          </cell>
          <cell r="D16853">
            <v>0.6</v>
          </cell>
          <cell r="H16853" t="str">
            <v>solar PV</v>
          </cell>
        </row>
        <row r="16854">
          <cell r="C16854" t="str">
            <v>WT</v>
          </cell>
          <cell r="D16854">
            <v>211</v>
          </cell>
          <cell r="H16854" t="str">
            <v>onshore wind</v>
          </cell>
        </row>
        <row r="16855">
          <cell r="C16855" t="str">
            <v>WT</v>
          </cell>
          <cell r="D16855">
            <v>165</v>
          </cell>
          <cell r="H16855" t="str">
            <v>onshore wind</v>
          </cell>
        </row>
        <row r="16856">
          <cell r="C16856" t="str">
            <v>WT</v>
          </cell>
          <cell r="D16856">
            <v>100.8</v>
          </cell>
          <cell r="H16856" t="str">
            <v>onshore wind</v>
          </cell>
        </row>
        <row r="16857">
          <cell r="C16857" t="str">
            <v>PV</v>
          </cell>
          <cell r="D16857">
            <v>13.6</v>
          </cell>
          <cell r="H16857" t="str">
            <v>solar PV</v>
          </cell>
        </row>
        <row r="16858">
          <cell r="C16858" t="str">
            <v>PV</v>
          </cell>
          <cell r="D16858">
            <v>11.3</v>
          </cell>
          <cell r="H16858" t="str">
            <v>solar PV</v>
          </cell>
        </row>
        <row r="16859">
          <cell r="C16859" t="str">
            <v>WT</v>
          </cell>
          <cell r="D16859">
            <v>298.5</v>
          </cell>
          <cell r="H16859" t="str">
            <v>onshore wind</v>
          </cell>
        </row>
        <row r="16860">
          <cell r="C16860" t="str">
            <v>IC</v>
          </cell>
          <cell r="D16860">
            <v>0.8</v>
          </cell>
          <cell r="H16860" t="str">
            <v>biomass</v>
          </cell>
        </row>
        <row r="16861">
          <cell r="C16861" t="str">
            <v>IC</v>
          </cell>
          <cell r="D16861">
            <v>0.8</v>
          </cell>
          <cell r="H16861" t="str">
            <v>biomass</v>
          </cell>
        </row>
        <row r="16862">
          <cell r="C16862" t="str">
            <v>IC</v>
          </cell>
          <cell r="D16862">
            <v>0.8</v>
          </cell>
          <cell r="H16862" t="str">
            <v>biomass</v>
          </cell>
        </row>
        <row r="16863">
          <cell r="C16863" t="str">
            <v>IC</v>
          </cell>
          <cell r="D16863">
            <v>0.8</v>
          </cell>
          <cell r="H16863" t="str">
            <v>biomass</v>
          </cell>
        </row>
        <row r="16864">
          <cell r="C16864" t="str">
            <v>IC</v>
          </cell>
          <cell r="D16864">
            <v>0.8</v>
          </cell>
          <cell r="H16864" t="str">
            <v>biomass</v>
          </cell>
        </row>
        <row r="16865">
          <cell r="C16865" t="str">
            <v>IC</v>
          </cell>
          <cell r="D16865">
            <v>0.8</v>
          </cell>
          <cell r="H16865" t="str">
            <v>biomass</v>
          </cell>
        </row>
        <row r="16866">
          <cell r="C16866" t="str">
            <v>PV</v>
          </cell>
          <cell r="D16866">
            <v>3.2</v>
          </cell>
          <cell r="H16866" t="str">
            <v>solar PV</v>
          </cell>
        </row>
        <row r="16867">
          <cell r="C16867" t="str">
            <v>PV</v>
          </cell>
          <cell r="D16867">
            <v>2.5</v>
          </cell>
          <cell r="H16867" t="str">
            <v>solar PV</v>
          </cell>
        </row>
        <row r="16868">
          <cell r="C16868" t="str">
            <v>WT</v>
          </cell>
          <cell r="D16868">
            <v>75</v>
          </cell>
          <cell r="H16868" t="str">
            <v>onshore wind</v>
          </cell>
        </row>
        <row r="16869">
          <cell r="C16869" t="str">
            <v>PV</v>
          </cell>
          <cell r="D16869">
            <v>1.1000000000000001</v>
          </cell>
          <cell r="H16869" t="str">
            <v>solar PV</v>
          </cell>
        </row>
        <row r="16870">
          <cell r="C16870" t="str">
            <v>PV</v>
          </cell>
          <cell r="D16870">
            <v>40.299999999999997</v>
          </cell>
          <cell r="H16870" t="str">
            <v>solar PV</v>
          </cell>
        </row>
        <row r="16871">
          <cell r="C16871" t="str">
            <v>PV</v>
          </cell>
          <cell r="D16871">
            <v>30.2</v>
          </cell>
          <cell r="H16871" t="str">
            <v>solar PV</v>
          </cell>
        </row>
        <row r="16872">
          <cell r="C16872" t="str">
            <v>PV</v>
          </cell>
          <cell r="D16872">
            <v>20.2</v>
          </cell>
          <cell r="H16872" t="str">
            <v>solar PV</v>
          </cell>
        </row>
        <row r="16873">
          <cell r="C16873" t="str">
            <v>PV</v>
          </cell>
          <cell r="D16873">
            <v>40.299999999999997</v>
          </cell>
          <cell r="H16873" t="str">
            <v>solar PV</v>
          </cell>
        </row>
        <row r="16874">
          <cell r="C16874" t="str">
            <v>PV</v>
          </cell>
          <cell r="D16874">
            <v>40.299999999999997</v>
          </cell>
          <cell r="H16874" t="str">
            <v>solar PV</v>
          </cell>
        </row>
        <row r="16875">
          <cell r="C16875" t="str">
            <v>PV</v>
          </cell>
          <cell r="D16875">
            <v>30.2</v>
          </cell>
          <cell r="H16875" t="str">
            <v>solar PV</v>
          </cell>
        </row>
        <row r="16876">
          <cell r="C16876" t="str">
            <v>PV</v>
          </cell>
          <cell r="D16876">
            <v>25.2</v>
          </cell>
          <cell r="H16876" t="str">
            <v>solar PV</v>
          </cell>
        </row>
        <row r="16877">
          <cell r="C16877" t="str">
            <v>PV</v>
          </cell>
          <cell r="D16877">
            <v>25.2</v>
          </cell>
          <cell r="H16877" t="str">
            <v>solar PV</v>
          </cell>
        </row>
        <row r="16878">
          <cell r="C16878" t="str">
            <v>PV</v>
          </cell>
          <cell r="D16878">
            <v>20.2</v>
          </cell>
          <cell r="H16878" t="str">
            <v>solar PV</v>
          </cell>
        </row>
        <row r="16879">
          <cell r="C16879" t="str">
            <v>PV</v>
          </cell>
          <cell r="D16879">
            <v>18.899999999999999</v>
          </cell>
          <cell r="H16879" t="str">
            <v>solar PV</v>
          </cell>
        </row>
        <row r="16880">
          <cell r="C16880" t="str">
            <v>PV</v>
          </cell>
          <cell r="D16880">
            <v>22.7</v>
          </cell>
          <cell r="H16880" t="str">
            <v>solar PV</v>
          </cell>
        </row>
        <row r="16881">
          <cell r="C16881" t="str">
            <v>PV</v>
          </cell>
          <cell r="D16881">
            <v>20</v>
          </cell>
          <cell r="H16881" t="str">
            <v>solar PV</v>
          </cell>
        </row>
        <row r="16882">
          <cell r="C16882" t="str">
            <v>WT</v>
          </cell>
          <cell r="D16882">
            <v>184.6</v>
          </cell>
          <cell r="H16882" t="str">
            <v>onshore wind</v>
          </cell>
        </row>
        <row r="16883">
          <cell r="C16883" t="str">
            <v>BA</v>
          </cell>
          <cell r="D16883">
            <v>11</v>
          </cell>
          <cell r="H16883" t="str">
            <v>other</v>
          </cell>
        </row>
        <row r="16884">
          <cell r="C16884" t="str">
            <v>WT</v>
          </cell>
          <cell r="D16884">
            <v>24</v>
          </cell>
          <cell r="H16884" t="str">
            <v>onshore wind</v>
          </cell>
        </row>
        <row r="16885">
          <cell r="C16885" t="str">
            <v>PV</v>
          </cell>
          <cell r="D16885">
            <v>17</v>
          </cell>
          <cell r="H16885" t="str">
            <v>solar PV</v>
          </cell>
        </row>
        <row r="16886">
          <cell r="C16886" t="str">
            <v>PV</v>
          </cell>
          <cell r="D16886">
            <v>18</v>
          </cell>
          <cell r="H16886" t="str">
            <v>solar PV</v>
          </cell>
        </row>
        <row r="16887">
          <cell r="C16887" t="str">
            <v>WT</v>
          </cell>
          <cell r="D16887">
            <v>139.4</v>
          </cell>
          <cell r="H16887" t="str">
            <v>onshore wind</v>
          </cell>
        </row>
        <row r="16888">
          <cell r="C16888" t="str">
            <v>WT</v>
          </cell>
          <cell r="D16888">
            <v>30</v>
          </cell>
          <cell r="H16888" t="str">
            <v>onshore wind</v>
          </cell>
        </row>
        <row r="16889">
          <cell r="C16889" t="str">
            <v>WT</v>
          </cell>
          <cell r="D16889">
            <v>99.8</v>
          </cell>
          <cell r="H16889" t="str">
            <v>onshore wind</v>
          </cell>
        </row>
        <row r="16890">
          <cell r="C16890" t="str">
            <v>CT</v>
          </cell>
          <cell r="D16890">
            <v>211</v>
          </cell>
          <cell r="H16890" t="str">
            <v>natural gas nonpeaker</v>
          </cell>
        </row>
        <row r="16891">
          <cell r="C16891" t="str">
            <v>CT</v>
          </cell>
          <cell r="D16891">
            <v>211</v>
          </cell>
          <cell r="H16891" t="str">
            <v>natural gas nonpeaker</v>
          </cell>
        </row>
        <row r="16892">
          <cell r="C16892" t="str">
            <v>CT</v>
          </cell>
          <cell r="D16892">
            <v>211</v>
          </cell>
          <cell r="H16892" t="str">
            <v>natural gas nonpeaker</v>
          </cell>
        </row>
        <row r="16893">
          <cell r="C16893" t="str">
            <v>CT</v>
          </cell>
          <cell r="D16893">
            <v>211</v>
          </cell>
          <cell r="H16893" t="str">
            <v>natural gas nonpeaker</v>
          </cell>
        </row>
        <row r="16894">
          <cell r="C16894" t="str">
            <v>CA</v>
          </cell>
          <cell r="D16894">
            <v>312</v>
          </cell>
          <cell r="H16894" t="str">
            <v>natural gas nonpeaker</v>
          </cell>
        </row>
        <row r="16895">
          <cell r="C16895" t="str">
            <v>CA</v>
          </cell>
          <cell r="D16895">
            <v>312</v>
          </cell>
          <cell r="H16895" t="str">
            <v>natural gas nonpeaker</v>
          </cell>
        </row>
        <row r="16896">
          <cell r="C16896" t="str">
            <v>PV</v>
          </cell>
          <cell r="D16896">
            <v>20</v>
          </cell>
          <cell r="H16896" t="str">
            <v>solar PV</v>
          </cell>
        </row>
        <row r="16897">
          <cell r="C16897" t="str">
            <v>PV</v>
          </cell>
          <cell r="D16897">
            <v>50</v>
          </cell>
          <cell r="H16897" t="str">
            <v>solar PV</v>
          </cell>
        </row>
        <row r="16898">
          <cell r="C16898" t="str">
            <v>WT</v>
          </cell>
          <cell r="D16898">
            <v>99</v>
          </cell>
          <cell r="H16898" t="str">
            <v>onshore wind</v>
          </cell>
        </row>
        <row r="16899">
          <cell r="C16899" t="str">
            <v>CT</v>
          </cell>
          <cell r="D16899">
            <v>206</v>
          </cell>
          <cell r="H16899" t="str">
            <v>natural gas nonpeaker</v>
          </cell>
        </row>
        <row r="16900">
          <cell r="C16900" t="str">
            <v>CT</v>
          </cell>
          <cell r="D16900">
            <v>205</v>
          </cell>
          <cell r="H16900" t="str">
            <v>natural gas nonpeaker</v>
          </cell>
        </row>
        <row r="16901">
          <cell r="C16901" t="str">
            <v>CA</v>
          </cell>
          <cell r="D16901">
            <v>296</v>
          </cell>
          <cell r="H16901" t="str">
            <v>natural gas nonpeaker</v>
          </cell>
        </row>
        <row r="16902">
          <cell r="C16902" t="str">
            <v>PV</v>
          </cell>
          <cell r="D16902">
            <v>0.8</v>
          </cell>
          <cell r="H16902" t="str">
            <v>solar PV</v>
          </cell>
        </row>
        <row r="16903">
          <cell r="C16903" t="str">
            <v>PV</v>
          </cell>
          <cell r="D16903">
            <v>0.5</v>
          </cell>
          <cell r="H16903" t="str">
            <v>solar PV</v>
          </cell>
        </row>
        <row r="16904">
          <cell r="C16904" t="str">
            <v>CT</v>
          </cell>
          <cell r="D16904">
            <v>6.8</v>
          </cell>
          <cell r="H16904" t="str">
            <v>biomass</v>
          </cell>
        </row>
        <row r="16905">
          <cell r="C16905" t="str">
            <v>CT</v>
          </cell>
          <cell r="D16905">
            <v>6.8</v>
          </cell>
          <cell r="H16905" t="str">
            <v>biomass</v>
          </cell>
        </row>
        <row r="16906">
          <cell r="C16906" t="str">
            <v>CT</v>
          </cell>
          <cell r="D16906">
            <v>6.8</v>
          </cell>
          <cell r="H16906" t="str">
            <v>biomass</v>
          </cell>
        </row>
        <row r="16907">
          <cell r="C16907" t="str">
            <v>CT</v>
          </cell>
          <cell r="D16907">
            <v>6.8</v>
          </cell>
          <cell r="H16907" t="str">
            <v>biomass</v>
          </cell>
        </row>
        <row r="16908">
          <cell r="C16908" t="str">
            <v>CA</v>
          </cell>
          <cell r="D16908">
            <v>10</v>
          </cell>
          <cell r="H16908" t="str">
            <v>biomass</v>
          </cell>
        </row>
        <row r="16909">
          <cell r="C16909" t="str">
            <v>WT</v>
          </cell>
          <cell r="D16909">
            <v>200</v>
          </cell>
          <cell r="H16909" t="str">
            <v>onshore wind</v>
          </cell>
        </row>
        <row r="16910">
          <cell r="C16910" t="str">
            <v>PV</v>
          </cell>
          <cell r="D16910">
            <v>5.6</v>
          </cell>
          <cell r="H16910" t="str">
            <v>solar PV</v>
          </cell>
        </row>
        <row r="16911">
          <cell r="C16911" t="str">
            <v>PV</v>
          </cell>
          <cell r="D16911">
            <v>5</v>
          </cell>
          <cell r="H16911" t="str">
            <v>solar PV</v>
          </cell>
        </row>
        <row r="16912">
          <cell r="C16912" t="str">
            <v>PV</v>
          </cell>
          <cell r="D16912">
            <v>4.2</v>
          </cell>
          <cell r="H16912" t="str">
            <v>solar PV</v>
          </cell>
        </row>
        <row r="16913">
          <cell r="C16913" t="str">
            <v>PV</v>
          </cell>
          <cell r="D16913">
            <v>0.4</v>
          </cell>
          <cell r="H16913" t="str">
            <v>solar PV</v>
          </cell>
        </row>
        <row r="16914">
          <cell r="C16914" t="str">
            <v>PV</v>
          </cell>
          <cell r="D16914">
            <v>1.2</v>
          </cell>
          <cell r="H16914" t="str">
            <v>solar PV</v>
          </cell>
        </row>
        <row r="16915">
          <cell r="C16915" t="str">
            <v>PV</v>
          </cell>
          <cell r="D16915">
            <v>1</v>
          </cell>
          <cell r="H16915" t="str">
            <v>solar PV</v>
          </cell>
        </row>
        <row r="16916">
          <cell r="C16916" t="str">
            <v>PV</v>
          </cell>
          <cell r="D16916">
            <v>1.3</v>
          </cell>
          <cell r="H16916" t="str">
            <v>solar PV</v>
          </cell>
        </row>
        <row r="16917">
          <cell r="C16917" t="str">
            <v>PV</v>
          </cell>
          <cell r="D16917">
            <v>2</v>
          </cell>
          <cell r="H16917" t="str">
            <v>solar PV</v>
          </cell>
        </row>
        <row r="16918">
          <cell r="C16918" t="str">
            <v>PV</v>
          </cell>
          <cell r="D16918">
            <v>1</v>
          </cell>
          <cell r="H16918" t="str">
            <v>solar PV</v>
          </cell>
        </row>
        <row r="16919">
          <cell r="C16919" t="str">
            <v>PV</v>
          </cell>
          <cell r="D16919">
            <v>1.8</v>
          </cell>
          <cell r="H16919" t="str">
            <v>solar PV</v>
          </cell>
        </row>
        <row r="16920">
          <cell r="C16920" t="str">
            <v>PV</v>
          </cell>
          <cell r="D16920">
            <v>30</v>
          </cell>
          <cell r="H16920" t="str">
            <v>solar PV</v>
          </cell>
        </row>
        <row r="16921">
          <cell r="C16921" t="str">
            <v>PV</v>
          </cell>
          <cell r="D16921">
            <v>30</v>
          </cell>
          <cell r="H16921" t="str">
            <v>solar PV</v>
          </cell>
        </row>
        <row r="16922">
          <cell r="C16922" t="str">
            <v>PV</v>
          </cell>
          <cell r="D16922">
            <v>34</v>
          </cell>
          <cell r="H16922" t="str">
            <v>solar PV</v>
          </cell>
        </row>
        <row r="16923">
          <cell r="C16923" t="str">
            <v>PV</v>
          </cell>
          <cell r="D16923">
            <v>30</v>
          </cell>
          <cell r="H16923" t="str">
            <v>solar PV</v>
          </cell>
        </row>
        <row r="16924">
          <cell r="C16924" t="str">
            <v>PV</v>
          </cell>
          <cell r="D16924">
            <v>30</v>
          </cell>
          <cell r="H16924" t="str">
            <v>solar PV</v>
          </cell>
        </row>
        <row r="16925">
          <cell r="C16925" t="str">
            <v>WT</v>
          </cell>
          <cell r="D16925">
            <v>104</v>
          </cell>
          <cell r="H16925" t="str">
            <v>onshore wind</v>
          </cell>
        </row>
        <row r="16926">
          <cell r="C16926" t="str">
            <v>WT</v>
          </cell>
          <cell r="D16926">
            <v>39.9</v>
          </cell>
          <cell r="H16926" t="str">
            <v>onshore wind</v>
          </cell>
        </row>
        <row r="16927">
          <cell r="C16927" t="str">
            <v>WT</v>
          </cell>
          <cell r="D16927">
            <v>81.599999999999994</v>
          </cell>
          <cell r="H16927" t="str">
            <v>onshore wind</v>
          </cell>
        </row>
        <row r="16928">
          <cell r="C16928" t="str">
            <v>WT</v>
          </cell>
          <cell r="D16928">
            <v>91.2</v>
          </cell>
          <cell r="H16928" t="str">
            <v>onshore wind</v>
          </cell>
        </row>
        <row r="16929">
          <cell r="C16929" t="str">
            <v>BT</v>
          </cell>
          <cell r="D16929">
            <v>5.9</v>
          </cell>
          <cell r="H16929" t="str">
            <v>geothermal</v>
          </cell>
        </row>
        <row r="16930">
          <cell r="C16930" t="str">
            <v>BT</v>
          </cell>
          <cell r="D16930">
            <v>5.9</v>
          </cell>
          <cell r="H16930" t="str">
            <v>geothermal</v>
          </cell>
        </row>
        <row r="16931">
          <cell r="C16931" t="str">
            <v>BT</v>
          </cell>
          <cell r="D16931">
            <v>5.9</v>
          </cell>
          <cell r="H16931" t="str">
            <v>geothermal</v>
          </cell>
        </row>
        <row r="16932">
          <cell r="C16932" t="str">
            <v>IC</v>
          </cell>
          <cell r="D16932">
            <v>1.6</v>
          </cell>
          <cell r="H16932" t="str">
            <v>biomass</v>
          </cell>
        </row>
        <row r="16933">
          <cell r="C16933" t="str">
            <v>WT</v>
          </cell>
          <cell r="D16933">
            <v>1.7</v>
          </cell>
          <cell r="H16933" t="str">
            <v>onshore wind</v>
          </cell>
        </row>
        <row r="16934">
          <cell r="C16934" t="str">
            <v>WT</v>
          </cell>
          <cell r="D16934">
            <v>1.7</v>
          </cell>
          <cell r="H16934" t="str">
            <v>onshore wind</v>
          </cell>
        </row>
        <row r="16935">
          <cell r="C16935" t="str">
            <v>WT</v>
          </cell>
          <cell r="D16935">
            <v>20</v>
          </cell>
          <cell r="H16935" t="str">
            <v>onshore wind</v>
          </cell>
        </row>
        <row r="16936">
          <cell r="C16936" t="str">
            <v>PV</v>
          </cell>
          <cell r="D16936">
            <v>9.9</v>
          </cell>
          <cell r="H16936" t="str">
            <v>solar PV</v>
          </cell>
        </row>
        <row r="16937">
          <cell r="C16937" t="str">
            <v>PV</v>
          </cell>
          <cell r="D16937">
            <v>1.5</v>
          </cell>
          <cell r="H16937" t="str">
            <v>solar PV</v>
          </cell>
        </row>
        <row r="16938">
          <cell r="C16938" t="str">
            <v>PV</v>
          </cell>
          <cell r="D16938">
            <v>3.9</v>
          </cell>
          <cell r="H16938" t="str">
            <v>solar PV</v>
          </cell>
        </row>
        <row r="16939">
          <cell r="C16939" t="str">
            <v>PV</v>
          </cell>
          <cell r="D16939">
            <v>5.4</v>
          </cell>
          <cell r="H16939" t="str">
            <v>solar PV</v>
          </cell>
        </row>
        <row r="16940">
          <cell r="C16940" t="str">
            <v>PV</v>
          </cell>
          <cell r="D16940">
            <v>2.2000000000000002</v>
          </cell>
          <cell r="H16940" t="str">
            <v>solar PV</v>
          </cell>
        </row>
        <row r="16941">
          <cell r="C16941" t="str">
            <v>PV</v>
          </cell>
          <cell r="D16941">
            <v>1.5</v>
          </cell>
          <cell r="H16941" t="str">
            <v>solar PV</v>
          </cell>
        </row>
        <row r="16942">
          <cell r="C16942" t="str">
            <v>WS</v>
          </cell>
          <cell r="D16942">
            <v>29.3</v>
          </cell>
          <cell r="H16942" t="str">
            <v>offshore wind</v>
          </cell>
        </row>
        <row r="16943">
          <cell r="C16943" t="str">
            <v>PV</v>
          </cell>
          <cell r="D16943">
            <v>7.5</v>
          </cell>
          <cell r="H16943" t="str">
            <v>solar PV</v>
          </cell>
        </row>
        <row r="16944">
          <cell r="C16944" t="str">
            <v>PV</v>
          </cell>
          <cell r="D16944">
            <v>3.3</v>
          </cell>
          <cell r="H16944" t="str">
            <v>solar PV</v>
          </cell>
        </row>
        <row r="16945">
          <cell r="C16945" t="str">
            <v>WT</v>
          </cell>
          <cell r="D16945">
            <v>1.5</v>
          </cell>
          <cell r="H16945" t="str">
            <v>onshore wind</v>
          </cell>
        </row>
        <row r="16946">
          <cell r="C16946" t="str">
            <v>PV</v>
          </cell>
          <cell r="D16946">
            <v>25</v>
          </cell>
          <cell r="H16946" t="str">
            <v>solar PV</v>
          </cell>
        </row>
        <row r="16947">
          <cell r="C16947" t="str">
            <v>PV</v>
          </cell>
          <cell r="D16947">
            <v>2</v>
          </cell>
          <cell r="H16947" t="str">
            <v>solar PV</v>
          </cell>
        </row>
        <row r="16948">
          <cell r="C16948" t="str">
            <v>PV</v>
          </cell>
          <cell r="D16948">
            <v>0.8</v>
          </cell>
          <cell r="H16948" t="str">
            <v>solar PV</v>
          </cell>
        </row>
        <row r="16949">
          <cell r="C16949" t="str">
            <v>WT</v>
          </cell>
          <cell r="D16949">
            <v>235.2</v>
          </cell>
          <cell r="H16949" t="str">
            <v>onshore wind</v>
          </cell>
        </row>
        <row r="16950">
          <cell r="C16950" t="str">
            <v>WT</v>
          </cell>
          <cell r="D16950">
            <v>64.8</v>
          </cell>
          <cell r="H16950" t="str">
            <v>onshore wind</v>
          </cell>
        </row>
        <row r="16951">
          <cell r="C16951" t="str">
            <v>PV</v>
          </cell>
          <cell r="D16951">
            <v>9</v>
          </cell>
          <cell r="H16951" t="str">
            <v>solar PV</v>
          </cell>
        </row>
        <row r="16952">
          <cell r="C16952" t="str">
            <v>IC</v>
          </cell>
          <cell r="D16952">
            <v>1</v>
          </cell>
          <cell r="H16952" t="str">
            <v>petroleum</v>
          </cell>
        </row>
        <row r="16953">
          <cell r="C16953" t="str">
            <v>IC</v>
          </cell>
          <cell r="D16953">
            <v>1</v>
          </cell>
          <cell r="H16953" t="str">
            <v>petroleum</v>
          </cell>
        </row>
        <row r="16954">
          <cell r="C16954" t="str">
            <v>IC</v>
          </cell>
          <cell r="D16954">
            <v>2</v>
          </cell>
          <cell r="H16954" t="str">
            <v>petroleum</v>
          </cell>
        </row>
        <row r="16955">
          <cell r="C16955" t="str">
            <v>IC</v>
          </cell>
          <cell r="D16955">
            <v>2</v>
          </cell>
          <cell r="H16955" t="str">
            <v>petroleum</v>
          </cell>
        </row>
        <row r="16956">
          <cell r="C16956" t="str">
            <v>WT</v>
          </cell>
          <cell r="D16956">
            <v>5.9</v>
          </cell>
          <cell r="H16956" t="str">
            <v>onshore wind</v>
          </cell>
        </row>
        <row r="16957">
          <cell r="C16957" t="str">
            <v>WT</v>
          </cell>
          <cell r="D16957">
            <v>30</v>
          </cell>
          <cell r="H16957" t="str">
            <v>onshore wind</v>
          </cell>
        </row>
        <row r="16958">
          <cell r="C16958" t="str">
            <v>IC</v>
          </cell>
          <cell r="D16958">
            <v>1</v>
          </cell>
          <cell r="H16958" t="str">
            <v>petroleum</v>
          </cell>
        </row>
        <row r="16959">
          <cell r="C16959" t="str">
            <v>IC</v>
          </cell>
          <cell r="D16959">
            <v>1.2</v>
          </cell>
          <cell r="H16959" t="str">
            <v>petroleum</v>
          </cell>
        </row>
        <row r="16960">
          <cell r="C16960" t="str">
            <v>IC</v>
          </cell>
          <cell r="D16960">
            <v>0.8</v>
          </cell>
          <cell r="H16960" t="str">
            <v>petroleum</v>
          </cell>
        </row>
        <row r="16961">
          <cell r="C16961" t="str">
            <v>IC</v>
          </cell>
          <cell r="D16961">
            <v>0.3</v>
          </cell>
          <cell r="H16961" t="str">
            <v>petroleum</v>
          </cell>
        </row>
        <row r="16962">
          <cell r="C16962" t="str">
            <v>IC</v>
          </cell>
          <cell r="D16962">
            <v>0.8</v>
          </cell>
          <cell r="H16962" t="str">
            <v>petroleum</v>
          </cell>
        </row>
        <row r="16963">
          <cell r="C16963" t="str">
            <v>WT</v>
          </cell>
          <cell r="D16963">
            <v>30</v>
          </cell>
          <cell r="H16963" t="str">
            <v>onshore wind</v>
          </cell>
        </row>
        <row r="16964">
          <cell r="C16964" t="str">
            <v>PV</v>
          </cell>
          <cell r="D16964">
            <v>1.3</v>
          </cell>
          <cell r="H16964" t="str">
            <v>solar PV</v>
          </cell>
        </row>
        <row r="16965">
          <cell r="C16965" t="str">
            <v>IC</v>
          </cell>
          <cell r="D16965">
            <v>2</v>
          </cell>
          <cell r="H16965" t="str">
            <v>petroleum</v>
          </cell>
        </row>
        <row r="16966">
          <cell r="C16966" t="str">
            <v>IC</v>
          </cell>
          <cell r="D16966">
            <v>1.5</v>
          </cell>
          <cell r="H16966" t="str">
            <v>petroleum</v>
          </cell>
        </row>
        <row r="16967">
          <cell r="C16967" t="str">
            <v>IC</v>
          </cell>
          <cell r="D16967">
            <v>1.5</v>
          </cell>
          <cell r="H16967" t="str">
            <v>petroleum</v>
          </cell>
        </row>
        <row r="16968">
          <cell r="C16968" t="str">
            <v>ST</v>
          </cell>
          <cell r="D16968">
            <v>0.8</v>
          </cell>
          <cell r="H16968" t="str">
            <v>natural gas peaker</v>
          </cell>
        </row>
        <row r="16969">
          <cell r="C16969" t="str">
            <v>ST</v>
          </cell>
          <cell r="D16969">
            <v>0.8</v>
          </cell>
          <cell r="H16969" t="str">
            <v>natural gas peaker</v>
          </cell>
        </row>
        <row r="16970">
          <cell r="C16970" t="str">
            <v>IC</v>
          </cell>
          <cell r="D16970">
            <v>0.7</v>
          </cell>
          <cell r="H16970" t="str">
            <v>petroleum</v>
          </cell>
        </row>
        <row r="16971">
          <cell r="C16971" t="str">
            <v>IC</v>
          </cell>
          <cell r="D16971">
            <v>1</v>
          </cell>
          <cell r="H16971" t="str">
            <v>petroleum</v>
          </cell>
        </row>
        <row r="16972">
          <cell r="C16972" t="str">
            <v>IC</v>
          </cell>
          <cell r="D16972">
            <v>0.9</v>
          </cell>
          <cell r="H16972" t="str">
            <v>petroleum</v>
          </cell>
        </row>
        <row r="16973">
          <cell r="C16973" t="str">
            <v>ST</v>
          </cell>
          <cell r="D16973">
            <v>67.5</v>
          </cell>
          <cell r="H16973" t="str">
            <v>biomass</v>
          </cell>
        </row>
        <row r="16974">
          <cell r="C16974" t="str">
            <v>IC</v>
          </cell>
          <cell r="D16974">
            <v>0.6</v>
          </cell>
          <cell r="H16974" t="str">
            <v>biomass</v>
          </cell>
        </row>
        <row r="16975">
          <cell r="C16975" t="str">
            <v>IC</v>
          </cell>
          <cell r="D16975">
            <v>0.6</v>
          </cell>
          <cell r="H16975" t="str">
            <v>biomass</v>
          </cell>
        </row>
        <row r="16976">
          <cell r="C16976" t="str">
            <v>PV</v>
          </cell>
          <cell r="D16976">
            <v>2.5</v>
          </cell>
          <cell r="H16976" t="str">
            <v>solar PV</v>
          </cell>
        </row>
        <row r="16977">
          <cell r="C16977" t="str">
            <v>GT</v>
          </cell>
          <cell r="D16977">
            <v>4.0999999999999996</v>
          </cell>
          <cell r="H16977" t="str">
            <v>natural gas peaker</v>
          </cell>
        </row>
        <row r="16978">
          <cell r="C16978" t="str">
            <v>GT</v>
          </cell>
          <cell r="D16978">
            <v>4.0999999999999996</v>
          </cell>
          <cell r="H16978" t="str">
            <v>natural gas peaker</v>
          </cell>
        </row>
        <row r="16979">
          <cell r="C16979" t="str">
            <v>GT</v>
          </cell>
          <cell r="D16979">
            <v>1.4</v>
          </cell>
          <cell r="H16979" t="str">
            <v>biomass</v>
          </cell>
        </row>
        <row r="16980">
          <cell r="C16980" t="str">
            <v>GT</v>
          </cell>
          <cell r="D16980">
            <v>6.5</v>
          </cell>
          <cell r="H16980" t="str">
            <v>natural gas peaker</v>
          </cell>
        </row>
        <row r="16981">
          <cell r="C16981" t="str">
            <v>IC</v>
          </cell>
          <cell r="D16981">
            <v>0.8</v>
          </cell>
          <cell r="H16981" t="str">
            <v>biomass</v>
          </cell>
        </row>
        <row r="16982">
          <cell r="C16982" t="str">
            <v>IC</v>
          </cell>
          <cell r="D16982">
            <v>0.8</v>
          </cell>
          <cell r="H16982" t="str">
            <v>biomass</v>
          </cell>
        </row>
        <row r="16983">
          <cell r="C16983" t="str">
            <v>PV</v>
          </cell>
          <cell r="D16983">
            <v>23</v>
          </cell>
          <cell r="H16983" t="str">
            <v>solar PV</v>
          </cell>
        </row>
        <row r="16984">
          <cell r="C16984" t="str">
            <v>GT</v>
          </cell>
          <cell r="D16984">
            <v>78.599999999999994</v>
          </cell>
          <cell r="H16984" t="str">
            <v>natural gas peaker</v>
          </cell>
        </row>
        <row r="16985">
          <cell r="C16985" t="str">
            <v>PV</v>
          </cell>
          <cell r="D16985">
            <v>1</v>
          </cell>
          <cell r="H16985" t="str">
            <v>solar PV</v>
          </cell>
        </row>
        <row r="16986">
          <cell r="C16986" t="str">
            <v>WT</v>
          </cell>
          <cell r="D16986">
            <v>1.5</v>
          </cell>
          <cell r="H16986" t="str">
            <v>onshore wind</v>
          </cell>
        </row>
        <row r="16987">
          <cell r="C16987" t="str">
            <v>ST</v>
          </cell>
          <cell r="D16987">
            <v>8</v>
          </cell>
          <cell r="H16987" t="str">
            <v>natural gas peaker</v>
          </cell>
        </row>
        <row r="16988">
          <cell r="C16988" t="str">
            <v>ST</v>
          </cell>
          <cell r="D16988">
            <v>11.5</v>
          </cell>
          <cell r="H16988" t="str">
            <v>natural gas peaker</v>
          </cell>
        </row>
        <row r="16989">
          <cell r="C16989" t="str">
            <v>PV</v>
          </cell>
          <cell r="D16989">
            <v>9.9</v>
          </cell>
          <cell r="H16989" t="str">
            <v>solar PV</v>
          </cell>
        </row>
        <row r="16990">
          <cell r="C16990" t="str">
            <v>ST</v>
          </cell>
          <cell r="D16990">
            <v>3</v>
          </cell>
          <cell r="H16990" t="str">
            <v>petroleum</v>
          </cell>
        </row>
        <row r="16991">
          <cell r="C16991" t="str">
            <v>PV</v>
          </cell>
          <cell r="D16991">
            <v>1.1000000000000001</v>
          </cell>
          <cell r="H16991" t="str">
            <v>solar PV</v>
          </cell>
        </row>
        <row r="16992">
          <cell r="C16992" t="str">
            <v>WT</v>
          </cell>
          <cell r="D16992">
            <v>1.6</v>
          </cell>
          <cell r="H16992" t="str">
            <v>onshore wind</v>
          </cell>
        </row>
        <row r="16993">
          <cell r="C16993" t="str">
            <v>PV</v>
          </cell>
          <cell r="D16993">
            <v>2</v>
          </cell>
          <cell r="H16993" t="str">
            <v>solar PV</v>
          </cell>
        </row>
        <row r="16994">
          <cell r="C16994" t="str">
            <v>PV</v>
          </cell>
          <cell r="D16994">
            <v>2</v>
          </cell>
          <cell r="H16994" t="str">
            <v>solar PV</v>
          </cell>
        </row>
        <row r="16995">
          <cell r="C16995" t="str">
            <v>GT</v>
          </cell>
          <cell r="D16995">
            <v>32</v>
          </cell>
          <cell r="H16995" t="str">
            <v>natural gas peaker</v>
          </cell>
        </row>
        <row r="16996">
          <cell r="C16996" t="str">
            <v>PV</v>
          </cell>
          <cell r="D16996">
            <v>1</v>
          </cell>
          <cell r="H16996" t="str">
            <v>solar PV</v>
          </cell>
        </row>
        <row r="16997">
          <cell r="C16997" t="str">
            <v>PV</v>
          </cell>
          <cell r="D16997">
            <v>1</v>
          </cell>
          <cell r="H16997" t="str">
            <v>solar PV</v>
          </cell>
        </row>
        <row r="16998">
          <cell r="C16998" t="str">
            <v>PV</v>
          </cell>
          <cell r="D16998">
            <v>1</v>
          </cell>
          <cell r="H16998" t="str">
            <v>solar PV</v>
          </cell>
        </row>
        <row r="16999">
          <cell r="C16999" t="str">
            <v>WT</v>
          </cell>
          <cell r="D16999">
            <v>148.80000000000001</v>
          </cell>
          <cell r="H16999" t="str">
            <v>onshore wind</v>
          </cell>
        </row>
        <row r="17000">
          <cell r="C17000" t="str">
            <v>CT</v>
          </cell>
          <cell r="D17000">
            <v>211.8</v>
          </cell>
          <cell r="H17000" t="str">
            <v>natural gas nonpeaker</v>
          </cell>
        </row>
        <row r="17001">
          <cell r="C17001" t="str">
            <v>CT</v>
          </cell>
          <cell r="D17001">
            <v>212.3</v>
          </cell>
          <cell r="H17001" t="str">
            <v>natural gas nonpeaker</v>
          </cell>
        </row>
        <row r="17002">
          <cell r="C17002" t="str">
            <v>CA</v>
          </cell>
          <cell r="D17002">
            <v>284.10000000000002</v>
          </cell>
          <cell r="H17002" t="str">
            <v>natural gas nonpeaker</v>
          </cell>
        </row>
        <row r="17003">
          <cell r="C17003" t="str">
            <v>WT</v>
          </cell>
          <cell r="D17003">
            <v>112.5</v>
          </cell>
          <cell r="H17003" t="str">
            <v>onshore wind</v>
          </cell>
        </row>
        <row r="17004">
          <cell r="C17004" t="str">
            <v>ST</v>
          </cell>
          <cell r="D17004">
            <v>3</v>
          </cell>
          <cell r="H17004" t="str">
            <v>hard coal</v>
          </cell>
        </row>
        <row r="17005">
          <cell r="C17005" t="str">
            <v>PV</v>
          </cell>
          <cell r="D17005">
            <v>3.5</v>
          </cell>
          <cell r="H17005" t="str">
            <v>solar PV</v>
          </cell>
        </row>
        <row r="17006">
          <cell r="C17006" t="str">
            <v>CT</v>
          </cell>
          <cell r="D17006">
            <v>12</v>
          </cell>
          <cell r="H17006" t="str">
            <v>natural gas nonpeaker</v>
          </cell>
        </row>
        <row r="17007">
          <cell r="C17007" t="str">
            <v>CA</v>
          </cell>
          <cell r="D17007">
            <v>1</v>
          </cell>
          <cell r="H17007" t="str">
            <v>natural gas nonpeaker</v>
          </cell>
        </row>
        <row r="17008">
          <cell r="C17008" t="str">
            <v>CT</v>
          </cell>
          <cell r="D17008">
            <v>14.5</v>
          </cell>
          <cell r="H17008" t="str">
            <v>natural gas nonpeaker</v>
          </cell>
        </row>
        <row r="17009">
          <cell r="C17009" t="str">
            <v>GT</v>
          </cell>
          <cell r="D17009">
            <v>14.5</v>
          </cell>
          <cell r="H17009" t="str">
            <v>natural gas peaker</v>
          </cell>
        </row>
        <row r="17010">
          <cell r="C17010" t="str">
            <v>CA</v>
          </cell>
          <cell r="D17010">
            <v>4.0999999999999996</v>
          </cell>
          <cell r="H17010" t="str">
            <v>natural gas nonpeaker</v>
          </cell>
        </row>
        <row r="17011">
          <cell r="C17011" t="str">
            <v>IC</v>
          </cell>
          <cell r="D17011">
            <v>0.5</v>
          </cell>
          <cell r="H17011" t="str">
            <v>petroleum</v>
          </cell>
        </row>
        <row r="17012">
          <cell r="C17012" t="str">
            <v>IC</v>
          </cell>
          <cell r="D17012">
            <v>1</v>
          </cell>
          <cell r="H17012" t="str">
            <v>petroleum</v>
          </cell>
        </row>
        <row r="17013">
          <cell r="C17013" t="str">
            <v>PV</v>
          </cell>
          <cell r="D17013">
            <v>0.5</v>
          </cell>
          <cell r="H17013" t="str">
            <v>solar PV</v>
          </cell>
        </row>
        <row r="17014">
          <cell r="C17014" t="str">
            <v>PV</v>
          </cell>
          <cell r="D17014">
            <v>0.5</v>
          </cell>
          <cell r="H17014" t="str">
            <v>solar PV</v>
          </cell>
        </row>
        <row r="17015">
          <cell r="C17015" t="str">
            <v>WT</v>
          </cell>
          <cell r="D17015">
            <v>94.4</v>
          </cell>
          <cell r="H17015" t="str">
            <v>onshore wind</v>
          </cell>
        </row>
        <row r="17016">
          <cell r="C17016" t="str">
            <v>WT</v>
          </cell>
          <cell r="D17016">
            <v>1.6</v>
          </cell>
          <cell r="H17016" t="str">
            <v>onshore wind</v>
          </cell>
        </row>
        <row r="17017">
          <cell r="C17017" t="str">
            <v>PV</v>
          </cell>
          <cell r="D17017">
            <v>1.3</v>
          </cell>
          <cell r="H17017" t="str">
            <v>solar PV</v>
          </cell>
        </row>
        <row r="17018">
          <cell r="C17018" t="str">
            <v>PV</v>
          </cell>
          <cell r="D17018">
            <v>3.4</v>
          </cell>
          <cell r="H17018" t="str">
            <v>solar PV</v>
          </cell>
        </row>
        <row r="17019">
          <cell r="C17019" t="str">
            <v>PV</v>
          </cell>
          <cell r="D17019">
            <v>5</v>
          </cell>
          <cell r="H17019" t="str">
            <v>solar PV</v>
          </cell>
        </row>
        <row r="17020">
          <cell r="C17020" t="str">
            <v>PV</v>
          </cell>
          <cell r="D17020">
            <v>1</v>
          </cell>
          <cell r="H17020" t="str">
            <v>solar PV</v>
          </cell>
        </row>
        <row r="17021">
          <cell r="C17021" t="str">
            <v>PV</v>
          </cell>
          <cell r="D17021">
            <v>2.1</v>
          </cell>
          <cell r="H17021" t="str">
            <v>solar PV</v>
          </cell>
        </row>
        <row r="17022">
          <cell r="C17022" t="str">
            <v>PV</v>
          </cell>
          <cell r="D17022">
            <v>1.5</v>
          </cell>
          <cell r="H17022" t="str">
            <v>solar PV</v>
          </cell>
        </row>
        <row r="17023">
          <cell r="C17023" t="str">
            <v>PV</v>
          </cell>
          <cell r="D17023">
            <v>1.8</v>
          </cell>
          <cell r="H17023" t="str">
            <v>solar PV</v>
          </cell>
        </row>
        <row r="17024">
          <cell r="C17024" t="str">
            <v>PV</v>
          </cell>
          <cell r="D17024">
            <v>3.5</v>
          </cell>
          <cell r="H17024" t="str">
            <v>solar PV</v>
          </cell>
        </row>
        <row r="17025">
          <cell r="C17025" t="str">
            <v>WT</v>
          </cell>
          <cell r="D17025">
            <v>298</v>
          </cell>
          <cell r="H17025" t="str">
            <v>onshore wind</v>
          </cell>
        </row>
        <row r="17026">
          <cell r="C17026" t="str">
            <v>WT</v>
          </cell>
          <cell r="D17026">
            <v>200</v>
          </cell>
          <cell r="H17026" t="str">
            <v>onshore wind</v>
          </cell>
        </row>
        <row r="17027">
          <cell r="C17027" t="str">
            <v>GT</v>
          </cell>
          <cell r="D17027">
            <v>4.9000000000000004</v>
          </cell>
          <cell r="H17027" t="str">
            <v>natural gas peaker</v>
          </cell>
        </row>
        <row r="17028">
          <cell r="C17028" t="str">
            <v>WT</v>
          </cell>
          <cell r="D17028">
            <v>1.6</v>
          </cell>
          <cell r="H17028" t="str">
            <v>onshore wind</v>
          </cell>
        </row>
        <row r="17029">
          <cell r="C17029" t="str">
            <v>WT</v>
          </cell>
          <cell r="D17029">
            <v>1.6</v>
          </cell>
          <cell r="H17029" t="str">
            <v>onshore wind</v>
          </cell>
        </row>
        <row r="17030">
          <cell r="C17030" t="str">
            <v>WT</v>
          </cell>
          <cell r="D17030">
            <v>1.5</v>
          </cell>
          <cell r="H17030" t="str">
            <v>onshore wind</v>
          </cell>
        </row>
        <row r="17031">
          <cell r="C17031" t="str">
            <v>WT</v>
          </cell>
          <cell r="D17031">
            <v>1.5</v>
          </cell>
          <cell r="H17031" t="str">
            <v>onshore wind</v>
          </cell>
        </row>
        <row r="17032">
          <cell r="C17032" t="str">
            <v>WT</v>
          </cell>
          <cell r="D17032">
            <v>28</v>
          </cell>
          <cell r="H17032" t="str">
            <v>onshore wind</v>
          </cell>
        </row>
        <row r="17033">
          <cell r="C17033" t="str">
            <v>WT</v>
          </cell>
          <cell r="D17033">
            <v>1</v>
          </cell>
          <cell r="H17033" t="str">
            <v>onshore wind</v>
          </cell>
        </row>
        <row r="17034">
          <cell r="C17034" t="str">
            <v>WT</v>
          </cell>
          <cell r="D17034">
            <v>1</v>
          </cell>
          <cell r="H17034" t="str">
            <v>onshore wind</v>
          </cell>
        </row>
        <row r="17035">
          <cell r="C17035" t="str">
            <v>WT</v>
          </cell>
          <cell r="D17035">
            <v>115.8</v>
          </cell>
          <cell r="H17035" t="str">
            <v>onshore wind</v>
          </cell>
        </row>
        <row r="17036">
          <cell r="C17036" t="str">
            <v>ST</v>
          </cell>
          <cell r="D17036">
            <v>55</v>
          </cell>
          <cell r="H17036" t="str">
            <v>biomass</v>
          </cell>
        </row>
        <row r="17037">
          <cell r="C17037" t="str">
            <v>ST</v>
          </cell>
          <cell r="D17037">
            <v>18.399999999999999</v>
          </cell>
          <cell r="H17037" t="str">
            <v>biomass</v>
          </cell>
        </row>
        <row r="17038">
          <cell r="C17038" t="str">
            <v>ST</v>
          </cell>
          <cell r="D17038">
            <v>13.4</v>
          </cell>
          <cell r="H17038" t="str">
            <v>biomass</v>
          </cell>
        </row>
        <row r="17039">
          <cell r="C17039" t="str">
            <v>FC</v>
          </cell>
          <cell r="D17039">
            <v>2.6</v>
          </cell>
          <cell r="H17039" t="str">
            <v>other</v>
          </cell>
        </row>
        <row r="17040">
          <cell r="C17040" t="str">
            <v>WT</v>
          </cell>
          <cell r="D17040">
            <v>81</v>
          </cell>
          <cell r="H17040" t="str">
            <v>onshore wind</v>
          </cell>
        </row>
        <row r="17041">
          <cell r="C17041" t="str">
            <v>WT</v>
          </cell>
          <cell r="D17041">
            <v>1</v>
          </cell>
          <cell r="H17041" t="str">
            <v>onshore wind</v>
          </cell>
        </row>
        <row r="17042">
          <cell r="C17042" t="str">
            <v>WT</v>
          </cell>
          <cell r="D17042">
            <v>1</v>
          </cell>
          <cell r="H17042" t="str">
            <v>onshore wind</v>
          </cell>
        </row>
        <row r="17043">
          <cell r="C17043" t="str">
            <v>WT</v>
          </cell>
          <cell r="D17043">
            <v>1</v>
          </cell>
          <cell r="H17043" t="str">
            <v>onshore wind</v>
          </cell>
        </row>
        <row r="17044">
          <cell r="C17044" t="str">
            <v>WT</v>
          </cell>
          <cell r="D17044">
            <v>1.6</v>
          </cell>
          <cell r="H17044" t="str">
            <v>onshore wind</v>
          </cell>
        </row>
        <row r="17045">
          <cell r="C17045" t="str">
            <v>WT</v>
          </cell>
          <cell r="D17045">
            <v>1.6</v>
          </cell>
          <cell r="H17045" t="str">
            <v>onshore wind</v>
          </cell>
        </row>
        <row r="17046">
          <cell r="C17046" t="str">
            <v>WT</v>
          </cell>
          <cell r="D17046">
            <v>1.9</v>
          </cell>
          <cell r="H17046" t="str">
            <v>onshore wind</v>
          </cell>
        </row>
        <row r="17047">
          <cell r="C17047" t="str">
            <v>IC</v>
          </cell>
          <cell r="D17047">
            <v>2.5</v>
          </cell>
          <cell r="H17047" t="str">
            <v>natural gas peaker</v>
          </cell>
        </row>
        <row r="17048">
          <cell r="C17048" t="str">
            <v>IC</v>
          </cell>
          <cell r="D17048">
            <v>0.8</v>
          </cell>
          <cell r="H17048" t="str">
            <v>natural gas peaker</v>
          </cell>
        </row>
        <row r="17049">
          <cell r="C17049" t="str">
            <v>IC</v>
          </cell>
          <cell r="D17049">
            <v>0.6</v>
          </cell>
          <cell r="H17049" t="str">
            <v>natural gas peaker</v>
          </cell>
        </row>
        <row r="17050">
          <cell r="C17050" t="str">
            <v>IC</v>
          </cell>
          <cell r="D17050">
            <v>0.6</v>
          </cell>
          <cell r="H17050" t="str">
            <v>natural gas peaker</v>
          </cell>
        </row>
        <row r="17051">
          <cell r="C17051" t="str">
            <v>IC</v>
          </cell>
          <cell r="D17051">
            <v>0.8</v>
          </cell>
          <cell r="H17051" t="str">
            <v>natural gas peaker</v>
          </cell>
        </row>
        <row r="17052">
          <cell r="C17052" t="str">
            <v>IC</v>
          </cell>
          <cell r="D17052">
            <v>2</v>
          </cell>
          <cell r="H17052" t="str">
            <v>natural gas peaker</v>
          </cell>
        </row>
        <row r="17053">
          <cell r="C17053" t="str">
            <v>PV</v>
          </cell>
          <cell r="D17053">
            <v>1.5</v>
          </cell>
          <cell r="H17053" t="str">
            <v>solar PV</v>
          </cell>
        </row>
        <row r="17054">
          <cell r="C17054" t="str">
            <v>PV</v>
          </cell>
          <cell r="D17054">
            <v>3</v>
          </cell>
          <cell r="H17054" t="str">
            <v>solar PV</v>
          </cell>
        </row>
        <row r="17055">
          <cell r="C17055" t="str">
            <v>WT</v>
          </cell>
          <cell r="D17055">
            <v>49.6</v>
          </cell>
          <cell r="H17055" t="str">
            <v>onshore wind</v>
          </cell>
        </row>
        <row r="17056">
          <cell r="C17056" t="str">
            <v>WT</v>
          </cell>
          <cell r="D17056">
            <v>62.4</v>
          </cell>
          <cell r="H17056" t="str">
            <v>onshore wind</v>
          </cell>
        </row>
        <row r="17057">
          <cell r="C17057" t="str">
            <v>WT</v>
          </cell>
          <cell r="D17057">
            <v>50</v>
          </cell>
          <cell r="H17057" t="str">
            <v>onshore wind</v>
          </cell>
        </row>
        <row r="17058">
          <cell r="C17058" t="str">
            <v>GT</v>
          </cell>
          <cell r="D17058">
            <v>35</v>
          </cell>
          <cell r="H17058" t="str">
            <v>natural gas peaker</v>
          </cell>
        </row>
        <row r="17059">
          <cell r="C17059" t="str">
            <v>PV</v>
          </cell>
          <cell r="D17059">
            <v>2</v>
          </cell>
          <cell r="H17059" t="str">
            <v>solar PV</v>
          </cell>
        </row>
        <row r="17060">
          <cell r="C17060" t="str">
            <v>ST</v>
          </cell>
          <cell r="D17060">
            <v>46.1</v>
          </cell>
          <cell r="H17060" t="str">
            <v>biomass</v>
          </cell>
        </row>
        <row r="17061">
          <cell r="C17061" t="str">
            <v>GT</v>
          </cell>
          <cell r="D17061">
            <v>17</v>
          </cell>
          <cell r="H17061" t="str">
            <v>petroleum</v>
          </cell>
        </row>
        <row r="17062">
          <cell r="C17062" t="str">
            <v>WT</v>
          </cell>
          <cell r="D17062">
            <v>200</v>
          </cell>
          <cell r="H17062" t="str">
            <v>onshore wind</v>
          </cell>
        </row>
        <row r="17063">
          <cell r="C17063" t="str">
            <v>WT</v>
          </cell>
          <cell r="D17063">
            <v>200</v>
          </cell>
          <cell r="H17063" t="str">
            <v>onshore wind</v>
          </cell>
        </row>
        <row r="17064">
          <cell r="C17064" t="str">
            <v>FC</v>
          </cell>
          <cell r="D17064">
            <v>0.2</v>
          </cell>
          <cell r="H17064" t="str">
            <v>biomass</v>
          </cell>
        </row>
        <row r="17065">
          <cell r="C17065" t="str">
            <v>FC</v>
          </cell>
          <cell r="D17065">
            <v>0.2</v>
          </cell>
          <cell r="H17065" t="str">
            <v>biomass</v>
          </cell>
        </row>
        <row r="17066">
          <cell r="C17066" t="str">
            <v>FC</v>
          </cell>
          <cell r="D17066">
            <v>0.2</v>
          </cell>
          <cell r="H17066" t="str">
            <v>biomass</v>
          </cell>
        </row>
        <row r="17067">
          <cell r="C17067" t="str">
            <v>FC</v>
          </cell>
          <cell r="D17067">
            <v>0.2</v>
          </cell>
          <cell r="H17067" t="str">
            <v>biomass</v>
          </cell>
        </row>
        <row r="17068">
          <cell r="C17068" t="str">
            <v>FC</v>
          </cell>
          <cell r="D17068">
            <v>0.2</v>
          </cell>
          <cell r="H17068" t="str">
            <v>biomass</v>
          </cell>
        </row>
        <row r="17069">
          <cell r="C17069" t="str">
            <v>IC</v>
          </cell>
          <cell r="D17069">
            <v>0.8</v>
          </cell>
          <cell r="H17069" t="str">
            <v>natural gas peaker</v>
          </cell>
        </row>
        <row r="17070">
          <cell r="C17070" t="str">
            <v>IC</v>
          </cell>
          <cell r="D17070">
            <v>1.5</v>
          </cell>
          <cell r="H17070" t="str">
            <v>biomass</v>
          </cell>
        </row>
        <row r="17071">
          <cell r="C17071" t="str">
            <v>IC</v>
          </cell>
          <cell r="D17071">
            <v>1.5</v>
          </cell>
          <cell r="H17071" t="str">
            <v>biomass</v>
          </cell>
        </row>
        <row r="17072">
          <cell r="C17072" t="str">
            <v>PV</v>
          </cell>
          <cell r="D17072">
            <v>4.4000000000000004</v>
          </cell>
          <cell r="H17072" t="str">
            <v>solar PV</v>
          </cell>
        </row>
        <row r="17073">
          <cell r="C17073" t="str">
            <v>FC</v>
          </cell>
          <cell r="D17073">
            <v>0.2</v>
          </cell>
          <cell r="H17073" t="str">
            <v>biomass</v>
          </cell>
        </row>
        <row r="17074">
          <cell r="C17074" t="str">
            <v>FC</v>
          </cell>
          <cell r="D17074">
            <v>0.2</v>
          </cell>
          <cell r="H17074" t="str">
            <v>biomass</v>
          </cell>
        </row>
        <row r="17075">
          <cell r="C17075" t="str">
            <v>FC</v>
          </cell>
          <cell r="D17075">
            <v>0.2</v>
          </cell>
          <cell r="H17075" t="str">
            <v>biomass</v>
          </cell>
        </row>
        <row r="17076">
          <cell r="C17076" t="str">
            <v>FC</v>
          </cell>
          <cell r="D17076">
            <v>0.2</v>
          </cell>
          <cell r="H17076" t="str">
            <v>biomass</v>
          </cell>
        </row>
        <row r="17077">
          <cell r="C17077" t="str">
            <v>FC</v>
          </cell>
          <cell r="D17077">
            <v>0.2</v>
          </cell>
          <cell r="H17077" t="str">
            <v>biomass</v>
          </cell>
        </row>
        <row r="17078">
          <cell r="C17078" t="str">
            <v>PV</v>
          </cell>
          <cell r="D17078">
            <v>2</v>
          </cell>
          <cell r="H17078" t="str">
            <v>solar PV</v>
          </cell>
        </row>
        <row r="17079">
          <cell r="C17079" t="str">
            <v>PV</v>
          </cell>
          <cell r="D17079">
            <v>12.4</v>
          </cell>
          <cell r="H17079" t="str">
            <v>solar PV</v>
          </cell>
        </row>
        <row r="17080">
          <cell r="C17080" t="str">
            <v>GT</v>
          </cell>
          <cell r="D17080">
            <v>4</v>
          </cell>
          <cell r="H17080" t="str">
            <v>natural gas peaker</v>
          </cell>
        </row>
        <row r="17081">
          <cell r="C17081" t="str">
            <v>ST</v>
          </cell>
          <cell r="D17081">
            <v>1.8</v>
          </cell>
          <cell r="H17081" t="str">
            <v>natural gas peaker</v>
          </cell>
        </row>
        <row r="17082">
          <cell r="C17082" t="str">
            <v>WT</v>
          </cell>
          <cell r="D17082">
            <v>98.9</v>
          </cell>
          <cell r="H17082" t="str">
            <v>onshore wind</v>
          </cell>
        </row>
        <row r="17083">
          <cell r="C17083" t="str">
            <v>GT</v>
          </cell>
          <cell r="D17083">
            <v>5.5</v>
          </cell>
          <cell r="H17083" t="str">
            <v>natural gas peaker</v>
          </cell>
        </row>
        <row r="17084">
          <cell r="C17084" t="str">
            <v>GT</v>
          </cell>
          <cell r="D17084">
            <v>4.4000000000000004</v>
          </cell>
          <cell r="H17084" t="str">
            <v>natural gas peaker</v>
          </cell>
        </row>
        <row r="17085">
          <cell r="C17085" t="str">
            <v>GT</v>
          </cell>
          <cell r="D17085">
            <v>4.9000000000000004</v>
          </cell>
          <cell r="H17085" t="str">
            <v>natural gas peaker</v>
          </cell>
        </row>
        <row r="17086">
          <cell r="C17086" t="str">
            <v>GT</v>
          </cell>
          <cell r="D17086">
            <v>6.9</v>
          </cell>
          <cell r="H17086" t="str">
            <v>natural gas peaker</v>
          </cell>
        </row>
        <row r="17087">
          <cell r="C17087" t="str">
            <v>WT</v>
          </cell>
          <cell r="D17087">
            <v>48</v>
          </cell>
          <cell r="H17087" t="str">
            <v>onshore wind</v>
          </cell>
        </row>
        <row r="17088">
          <cell r="C17088" t="str">
            <v>IC</v>
          </cell>
          <cell r="D17088">
            <v>1.6</v>
          </cell>
          <cell r="H17088" t="str">
            <v>biomass</v>
          </cell>
        </row>
        <row r="17089">
          <cell r="C17089" t="str">
            <v>IC</v>
          </cell>
          <cell r="D17089">
            <v>1.6</v>
          </cell>
          <cell r="H17089" t="str">
            <v>biomass</v>
          </cell>
        </row>
        <row r="17090">
          <cell r="C17090" t="str">
            <v>PV</v>
          </cell>
          <cell r="D17090">
            <v>2</v>
          </cell>
          <cell r="H17090" t="str">
            <v>solar PV</v>
          </cell>
        </row>
        <row r="17091">
          <cell r="C17091" t="str">
            <v>PV</v>
          </cell>
          <cell r="D17091">
            <v>2</v>
          </cell>
          <cell r="H17091" t="str">
            <v>solar PV</v>
          </cell>
        </row>
        <row r="17092">
          <cell r="C17092" t="str">
            <v>ST</v>
          </cell>
          <cell r="D17092">
            <v>22</v>
          </cell>
          <cell r="H17092" t="str">
            <v>other</v>
          </cell>
        </row>
        <row r="17093">
          <cell r="C17093" t="str">
            <v>PV</v>
          </cell>
          <cell r="D17093">
            <v>10.8</v>
          </cell>
          <cell r="H17093" t="str">
            <v>solar PV</v>
          </cell>
        </row>
        <row r="17094">
          <cell r="C17094" t="str">
            <v>PV</v>
          </cell>
          <cell r="D17094">
            <v>20</v>
          </cell>
          <cell r="H17094" t="str">
            <v>solar PV</v>
          </cell>
        </row>
        <row r="17095">
          <cell r="C17095" t="str">
            <v>PV</v>
          </cell>
          <cell r="D17095">
            <v>20</v>
          </cell>
          <cell r="H17095" t="str">
            <v>solar PV</v>
          </cell>
        </row>
        <row r="17096">
          <cell r="C17096" t="str">
            <v>PV</v>
          </cell>
          <cell r="D17096">
            <v>2</v>
          </cell>
          <cell r="H17096" t="str">
            <v>solar PV</v>
          </cell>
        </row>
        <row r="17097">
          <cell r="C17097" t="str">
            <v>CT</v>
          </cell>
          <cell r="D17097">
            <v>32.4</v>
          </cell>
          <cell r="H17097" t="str">
            <v>natural gas nonpeaker</v>
          </cell>
        </row>
        <row r="17098">
          <cell r="C17098" t="str">
            <v>CA</v>
          </cell>
          <cell r="D17098">
            <v>11</v>
          </cell>
          <cell r="H17098" t="str">
            <v>natural gas nonpeaker</v>
          </cell>
        </row>
        <row r="17099">
          <cell r="C17099" t="str">
            <v>CA</v>
          </cell>
          <cell r="D17099">
            <v>5</v>
          </cell>
          <cell r="H17099" t="str">
            <v>natural gas nonpeaker</v>
          </cell>
        </row>
        <row r="17100">
          <cell r="C17100" t="str">
            <v>GT</v>
          </cell>
          <cell r="D17100">
            <v>3.9</v>
          </cell>
          <cell r="H17100" t="str">
            <v>natural gas peaker</v>
          </cell>
        </row>
        <row r="17101">
          <cell r="C17101" t="str">
            <v>GT</v>
          </cell>
          <cell r="D17101">
            <v>3.8</v>
          </cell>
          <cell r="H17101" t="str">
            <v>natural gas peaker</v>
          </cell>
        </row>
        <row r="17102">
          <cell r="C17102" t="str">
            <v>WT</v>
          </cell>
          <cell r="D17102">
            <v>162</v>
          </cell>
          <cell r="H17102" t="str">
            <v>onshore wind</v>
          </cell>
        </row>
        <row r="17103">
          <cell r="C17103" t="str">
            <v>WT</v>
          </cell>
          <cell r="D17103">
            <v>99.2</v>
          </cell>
          <cell r="H17103" t="str">
            <v>onshore wind</v>
          </cell>
        </row>
        <row r="17104">
          <cell r="C17104" t="str">
            <v>IC</v>
          </cell>
          <cell r="D17104">
            <v>1.8</v>
          </cell>
          <cell r="H17104" t="str">
            <v>natural gas peaker</v>
          </cell>
        </row>
        <row r="17105">
          <cell r="C17105" t="str">
            <v>ST</v>
          </cell>
          <cell r="D17105">
            <v>17</v>
          </cell>
          <cell r="H17105" t="str">
            <v>natural gas peaker</v>
          </cell>
        </row>
        <row r="17106">
          <cell r="C17106" t="str">
            <v>ST</v>
          </cell>
          <cell r="D17106">
            <v>7.2</v>
          </cell>
          <cell r="H17106" t="str">
            <v>natural gas peaker</v>
          </cell>
        </row>
        <row r="17107">
          <cell r="C17107" t="str">
            <v>IC</v>
          </cell>
          <cell r="D17107">
            <v>2.2999999999999998</v>
          </cell>
          <cell r="H17107" t="str">
            <v>natural gas peaker</v>
          </cell>
        </row>
        <row r="17108">
          <cell r="C17108" t="str">
            <v>CT</v>
          </cell>
          <cell r="D17108">
            <v>6.4</v>
          </cell>
          <cell r="H17108" t="str">
            <v>natural gas nonpeaker</v>
          </cell>
        </row>
        <row r="17109">
          <cell r="C17109" t="str">
            <v>CT</v>
          </cell>
          <cell r="D17109">
            <v>6.4</v>
          </cell>
          <cell r="H17109" t="str">
            <v>natural gas nonpeaker</v>
          </cell>
        </row>
        <row r="17110">
          <cell r="C17110" t="str">
            <v>CT</v>
          </cell>
          <cell r="D17110">
            <v>6.4</v>
          </cell>
          <cell r="H17110" t="str">
            <v>natural gas nonpeaker</v>
          </cell>
        </row>
        <row r="17111">
          <cell r="C17111" t="str">
            <v>CA</v>
          </cell>
          <cell r="D17111">
            <v>4.9000000000000004</v>
          </cell>
          <cell r="H17111" t="str">
            <v>natural gas nonpeaker</v>
          </cell>
        </row>
        <row r="17112">
          <cell r="C17112" t="str">
            <v>ST</v>
          </cell>
          <cell r="D17112">
            <v>3</v>
          </cell>
          <cell r="H17112" t="str">
            <v>natural gas peaker</v>
          </cell>
        </row>
        <row r="17113">
          <cell r="C17113" t="str">
            <v>IC</v>
          </cell>
          <cell r="D17113">
            <v>2</v>
          </cell>
          <cell r="H17113" t="str">
            <v>petroleum</v>
          </cell>
        </row>
        <row r="17114">
          <cell r="C17114" t="str">
            <v>IC</v>
          </cell>
          <cell r="D17114">
            <v>2</v>
          </cell>
          <cell r="H17114" t="str">
            <v>petroleum</v>
          </cell>
        </row>
        <row r="17115">
          <cell r="C17115" t="str">
            <v>IC</v>
          </cell>
          <cell r="D17115">
            <v>0.8</v>
          </cell>
          <cell r="H17115" t="str">
            <v>natural gas peaker</v>
          </cell>
        </row>
        <row r="17116">
          <cell r="C17116" t="str">
            <v>CT</v>
          </cell>
          <cell r="D17116">
            <v>4.2</v>
          </cell>
          <cell r="H17116" t="str">
            <v>natural gas nonpeaker</v>
          </cell>
        </row>
        <row r="17117">
          <cell r="C17117" t="str">
            <v>CT</v>
          </cell>
          <cell r="D17117">
            <v>4.2</v>
          </cell>
          <cell r="H17117" t="str">
            <v>natural gas nonpeaker</v>
          </cell>
        </row>
        <row r="17118">
          <cell r="C17118" t="str">
            <v>CA</v>
          </cell>
          <cell r="D17118">
            <v>0.9</v>
          </cell>
          <cell r="H17118" t="str">
            <v>natural gas nonpeaker</v>
          </cell>
        </row>
        <row r="17119">
          <cell r="C17119" t="str">
            <v>WT</v>
          </cell>
          <cell r="D17119">
            <v>61.2</v>
          </cell>
          <cell r="H17119" t="str">
            <v>onshore wind</v>
          </cell>
        </row>
        <row r="17120">
          <cell r="C17120" t="str">
            <v>IC</v>
          </cell>
          <cell r="D17120">
            <v>0.1</v>
          </cell>
          <cell r="H17120" t="str">
            <v>petroleum</v>
          </cell>
        </row>
        <row r="17121">
          <cell r="C17121" t="str">
            <v>IC</v>
          </cell>
          <cell r="D17121">
            <v>0.7</v>
          </cell>
          <cell r="H17121" t="str">
            <v>petroleum</v>
          </cell>
        </row>
        <row r="17122">
          <cell r="C17122" t="str">
            <v>IC</v>
          </cell>
          <cell r="D17122">
            <v>0.3</v>
          </cell>
          <cell r="H17122" t="str">
            <v>petroleum</v>
          </cell>
        </row>
        <row r="17123">
          <cell r="C17123" t="str">
            <v>IC</v>
          </cell>
          <cell r="D17123">
            <v>0.2</v>
          </cell>
          <cell r="H17123" t="str">
            <v>petroleum</v>
          </cell>
        </row>
        <row r="17124">
          <cell r="C17124" t="str">
            <v>IC</v>
          </cell>
          <cell r="D17124">
            <v>0.3</v>
          </cell>
          <cell r="H17124" t="str">
            <v>petroleum</v>
          </cell>
        </row>
        <row r="17125">
          <cell r="C17125" t="str">
            <v>IC</v>
          </cell>
          <cell r="D17125">
            <v>0.6</v>
          </cell>
          <cell r="H17125" t="str">
            <v>petroleum</v>
          </cell>
        </row>
        <row r="17126">
          <cell r="C17126" t="str">
            <v>PV</v>
          </cell>
          <cell r="D17126">
            <v>1.7</v>
          </cell>
          <cell r="H17126" t="str">
            <v>solar PV</v>
          </cell>
        </row>
        <row r="17127">
          <cell r="C17127" t="str">
            <v>IC</v>
          </cell>
          <cell r="D17127">
            <v>4.2</v>
          </cell>
          <cell r="H17127" t="str">
            <v>natural gas peaker</v>
          </cell>
        </row>
        <row r="17128">
          <cell r="C17128" t="str">
            <v>GT</v>
          </cell>
          <cell r="D17128">
            <v>2.7</v>
          </cell>
          <cell r="H17128" t="str">
            <v>natural gas peaker</v>
          </cell>
        </row>
        <row r="17129">
          <cell r="C17129" t="str">
            <v>IC</v>
          </cell>
          <cell r="D17129">
            <v>1.3</v>
          </cell>
          <cell r="H17129" t="str">
            <v>natural gas peaker</v>
          </cell>
        </row>
        <row r="17130">
          <cell r="C17130" t="str">
            <v>IC</v>
          </cell>
          <cell r="D17130">
            <v>1.3</v>
          </cell>
          <cell r="H17130" t="str">
            <v>natural gas peaker</v>
          </cell>
        </row>
        <row r="17131">
          <cell r="C17131" t="str">
            <v>IC</v>
          </cell>
          <cell r="D17131">
            <v>1.3</v>
          </cell>
          <cell r="H17131" t="str">
            <v>petroleum</v>
          </cell>
        </row>
        <row r="17132">
          <cell r="C17132" t="str">
            <v>GT</v>
          </cell>
          <cell r="D17132">
            <v>0.3</v>
          </cell>
          <cell r="H17132" t="str">
            <v>natural gas peaker</v>
          </cell>
        </row>
        <row r="17133">
          <cell r="C17133" t="str">
            <v>GT</v>
          </cell>
          <cell r="D17133">
            <v>0.3</v>
          </cell>
          <cell r="H17133" t="str">
            <v>natural gas peaker</v>
          </cell>
        </row>
        <row r="17134">
          <cell r="C17134" t="str">
            <v>GT</v>
          </cell>
          <cell r="D17134">
            <v>0.3</v>
          </cell>
          <cell r="H17134" t="str">
            <v>natural gas peaker</v>
          </cell>
        </row>
        <row r="17135">
          <cell r="C17135" t="str">
            <v>GT</v>
          </cell>
          <cell r="D17135">
            <v>4.3</v>
          </cell>
          <cell r="H17135" t="str">
            <v>natural gas peaker</v>
          </cell>
        </row>
        <row r="17136">
          <cell r="C17136" t="str">
            <v>PV</v>
          </cell>
          <cell r="D17136">
            <v>0.3</v>
          </cell>
          <cell r="H17136" t="str">
            <v>solar PV</v>
          </cell>
        </row>
        <row r="17137">
          <cell r="C17137" t="str">
            <v>PV</v>
          </cell>
          <cell r="D17137">
            <v>0.3</v>
          </cell>
          <cell r="H17137" t="str">
            <v>solar PV</v>
          </cell>
        </row>
        <row r="17138">
          <cell r="C17138" t="str">
            <v>PV</v>
          </cell>
          <cell r="D17138">
            <v>2</v>
          </cell>
          <cell r="H17138" t="str">
            <v>solar PV</v>
          </cell>
        </row>
        <row r="17139">
          <cell r="C17139" t="str">
            <v>PV</v>
          </cell>
          <cell r="D17139">
            <v>0.3</v>
          </cell>
          <cell r="H17139" t="str">
            <v>solar PV</v>
          </cell>
        </row>
        <row r="17140">
          <cell r="C17140" t="str">
            <v>PV</v>
          </cell>
          <cell r="D17140">
            <v>1</v>
          </cell>
          <cell r="H17140" t="str">
            <v>solar PV</v>
          </cell>
        </row>
        <row r="17141">
          <cell r="C17141" t="str">
            <v>PV</v>
          </cell>
          <cell r="D17141">
            <v>1.3</v>
          </cell>
          <cell r="H17141" t="str">
            <v>solar PV</v>
          </cell>
        </row>
        <row r="17142">
          <cell r="C17142" t="str">
            <v>PV</v>
          </cell>
          <cell r="D17142">
            <v>4.5</v>
          </cell>
          <cell r="H17142" t="str">
            <v>solar PV</v>
          </cell>
        </row>
        <row r="17143">
          <cell r="C17143" t="str">
            <v>IC</v>
          </cell>
          <cell r="D17143">
            <v>2</v>
          </cell>
          <cell r="H17143" t="str">
            <v>petroleum</v>
          </cell>
        </row>
        <row r="17144">
          <cell r="C17144" t="str">
            <v>IC</v>
          </cell>
          <cell r="D17144">
            <v>2</v>
          </cell>
          <cell r="H17144" t="str">
            <v>petroleum</v>
          </cell>
        </row>
        <row r="17145">
          <cell r="C17145" t="str">
            <v>IC</v>
          </cell>
          <cell r="D17145">
            <v>2</v>
          </cell>
          <cell r="H17145" t="str">
            <v>petroleum</v>
          </cell>
        </row>
        <row r="17146">
          <cell r="C17146" t="str">
            <v>GT</v>
          </cell>
          <cell r="D17146">
            <v>5</v>
          </cell>
          <cell r="H17146" t="str">
            <v>biomass</v>
          </cell>
        </row>
        <row r="17147">
          <cell r="C17147" t="str">
            <v>GT</v>
          </cell>
          <cell r="D17147">
            <v>5</v>
          </cell>
          <cell r="H17147" t="str">
            <v>biomass</v>
          </cell>
        </row>
        <row r="17148">
          <cell r="C17148" t="str">
            <v>PV</v>
          </cell>
          <cell r="D17148">
            <v>2</v>
          </cell>
          <cell r="H17148" t="str">
            <v>solar PV</v>
          </cell>
        </row>
        <row r="17149">
          <cell r="C17149" t="str">
            <v>IC</v>
          </cell>
          <cell r="D17149">
            <v>1</v>
          </cell>
          <cell r="H17149" t="str">
            <v>biomass</v>
          </cell>
        </row>
        <row r="17150">
          <cell r="C17150" t="str">
            <v>IC</v>
          </cell>
          <cell r="D17150">
            <v>1</v>
          </cell>
          <cell r="H17150" t="str">
            <v>biomass</v>
          </cell>
        </row>
        <row r="17151">
          <cell r="C17151" t="str">
            <v>IC</v>
          </cell>
          <cell r="D17151">
            <v>1</v>
          </cell>
          <cell r="H17151" t="str">
            <v>biomass</v>
          </cell>
        </row>
        <row r="17152">
          <cell r="C17152" t="str">
            <v>PV</v>
          </cell>
          <cell r="D17152">
            <v>2</v>
          </cell>
          <cell r="H17152" t="str">
            <v>solar PV</v>
          </cell>
        </row>
        <row r="17153">
          <cell r="C17153" t="str">
            <v>GT</v>
          </cell>
          <cell r="D17153">
            <v>5</v>
          </cell>
          <cell r="H17153" t="str">
            <v>natural gas peaker</v>
          </cell>
        </row>
        <row r="17154">
          <cell r="C17154" t="str">
            <v>GT</v>
          </cell>
          <cell r="D17154">
            <v>7.9</v>
          </cell>
          <cell r="H17154" t="str">
            <v>biomass</v>
          </cell>
        </row>
        <row r="17155">
          <cell r="C17155" t="str">
            <v>GT</v>
          </cell>
          <cell r="D17155">
            <v>3.9</v>
          </cell>
          <cell r="H17155" t="str">
            <v>natural gas peaker</v>
          </cell>
        </row>
        <row r="17156">
          <cell r="C17156" t="str">
            <v>GT</v>
          </cell>
          <cell r="D17156">
            <v>3.9</v>
          </cell>
          <cell r="H17156" t="str">
            <v>natural gas peaker</v>
          </cell>
        </row>
        <row r="17157">
          <cell r="C17157" t="str">
            <v>ST</v>
          </cell>
          <cell r="D17157">
            <v>0.7</v>
          </cell>
          <cell r="H17157" t="str">
            <v>natural gas peaker</v>
          </cell>
        </row>
        <row r="17158">
          <cell r="C17158" t="str">
            <v>GT</v>
          </cell>
          <cell r="D17158">
            <v>14.6</v>
          </cell>
          <cell r="H17158" t="str">
            <v>natural gas peaker</v>
          </cell>
        </row>
        <row r="17159">
          <cell r="C17159" t="str">
            <v>GT</v>
          </cell>
          <cell r="D17159">
            <v>1.2</v>
          </cell>
          <cell r="H17159" t="str">
            <v>natural gas peaker</v>
          </cell>
        </row>
        <row r="17160">
          <cell r="C17160" t="str">
            <v>ST</v>
          </cell>
          <cell r="D17160">
            <v>0.5</v>
          </cell>
          <cell r="H17160" t="str">
            <v>natural gas peaker</v>
          </cell>
        </row>
        <row r="17161">
          <cell r="C17161" t="str">
            <v>IC</v>
          </cell>
          <cell r="D17161">
            <v>0.8</v>
          </cell>
          <cell r="H17161" t="str">
            <v>natural gas peaker</v>
          </cell>
        </row>
        <row r="17162">
          <cell r="C17162" t="str">
            <v>IC</v>
          </cell>
          <cell r="D17162">
            <v>0.8</v>
          </cell>
          <cell r="H17162" t="str">
            <v>natural gas peaker</v>
          </cell>
        </row>
        <row r="17163">
          <cell r="C17163" t="str">
            <v>IC</v>
          </cell>
          <cell r="D17163">
            <v>1.3</v>
          </cell>
          <cell r="H17163" t="str">
            <v>natural gas peaker</v>
          </cell>
        </row>
        <row r="17164">
          <cell r="C17164" t="str">
            <v>IC</v>
          </cell>
          <cell r="D17164">
            <v>1.2</v>
          </cell>
          <cell r="H17164" t="str">
            <v>natural gas peaker</v>
          </cell>
        </row>
        <row r="17165">
          <cell r="C17165" t="str">
            <v>IC</v>
          </cell>
          <cell r="D17165">
            <v>2</v>
          </cell>
          <cell r="H17165" t="str">
            <v>petroleum</v>
          </cell>
        </row>
        <row r="17166">
          <cell r="C17166" t="str">
            <v>IC</v>
          </cell>
          <cell r="D17166">
            <v>1.3</v>
          </cell>
          <cell r="H17166" t="str">
            <v>natural gas peaker</v>
          </cell>
        </row>
        <row r="17167">
          <cell r="C17167" t="str">
            <v>PV</v>
          </cell>
          <cell r="D17167">
            <v>1.9</v>
          </cell>
          <cell r="H17167" t="str">
            <v>solar PV</v>
          </cell>
        </row>
        <row r="17168">
          <cell r="C17168" t="str">
            <v>GT</v>
          </cell>
          <cell r="D17168">
            <v>1.2</v>
          </cell>
          <cell r="H17168" t="str">
            <v>natural gas peaker</v>
          </cell>
        </row>
        <row r="17169">
          <cell r="C17169" t="str">
            <v>GT</v>
          </cell>
          <cell r="D17169">
            <v>11</v>
          </cell>
          <cell r="H17169" t="str">
            <v>natural gas peaker</v>
          </cell>
        </row>
        <row r="17170">
          <cell r="C17170" t="str">
            <v>GT</v>
          </cell>
          <cell r="D17170">
            <v>11</v>
          </cell>
          <cell r="H17170" t="str">
            <v>natural gas peaker</v>
          </cell>
        </row>
        <row r="17171">
          <cell r="C17171" t="str">
            <v>GT</v>
          </cell>
          <cell r="D17171">
            <v>11</v>
          </cell>
          <cell r="H17171" t="str">
            <v>natural gas peaker</v>
          </cell>
        </row>
        <row r="17172">
          <cell r="C17172" t="str">
            <v>ST</v>
          </cell>
          <cell r="D17172">
            <v>3</v>
          </cell>
          <cell r="H17172" t="str">
            <v>natural gas peaker</v>
          </cell>
        </row>
        <row r="17173">
          <cell r="C17173" t="str">
            <v>ST</v>
          </cell>
          <cell r="D17173">
            <v>2</v>
          </cell>
          <cell r="H17173" t="str">
            <v>natural gas peaker</v>
          </cell>
        </row>
        <row r="17174">
          <cell r="C17174" t="str">
            <v>ST</v>
          </cell>
          <cell r="D17174">
            <v>1.5</v>
          </cell>
          <cell r="H17174" t="str">
            <v>natural gas peaker</v>
          </cell>
        </row>
        <row r="17175">
          <cell r="C17175" t="str">
            <v>ST</v>
          </cell>
          <cell r="D17175">
            <v>1.5</v>
          </cell>
          <cell r="H17175" t="str">
            <v>natural gas peaker</v>
          </cell>
        </row>
        <row r="17176">
          <cell r="C17176" t="str">
            <v>GT</v>
          </cell>
          <cell r="D17176">
            <v>7.4</v>
          </cell>
          <cell r="H17176" t="str">
            <v>natural gas peaker</v>
          </cell>
        </row>
        <row r="17177">
          <cell r="C17177" t="str">
            <v>ST</v>
          </cell>
          <cell r="D17177">
            <v>2.1</v>
          </cell>
          <cell r="H17177" t="str">
            <v>natural gas peaker</v>
          </cell>
        </row>
        <row r="17178">
          <cell r="C17178" t="str">
            <v>IC</v>
          </cell>
          <cell r="D17178">
            <v>6</v>
          </cell>
          <cell r="H17178" t="str">
            <v>petroleum</v>
          </cell>
        </row>
        <row r="17179">
          <cell r="C17179" t="str">
            <v>ST</v>
          </cell>
          <cell r="D17179">
            <v>1</v>
          </cell>
          <cell r="H17179" t="str">
            <v>natural gas peaker</v>
          </cell>
        </row>
        <row r="17180">
          <cell r="C17180" t="str">
            <v>CT</v>
          </cell>
          <cell r="D17180">
            <v>5.2</v>
          </cell>
          <cell r="H17180" t="str">
            <v>natural gas nonpeaker</v>
          </cell>
        </row>
        <row r="17181">
          <cell r="C17181" t="str">
            <v>CT</v>
          </cell>
          <cell r="D17181">
            <v>5.5</v>
          </cell>
          <cell r="H17181" t="str">
            <v>natural gas nonpeaker</v>
          </cell>
        </row>
        <row r="17182">
          <cell r="C17182" t="str">
            <v>CA</v>
          </cell>
          <cell r="D17182">
            <v>1.8</v>
          </cell>
          <cell r="H17182" t="str">
            <v>natural gas nonpeaker</v>
          </cell>
        </row>
        <row r="17183">
          <cell r="C17183" t="str">
            <v>CS</v>
          </cell>
          <cell r="D17183">
            <v>9.1999999999999993</v>
          </cell>
          <cell r="H17183" t="str">
            <v>natural gas nonpeaker</v>
          </cell>
        </row>
        <row r="17184">
          <cell r="C17184" t="str">
            <v>GT</v>
          </cell>
          <cell r="D17184">
            <v>7.9</v>
          </cell>
          <cell r="H17184" t="str">
            <v>natural gas peaker</v>
          </cell>
        </row>
        <row r="17185">
          <cell r="C17185" t="str">
            <v>ST</v>
          </cell>
          <cell r="D17185">
            <v>4</v>
          </cell>
          <cell r="H17185" t="str">
            <v>natural gas peaker</v>
          </cell>
        </row>
        <row r="17186">
          <cell r="C17186" t="str">
            <v>ST</v>
          </cell>
          <cell r="D17186">
            <v>4</v>
          </cell>
          <cell r="H17186" t="str">
            <v>natural gas peaker</v>
          </cell>
        </row>
        <row r="17187">
          <cell r="C17187" t="str">
            <v>ST</v>
          </cell>
          <cell r="D17187">
            <v>4</v>
          </cell>
          <cell r="H17187" t="str">
            <v>natural gas peaker</v>
          </cell>
        </row>
        <row r="17188">
          <cell r="C17188" t="str">
            <v>IC</v>
          </cell>
          <cell r="D17188">
            <v>1.4</v>
          </cell>
          <cell r="H17188" t="str">
            <v>natural gas peaker</v>
          </cell>
        </row>
        <row r="17189">
          <cell r="C17189" t="str">
            <v>IC</v>
          </cell>
          <cell r="D17189">
            <v>1.4</v>
          </cell>
          <cell r="H17189" t="str">
            <v>natural gas peaker</v>
          </cell>
        </row>
        <row r="17190">
          <cell r="C17190" t="str">
            <v>IC</v>
          </cell>
          <cell r="D17190">
            <v>1.4</v>
          </cell>
          <cell r="H17190" t="str">
            <v>natural gas peaker</v>
          </cell>
        </row>
        <row r="17191">
          <cell r="C17191" t="str">
            <v>IC</v>
          </cell>
          <cell r="D17191">
            <v>1.4</v>
          </cell>
          <cell r="H17191" t="str">
            <v>natural gas peaker</v>
          </cell>
        </row>
        <row r="17192">
          <cell r="C17192" t="str">
            <v>PV</v>
          </cell>
          <cell r="D17192">
            <v>20</v>
          </cell>
          <cell r="H17192" t="str">
            <v>solar PV</v>
          </cell>
        </row>
        <row r="17193">
          <cell r="C17193" t="str">
            <v>WT</v>
          </cell>
          <cell r="D17193">
            <v>100.8</v>
          </cell>
          <cell r="H17193" t="str">
            <v>onshore wind</v>
          </cell>
        </row>
        <row r="17194">
          <cell r="C17194" t="str">
            <v>PV</v>
          </cell>
          <cell r="D17194">
            <v>2.5</v>
          </cell>
          <cell r="H17194" t="str">
            <v>solar PV</v>
          </cell>
        </row>
        <row r="17195">
          <cell r="C17195" t="str">
            <v>ST</v>
          </cell>
          <cell r="D17195">
            <v>4.8</v>
          </cell>
          <cell r="H17195" t="str">
            <v>natural gas peaker</v>
          </cell>
        </row>
        <row r="17196">
          <cell r="C17196" t="str">
            <v>PV</v>
          </cell>
          <cell r="D17196">
            <v>10</v>
          </cell>
          <cell r="H17196" t="str">
            <v>solar PV</v>
          </cell>
        </row>
        <row r="17197">
          <cell r="C17197" t="str">
            <v>IC</v>
          </cell>
          <cell r="D17197">
            <v>5.6</v>
          </cell>
          <cell r="H17197" t="str">
            <v>natural gas peaker</v>
          </cell>
        </row>
        <row r="17198">
          <cell r="C17198" t="str">
            <v>IC</v>
          </cell>
          <cell r="D17198">
            <v>2.2999999999999998</v>
          </cell>
          <cell r="H17198" t="str">
            <v>petroleum</v>
          </cell>
        </row>
        <row r="17199">
          <cell r="C17199" t="str">
            <v>IC</v>
          </cell>
          <cell r="D17199">
            <v>2.2999999999999998</v>
          </cell>
          <cell r="H17199" t="str">
            <v>petroleum</v>
          </cell>
        </row>
        <row r="17200">
          <cell r="C17200" t="str">
            <v>CA</v>
          </cell>
          <cell r="D17200">
            <v>5</v>
          </cell>
          <cell r="H17200" t="str">
            <v>natural gas nonpeaker</v>
          </cell>
        </row>
        <row r="17201">
          <cell r="C17201" t="str">
            <v>IC</v>
          </cell>
          <cell r="D17201">
            <v>2.2999999999999998</v>
          </cell>
          <cell r="H17201" t="str">
            <v>petroleum</v>
          </cell>
        </row>
        <row r="17202">
          <cell r="C17202" t="str">
            <v>GT</v>
          </cell>
          <cell r="D17202">
            <v>4.3</v>
          </cell>
          <cell r="H17202" t="str">
            <v>natural gas peaker</v>
          </cell>
        </row>
        <row r="17203">
          <cell r="C17203" t="str">
            <v>GT</v>
          </cell>
          <cell r="D17203">
            <v>4.3</v>
          </cell>
          <cell r="H17203" t="str">
            <v>natural gas peaker</v>
          </cell>
        </row>
        <row r="17204">
          <cell r="C17204" t="str">
            <v>GT</v>
          </cell>
          <cell r="D17204">
            <v>4.3</v>
          </cell>
          <cell r="H17204" t="str">
            <v>natural gas peaker</v>
          </cell>
        </row>
        <row r="17205">
          <cell r="C17205" t="str">
            <v>GT</v>
          </cell>
          <cell r="D17205">
            <v>4.3</v>
          </cell>
          <cell r="H17205" t="str">
            <v>natural gas peaker</v>
          </cell>
        </row>
        <row r="17206">
          <cell r="C17206" t="str">
            <v>CT</v>
          </cell>
          <cell r="D17206">
            <v>7.5</v>
          </cell>
          <cell r="H17206" t="str">
            <v>natural gas nonpeaker</v>
          </cell>
        </row>
        <row r="17207">
          <cell r="C17207" t="str">
            <v>CT</v>
          </cell>
          <cell r="D17207">
            <v>7.5</v>
          </cell>
          <cell r="H17207" t="str">
            <v>natural gas nonpeaker</v>
          </cell>
        </row>
        <row r="17208">
          <cell r="C17208" t="str">
            <v>CT</v>
          </cell>
          <cell r="D17208">
            <v>4.5</v>
          </cell>
          <cell r="H17208" t="str">
            <v>natural gas nonpeaker</v>
          </cell>
        </row>
        <row r="17209">
          <cell r="C17209" t="str">
            <v>IC</v>
          </cell>
          <cell r="D17209">
            <v>9.1</v>
          </cell>
          <cell r="H17209" t="str">
            <v>biomass</v>
          </cell>
        </row>
        <row r="17210">
          <cell r="C17210" t="str">
            <v>WT</v>
          </cell>
          <cell r="D17210">
            <v>59.8</v>
          </cell>
          <cell r="H17210" t="str">
            <v>onshore wind</v>
          </cell>
        </row>
        <row r="17211">
          <cell r="C17211" t="str">
            <v>PV</v>
          </cell>
          <cell r="D17211">
            <v>1.9</v>
          </cell>
          <cell r="H17211" t="str">
            <v>solar PV</v>
          </cell>
        </row>
        <row r="17212">
          <cell r="C17212" t="str">
            <v>PV</v>
          </cell>
          <cell r="D17212">
            <v>15</v>
          </cell>
          <cell r="H17212" t="str">
            <v>solar PV</v>
          </cell>
        </row>
        <row r="17213">
          <cell r="C17213" t="str">
            <v>PV</v>
          </cell>
          <cell r="D17213">
            <v>1.9</v>
          </cell>
          <cell r="H17213" t="str">
            <v>solar PV</v>
          </cell>
        </row>
        <row r="17214">
          <cell r="C17214" t="str">
            <v>CT</v>
          </cell>
          <cell r="D17214">
            <v>170</v>
          </cell>
          <cell r="H17214" t="str">
            <v>natural gas nonpeaker</v>
          </cell>
        </row>
        <row r="17215">
          <cell r="C17215" t="str">
            <v>CT</v>
          </cell>
          <cell r="D17215">
            <v>170</v>
          </cell>
          <cell r="H17215" t="str">
            <v>natural gas nonpeaker</v>
          </cell>
        </row>
        <row r="17216">
          <cell r="C17216" t="str">
            <v>CT</v>
          </cell>
          <cell r="D17216">
            <v>170</v>
          </cell>
          <cell r="H17216" t="str">
            <v>natural gas nonpeaker</v>
          </cell>
        </row>
        <row r="17217">
          <cell r="C17217" t="str">
            <v>CA</v>
          </cell>
          <cell r="D17217">
            <v>378</v>
          </cell>
          <cell r="H17217" t="str">
            <v>natural gas nonpeaker</v>
          </cell>
        </row>
        <row r="17218">
          <cell r="C17218" t="str">
            <v>ST</v>
          </cell>
          <cell r="D17218">
            <v>3.2</v>
          </cell>
          <cell r="H17218" t="str">
            <v>other</v>
          </cell>
        </row>
        <row r="17219">
          <cell r="C17219" t="str">
            <v>PV</v>
          </cell>
          <cell r="D17219">
            <v>2.5</v>
          </cell>
          <cell r="H17219" t="str">
            <v>solar PV</v>
          </cell>
        </row>
        <row r="17220">
          <cell r="C17220" t="str">
            <v>WT</v>
          </cell>
          <cell r="D17220">
            <v>40</v>
          </cell>
          <cell r="H17220" t="str">
            <v>onshore wind</v>
          </cell>
        </row>
        <row r="17221">
          <cell r="C17221" t="str">
            <v>IC</v>
          </cell>
          <cell r="D17221">
            <v>1.4</v>
          </cell>
          <cell r="H17221" t="str">
            <v>biomass</v>
          </cell>
        </row>
        <row r="17222">
          <cell r="C17222" t="str">
            <v>IC</v>
          </cell>
          <cell r="D17222">
            <v>0.6</v>
          </cell>
          <cell r="H17222" t="str">
            <v>biomass</v>
          </cell>
        </row>
        <row r="17223">
          <cell r="C17223" t="str">
            <v>WT</v>
          </cell>
          <cell r="D17223">
            <v>1.5</v>
          </cell>
          <cell r="H17223" t="str">
            <v>onshore wind</v>
          </cell>
        </row>
        <row r="17224">
          <cell r="C17224" t="str">
            <v>WT</v>
          </cell>
          <cell r="D17224">
            <v>1.5</v>
          </cell>
          <cell r="H17224" t="str">
            <v>onshore wind</v>
          </cell>
        </row>
        <row r="17225">
          <cell r="C17225" t="str">
            <v>WT</v>
          </cell>
          <cell r="D17225">
            <v>1.5</v>
          </cell>
          <cell r="H17225" t="str">
            <v>onshore wind</v>
          </cell>
        </row>
        <row r="17226">
          <cell r="C17226" t="str">
            <v>ST</v>
          </cell>
          <cell r="D17226">
            <v>5</v>
          </cell>
          <cell r="H17226" t="str">
            <v>natural gas peaker</v>
          </cell>
        </row>
        <row r="17227">
          <cell r="C17227" t="str">
            <v>IC</v>
          </cell>
          <cell r="D17227">
            <v>1.2</v>
          </cell>
          <cell r="H17227" t="str">
            <v>natural gas peaker</v>
          </cell>
        </row>
        <row r="17228">
          <cell r="C17228" t="str">
            <v>IC</v>
          </cell>
          <cell r="D17228">
            <v>1.2</v>
          </cell>
          <cell r="H17228" t="str">
            <v>natural gas peaker</v>
          </cell>
        </row>
        <row r="17229">
          <cell r="C17229" t="str">
            <v>IC</v>
          </cell>
          <cell r="D17229">
            <v>1.2</v>
          </cell>
          <cell r="H17229" t="str">
            <v>natural gas peaker</v>
          </cell>
        </row>
        <row r="17230">
          <cell r="C17230" t="str">
            <v>IC</v>
          </cell>
          <cell r="D17230">
            <v>1.3</v>
          </cell>
          <cell r="H17230" t="str">
            <v>natural gas peaker</v>
          </cell>
        </row>
        <row r="17231">
          <cell r="C17231" t="str">
            <v>IC</v>
          </cell>
          <cell r="D17231">
            <v>1.3</v>
          </cell>
          <cell r="H17231" t="str">
            <v>natural gas peaker</v>
          </cell>
        </row>
        <row r="17232">
          <cell r="C17232" t="str">
            <v>IC</v>
          </cell>
          <cell r="D17232">
            <v>0.3</v>
          </cell>
          <cell r="H17232" t="str">
            <v>petroleum</v>
          </cell>
        </row>
        <row r="17233">
          <cell r="C17233" t="str">
            <v>IC</v>
          </cell>
          <cell r="D17233">
            <v>0.7</v>
          </cell>
          <cell r="H17233" t="str">
            <v>petroleum</v>
          </cell>
        </row>
        <row r="17234">
          <cell r="C17234" t="str">
            <v>PV</v>
          </cell>
          <cell r="D17234">
            <v>1.5</v>
          </cell>
          <cell r="H17234" t="str">
            <v>solar PV</v>
          </cell>
        </row>
        <row r="17235">
          <cell r="C17235" t="str">
            <v>PV</v>
          </cell>
          <cell r="D17235">
            <v>8.5</v>
          </cell>
          <cell r="H17235" t="str">
            <v>solar PV</v>
          </cell>
        </row>
        <row r="17236">
          <cell r="C17236" t="str">
            <v>PV</v>
          </cell>
          <cell r="D17236">
            <v>11.8</v>
          </cell>
          <cell r="H17236" t="str">
            <v>solar PV</v>
          </cell>
        </row>
        <row r="17237">
          <cell r="C17237" t="str">
            <v>PV</v>
          </cell>
          <cell r="D17237">
            <v>2.9</v>
          </cell>
          <cell r="H17237" t="str">
            <v>solar PV</v>
          </cell>
        </row>
        <row r="17238">
          <cell r="C17238" t="str">
            <v>PV</v>
          </cell>
          <cell r="D17238">
            <v>1</v>
          </cell>
          <cell r="H17238" t="str">
            <v>solar PV</v>
          </cell>
        </row>
        <row r="17239">
          <cell r="C17239" t="str">
            <v>WT</v>
          </cell>
          <cell r="D17239">
            <v>6</v>
          </cell>
          <cell r="H17239" t="str">
            <v>onshore wind</v>
          </cell>
        </row>
        <row r="17240">
          <cell r="C17240" t="str">
            <v>PV</v>
          </cell>
          <cell r="D17240">
            <v>11.8</v>
          </cell>
          <cell r="H17240" t="str">
            <v>solar PV</v>
          </cell>
        </row>
        <row r="17241">
          <cell r="C17241" t="str">
            <v>GT</v>
          </cell>
          <cell r="D17241">
            <v>55</v>
          </cell>
          <cell r="H17241" t="str">
            <v>natural gas peaker</v>
          </cell>
        </row>
        <row r="17242">
          <cell r="C17242" t="str">
            <v>CT</v>
          </cell>
          <cell r="D17242">
            <v>221</v>
          </cell>
          <cell r="H17242" t="str">
            <v>natural gas nonpeaker</v>
          </cell>
        </row>
        <row r="17243">
          <cell r="C17243" t="str">
            <v>CT</v>
          </cell>
          <cell r="D17243">
            <v>220.9</v>
          </cell>
          <cell r="H17243" t="str">
            <v>natural gas nonpeaker</v>
          </cell>
        </row>
        <row r="17244">
          <cell r="C17244" t="str">
            <v>CA</v>
          </cell>
          <cell r="D17244">
            <v>242.2</v>
          </cell>
          <cell r="H17244" t="str">
            <v>natural gas nonpeaker</v>
          </cell>
        </row>
        <row r="17245">
          <cell r="C17245" t="str">
            <v>FC</v>
          </cell>
          <cell r="D17245">
            <v>1.4</v>
          </cell>
          <cell r="H17245" t="str">
            <v>other</v>
          </cell>
        </row>
        <row r="17246">
          <cell r="C17246" t="str">
            <v>WT</v>
          </cell>
          <cell r="D17246">
            <v>10</v>
          </cell>
          <cell r="H17246" t="str">
            <v>onshore wind</v>
          </cell>
        </row>
        <row r="17247">
          <cell r="C17247" t="str">
            <v>PV</v>
          </cell>
          <cell r="D17247">
            <v>1</v>
          </cell>
          <cell r="H17247" t="str">
            <v>solar PV</v>
          </cell>
        </row>
        <row r="17248">
          <cell r="C17248" t="str">
            <v>PV</v>
          </cell>
          <cell r="D17248">
            <v>1.3</v>
          </cell>
          <cell r="H17248" t="str">
            <v>solar PV</v>
          </cell>
        </row>
        <row r="17249">
          <cell r="C17249" t="str">
            <v>PV</v>
          </cell>
          <cell r="D17249">
            <v>1</v>
          </cell>
          <cell r="H17249" t="str">
            <v>solar PV</v>
          </cell>
        </row>
        <row r="17250">
          <cell r="C17250" t="str">
            <v>WT</v>
          </cell>
          <cell r="D17250">
            <v>218</v>
          </cell>
          <cell r="H17250" t="str">
            <v>onshore wind</v>
          </cell>
        </row>
        <row r="17251">
          <cell r="C17251" t="str">
            <v>PV</v>
          </cell>
          <cell r="D17251">
            <v>1</v>
          </cell>
          <cell r="H17251" t="str">
            <v>solar PV</v>
          </cell>
        </row>
        <row r="17252">
          <cell r="C17252" t="str">
            <v>PV</v>
          </cell>
          <cell r="D17252">
            <v>0.9</v>
          </cell>
          <cell r="H17252" t="str">
            <v>solar PV</v>
          </cell>
        </row>
        <row r="17253">
          <cell r="C17253" t="str">
            <v>IC</v>
          </cell>
          <cell r="D17253">
            <v>0.8</v>
          </cell>
          <cell r="H17253" t="str">
            <v>natural gas peaker</v>
          </cell>
        </row>
        <row r="17254">
          <cell r="C17254" t="str">
            <v>IC</v>
          </cell>
          <cell r="D17254">
            <v>0.8</v>
          </cell>
          <cell r="H17254" t="str">
            <v>natural gas peaker</v>
          </cell>
        </row>
        <row r="17255">
          <cell r="C17255" t="str">
            <v>IC</v>
          </cell>
          <cell r="D17255">
            <v>0.8</v>
          </cell>
          <cell r="H17255" t="str">
            <v>natural gas peaker</v>
          </cell>
        </row>
        <row r="17256">
          <cell r="C17256" t="str">
            <v>IC</v>
          </cell>
          <cell r="D17256">
            <v>0.8</v>
          </cell>
          <cell r="H17256" t="str">
            <v>natural gas peaker</v>
          </cell>
        </row>
        <row r="17257">
          <cell r="C17257" t="str">
            <v>IC</v>
          </cell>
          <cell r="D17257">
            <v>1.5</v>
          </cell>
          <cell r="H17257" t="str">
            <v>biomass</v>
          </cell>
        </row>
        <row r="17258">
          <cell r="C17258" t="str">
            <v>IC</v>
          </cell>
          <cell r="D17258">
            <v>1.5</v>
          </cell>
          <cell r="H17258" t="str">
            <v>biomass</v>
          </cell>
        </row>
        <row r="17259">
          <cell r="C17259" t="str">
            <v>PV</v>
          </cell>
          <cell r="D17259">
            <v>1.9</v>
          </cell>
          <cell r="H17259" t="str">
            <v>solar PV</v>
          </cell>
        </row>
        <row r="17260">
          <cell r="C17260" t="str">
            <v>PV</v>
          </cell>
          <cell r="D17260">
            <v>3.5</v>
          </cell>
          <cell r="H17260" t="str">
            <v>solar PV</v>
          </cell>
        </row>
        <row r="17261">
          <cell r="C17261" t="str">
            <v>IC</v>
          </cell>
          <cell r="D17261">
            <v>1.6</v>
          </cell>
          <cell r="H17261" t="str">
            <v>biomass</v>
          </cell>
        </row>
        <row r="17262">
          <cell r="C17262" t="str">
            <v>ST</v>
          </cell>
          <cell r="D17262">
            <v>5</v>
          </cell>
          <cell r="H17262" t="str">
            <v>other</v>
          </cell>
        </row>
        <row r="17263">
          <cell r="C17263" t="str">
            <v>ST</v>
          </cell>
          <cell r="D17263">
            <v>5</v>
          </cell>
          <cell r="H17263" t="str">
            <v>other</v>
          </cell>
        </row>
        <row r="17264">
          <cell r="C17264" t="str">
            <v>IC</v>
          </cell>
          <cell r="D17264">
            <v>1</v>
          </cell>
          <cell r="H17264" t="str">
            <v>biomass</v>
          </cell>
        </row>
        <row r="17265">
          <cell r="C17265" t="str">
            <v>PV</v>
          </cell>
          <cell r="D17265">
            <v>1.6</v>
          </cell>
          <cell r="H17265" t="str">
            <v>solar PV</v>
          </cell>
        </row>
        <row r="17266">
          <cell r="C17266" t="str">
            <v>FC</v>
          </cell>
          <cell r="D17266">
            <v>0.4</v>
          </cell>
          <cell r="H17266" t="str">
            <v>other</v>
          </cell>
        </row>
        <row r="17267">
          <cell r="C17267" t="str">
            <v>FC</v>
          </cell>
          <cell r="D17267">
            <v>0.4</v>
          </cell>
          <cell r="H17267" t="str">
            <v>other</v>
          </cell>
        </row>
        <row r="17268">
          <cell r="C17268" t="str">
            <v>FC</v>
          </cell>
          <cell r="D17268">
            <v>0.4</v>
          </cell>
          <cell r="H17268" t="str">
            <v>other</v>
          </cell>
        </row>
        <row r="17269">
          <cell r="C17269" t="str">
            <v>GT</v>
          </cell>
          <cell r="D17269">
            <v>3.2</v>
          </cell>
          <cell r="H17269" t="str">
            <v>natural gas peaker</v>
          </cell>
        </row>
        <row r="17270">
          <cell r="C17270" t="str">
            <v>GT</v>
          </cell>
          <cell r="D17270">
            <v>3.4</v>
          </cell>
          <cell r="H17270" t="str">
            <v>natural gas peaker</v>
          </cell>
        </row>
        <row r="17271">
          <cell r="C17271" t="str">
            <v>IC</v>
          </cell>
          <cell r="D17271">
            <v>8.1999999999999993</v>
          </cell>
          <cell r="H17271" t="str">
            <v>natural gas peaker</v>
          </cell>
        </row>
        <row r="17272">
          <cell r="C17272" t="str">
            <v>IC</v>
          </cell>
          <cell r="D17272">
            <v>8.1999999999999993</v>
          </cell>
          <cell r="H17272" t="str">
            <v>natural gas peaker</v>
          </cell>
        </row>
        <row r="17273">
          <cell r="C17273" t="str">
            <v>IC</v>
          </cell>
          <cell r="D17273">
            <v>8.1999999999999993</v>
          </cell>
          <cell r="H17273" t="str">
            <v>natural gas peaker</v>
          </cell>
        </row>
        <row r="17274">
          <cell r="C17274" t="str">
            <v>IC</v>
          </cell>
          <cell r="D17274">
            <v>8.1999999999999993</v>
          </cell>
          <cell r="H17274" t="str">
            <v>natural gas peaker</v>
          </cell>
        </row>
        <row r="17275">
          <cell r="C17275" t="str">
            <v>IC</v>
          </cell>
          <cell r="D17275">
            <v>8.1999999999999993</v>
          </cell>
          <cell r="H17275" t="str">
            <v>natural gas peaker</v>
          </cell>
        </row>
        <row r="17276">
          <cell r="C17276" t="str">
            <v>IC</v>
          </cell>
          <cell r="D17276">
            <v>8.1999999999999993</v>
          </cell>
          <cell r="H17276" t="str">
            <v>natural gas peaker</v>
          </cell>
        </row>
        <row r="17277">
          <cell r="C17277" t="str">
            <v>IC</v>
          </cell>
          <cell r="D17277">
            <v>8.4</v>
          </cell>
          <cell r="H17277" t="str">
            <v>natural gas peaker</v>
          </cell>
        </row>
        <row r="17278">
          <cell r="C17278" t="str">
            <v>IC</v>
          </cell>
          <cell r="D17278">
            <v>8.4</v>
          </cell>
          <cell r="H17278" t="str">
            <v>natural gas peaker</v>
          </cell>
        </row>
        <row r="17279">
          <cell r="C17279" t="str">
            <v>IC</v>
          </cell>
          <cell r="D17279">
            <v>8.4</v>
          </cell>
          <cell r="H17279" t="str">
            <v>natural gas peaker</v>
          </cell>
        </row>
        <row r="17280">
          <cell r="C17280" t="str">
            <v>IC</v>
          </cell>
          <cell r="D17280">
            <v>8.4</v>
          </cell>
          <cell r="H17280" t="str">
            <v>natural gas peaker</v>
          </cell>
        </row>
        <row r="17281">
          <cell r="C17281" t="str">
            <v>IC</v>
          </cell>
          <cell r="D17281">
            <v>8.4</v>
          </cell>
          <cell r="H17281" t="str">
            <v>natural gas peaker</v>
          </cell>
        </row>
        <row r="17282">
          <cell r="C17282" t="str">
            <v>IC</v>
          </cell>
          <cell r="D17282">
            <v>8.4</v>
          </cell>
          <cell r="H17282" t="str">
            <v>natural gas peaker</v>
          </cell>
        </row>
        <row r="17283">
          <cell r="C17283" t="str">
            <v>PV</v>
          </cell>
          <cell r="D17283">
            <v>1</v>
          </cell>
          <cell r="H17283" t="str">
            <v>solar PV</v>
          </cell>
        </row>
        <row r="17284">
          <cell r="C17284" t="str">
            <v>HY</v>
          </cell>
          <cell r="D17284">
            <v>1.1000000000000001</v>
          </cell>
          <cell r="H17284" t="str">
            <v>hydro</v>
          </cell>
        </row>
        <row r="17285">
          <cell r="C17285" t="str">
            <v>GT</v>
          </cell>
          <cell r="D17285">
            <v>4.2</v>
          </cell>
          <cell r="H17285" t="str">
            <v>natural gas peaker</v>
          </cell>
        </row>
        <row r="17286">
          <cell r="C17286" t="str">
            <v>GT</v>
          </cell>
          <cell r="D17286">
            <v>4.2</v>
          </cell>
          <cell r="H17286" t="str">
            <v>natural gas peaker</v>
          </cell>
        </row>
        <row r="17287">
          <cell r="C17287" t="str">
            <v>PV</v>
          </cell>
          <cell r="D17287">
            <v>5</v>
          </cell>
          <cell r="H17287" t="str">
            <v>solar PV</v>
          </cell>
        </row>
        <row r="17288">
          <cell r="C17288" t="str">
            <v>CT</v>
          </cell>
          <cell r="D17288">
            <v>263.89999999999998</v>
          </cell>
          <cell r="H17288" t="str">
            <v>natural gas nonpeaker</v>
          </cell>
        </row>
        <row r="17289">
          <cell r="C17289" t="str">
            <v>CT</v>
          </cell>
          <cell r="D17289">
            <v>263.89999999999998</v>
          </cell>
          <cell r="H17289" t="str">
            <v>natural gas nonpeaker</v>
          </cell>
        </row>
        <row r="17290">
          <cell r="C17290" t="str">
            <v>CT</v>
          </cell>
          <cell r="D17290">
            <v>263.89999999999998</v>
          </cell>
          <cell r="H17290" t="str">
            <v>natural gas nonpeaker</v>
          </cell>
        </row>
        <row r="17291">
          <cell r="C17291" t="str">
            <v>CA</v>
          </cell>
          <cell r="D17291">
            <v>579.4</v>
          </cell>
          <cell r="H17291" t="str">
            <v>natural gas nonpeaker</v>
          </cell>
        </row>
        <row r="17292">
          <cell r="C17292" t="str">
            <v>PV</v>
          </cell>
          <cell r="D17292">
            <v>1</v>
          </cell>
          <cell r="H17292" t="str">
            <v>solar PV</v>
          </cell>
        </row>
        <row r="17293">
          <cell r="C17293" t="str">
            <v>PV</v>
          </cell>
          <cell r="D17293">
            <v>14.8</v>
          </cell>
          <cell r="H17293" t="str">
            <v>solar PV</v>
          </cell>
        </row>
        <row r="17294">
          <cell r="C17294" t="str">
            <v>GT</v>
          </cell>
          <cell r="D17294">
            <v>4.4000000000000004</v>
          </cell>
          <cell r="H17294" t="str">
            <v>biomass</v>
          </cell>
        </row>
        <row r="17295">
          <cell r="C17295" t="str">
            <v>ST</v>
          </cell>
          <cell r="D17295">
            <v>4</v>
          </cell>
          <cell r="H17295" t="str">
            <v>biomass</v>
          </cell>
        </row>
        <row r="17296">
          <cell r="C17296" t="str">
            <v>FC</v>
          </cell>
          <cell r="D17296">
            <v>4.8</v>
          </cell>
          <cell r="H17296" t="str">
            <v>biomass</v>
          </cell>
        </row>
        <row r="17297">
          <cell r="C17297" t="str">
            <v>FC</v>
          </cell>
          <cell r="D17297">
            <v>5.2</v>
          </cell>
          <cell r="H17297" t="str">
            <v>biomass</v>
          </cell>
        </row>
        <row r="17298">
          <cell r="C17298" t="str">
            <v>IC</v>
          </cell>
          <cell r="D17298">
            <v>0.2</v>
          </cell>
          <cell r="H17298" t="str">
            <v>petroleum</v>
          </cell>
        </row>
        <row r="17299">
          <cell r="C17299" t="str">
            <v>IC</v>
          </cell>
          <cell r="D17299">
            <v>0.8</v>
          </cell>
          <cell r="H17299" t="str">
            <v>petroleum</v>
          </cell>
        </row>
        <row r="17300">
          <cell r="C17300" t="str">
            <v>IC</v>
          </cell>
          <cell r="D17300">
            <v>0.2</v>
          </cell>
          <cell r="H17300" t="str">
            <v>petroleum</v>
          </cell>
        </row>
        <row r="17301">
          <cell r="C17301" t="str">
            <v>IC</v>
          </cell>
          <cell r="D17301">
            <v>0.5</v>
          </cell>
          <cell r="H17301" t="str">
            <v>petroleum</v>
          </cell>
        </row>
        <row r="17302">
          <cell r="C17302" t="str">
            <v>IC</v>
          </cell>
          <cell r="D17302">
            <v>2.1</v>
          </cell>
          <cell r="H17302" t="str">
            <v>petroleum</v>
          </cell>
        </row>
        <row r="17303">
          <cell r="C17303" t="str">
            <v>IC</v>
          </cell>
          <cell r="D17303">
            <v>2.1</v>
          </cell>
          <cell r="H17303" t="str">
            <v>petroleum</v>
          </cell>
        </row>
        <row r="17304">
          <cell r="C17304" t="str">
            <v>GT</v>
          </cell>
          <cell r="D17304">
            <v>3</v>
          </cell>
          <cell r="H17304" t="str">
            <v>natural gas peaker</v>
          </cell>
        </row>
        <row r="17305">
          <cell r="C17305" t="str">
            <v>IC</v>
          </cell>
          <cell r="D17305">
            <v>2</v>
          </cell>
          <cell r="H17305" t="str">
            <v>petroleum</v>
          </cell>
        </row>
        <row r="17306">
          <cell r="C17306" t="str">
            <v>IC</v>
          </cell>
          <cell r="D17306">
            <v>2</v>
          </cell>
          <cell r="H17306" t="str">
            <v>petroleum</v>
          </cell>
        </row>
        <row r="17307">
          <cell r="C17307" t="str">
            <v>IC</v>
          </cell>
          <cell r="D17307">
            <v>2</v>
          </cell>
          <cell r="H17307" t="str">
            <v>petroleum</v>
          </cell>
        </row>
        <row r="17308">
          <cell r="C17308" t="str">
            <v>IC</v>
          </cell>
          <cell r="D17308">
            <v>18.7</v>
          </cell>
          <cell r="H17308" t="str">
            <v>natural gas peaker</v>
          </cell>
        </row>
        <row r="17309">
          <cell r="C17309" t="str">
            <v>IC</v>
          </cell>
          <cell r="D17309">
            <v>18.7</v>
          </cell>
          <cell r="H17309" t="str">
            <v>natural gas peaker</v>
          </cell>
        </row>
        <row r="17310">
          <cell r="C17310" t="str">
            <v>IC</v>
          </cell>
          <cell r="D17310">
            <v>18.7</v>
          </cell>
          <cell r="H17310" t="str">
            <v>natural gas peaker</v>
          </cell>
        </row>
        <row r="17311">
          <cell r="C17311" t="str">
            <v>IC</v>
          </cell>
          <cell r="D17311">
            <v>18.7</v>
          </cell>
          <cell r="H17311" t="str">
            <v>natural gas peaker</v>
          </cell>
        </row>
        <row r="17312">
          <cell r="C17312" t="str">
            <v>IC</v>
          </cell>
          <cell r="D17312">
            <v>18.7</v>
          </cell>
          <cell r="H17312" t="str">
            <v>natural gas peaker</v>
          </cell>
        </row>
        <row r="17313">
          <cell r="C17313" t="str">
            <v>IC</v>
          </cell>
          <cell r="D17313">
            <v>18.7</v>
          </cell>
          <cell r="H17313" t="str">
            <v>natural gas peaker</v>
          </cell>
        </row>
        <row r="17314">
          <cell r="C17314" t="str">
            <v>IC</v>
          </cell>
          <cell r="D17314">
            <v>18.7</v>
          </cell>
          <cell r="H17314" t="str">
            <v>natural gas peaker</v>
          </cell>
        </row>
        <row r="17315">
          <cell r="C17315" t="str">
            <v>IC</v>
          </cell>
          <cell r="D17315">
            <v>18.7</v>
          </cell>
          <cell r="H17315" t="str">
            <v>natural gas peaker</v>
          </cell>
        </row>
        <row r="17316">
          <cell r="C17316" t="str">
            <v>IC</v>
          </cell>
          <cell r="D17316">
            <v>18.7</v>
          </cell>
          <cell r="H17316" t="str">
            <v>natural gas peaker</v>
          </cell>
        </row>
        <row r="17317">
          <cell r="C17317" t="str">
            <v>IC</v>
          </cell>
          <cell r="D17317">
            <v>18.7</v>
          </cell>
          <cell r="H17317" t="str">
            <v>natural gas peaker</v>
          </cell>
        </row>
        <row r="17318">
          <cell r="C17318" t="str">
            <v>IC</v>
          </cell>
          <cell r="D17318">
            <v>18.7</v>
          </cell>
          <cell r="H17318" t="str">
            <v>natural gas peaker</v>
          </cell>
        </row>
        <row r="17319">
          <cell r="C17319" t="str">
            <v>IC</v>
          </cell>
          <cell r="D17319">
            <v>18.7</v>
          </cell>
          <cell r="H17319" t="str">
            <v>natural gas peaker</v>
          </cell>
        </row>
        <row r="17320">
          <cell r="C17320" t="str">
            <v>IC</v>
          </cell>
          <cell r="D17320">
            <v>1</v>
          </cell>
          <cell r="H17320" t="str">
            <v>biomass</v>
          </cell>
        </row>
        <row r="17321">
          <cell r="C17321" t="str">
            <v>IC</v>
          </cell>
          <cell r="D17321">
            <v>2</v>
          </cell>
          <cell r="H17321" t="str">
            <v>petroleum</v>
          </cell>
        </row>
        <row r="17322">
          <cell r="C17322" t="str">
            <v>IC</v>
          </cell>
          <cell r="D17322">
            <v>2</v>
          </cell>
          <cell r="H17322" t="str">
            <v>natural gas peaker</v>
          </cell>
        </row>
        <row r="17323">
          <cell r="C17323" t="str">
            <v>IC</v>
          </cell>
          <cell r="D17323">
            <v>2</v>
          </cell>
          <cell r="H17323" t="str">
            <v>natural gas peaker</v>
          </cell>
        </row>
        <row r="17324">
          <cell r="C17324" t="str">
            <v>IC</v>
          </cell>
          <cell r="D17324">
            <v>2</v>
          </cell>
          <cell r="H17324" t="str">
            <v>natural gas peaker</v>
          </cell>
        </row>
        <row r="17325">
          <cell r="C17325" t="str">
            <v>IC</v>
          </cell>
          <cell r="D17325">
            <v>2</v>
          </cell>
          <cell r="H17325" t="str">
            <v>natural gas peaker</v>
          </cell>
        </row>
        <row r="17326">
          <cell r="C17326" t="str">
            <v>IC</v>
          </cell>
          <cell r="D17326">
            <v>2</v>
          </cell>
          <cell r="H17326" t="str">
            <v>natural gas peaker</v>
          </cell>
        </row>
        <row r="17327">
          <cell r="C17327" t="str">
            <v>PV</v>
          </cell>
          <cell r="D17327">
            <v>4.7</v>
          </cell>
          <cell r="H17327" t="str">
            <v>solar PV</v>
          </cell>
        </row>
        <row r="17328">
          <cell r="C17328" t="str">
            <v>PV</v>
          </cell>
          <cell r="D17328">
            <v>1</v>
          </cell>
          <cell r="H17328" t="str">
            <v>solar PV</v>
          </cell>
        </row>
        <row r="17329">
          <cell r="C17329" t="str">
            <v>PV</v>
          </cell>
          <cell r="D17329">
            <v>1.9</v>
          </cell>
          <cell r="H17329" t="str">
            <v>solar PV</v>
          </cell>
        </row>
        <row r="17330">
          <cell r="C17330" t="str">
            <v>PV</v>
          </cell>
          <cell r="D17330">
            <v>4.9000000000000004</v>
          </cell>
          <cell r="H17330" t="str">
            <v>solar PV</v>
          </cell>
        </row>
        <row r="17331">
          <cell r="C17331" t="str">
            <v>PV</v>
          </cell>
          <cell r="D17331">
            <v>4.9000000000000004</v>
          </cell>
          <cell r="H17331" t="str">
            <v>solar PV</v>
          </cell>
        </row>
        <row r="17332">
          <cell r="C17332" t="str">
            <v>PV</v>
          </cell>
          <cell r="D17332">
            <v>4</v>
          </cell>
          <cell r="H17332" t="str">
            <v>solar PV</v>
          </cell>
        </row>
        <row r="17333">
          <cell r="C17333" t="str">
            <v>PV</v>
          </cell>
          <cell r="D17333">
            <v>5</v>
          </cell>
          <cell r="H17333" t="str">
            <v>solar PV</v>
          </cell>
        </row>
        <row r="17334">
          <cell r="C17334" t="str">
            <v>HY</v>
          </cell>
          <cell r="D17334">
            <v>1.3</v>
          </cell>
          <cell r="H17334" t="str">
            <v>hydro</v>
          </cell>
        </row>
        <row r="17335">
          <cell r="C17335" t="str">
            <v>IC</v>
          </cell>
          <cell r="D17335">
            <v>0.3</v>
          </cell>
          <cell r="H17335" t="str">
            <v>petroleum</v>
          </cell>
        </row>
        <row r="17336">
          <cell r="C17336" t="str">
            <v>GT</v>
          </cell>
          <cell r="D17336">
            <v>4.5</v>
          </cell>
          <cell r="H17336" t="str">
            <v>natural gas peaker</v>
          </cell>
        </row>
        <row r="17337">
          <cell r="C17337" t="str">
            <v>GT</v>
          </cell>
          <cell r="D17337">
            <v>4.5</v>
          </cell>
          <cell r="H17337" t="str">
            <v>natural gas peaker</v>
          </cell>
        </row>
        <row r="17338">
          <cell r="C17338" t="str">
            <v>GT</v>
          </cell>
          <cell r="D17338">
            <v>6.9</v>
          </cell>
          <cell r="H17338" t="str">
            <v>natural gas peaker</v>
          </cell>
        </row>
        <row r="17339">
          <cell r="C17339" t="str">
            <v>GT</v>
          </cell>
          <cell r="D17339">
            <v>6.9</v>
          </cell>
          <cell r="H17339" t="str">
            <v>natural gas peaker</v>
          </cell>
        </row>
        <row r="17340">
          <cell r="C17340" t="str">
            <v>PV</v>
          </cell>
          <cell r="D17340">
            <v>5</v>
          </cell>
          <cell r="H17340" t="str">
            <v>solar PV</v>
          </cell>
        </row>
        <row r="17341">
          <cell r="C17341" t="str">
            <v>PV</v>
          </cell>
          <cell r="D17341">
            <v>3</v>
          </cell>
          <cell r="H17341" t="str">
            <v>solar PV</v>
          </cell>
        </row>
        <row r="17342">
          <cell r="C17342" t="str">
            <v>PV</v>
          </cell>
          <cell r="D17342">
            <v>14.7</v>
          </cell>
          <cell r="H17342" t="str">
            <v>solar PV</v>
          </cell>
        </row>
        <row r="17343">
          <cell r="C17343" t="str">
            <v>PV</v>
          </cell>
          <cell r="D17343">
            <v>6</v>
          </cell>
          <cell r="H17343" t="str">
            <v>solar PV</v>
          </cell>
        </row>
        <row r="17344">
          <cell r="C17344" t="str">
            <v>PV</v>
          </cell>
          <cell r="D17344">
            <v>4.5</v>
          </cell>
          <cell r="H17344" t="str">
            <v>solar PV</v>
          </cell>
        </row>
        <row r="17345">
          <cell r="C17345" t="str">
            <v>GT</v>
          </cell>
          <cell r="D17345">
            <v>41</v>
          </cell>
          <cell r="H17345" t="str">
            <v>natural gas peaker</v>
          </cell>
        </row>
        <row r="17346">
          <cell r="C17346" t="str">
            <v>PV</v>
          </cell>
          <cell r="D17346">
            <v>1.5</v>
          </cell>
          <cell r="H17346" t="str">
            <v>solar PV</v>
          </cell>
        </row>
        <row r="17347">
          <cell r="C17347" t="str">
            <v>PV</v>
          </cell>
          <cell r="D17347">
            <v>1.5</v>
          </cell>
          <cell r="H17347" t="str">
            <v>solar PV</v>
          </cell>
        </row>
        <row r="17348">
          <cell r="C17348" t="str">
            <v>PV</v>
          </cell>
          <cell r="D17348">
            <v>1.1000000000000001</v>
          </cell>
          <cell r="H17348" t="str">
            <v>solar PV</v>
          </cell>
        </row>
        <row r="17349">
          <cell r="C17349" t="str">
            <v>PV</v>
          </cell>
          <cell r="D17349">
            <v>1.3</v>
          </cell>
          <cell r="H17349" t="str">
            <v>solar PV</v>
          </cell>
        </row>
        <row r="17350">
          <cell r="C17350" t="str">
            <v>FC</v>
          </cell>
          <cell r="D17350">
            <v>1</v>
          </cell>
          <cell r="H17350" t="str">
            <v>other</v>
          </cell>
        </row>
        <row r="17351">
          <cell r="C17351" t="str">
            <v>FC</v>
          </cell>
          <cell r="D17351">
            <v>1</v>
          </cell>
          <cell r="H17351" t="str">
            <v>other</v>
          </cell>
        </row>
        <row r="17352">
          <cell r="C17352" t="str">
            <v>FC</v>
          </cell>
          <cell r="D17352">
            <v>1</v>
          </cell>
          <cell r="H17352" t="str">
            <v>other</v>
          </cell>
        </row>
        <row r="17353">
          <cell r="C17353" t="str">
            <v>FC</v>
          </cell>
          <cell r="D17353">
            <v>1</v>
          </cell>
          <cell r="H17353" t="str">
            <v>other</v>
          </cell>
        </row>
        <row r="17354">
          <cell r="C17354" t="str">
            <v>FC</v>
          </cell>
          <cell r="D17354">
            <v>1</v>
          </cell>
          <cell r="H17354" t="str">
            <v>other</v>
          </cell>
        </row>
        <row r="17355">
          <cell r="C17355" t="str">
            <v>FC</v>
          </cell>
          <cell r="D17355">
            <v>1</v>
          </cell>
          <cell r="H17355" t="str">
            <v>other</v>
          </cell>
        </row>
        <row r="17356">
          <cell r="C17356" t="str">
            <v>FC</v>
          </cell>
          <cell r="D17356">
            <v>1</v>
          </cell>
          <cell r="H17356" t="str">
            <v>other</v>
          </cell>
        </row>
        <row r="17357">
          <cell r="C17357" t="str">
            <v>FC</v>
          </cell>
          <cell r="D17357">
            <v>1</v>
          </cell>
          <cell r="H17357" t="str">
            <v>other</v>
          </cell>
        </row>
        <row r="17358">
          <cell r="C17358" t="str">
            <v>PV</v>
          </cell>
          <cell r="D17358">
            <v>1.5</v>
          </cell>
          <cell r="H17358" t="str">
            <v>solar PV</v>
          </cell>
        </row>
        <row r="17359">
          <cell r="C17359" t="str">
            <v>PV</v>
          </cell>
          <cell r="D17359">
            <v>1.5</v>
          </cell>
          <cell r="H17359" t="str">
            <v>solar PV</v>
          </cell>
        </row>
        <row r="17360">
          <cell r="C17360" t="str">
            <v>PV</v>
          </cell>
          <cell r="D17360">
            <v>0.7</v>
          </cell>
          <cell r="H17360" t="str">
            <v>solar PV</v>
          </cell>
        </row>
        <row r="17361">
          <cell r="C17361" t="str">
            <v>PV</v>
          </cell>
          <cell r="D17361">
            <v>1</v>
          </cell>
          <cell r="H17361" t="str">
            <v>solar PV</v>
          </cell>
        </row>
        <row r="17362">
          <cell r="C17362" t="str">
            <v>PV</v>
          </cell>
          <cell r="D17362">
            <v>1</v>
          </cell>
          <cell r="H17362" t="str">
            <v>solar PV</v>
          </cell>
        </row>
        <row r="17363">
          <cell r="C17363" t="str">
            <v>PV</v>
          </cell>
          <cell r="D17363">
            <v>1</v>
          </cell>
          <cell r="H17363" t="str">
            <v>solar PV</v>
          </cell>
        </row>
        <row r="17364">
          <cell r="C17364" t="str">
            <v>PV</v>
          </cell>
          <cell r="D17364">
            <v>1.5</v>
          </cell>
          <cell r="H17364" t="str">
            <v>solar PV</v>
          </cell>
        </row>
        <row r="17365">
          <cell r="C17365" t="str">
            <v>PV</v>
          </cell>
          <cell r="D17365">
            <v>1.5</v>
          </cell>
          <cell r="H17365" t="str">
            <v>solar PV</v>
          </cell>
        </row>
        <row r="17366">
          <cell r="C17366" t="str">
            <v>PV</v>
          </cell>
          <cell r="D17366">
            <v>0.5</v>
          </cell>
          <cell r="H17366" t="str">
            <v>solar PV</v>
          </cell>
        </row>
        <row r="17367">
          <cell r="C17367" t="str">
            <v>PV</v>
          </cell>
          <cell r="D17367">
            <v>1.5</v>
          </cell>
          <cell r="H17367" t="str">
            <v>solar PV</v>
          </cell>
        </row>
        <row r="17368">
          <cell r="C17368" t="str">
            <v>PV</v>
          </cell>
          <cell r="D17368">
            <v>1.5</v>
          </cell>
          <cell r="H17368" t="str">
            <v>solar PV</v>
          </cell>
        </row>
        <row r="17369">
          <cell r="C17369" t="str">
            <v>PV</v>
          </cell>
          <cell r="D17369">
            <v>1.5</v>
          </cell>
          <cell r="H17369" t="str">
            <v>solar PV</v>
          </cell>
        </row>
        <row r="17370">
          <cell r="C17370" t="str">
            <v>PV</v>
          </cell>
          <cell r="D17370">
            <v>1</v>
          </cell>
          <cell r="H17370" t="str">
            <v>solar PV</v>
          </cell>
        </row>
        <row r="17371">
          <cell r="C17371" t="str">
            <v>PV</v>
          </cell>
          <cell r="D17371">
            <v>1</v>
          </cell>
          <cell r="H17371" t="str">
            <v>solar PV</v>
          </cell>
        </row>
        <row r="17372">
          <cell r="C17372" t="str">
            <v>PV</v>
          </cell>
          <cell r="D17372">
            <v>1</v>
          </cell>
          <cell r="H17372" t="str">
            <v>solar PV</v>
          </cell>
        </row>
        <row r="17373">
          <cell r="C17373" t="str">
            <v>PV</v>
          </cell>
          <cell r="D17373">
            <v>1.5</v>
          </cell>
          <cell r="H17373" t="str">
            <v>solar PV</v>
          </cell>
        </row>
        <row r="17374">
          <cell r="C17374" t="str">
            <v>ST</v>
          </cell>
          <cell r="D17374">
            <v>28</v>
          </cell>
          <cell r="H17374" t="str">
            <v>other</v>
          </cell>
        </row>
        <row r="17375">
          <cell r="C17375" t="str">
            <v>PV</v>
          </cell>
          <cell r="D17375">
            <v>5</v>
          </cell>
          <cell r="H17375" t="str">
            <v>solar PV</v>
          </cell>
        </row>
        <row r="17376">
          <cell r="C17376" t="str">
            <v>PV</v>
          </cell>
          <cell r="D17376">
            <v>4</v>
          </cell>
          <cell r="H17376" t="str">
            <v>solar PV</v>
          </cell>
        </row>
        <row r="17377">
          <cell r="C17377" t="str">
            <v>PV</v>
          </cell>
          <cell r="D17377">
            <v>5</v>
          </cell>
          <cell r="H17377" t="str">
            <v>solar PV</v>
          </cell>
        </row>
        <row r="17378">
          <cell r="C17378" t="str">
            <v>PV</v>
          </cell>
          <cell r="D17378">
            <v>4</v>
          </cell>
          <cell r="H17378" t="str">
            <v>solar PV</v>
          </cell>
        </row>
        <row r="17379">
          <cell r="C17379" t="str">
            <v>PV</v>
          </cell>
          <cell r="D17379">
            <v>5</v>
          </cell>
          <cell r="H17379" t="str">
            <v>solar PV</v>
          </cell>
        </row>
        <row r="17380">
          <cell r="C17380" t="str">
            <v>PV</v>
          </cell>
          <cell r="D17380">
            <v>5</v>
          </cell>
          <cell r="H17380" t="str">
            <v>solar PV</v>
          </cell>
        </row>
        <row r="17381">
          <cell r="C17381" t="str">
            <v>PV</v>
          </cell>
          <cell r="D17381">
            <v>5</v>
          </cell>
          <cell r="H17381" t="str">
            <v>solar PV</v>
          </cell>
        </row>
        <row r="17382">
          <cell r="C17382" t="str">
            <v>PV</v>
          </cell>
          <cell r="D17382">
            <v>1</v>
          </cell>
          <cell r="H17382" t="str">
            <v>solar PV</v>
          </cell>
        </row>
        <row r="17383">
          <cell r="C17383" t="str">
            <v>BT</v>
          </cell>
          <cell r="D17383">
            <v>10</v>
          </cell>
          <cell r="H17383" t="str">
            <v>geothermal</v>
          </cell>
        </row>
        <row r="17384">
          <cell r="C17384" t="str">
            <v>BT</v>
          </cell>
          <cell r="D17384">
            <v>10</v>
          </cell>
          <cell r="H17384" t="str">
            <v>geothermal</v>
          </cell>
        </row>
        <row r="17385">
          <cell r="C17385" t="str">
            <v>BT</v>
          </cell>
          <cell r="D17385">
            <v>10</v>
          </cell>
          <cell r="H17385" t="str">
            <v>geothermal</v>
          </cell>
        </row>
        <row r="17386">
          <cell r="C17386" t="str">
            <v>PV</v>
          </cell>
          <cell r="D17386">
            <v>10.6</v>
          </cell>
          <cell r="H17386" t="str">
            <v>solar PV</v>
          </cell>
        </row>
        <row r="17387">
          <cell r="C17387" t="str">
            <v>IC</v>
          </cell>
          <cell r="D17387">
            <v>1.5</v>
          </cell>
          <cell r="H17387" t="str">
            <v>biomass</v>
          </cell>
        </row>
        <row r="17388">
          <cell r="C17388" t="str">
            <v>WT</v>
          </cell>
          <cell r="D17388">
            <v>150</v>
          </cell>
          <cell r="H17388" t="str">
            <v>onshore wind</v>
          </cell>
        </row>
        <row r="17389">
          <cell r="C17389" t="str">
            <v>WT</v>
          </cell>
          <cell r="D17389">
            <v>206.5</v>
          </cell>
          <cell r="H17389" t="str">
            <v>onshore wind</v>
          </cell>
        </row>
        <row r="17390">
          <cell r="C17390" t="str">
            <v>PV</v>
          </cell>
          <cell r="D17390">
            <v>5</v>
          </cell>
          <cell r="H17390" t="str">
            <v>solar PV</v>
          </cell>
        </row>
        <row r="17391">
          <cell r="C17391" t="str">
            <v>WT</v>
          </cell>
          <cell r="D17391">
            <v>98.9</v>
          </cell>
          <cell r="H17391" t="str">
            <v>onshore wind</v>
          </cell>
        </row>
        <row r="17392">
          <cell r="C17392" t="str">
            <v>GT</v>
          </cell>
          <cell r="D17392">
            <v>122</v>
          </cell>
          <cell r="H17392" t="str">
            <v>natural gas peaker</v>
          </cell>
        </row>
        <row r="17393">
          <cell r="C17393" t="str">
            <v>IC</v>
          </cell>
          <cell r="D17393">
            <v>1.4</v>
          </cell>
          <cell r="H17393" t="str">
            <v>biomass</v>
          </cell>
        </row>
        <row r="17394">
          <cell r="C17394" t="str">
            <v>IC</v>
          </cell>
          <cell r="D17394">
            <v>1.4</v>
          </cell>
          <cell r="H17394" t="str">
            <v>biomass</v>
          </cell>
        </row>
        <row r="17395">
          <cell r="C17395" t="str">
            <v>IC</v>
          </cell>
          <cell r="D17395">
            <v>1.4</v>
          </cell>
          <cell r="H17395" t="str">
            <v>biomass</v>
          </cell>
        </row>
        <row r="17396">
          <cell r="C17396" t="str">
            <v>IC</v>
          </cell>
          <cell r="D17396">
            <v>1.4</v>
          </cell>
          <cell r="H17396" t="str">
            <v>biomass</v>
          </cell>
        </row>
        <row r="17397">
          <cell r="C17397" t="str">
            <v>IC</v>
          </cell>
          <cell r="D17397">
            <v>1.5</v>
          </cell>
          <cell r="H17397" t="str">
            <v>natural gas peaker</v>
          </cell>
        </row>
        <row r="17398">
          <cell r="C17398" t="str">
            <v>IC</v>
          </cell>
          <cell r="D17398">
            <v>1.2</v>
          </cell>
          <cell r="H17398" t="str">
            <v>natural gas peaker</v>
          </cell>
        </row>
        <row r="17399">
          <cell r="C17399" t="str">
            <v>IC</v>
          </cell>
          <cell r="D17399">
            <v>1.2</v>
          </cell>
          <cell r="H17399" t="str">
            <v>natural gas peaker</v>
          </cell>
        </row>
        <row r="17400">
          <cell r="C17400" t="str">
            <v>IC</v>
          </cell>
          <cell r="D17400">
            <v>1.9</v>
          </cell>
          <cell r="H17400" t="str">
            <v>natural gas peaker</v>
          </cell>
        </row>
        <row r="17401">
          <cell r="C17401" t="str">
            <v>GT</v>
          </cell>
          <cell r="D17401">
            <v>5.2</v>
          </cell>
          <cell r="H17401" t="str">
            <v>natural gas peaker</v>
          </cell>
        </row>
        <row r="17402">
          <cell r="C17402" t="str">
            <v>GT</v>
          </cell>
          <cell r="D17402">
            <v>7.1</v>
          </cell>
          <cell r="H17402" t="str">
            <v>natural gas peaker</v>
          </cell>
        </row>
        <row r="17403">
          <cell r="C17403" t="str">
            <v>PV</v>
          </cell>
          <cell r="D17403">
            <v>2.8</v>
          </cell>
          <cell r="H17403" t="str">
            <v>solar PV</v>
          </cell>
        </row>
        <row r="17404">
          <cell r="C17404" t="str">
            <v>ST</v>
          </cell>
          <cell r="D17404">
            <v>0.2</v>
          </cell>
          <cell r="H17404" t="str">
            <v>natural gas peaker</v>
          </cell>
        </row>
        <row r="17405">
          <cell r="C17405" t="str">
            <v>GT</v>
          </cell>
          <cell r="D17405">
            <v>6</v>
          </cell>
          <cell r="H17405" t="str">
            <v>natural gas peaker</v>
          </cell>
        </row>
        <row r="17406">
          <cell r="C17406" t="str">
            <v>PV</v>
          </cell>
          <cell r="D17406">
            <v>5</v>
          </cell>
          <cell r="H17406" t="str">
            <v>solar PV</v>
          </cell>
        </row>
        <row r="17407">
          <cell r="C17407" t="str">
            <v>PV</v>
          </cell>
          <cell r="D17407">
            <v>5</v>
          </cell>
          <cell r="H17407" t="str">
            <v>solar PV</v>
          </cell>
        </row>
        <row r="17408">
          <cell r="C17408" t="str">
            <v>PV</v>
          </cell>
          <cell r="D17408">
            <v>5</v>
          </cell>
          <cell r="H17408" t="str">
            <v>solar PV</v>
          </cell>
        </row>
        <row r="17409">
          <cell r="C17409" t="str">
            <v>PV</v>
          </cell>
          <cell r="D17409">
            <v>5</v>
          </cell>
          <cell r="H17409" t="str">
            <v>solar PV</v>
          </cell>
        </row>
        <row r="17410">
          <cell r="C17410" t="str">
            <v>PV</v>
          </cell>
          <cell r="D17410">
            <v>5</v>
          </cell>
          <cell r="H17410" t="str">
            <v>solar PV</v>
          </cell>
        </row>
        <row r="17411">
          <cell r="C17411" t="str">
            <v>PV</v>
          </cell>
          <cell r="D17411">
            <v>5</v>
          </cell>
          <cell r="H17411" t="str">
            <v>solar PV</v>
          </cell>
        </row>
        <row r="17412">
          <cell r="C17412" t="str">
            <v>PV</v>
          </cell>
          <cell r="D17412">
            <v>5</v>
          </cell>
          <cell r="H17412" t="str">
            <v>solar PV</v>
          </cell>
        </row>
        <row r="17413">
          <cell r="C17413" t="str">
            <v>PV</v>
          </cell>
          <cell r="D17413">
            <v>5</v>
          </cell>
          <cell r="H17413" t="str">
            <v>solar PV</v>
          </cell>
        </row>
        <row r="17414">
          <cell r="C17414" t="str">
            <v>PV</v>
          </cell>
          <cell r="D17414">
            <v>5</v>
          </cell>
          <cell r="H17414" t="str">
            <v>solar PV</v>
          </cell>
        </row>
        <row r="17415">
          <cell r="C17415" t="str">
            <v>PV</v>
          </cell>
          <cell r="D17415">
            <v>5</v>
          </cell>
          <cell r="H17415" t="str">
            <v>solar PV</v>
          </cell>
        </row>
        <row r="17416">
          <cell r="C17416" t="str">
            <v>PV</v>
          </cell>
          <cell r="D17416">
            <v>5</v>
          </cell>
          <cell r="H17416" t="str">
            <v>solar PV</v>
          </cell>
        </row>
        <row r="17417">
          <cell r="C17417" t="str">
            <v>PV</v>
          </cell>
          <cell r="D17417">
            <v>5</v>
          </cell>
          <cell r="H17417" t="str">
            <v>solar PV</v>
          </cell>
        </row>
        <row r="17418">
          <cell r="C17418" t="str">
            <v>PV</v>
          </cell>
          <cell r="D17418">
            <v>5</v>
          </cell>
          <cell r="H17418" t="str">
            <v>solar PV</v>
          </cell>
        </row>
        <row r="17419">
          <cell r="C17419" t="str">
            <v>PV</v>
          </cell>
          <cell r="D17419">
            <v>5</v>
          </cell>
          <cell r="H17419" t="str">
            <v>solar PV</v>
          </cell>
        </row>
        <row r="17420">
          <cell r="C17420" t="str">
            <v>PV</v>
          </cell>
          <cell r="D17420">
            <v>5</v>
          </cell>
          <cell r="H17420" t="str">
            <v>solar PV</v>
          </cell>
        </row>
        <row r="17421">
          <cell r="C17421" t="str">
            <v>PV</v>
          </cell>
          <cell r="D17421">
            <v>5</v>
          </cell>
          <cell r="H17421" t="str">
            <v>solar PV</v>
          </cell>
        </row>
        <row r="17422">
          <cell r="C17422" t="str">
            <v>PV</v>
          </cell>
          <cell r="D17422">
            <v>5</v>
          </cell>
          <cell r="H17422" t="str">
            <v>solar PV</v>
          </cell>
        </row>
        <row r="17423">
          <cell r="C17423" t="str">
            <v>PV</v>
          </cell>
          <cell r="D17423">
            <v>5</v>
          </cell>
          <cell r="H17423" t="str">
            <v>solar PV</v>
          </cell>
        </row>
        <row r="17424">
          <cell r="C17424" t="str">
            <v>PV</v>
          </cell>
          <cell r="D17424">
            <v>5</v>
          </cell>
          <cell r="H17424" t="str">
            <v>solar PV</v>
          </cell>
        </row>
        <row r="17425">
          <cell r="C17425" t="str">
            <v>WT</v>
          </cell>
          <cell r="D17425">
            <v>120</v>
          </cell>
          <cell r="H17425" t="str">
            <v>onshore wind</v>
          </cell>
        </row>
        <row r="17426">
          <cell r="C17426" t="str">
            <v>ST</v>
          </cell>
          <cell r="D17426">
            <v>20</v>
          </cell>
          <cell r="H17426" t="str">
            <v>biomass</v>
          </cell>
        </row>
        <row r="17427">
          <cell r="C17427" t="str">
            <v>PV</v>
          </cell>
          <cell r="D17427">
            <v>1.5</v>
          </cell>
          <cell r="H17427" t="str">
            <v>solar PV</v>
          </cell>
        </row>
        <row r="17428">
          <cell r="C17428" t="str">
            <v>PV</v>
          </cell>
          <cell r="D17428">
            <v>1.5</v>
          </cell>
          <cell r="H17428" t="str">
            <v>solar PV</v>
          </cell>
        </row>
        <row r="17429">
          <cell r="C17429" t="str">
            <v>PV</v>
          </cell>
          <cell r="D17429">
            <v>5.2</v>
          </cell>
          <cell r="H17429" t="str">
            <v>solar PV</v>
          </cell>
        </row>
        <row r="17430">
          <cell r="C17430" t="str">
            <v>PV</v>
          </cell>
          <cell r="D17430">
            <v>4.2</v>
          </cell>
          <cell r="H17430" t="str">
            <v>solar PV</v>
          </cell>
        </row>
        <row r="17431">
          <cell r="C17431" t="str">
            <v>PV</v>
          </cell>
          <cell r="D17431">
            <v>4.0999999999999996</v>
          </cell>
          <cell r="H17431" t="str">
            <v>solar PV</v>
          </cell>
        </row>
        <row r="17432">
          <cell r="C17432" t="str">
            <v>PV</v>
          </cell>
          <cell r="D17432">
            <v>2.2999999999999998</v>
          </cell>
          <cell r="H17432" t="str">
            <v>solar PV</v>
          </cell>
        </row>
        <row r="17433">
          <cell r="C17433" t="str">
            <v>PV</v>
          </cell>
          <cell r="D17433">
            <v>2.2000000000000002</v>
          </cell>
          <cell r="H17433" t="str">
            <v>solar PV</v>
          </cell>
        </row>
        <row r="17434">
          <cell r="C17434" t="str">
            <v>PV</v>
          </cell>
          <cell r="D17434">
            <v>3</v>
          </cell>
          <cell r="H17434" t="str">
            <v>solar PV</v>
          </cell>
        </row>
        <row r="17435">
          <cell r="C17435" t="str">
            <v>PV</v>
          </cell>
          <cell r="D17435">
            <v>3.5</v>
          </cell>
          <cell r="H17435" t="str">
            <v>solar PV</v>
          </cell>
        </row>
        <row r="17436">
          <cell r="C17436" t="str">
            <v>WT</v>
          </cell>
          <cell r="D17436">
            <v>79.599999999999994</v>
          </cell>
          <cell r="H17436" t="str">
            <v>onshore wind</v>
          </cell>
        </row>
        <row r="17437">
          <cell r="C17437" t="str">
            <v>PV</v>
          </cell>
          <cell r="D17437">
            <v>3</v>
          </cell>
          <cell r="H17437" t="str">
            <v>solar PV</v>
          </cell>
        </row>
        <row r="17438">
          <cell r="C17438" t="str">
            <v>FC</v>
          </cell>
          <cell r="D17438">
            <v>0.4</v>
          </cell>
          <cell r="H17438" t="str">
            <v>other</v>
          </cell>
        </row>
        <row r="17439">
          <cell r="C17439" t="str">
            <v>PV</v>
          </cell>
          <cell r="D17439">
            <v>20.2</v>
          </cell>
          <cell r="H17439" t="str">
            <v>solar PV</v>
          </cell>
        </row>
        <row r="17440">
          <cell r="C17440" t="str">
            <v>PV</v>
          </cell>
          <cell r="D17440">
            <v>1</v>
          </cell>
          <cell r="H17440" t="str">
            <v>solar PV</v>
          </cell>
        </row>
        <row r="17441">
          <cell r="C17441" t="str">
            <v>PV</v>
          </cell>
          <cell r="D17441">
            <v>2.5</v>
          </cell>
          <cell r="H17441" t="str">
            <v>solar PV</v>
          </cell>
        </row>
        <row r="17442">
          <cell r="C17442" t="str">
            <v>WT</v>
          </cell>
          <cell r="D17442">
            <v>135.4</v>
          </cell>
          <cell r="H17442" t="str">
            <v>onshore wind</v>
          </cell>
        </row>
        <row r="17443">
          <cell r="C17443" t="str">
            <v>PV</v>
          </cell>
          <cell r="D17443">
            <v>20</v>
          </cell>
          <cell r="H17443" t="str">
            <v>solar PV</v>
          </cell>
        </row>
        <row r="17444">
          <cell r="C17444" t="str">
            <v>PV</v>
          </cell>
          <cell r="D17444">
            <v>20</v>
          </cell>
          <cell r="H17444" t="str">
            <v>solar PV</v>
          </cell>
        </row>
        <row r="17445">
          <cell r="C17445" t="str">
            <v>IC</v>
          </cell>
          <cell r="D17445">
            <v>0.8</v>
          </cell>
          <cell r="H17445" t="str">
            <v>natural gas peaker</v>
          </cell>
        </row>
        <row r="17446">
          <cell r="C17446" t="str">
            <v>IC</v>
          </cell>
          <cell r="D17446">
            <v>0.8</v>
          </cell>
          <cell r="H17446" t="str">
            <v>natural gas peaker</v>
          </cell>
        </row>
        <row r="17447">
          <cell r="C17447" t="str">
            <v>IC</v>
          </cell>
          <cell r="D17447">
            <v>0.8</v>
          </cell>
          <cell r="H17447" t="str">
            <v>natural gas peaker</v>
          </cell>
        </row>
        <row r="17448">
          <cell r="C17448" t="str">
            <v>IC</v>
          </cell>
          <cell r="D17448">
            <v>0.8</v>
          </cell>
          <cell r="H17448" t="str">
            <v>natural gas peaker</v>
          </cell>
        </row>
        <row r="17449">
          <cell r="C17449" t="str">
            <v>IC</v>
          </cell>
          <cell r="D17449">
            <v>0.4</v>
          </cell>
          <cell r="H17449" t="str">
            <v>natural gas peaker</v>
          </cell>
        </row>
        <row r="17450">
          <cell r="C17450" t="str">
            <v>PV</v>
          </cell>
          <cell r="D17450">
            <v>1.5</v>
          </cell>
          <cell r="H17450" t="str">
            <v>solar PV</v>
          </cell>
        </row>
        <row r="17451">
          <cell r="C17451" t="str">
            <v>IC</v>
          </cell>
          <cell r="D17451">
            <v>1.6</v>
          </cell>
          <cell r="H17451" t="str">
            <v>biomass</v>
          </cell>
        </row>
        <row r="17452">
          <cell r="C17452" t="str">
            <v>IC</v>
          </cell>
          <cell r="D17452">
            <v>1.6</v>
          </cell>
          <cell r="H17452" t="str">
            <v>biomass</v>
          </cell>
        </row>
        <row r="17453">
          <cell r="C17453" t="str">
            <v>IC</v>
          </cell>
          <cell r="D17453">
            <v>1.6</v>
          </cell>
          <cell r="H17453" t="str">
            <v>biomass</v>
          </cell>
        </row>
        <row r="17454">
          <cell r="C17454" t="str">
            <v>GT</v>
          </cell>
          <cell r="D17454">
            <v>74</v>
          </cell>
          <cell r="H17454" t="str">
            <v>natural gas peaker</v>
          </cell>
        </row>
        <row r="17455">
          <cell r="C17455" t="str">
            <v>IC</v>
          </cell>
          <cell r="D17455">
            <v>1.5</v>
          </cell>
          <cell r="H17455" t="str">
            <v>biomass</v>
          </cell>
        </row>
        <row r="17456">
          <cell r="C17456" t="str">
            <v>IC</v>
          </cell>
          <cell r="D17456">
            <v>1.4</v>
          </cell>
          <cell r="H17456" t="str">
            <v>biomass</v>
          </cell>
        </row>
        <row r="17457">
          <cell r="C17457" t="str">
            <v>IC</v>
          </cell>
          <cell r="D17457">
            <v>1.4</v>
          </cell>
          <cell r="H17457" t="str">
            <v>biomass</v>
          </cell>
        </row>
        <row r="17458">
          <cell r="C17458" t="str">
            <v>IC</v>
          </cell>
          <cell r="D17458">
            <v>1.4</v>
          </cell>
          <cell r="H17458" t="str">
            <v>biomass</v>
          </cell>
        </row>
        <row r="17459">
          <cell r="C17459" t="str">
            <v>IC</v>
          </cell>
          <cell r="D17459">
            <v>1.4</v>
          </cell>
          <cell r="H17459" t="str">
            <v>biomass</v>
          </cell>
        </row>
        <row r="17460">
          <cell r="C17460" t="str">
            <v>IC</v>
          </cell>
          <cell r="D17460">
            <v>1.4</v>
          </cell>
          <cell r="H17460" t="str">
            <v>biomass</v>
          </cell>
        </row>
        <row r="17461">
          <cell r="C17461" t="str">
            <v>PV</v>
          </cell>
          <cell r="D17461">
            <v>1.8</v>
          </cell>
          <cell r="H17461" t="str">
            <v>solar PV</v>
          </cell>
        </row>
        <row r="17462">
          <cell r="C17462" t="str">
            <v>IC</v>
          </cell>
          <cell r="D17462">
            <v>1.6</v>
          </cell>
          <cell r="H17462" t="str">
            <v>biomass</v>
          </cell>
        </row>
        <row r="17463">
          <cell r="C17463" t="str">
            <v>IC</v>
          </cell>
          <cell r="D17463">
            <v>1.6</v>
          </cell>
          <cell r="H17463" t="str">
            <v>biomass</v>
          </cell>
        </row>
        <row r="17464">
          <cell r="C17464" t="str">
            <v>IC</v>
          </cell>
          <cell r="D17464">
            <v>1.6</v>
          </cell>
          <cell r="H17464" t="str">
            <v>biomass</v>
          </cell>
        </row>
        <row r="17465">
          <cell r="C17465" t="str">
            <v>PV</v>
          </cell>
          <cell r="D17465">
            <v>14</v>
          </cell>
          <cell r="H17465" t="str">
            <v>solar PV</v>
          </cell>
        </row>
        <row r="17466">
          <cell r="C17466" t="str">
            <v>HY</v>
          </cell>
          <cell r="D17466">
            <v>1.1000000000000001</v>
          </cell>
          <cell r="H17466" t="str">
            <v>hydro</v>
          </cell>
        </row>
        <row r="17467">
          <cell r="C17467" t="str">
            <v>PV</v>
          </cell>
          <cell r="D17467">
            <v>1.9</v>
          </cell>
          <cell r="H17467" t="str">
            <v>solar PV</v>
          </cell>
        </row>
        <row r="17468">
          <cell r="C17468" t="str">
            <v>PV</v>
          </cell>
          <cell r="D17468">
            <v>1.8</v>
          </cell>
          <cell r="H17468" t="str">
            <v>solar PV</v>
          </cell>
        </row>
        <row r="17469">
          <cell r="C17469" t="str">
            <v>PV</v>
          </cell>
          <cell r="D17469">
            <v>2</v>
          </cell>
          <cell r="H17469" t="str">
            <v>solar PV</v>
          </cell>
        </row>
        <row r="17470">
          <cell r="C17470" t="str">
            <v>PV</v>
          </cell>
          <cell r="D17470">
            <v>38</v>
          </cell>
          <cell r="H17470" t="str">
            <v>solar PV</v>
          </cell>
        </row>
        <row r="17471">
          <cell r="C17471" t="str">
            <v>PV</v>
          </cell>
          <cell r="D17471">
            <v>52.6</v>
          </cell>
          <cell r="H17471" t="str">
            <v>solar PV</v>
          </cell>
        </row>
        <row r="17472">
          <cell r="C17472" t="str">
            <v>PV</v>
          </cell>
          <cell r="D17472">
            <v>52.6</v>
          </cell>
          <cell r="H17472" t="str">
            <v>solar PV</v>
          </cell>
        </row>
        <row r="17473">
          <cell r="C17473" t="str">
            <v>PV</v>
          </cell>
          <cell r="D17473">
            <v>57</v>
          </cell>
          <cell r="H17473" t="str">
            <v>solar PV</v>
          </cell>
        </row>
        <row r="17474">
          <cell r="C17474" t="str">
            <v>PV</v>
          </cell>
          <cell r="D17474">
            <v>32.200000000000003</v>
          </cell>
          <cell r="H17474" t="str">
            <v>solar PV</v>
          </cell>
        </row>
        <row r="17475">
          <cell r="C17475" t="str">
            <v>PV</v>
          </cell>
          <cell r="D17475">
            <v>14.6</v>
          </cell>
          <cell r="H17475" t="str">
            <v>solar PV</v>
          </cell>
        </row>
        <row r="17476">
          <cell r="C17476" t="str">
            <v>PV</v>
          </cell>
          <cell r="D17476">
            <v>62.9</v>
          </cell>
          <cell r="H17476" t="str">
            <v>solar PV</v>
          </cell>
        </row>
        <row r="17477">
          <cell r="C17477" t="str">
            <v>PV</v>
          </cell>
          <cell r="D17477">
            <v>19</v>
          </cell>
          <cell r="H17477" t="str">
            <v>solar PV</v>
          </cell>
        </row>
        <row r="17478">
          <cell r="C17478" t="str">
            <v>PV</v>
          </cell>
          <cell r="D17478">
            <v>59</v>
          </cell>
          <cell r="H17478" t="str">
            <v>solar PV</v>
          </cell>
        </row>
        <row r="17479">
          <cell r="C17479" t="str">
            <v>PV</v>
          </cell>
          <cell r="D17479">
            <v>55</v>
          </cell>
          <cell r="H17479" t="str">
            <v>solar PV</v>
          </cell>
        </row>
        <row r="17480">
          <cell r="C17480" t="str">
            <v>PV</v>
          </cell>
          <cell r="D17480">
            <v>47</v>
          </cell>
          <cell r="H17480" t="str">
            <v>solar PV</v>
          </cell>
        </row>
        <row r="17481">
          <cell r="C17481" t="str">
            <v>PV</v>
          </cell>
          <cell r="D17481">
            <v>43</v>
          </cell>
          <cell r="H17481" t="str">
            <v>solar PV</v>
          </cell>
        </row>
        <row r="17482">
          <cell r="C17482" t="str">
            <v>PV</v>
          </cell>
          <cell r="D17482">
            <v>52</v>
          </cell>
          <cell r="H17482" t="str">
            <v>solar PV</v>
          </cell>
        </row>
        <row r="17483">
          <cell r="C17483" t="str">
            <v>HY</v>
          </cell>
          <cell r="D17483">
            <v>2.2000000000000002</v>
          </cell>
          <cell r="H17483" t="str">
            <v>hydro</v>
          </cell>
        </row>
        <row r="17484">
          <cell r="C17484" t="str">
            <v>HY</v>
          </cell>
          <cell r="D17484">
            <v>2.2000000000000002</v>
          </cell>
          <cell r="H17484" t="str">
            <v>hydro</v>
          </cell>
        </row>
        <row r="17485">
          <cell r="C17485" t="str">
            <v>PV</v>
          </cell>
          <cell r="D17485">
            <v>10</v>
          </cell>
          <cell r="H17485" t="str">
            <v>solar PV</v>
          </cell>
        </row>
        <row r="17486">
          <cell r="C17486" t="str">
            <v>HY</v>
          </cell>
          <cell r="D17486">
            <v>2</v>
          </cell>
          <cell r="H17486" t="str">
            <v>hydro</v>
          </cell>
        </row>
        <row r="17487">
          <cell r="C17487" t="str">
            <v>WT</v>
          </cell>
          <cell r="D17487">
            <v>138</v>
          </cell>
          <cell r="H17487" t="str">
            <v>onshore wind</v>
          </cell>
        </row>
        <row r="17488">
          <cell r="C17488" t="str">
            <v>WT</v>
          </cell>
          <cell r="D17488">
            <v>90</v>
          </cell>
          <cell r="H17488" t="str">
            <v>onshore wind</v>
          </cell>
        </row>
        <row r="17489">
          <cell r="C17489" t="str">
            <v>IC</v>
          </cell>
          <cell r="D17489">
            <v>1.4</v>
          </cell>
          <cell r="H17489" t="str">
            <v>biomass</v>
          </cell>
        </row>
        <row r="17490">
          <cell r="C17490" t="str">
            <v>PV</v>
          </cell>
          <cell r="D17490">
            <v>10</v>
          </cell>
          <cell r="H17490" t="str">
            <v>solar PV</v>
          </cell>
        </row>
        <row r="17491">
          <cell r="C17491" t="str">
            <v>IC</v>
          </cell>
          <cell r="D17491">
            <v>1.2</v>
          </cell>
          <cell r="H17491" t="str">
            <v>biomass</v>
          </cell>
        </row>
        <row r="17492">
          <cell r="C17492" t="str">
            <v>GT</v>
          </cell>
          <cell r="D17492">
            <v>4.7</v>
          </cell>
          <cell r="H17492" t="str">
            <v>natural gas peaker</v>
          </cell>
        </row>
        <row r="17493">
          <cell r="C17493" t="str">
            <v>PV</v>
          </cell>
          <cell r="D17493">
            <v>7.6</v>
          </cell>
          <cell r="H17493" t="str">
            <v>solar PV</v>
          </cell>
        </row>
        <row r="17494">
          <cell r="C17494" t="str">
            <v>PV</v>
          </cell>
          <cell r="D17494">
            <v>1.5</v>
          </cell>
          <cell r="H17494" t="str">
            <v>solar PV</v>
          </cell>
        </row>
        <row r="17495">
          <cell r="C17495" t="str">
            <v>PV</v>
          </cell>
          <cell r="D17495">
            <v>3</v>
          </cell>
          <cell r="H17495" t="str">
            <v>solar PV</v>
          </cell>
        </row>
        <row r="17496">
          <cell r="C17496" t="str">
            <v>WT</v>
          </cell>
          <cell r="D17496">
            <v>11.5</v>
          </cell>
          <cell r="H17496" t="str">
            <v>onshore wind</v>
          </cell>
        </row>
        <row r="17497">
          <cell r="C17497" t="str">
            <v>BA</v>
          </cell>
          <cell r="D17497">
            <v>3</v>
          </cell>
          <cell r="H17497" t="str">
            <v>other</v>
          </cell>
        </row>
        <row r="17498">
          <cell r="C17498" t="str">
            <v>WT</v>
          </cell>
          <cell r="D17498">
            <v>1.6</v>
          </cell>
          <cell r="H17498" t="str">
            <v>onshore wind</v>
          </cell>
        </row>
        <row r="17499">
          <cell r="C17499" t="str">
            <v>PV</v>
          </cell>
          <cell r="D17499">
            <v>20.9</v>
          </cell>
          <cell r="H17499" t="str">
            <v>solar PV</v>
          </cell>
        </row>
        <row r="17500">
          <cell r="C17500" t="str">
            <v>PV</v>
          </cell>
          <cell r="D17500">
            <v>3</v>
          </cell>
          <cell r="H17500" t="str">
            <v>solar PV</v>
          </cell>
        </row>
        <row r="17501">
          <cell r="C17501" t="str">
            <v>PV</v>
          </cell>
          <cell r="D17501">
            <v>2</v>
          </cell>
          <cell r="H17501" t="str">
            <v>solar PV</v>
          </cell>
        </row>
        <row r="17502">
          <cell r="C17502" t="str">
            <v>PV</v>
          </cell>
          <cell r="D17502">
            <v>1</v>
          </cell>
          <cell r="H17502" t="str">
            <v>solar PV</v>
          </cell>
        </row>
        <row r="17503">
          <cell r="C17503" t="str">
            <v>WT</v>
          </cell>
          <cell r="D17503">
            <v>1.5</v>
          </cell>
          <cell r="H17503" t="str">
            <v>onshore wind</v>
          </cell>
        </row>
        <row r="17504">
          <cell r="C17504" t="str">
            <v>WT</v>
          </cell>
          <cell r="D17504">
            <v>200</v>
          </cell>
          <cell r="H17504" t="str">
            <v>onshore wind</v>
          </cell>
        </row>
        <row r="17505">
          <cell r="C17505" t="str">
            <v>PV</v>
          </cell>
          <cell r="D17505">
            <v>10</v>
          </cell>
          <cell r="H17505" t="str">
            <v>solar PV</v>
          </cell>
        </row>
        <row r="17506">
          <cell r="C17506" t="str">
            <v>PV</v>
          </cell>
          <cell r="D17506">
            <v>5</v>
          </cell>
          <cell r="H17506" t="str">
            <v>solar PV</v>
          </cell>
        </row>
        <row r="17507">
          <cell r="C17507" t="str">
            <v>PV</v>
          </cell>
          <cell r="D17507">
            <v>5</v>
          </cell>
          <cell r="H17507" t="str">
            <v>solar PV</v>
          </cell>
        </row>
        <row r="17508">
          <cell r="C17508" t="str">
            <v>CS</v>
          </cell>
          <cell r="D17508">
            <v>378</v>
          </cell>
          <cell r="H17508" t="str">
            <v>natural gas nonpeaker</v>
          </cell>
        </row>
        <row r="17509">
          <cell r="C17509" t="str">
            <v>CS</v>
          </cell>
          <cell r="D17509">
            <v>378</v>
          </cell>
          <cell r="H17509" t="str">
            <v>natural gas nonpeaker</v>
          </cell>
        </row>
        <row r="17510">
          <cell r="C17510" t="str">
            <v>PV</v>
          </cell>
          <cell r="D17510">
            <v>0.3</v>
          </cell>
          <cell r="H17510" t="str">
            <v>solar PV</v>
          </cell>
        </row>
        <row r="17511">
          <cell r="C17511" t="str">
            <v>GT</v>
          </cell>
          <cell r="D17511">
            <v>0.2</v>
          </cell>
          <cell r="H17511" t="str">
            <v>natural gas peaker</v>
          </cell>
        </row>
        <row r="17512">
          <cell r="C17512" t="str">
            <v>PV</v>
          </cell>
          <cell r="D17512">
            <v>0.1</v>
          </cell>
          <cell r="H17512" t="str">
            <v>solar PV</v>
          </cell>
        </row>
        <row r="17513">
          <cell r="C17513" t="str">
            <v>PV</v>
          </cell>
          <cell r="D17513">
            <v>3</v>
          </cell>
          <cell r="H17513" t="str">
            <v>solar PV</v>
          </cell>
        </row>
        <row r="17514">
          <cell r="C17514" t="str">
            <v>WT</v>
          </cell>
          <cell r="D17514">
            <v>9</v>
          </cell>
          <cell r="H17514" t="str">
            <v>onshore wind</v>
          </cell>
        </row>
        <row r="17515">
          <cell r="C17515" t="str">
            <v>WT</v>
          </cell>
          <cell r="D17515">
            <v>18</v>
          </cell>
          <cell r="H17515" t="str">
            <v>onshore wind</v>
          </cell>
        </row>
        <row r="17516">
          <cell r="C17516" t="str">
            <v>CS</v>
          </cell>
          <cell r="D17516">
            <v>382.5</v>
          </cell>
          <cell r="H17516" t="str">
            <v>natural gas nonpeaker</v>
          </cell>
        </row>
        <row r="17517">
          <cell r="C17517" t="str">
            <v>CS</v>
          </cell>
          <cell r="D17517">
            <v>382.5</v>
          </cell>
          <cell r="H17517" t="str">
            <v>natural gas nonpeaker</v>
          </cell>
        </row>
        <row r="17518">
          <cell r="C17518" t="str">
            <v>CT</v>
          </cell>
          <cell r="D17518">
            <v>31</v>
          </cell>
          <cell r="H17518" t="str">
            <v>natural gas nonpeaker</v>
          </cell>
        </row>
        <row r="17519">
          <cell r="C17519" t="str">
            <v>CT</v>
          </cell>
          <cell r="D17519">
            <v>31</v>
          </cell>
          <cell r="H17519" t="str">
            <v>natural gas nonpeaker</v>
          </cell>
        </row>
        <row r="17520">
          <cell r="C17520" t="str">
            <v>CA</v>
          </cell>
          <cell r="D17520">
            <v>12.9</v>
          </cell>
          <cell r="H17520" t="str">
            <v>natural gas nonpeaker</v>
          </cell>
        </row>
        <row r="17521">
          <cell r="C17521" t="str">
            <v>GT</v>
          </cell>
          <cell r="D17521">
            <v>19.600000000000001</v>
          </cell>
          <cell r="H17521" t="str">
            <v>natural gas peaker</v>
          </cell>
        </row>
        <row r="17522">
          <cell r="C17522" t="str">
            <v>GT</v>
          </cell>
          <cell r="D17522">
            <v>4</v>
          </cell>
          <cell r="H17522" t="str">
            <v>biomass</v>
          </cell>
        </row>
        <row r="17523">
          <cell r="C17523" t="str">
            <v>GT</v>
          </cell>
          <cell r="D17523">
            <v>4</v>
          </cell>
          <cell r="H17523" t="str">
            <v>biomass</v>
          </cell>
        </row>
        <row r="17524">
          <cell r="C17524" t="str">
            <v>GT</v>
          </cell>
          <cell r="D17524">
            <v>4</v>
          </cell>
          <cell r="H17524" t="str">
            <v>biomass</v>
          </cell>
        </row>
        <row r="17525">
          <cell r="C17525" t="str">
            <v>GT</v>
          </cell>
          <cell r="D17525">
            <v>4</v>
          </cell>
          <cell r="H17525" t="str">
            <v>biomass</v>
          </cell>
        </row>
        <row r="17526">
          <cell r="C17526" t="str">
            <v>GT</v>
          </cell>
          <cell r="D17526">
            <v>4</v>
          </cell>
          <cell r="H17526" t="str">
            <v>biomass</v>
          </cell>
        </row>
        <row r="17527">
          <cell r="C17527" t="str">
            <v>PV</v>
          </cell>
          <cell r="D17527">
            <v>33.4</v>
          </cell>
          <cell r="H17527" t="str">
            <v>solar PV</v>
          </cell>
        </row>
        <row r="17528">
          <cell r="C17528" t="str">
            <v>PV</v>
          </cell>
          <cell r="D17528">
            <v>25.6</v>
          </cell>
          <cell r="H17528" t="str">
            <v>solar PV</v>
          </cell>
        </row>
        <row r="17529">
          <cell r="C17529" t="str">
            <v>PV</v>
          </cell>
          <cell r="D17529">
            <v>33.4</v>
          </cell>
          <cell r="H17529" t="str">
            <v>solar PV</v>
          </cell>
        </row>
        <row r="17530">
          <cell r="C17530" t="str">
            <v>PV</v>
          </cell>
          <cell r="D17530">
            <v>33.4</v>
          </cell>
          <cell r="H17530" t="str">
            <v>solar PV</v>
          </cell>
        </row>
        <row r="17531">
          <cell r="C17531" t="str">
            <v>PV</v>
          </cell>
          <cell r="D17531">
            <v>18.600000000000001</v>
          </cell>
          <cell r="H17531" t="str">
            <v>solar PV</v>
          </cell>
        </row>
        <row r="17532">
          <cell r="C17532" t="str">
            <v>PV</v>
          </cell>
          <cell r="D17532">
            <v>25.6</v>
          </cell>
          <cell r="H17532" t="str">
            <v>solar PV</v>
          </cell>
        </row>
        <row r="17533">
          <cell r="C17533" t="str">
            <v>PV</v>
          </cell>
          <cell r="D17533">
            <v>4.2</v>
          </cell>
          <cell r="H17533" t="str">
            <v>solar PV</v>
          </cell>
        </row>
        <row r="17534">
          <cell r="C17534" t="str">
            <v>IC</v>
          </cell>
          <cell r="D17534">
            <v>4.4000000000000004</v>
          </cell>
          <cell r="H17534" t="str">
            <v>natural gas peaker</v>
          </cell>
        </row>
        <row r="17535">
          <cell r="C17535" t="str">
            <v>IC</v>
          </cell>
          <cell r="D17535">
            <v>4.4000000000000004</v>
          </cell>
          <cell r="H17535" t="str">
            <v>natural gas peaker</v>
          </cell>
        </row>
        <row r="17536">
          <cell r="C17536" t="str">
            <v>IC</v>
          </cell>
          <cell r="D17536">
            <v>4.4000000000000004</v>
          </cell>
          <cell r="H17536" t="str">
            <v>natural gas peaker</v>
          </cell>
        </row>
        <row r="17537">
          <cell r="C17537" t="str">
            <v>FC</v>
          </cell>
          <cell r="D17537">
            <v>6</v>
          </cell>
          <cell r="H17537" t="str">
            <v>other</v>
          </cell>
        </row>
        <row r="17538">
          <cell r="C17538" t="str">
            <v>FC</v>
          </cell>
          <cell r="D17538">
            <v>5.3</v>
          </cell>
          <cell r="H17538" t="str">
            <v>other</v>
          </cell>
        </row>
        <row r="17539">
          <cell r="C17539" t="str">
            <v>FC</v>
          </cell>
          <cell r="D17539">
            <v>3.5</v>
          </cell>
          <cell r="H17539" t="str">
            <v>other</v>
          </cell>
        </row>
        <row r="17540">
          <cell r="C17540" t="str">
            <v>FC</v>
          </cell>
          <cell r="D17540">
            <v>3.6</v>
          </cell>
          <cell r="H17540" t="str">
            <v>other</v>
          </cell>
        </row>
        <row r="17541">
          <cell r="C17541" t="str">
            <v>FC</v>
          </cell>
          <cell r="D17541">
            <v>3.4</v>
          </cell>
          <cell r="H17541" t="str">
            <v>other</v>
          </cell>
        </row>
        <row r="17542">
          <cell r="C17542" t="str">
            <v>FC</v>
          </cell>
          <cell r="D17542">
            <v>3.2</v>
          </cell>
          <cell r="H17542" t="str">
            <v>other</v>
          </cell>
        </row>
        <row r="17543">
          <cell r="C17543" t="str">
            <v>IC</v>
          </cell>
          <cell r="D17543">
            <v>2.1</v>
          </cell>
          <cell r="H17543" t="str">
            <v>biomass</v>
          </cell>
        </row>
        <row r="17544">
          <cell r="C17544" t="str">
            <v>IC</v>
          </cell>
          <cell r="D17544">
            <v>2.1</v>
          </cell>
          <cell r="H17544" t="str">
            <v>biomass</v>
          </cell>
        </row>
        <row r="17545">
          <cell r="C17545" t="str">
            <v>IC</v>
          </cell>
          <cell r="D17545">
            <v>2.1</v>
          </cell>
          <cell r="H17545" t="str">
            <v>biomass</v>
          </cell>
        </row>
        <row r="17546">
          <cell r="C17546" t="str">
            <v>IC</v>
          </cell>
          <cell r="D17546">
            <v>2.1</v>
          </cell>
          <cell r="H17546" t="str">
            <v>biomass</v>
          </cell>
        </row>
        <row r="17547">
          <cell r="C17547" t="str">
            <v>IC</v>
          </cell>
          <cell r="D17547">
            <v>2.1</v>
          </cell>
          <cell r="H17547" t="str">
            <v>biomass</v>
          </cell>
        </row>
        <row r="17548">
          <cell r="C17548" t="str">
            <v>IC</v>
          </cell>
          <cell r="D17548">
            <v>2.1</v>
          </cell>
          <cell r="H17548" t="str">
            <v>biomass</v>
          </cell>
        </row>
        <row r="17549">
          <cell r="C17549" t="str">
            <v>HY</v>
          </cell>
          <cell r="D17549">
            <v>2</v>
          </cell>
          <cell r="H17549" t="str">
            <v>hydro</v>
          </cell>
        </row>
        <row r="17550">
          <cell r="C17550" t="str">
            <v>HY</v>
          </cell>
          <cell r="D17550">
            <v>2</v>
          </cell>
          <cell r="H17550" t="str">
            <v>hydro</v>
          </cell>
        </row>
        <row r="17551">
          <cell r="C17551" t="str">
            <v>IC</v>
          </cell>
          <cell r="D17551">
            <v>1</v>
          </cell>
          <cell r="H17551" t="str">
            <v>biomass</v>
          </cell>
        </row>
        <row r="17552">
          <cell r="C17552" t="str">
            <v>FC</v>
          </cell>
          <cell r="D17552">
            <v>0.4</v>
          </cell>
          <cell r="H17552" t="str">
            <v>other</v>
          </cell>
        </row>
        <row r="17553">
          <cell r="C17553" t="str">
            <v>FC</v>
          </cell>
          <cell r="D17553">
            <v>0.4</v>
          </cell>
          <cell r="H17553" t="str">
            <v>other</v>
          </cell>
        </row>
        <row r="17554">
          <cell r="C17554" t="str">
            <v>FC</v>
          </cell>
          <cell r="D17554">
            <v>0.4</v>
          </cell>
          <cell r="H17554" t="str">
            <v>other</v>
          </cell>
        </row>
        <row r="17555">
          <cell r="C17555" t="str">
            <v>FC</v>
          </cell>
          <cell r="D17555">
            <v>0.4</v>
          </cell>
          <cell r="H17555" t="str">
            <v>other</v>
          </cell>
        </row>
        <row r="17556">
          <cell r="C17556" t="str">
            <v>FC</v>
          </cell>
          <cell r="D17556">
            <v>0.4</v>
          </cell>
          <cell r="H17556" t="str">
            <v>other</v>
          </cell>
        </row>
        <row r="17557">
          <cell r="C17557" t="str">
            <v>FC</v>
          </cell>
          <cell r="D17557">
            <v>0.4</v>
          </cell>
          <cell r="H17557" t="str">
            <v>other</v>
          </cell>
        </row>
        <row r="17558">
          <cell r="C17558" t="str">
            <v>WT</v>
          </cell>
          <cell r="D17558">
            <v>4.3</v>
          </cell>
          <cell r="H17558" t="str">
            <v>onshore wind</v>
          </cell>
        </row>
        <row r="17559">
          <cell r="C17559" t="str">
            <v>PV</v>
          </cell>
          <cell r="D17559">
            <v>1</v>
          </cell>
          <cell r="H17559" t="str">
            <v>solar PV</v>
          </cell>
        </row>
        <row r="17560">
          <cell r="C17560" t="str">
            <v>WT</v>
          </cell>
          <cell r="D17560">
            <v>8</v>
          </cell>
          <cell r="H17560" t="str">
            <v>onshore wind</v>
          </cell>
        </row>
        <row r="17561">
          <cell r="C17561" t="str">
            <v>PV</v>
          </cell>
          <cell r="D17561">
            <v>1</v>
          </cell>
          <cell r="H17561" t="str">
            <v>solar PV</v>
          </cell>
        </row>
        <row r="17562">
          <cell r="C17562" t="str">
            <v>PV</v>
          </cell>
          <cell r="D17562">
            <v>1</v>
          </cell>
          <cell r="H17562" t="str">
            <v>solar PV</v>
          </cell>
        </row>
        <row r="17563">
          <cell r="C17563" t="str">
            <v>PV</v>
          </cell>
          <cell r="D17563">
            <v>1.5</v>
          </cell>
          <cell r="H17563" t="str">
            <v>solar PV</v>
          </cell>
        </row>
        <row r="17564">
          <cell r="C17564" t="str">
            <v>PV</v>
          </cell>
          <cell r="D17564">
            <v>1.5</v>
          </cell>
          <cell r="H17564" t="str">
            <v>solar PV</v>
          </cell>
        </row>
        <row r="17565">
          <cell r="C17565" t="str">
            <v>PV</v>
          </cell>
          <cell r="D17565">
            <v>1.5</v>
          </cell>
          <cell r="H17565" t="str">
            <v>solar PV</v>
          </cell>
        </row>
        <row r="17566">
          <cell r="C17566" t="str">
            <v>PV</v>
          </cell>
          <cell r="D17566">
            <v>1</v>
          </cell>
          <cell r="H17566" t="str">
            <v>solar PV</v>
          </cell>
        </row>
        <row r="17567">
          <cell r="C17567" t="str">
            <v>PV</v>
          </cell>
          <cell r="D17567">
            <v>1</v>
          </cell>
          <cell r="H17567" t="str">
            <v>solar PV</v>
          </cell>
        </row>
        <row r="17568">
          <cell r="C17568" t="str">
            <v>PV</v>
          </cell>
          <cell r="D17568">
            <v>1.5</v>
          </cell>
          <cell r="H17568" t="str">
            <v>solar PV</v>
          </cell>
        </row>
        <row r="17569">
          <cell r="C17569" t="str">
            <v>PV</v>
          </cell>
          <cell r="D17569">
            <v>1.5</v>
          </cell>
          <cell r="H17569" t="str">
            <v>solar PV</v>
          </cell>
        </row>
        <row r="17570">
          <cell r="C17570" t="str">
            <v>PV</v>
          </cell>
          <cell r="D17570">
            <v>1</v>
          </cell>
          <cell r="H17570" t="str">
            <v>solar PV</v>
          </cell>
        </row>
        <row r="17571">
          <cell r="C17571" t="str">
            <v>PV</v>
          </cell>
          <cell r="D17571">
            <v>1.5</v>
          </cell>
          <cell r="H17571" t="str">
            <v>solar PV</v>
          </cell>
        </row>
        <row r="17572">
          <cell r="C17572" t="str">
            <v>PV</v>
          </cell>
          <cell r="D17572">
            <v>1.5</v>
          </cell>
          <cell r="H17572" t="str">
            <v>solar PV</v>
          </cell>
        </row>
        <row r="17573">
          <cell r="C17573" t="str">
            <v>PV</v>
          </cell>
          <cell r="D17573">
            <v>1.5</v>
          </cell>
          <cell r="H17573" t="str">
            <v>solar PV</v>
          </cell>
        </row>
        <row r="17574">
          <cell r="C17574" t="str">
            <v>PV</v>
          </cell>
          <cell r="D17574">
            <v>4</v>
          </cell>
          <cell r="H17574" t="str">
            <v>solar PV</v>
          </cell>
        </row>
        <row r="17575">
          <cell r="C17575" t="str">
            <v>PV</v>
          </cell>
          <cell r="D17575">
            <v>1.5</v>
          </cell>
          <cell r="H17575" t="str">
            <v>solar PV</v>
          </cell>
        </row>
        <row r="17576">
          <cell r="C17576" t="str">
            <v>PV</v>
          </cell>
          <cell r="D17576">
            <v>0.5</v>
          </cell>
          <cell r="H17576" t="str">
            <v>solar PV</v>
          </cell>
        </row>
        <row r="17577">
          <cell r="C17577" t="str">
            <v>HY</v>
          </cell>
          <cell r="D17577">
            <v>1</v>
          </cell>
          <cell r="H17577" t="str">
            <v>hydro</v>
          </cell>
        </row>
        <row r="17578">
          <cell r="C17578" t="str">
            <v>HY</v>
          </cell>
          <cell r="D17578">
            <v>1</v>
          </cell>
          <cell r="H17578" t="str">
            <v>hydro</v>
          </cell>
        </row>
        <row r="17579">
          <cell r="C17579" t="str">
            <v>HY</v>
          </cell>
          <cell r="D17579">
            <v>1</v>
          </cell>
          <cell r="H17579" t="str">
            <v>hydro</v>
          </cell>
        </row>
        <row r="17580">
          <cell r="C17580" t="str">
            <v>WT</v>
          </cell>
          <cell r="D17580">
            <v>1.6</v>
          </cell>
          <cell r="H17580" t="str">
            <v>onshore wind</v>
          </cell>
        </row>
        <row r="17581">
          <cell r="C17581" t="str">
            <v>WT</v>
          </cell>
          <cell r="D17581">
            <v>1.6</v>
          </cell>
          <cell r="H17581" t="str">
            <v>onshore wind</v>
          </cell>
        </row>
        <row r="17582">
          <cell r="C17582" t="str">
            <v>WT</v>
          </cell>
          <cell r="D17582">
            <v>1.6</v>
          </cell>
          <cell r="H17582" t="str">
            <v>onshore wind</v>
          </cell>
        </row>
        <row r="17583">
          <cell r="C17583" t="str">
            <v>WT</v>
          </cell>
          <cell r="D17583">
            <v>1.6</v>
          </cell>
          <cell r="H17583" t="str">
            <v>onshore wind</v>
          </cell>
        </row>
        <row r="17584">
          <cell r="C17584" t="str">
            <v>WT</v>
          </cell>
          <cell r="D17584">
            <v>1.6</v>
          </cell>
          <cell r="H17584" t="str">
            <v>onshore wind</v>
          </cell>
        </row>
        <row r="17585">
          <cell r="C17585" t="str">
            <v>WT</v>
          </cell>
          <cell r="D17585">
            <v>1.6</v>
          </cell>
          <cell r="H17585" t="str">
            <v>onshore wind</v>
          </cell>
        </row>
        <row r="17586">
          <cell r="C17586" t="str">
            <v>PV</v>
          </cell>
          <cell r="D17586">
            <v>41.9</v>
          </cell>
          <cell r="H17586" t="str">
            <v>solar PV</v>
          </cell>
        </row>
        <row r="17587">
          <cell r="C17587" t="str">
            <v>PV</v>
          </cell>
          <cell r="D17587">
            <v>21</v>
          </cell>
          <cell r="H17587" t="str">
            <v>solar PV</v>
          </cell>
        </row>
        <row r="17588">
          <cell r="C17588" t="str">
            <v>PV</v>
          </cell>
          <cell r="D17588">
            <v>39.6</v>
          </cell>
          <cell r="H17588" t="str">
            <v>solar PV</v>
          </cell>
        </row>
        <row r="17589">
          <cell r="C17589" t="str">
            <v>PV</v>
          </cell>
          <cell r="D17589">
            <v>31.4</v>
          </cell>
          <cell r="H17589" t="str">
            <v>solar PV</v>
          </cell>
        </row>
        <row r="17590">
          <cell r="C17590" t="str">
            <v>PV</v>
          </cell>
          <cell r="D17590">
            <v>31.4</v>
          </cell>
          <cell r="H17590" t="str">
            <v>solar PV</v>
          </cell>
        </row>
        <row r="17591">
          <cell r="C17591" t="str">
            <v>PV</v>
          </cell>
          <cell r="D17591">
            <v>26.9</v>
          </cell>
          <cell r="H17591" t="str">
            <v>solar PV</v>
          </cell>
        </row>
        <row r="17592">
          <cell r="C17592" t="str">
            <v>PV</v>
          </cell>
          <cell r="D17592">
            <v>41.9</v>
          </cell>
          <cell r="H17592" t="str">
            <v>solar PV</v>
          </cell>
        </row>
        <row r="17593">
          <cell r="C17593" t="str">
            <v>PV</v>
          </cell>
          <cell r="D17593">
            <v>36.5</v>
          </cell>
          <cell r="H17593" t="str">
            <v>solar PV</v>
          </cell>
        </row>
        <row r="17594">
          <cell r="C17594" t="str">
            <v>PV</v>
          </cell>
          <cell r="D17594">
            <v>5.5</v>
          </cell>
          <cell r="H17594" t="str">
            <v>solar PV</v>
          </cell>
        </row>
        <row r="17595">
          <cell r="C17595" t="str">
            <v>WT</v>
          </cell>
          <cell r="D17595">
            <v>9.9</v>
          </cell>
          <cell r="H17595" t="str">
            <v>onshore wind</v>
          </cell>
        </row>
        <row r="17596">
          <cell r="C17596" t="str">
            <v>WT</v>
          </cell>
          <cell r="D17596">
            <v>9.9</v>
          </cell>
          <cell r="H17596" t="str">
            <v>onshore wind</v>
          </cell>
        </row>
        <row r="17597">
          <cell r="C17597" t="str">
            <v>PV</v>
          </cell>
          <cell r="D17597">
            <v>139</v>
          </cell>
          <cell r="H17597" t="str">
            <v>solar PV</v>
          </cell>
        </row>
        <row r="17598">
          <cell r="C17598" t="str">
            <v>IC</v>
          </cell>
          <cell r="D17598">
            <v>2.5</v>
          </cell>
          <cell r="H17598" t="str">
            <v>biomass</v>
          </cell>
        </row>
        <row r="17599">
          <cell r="C17599" t="str">
            <v>IC</v>
          </cell>
          <cell r="D17599">
            <v>2.5</v>
          </cell>
          <cell r="H17599" t="str">
            <v>biomass</v>
          </cell>
        </row>
        <row r="17600">
          <cell r="C17600" t="str">
            <v>IC</v>
          </cell>
          <cell r="D17600">
            <v>2.5</v>
          </cell>
          <cell r="H17600" t="str">
            <v>biomass</v>
          </cell>
        </row>
        <row r="17601">
          <cell r="C17601" t="str">
            <v>IC</v>
          </cell>
          <cell r="D17601">
            <v>2.5</v>
          </cell>
          <cell r="H17601" t="str">
            <v>biomass</v>
          </cell>
        </row>
        <row r="17602">
          <cell r="C17602" t="str">
            <v>HY</v>
          </cell>
          <cell r="D17602">
            <v>1.1000000000000001</v>
          </cell>
          <cell r="H17602" t="str">
            <v>hydro</v>
          </cell>
        </row>
        <row r="17603">
          <cell r="C17603" t="str">
            <v>GT</v>
          </cell>
          <cell r="D17603">
            <v>150</v>
          </cell>
          <cell r="H17603" t="str">
            <v>natural gas peaker</v>
          </cell>
        </row>
        <row r="17604">
          <cell r="C17604" t="str">
            <v>GT</v>
          </cell>
          <cell r="D17604">
            <v>150</v>
          </cell>
          <cell r="H17604" t="str">
            <v>natural gas peaker</v>
          </cell>
        </row>
        <row r="17605">
          <cell r="C17605" t="str">
            <v>ST</v>
          </cell>
          <cell r="D17605">
            <v>17.8</v>
          </cell>
          <cell r="H17605" t="str">
            <v>biomass</v>
          </cell>
        </row>
        <row r="17606">
          <cell r="C17606" t="str">
            <v>PV</v>
          </cell>
          <cell r="D17606">
            <v>3.9</v>
          </cell>
          <cell r="H17606" t="str">
            <v>solar PV</v>
          </cell>
        </row>
        <row r="17607">
          <cell r="C17607" t="str">
            <v>WT</v>
          </cell>
          <cell r="D17607">
            <v>249.8</v>
          </cell>
          <cell r="H17607" t="str">
            <v>onshore wind</v>
          </cell>
        </row>
        <row r="17608">
          <cell r="C17608" t="str">
            <v>BA</v>
          </cell>
          <cell r="D17608">
            <v>4</v>
          </cell>
          <cell r="H17608" t="str">
            <v>other</v>
          </cell>
        </row>
        <row r="17609">
          <cell r="C17609" t="str">
            <v>GT</v>
          </cell>
          <cell r="D17609">
            <v>4.5999999999999996</v>
          </cell>
          <cell r="H17609" t="str">
            <v>biomass</v>
          </cell>
        </row>
        <row r="17610">
          <cell r="C17610" t="str">
            <v>GT</v>
          </cell>
          <cell r="D17610">
            <v>4.5999999999999996</v>
          </cell>
          <cell r="H17610" t="str">
            <v>biomass</v>
          </cell>
        </row>
        <row r="17611">
          <cell r="C17611" t="str">
            <v>PV</v>
          </cell>
          <cell r="D17611">
            <v>3.3</v>
          </cell>
          <cell r="H17611" t="str">
            <v>solar PV</v>
          </cell>
        </row>
        <row r="17612">
          <cell r="C17612" t="str">
            <v>CT</v>
          </cell>
          <cell r="D17612">
            <v>48</v>
          </cell>
          <cell r="H17612" t="str">
            <v>natural gas nonpeaker</v>
          </cell>
        </row>
        <row r="17613">
          <cell r="C17613" t="str">
            <v>CA</v>
          </cell>
          <cell r="D17613">
            <v>16</v>
          </cell>
          <cell r="H17613" t="str">
            <v>natural gas nonpeaker</v>
          </cell>
        </row>
        <row r="17614">
          <cell r="C17614" t="str">
            <v>PV</v>
          </cell>
          <cell r="D17614">
            <v>1.4</v>
          </cell>
          <cell r="H17614" t="str">
            <v>solar PV</v>
          </cell>
        </row>
        <row r="17615">
          <cell r="C17615" t="str">
            <v>PV</v>
          </cell>
          <cell r="D17615">
            <v>5</v>
          </cell>
          <cell r="H17615" t="str">
            <v>solar PV</v>
          </cell>
        </row>
        <row r="17616">
          <cell r="C17616" t="str">
            <v>PV</v>
          </cell>
          <cell r="D17616">
            <v>1</v>
          </cell>
          <cell r="H17616" t="str">
            <v>solar PV</v>
          </cell>
        </row>
        <row r="17617">
          <cell r="C17617" t="str">
            <v>PV</v>
          </cell>
          <cell r="D17617">
            <v>7.7</v>
          </cell>
          <cell r="H17617" t="str">
            <v>solar PV</v>
          </cell>
        </row>
        <row r="17618">
          <cell r="C17618" t="str">
            <v>PV</v>
          </cell>
          <cell r="D17618">
            <v>16</v>
          </cell>
          <cell r="H17618" t="str">
            <v>solar PV</v>
          </cell>
        </row>
        <row r="17619">
          <cell r="C17619" t="str">
            <v>IC</v>
          </cell>
          <cell r="D17619">
            <v>2.2000000000000002</v>
          </cell>
          <cell r="H17619" t="str">
            <v>biomass</v>
          </cell>
        </row>
        <row r="17620">
          <cell r="C17620" t="str">
            <v>IC</v>
          </cell>
          <cell r="D17620">
            <v>2.2000000000000002</v>
          </cell>
          <cell r="H17620" t="str">
            <v>biomass</v>
          </cell>
        </row>
        <row r="17621">
          <cell r="C17621" t="str">
            <v>IC</v>
          </cell>
          <cell r="D17621">
            <v>2.2000000000000002</v>
          </cell>
          <cell r="H17621" t="str">
            <v>biomass</v>
          </cell>
        </row>
        <row r="17622">
          <cell r="C17622" t="str">
            <v>PV</v>
          </cell>
          <cell r="D17622">
            <v>1</v>
          </cell>
          <cell r="H17622" t="str">
            <v>solar PV</v>
          </cell>
        </row>
        <row r="17623">
          <cell r="C17623" t="str">
            <v>PV</v>
          </cell>
          <cell r="D17623">
            <v>20</v>
          </cell>
          <cell r="H17623" t="str">
            <v>solar PV</v>
          </cell>
        </row>
        <row r="17624">
          <cell r="C17624" t="str">
            <v>PV</v>
          </cell>
          <cell r="D17624">
            <v>2.5</v>
          </cell>
          <cell r="H17624" t="str">
            <v>solar PV</v>
          </cell>
        </row>
        <row r="17625">
          <cell r="C17625" t="str">
            <v>PV</v>
          </cell>
          <cell r="D17625">
            <v>10</v>
          </cell>
          <cell r="H17625" t="str">
            <v>solar PV</v>
          </cell>
        </row>
        <row r="17626">
          <cell r="C17626" t="str">
            <v>PV</v>
          </cell>
          <cell r="D17626">
            <v>20</v>
          </cell>
          <cell r="H17626" t="str">
            <v>solar PV</v>
          </cell>
        </row>
        <row r="17627">
          <cell r="C17627" t="str">
            <v>PV</v>
          </cell>
          <cell r="D17627">
            <v>30</v>
          </cell>
          <cell r="H17627" t="str">
            <v>solar PV</v>
          </cell>
        </row>
        <row r="17628">
          <cell r="C17628" t="str">
            <v>PV</v>
          </cell>
          <cell r="D17628">
            <v>1.2</v>
          </cell>
          <cell r="H17628" t="str">
            <v>solar PV</v>
          </cell>
        </row>
        <row r="17629">
          <cell r="C17629" t="str">
            <v>PV</v>
          </cell>
          <cell r="D17629">
            <v>3.5</v>
          </cell>
          <cell r="H17629" t="str">
            <v>solar PV</v>
          </cell>
        </row>
        <row r="17630">
          <cell r="C17630" t="str">
            <v>PV</v>
          </cell>
          <cell r="D17630">
            <v>4</v>
          </cell>
          <cell r="H17630" t="str">
            <v>solar PV</v>
          </cell>
        </row>
        <row r="17631">
          <cell r="C17631" t="str">
            <v>PV</v>
          </cell>
          <cell r="D17631">
            <v>3.5</v>
          </cell>
          <cell r="H17631" t="str">
            <v>solar PV</v>
          </cell>
        </row>
        <row r="17632">
          <cell r="C17632" t="str">
            <v>PV</v>
          </cell>
          <cell r="D17632">
            <v>3.5</v>
          </cell>
          <cell r="H17632" t="str">
            <v>solar PV</v>
          </cell>
        </row>
        <row r="17633">
          <cell r="C17633" t="str">
            <v>PV</v>
          </cell>
          <cell r="D17633">
            <v>1.5</v>
          </cell>
          <cell r="H17633" t="str">
            <v>solar PV</v>
          </cell>
        </row>
        <row r="17634">
          <cell r="C17634" t="str">
            <v>IC</v>
          </cell>
          <cell r="D17634">
            <v>1.6</v>
          </cell>
          <cell r="H17634" t="str">
            <v>biomass</v>
          </cell>
        </row>
        <row r="17635">
          <cell r="C17635" t="str">
            <v>IC</v>
          </cell>
          <cell r="D17635">
            <v>1.6</v>
          </cell>
          <cell r="H17635" t="str">
            <v>biomass</v>
          </cell>
        </row>
        <row r="17636">
          <cell r="C17636" t="str">
            <v>PV</v>
          </cell>
          <cell r="D17636">
            <v>20</v>
          </cell>
          <cell r="H17636" t="str">
            <v>solar PV</v>
          </cell>
        </row>
        <row r="17637">
          <cell r="C17637" t="str">
            <v>PV</v>
          </cell>
          <cell r="D17637">
            <v>20</v>
          </cell>
          <cell r="H17637" t="str">
            <v>solar PV</v>
          </cell>
        </row>
        <row r="17638">
          <cell r="C17638" t="str">
            <v>PV</v>
          </cell>
          <cell r="D17638">
            <v>5</v>
          </cell>
          <cell r="H17638" t="str">
            <v>solar PV</v>
          </cell>
        </row>
        <row r="17639">
          <cell r="C17639" t="str">
            <v>PV</v>
          </cell>
          <cell r="D17639">
            <v>15</v>
          </cell>
          <cell r="H17639" t="str">
            <v>solar PV</v>
          </cell>
        </row>
        <row r="17640">
          <cell r="C17640" t="str">
            <v>PV</v>
          </cell>
          <cell r="D17640">
            <v>10</v>
          </cell>
          <cell r="H17640" t="str">
            <v>solar PV</v>
          </cell>
        </row>
        <row r="17641">
          <cell r="C17641" t="str">
            <v>CT</v>
          </cell>
          <cell r="D17641">
            <v>248.1</v>
          </cell>
          <cell r="H17641" t="str">
            <v>natural gas nonpeaker</v>
          </cell>
        </row>
        <row r="17642">
          <cell r="C17642" t="str">
            <v>CA</v>
          </cell>
          <cell r="D17642">
            <v>168.2</v>
          </cell>
          <cell r="H17642" t="str">
            <v>natural gas nonpeaker</v>
          </cell>
        </row>
        <row r="17643">
          <cell r="C17643" t="str">
            <v>PV</v>
          </cell>
          <cell r="D17643">
            <v>1.2</v>
          </cell>
          <cell r="H17643" t="str">
            <v>solar PV</v>
          </cell>
        </row>
        <row r="17644">
          <cell r="C17644" t="str">
            <v>PV</v>
          </cell>
          <cell r="D17644">
            <v>6.4</v>
          </cell>
          <cell r="H17644" t="str">
            <v>solar PV</v>
          </cell>
        </row>
        <row r="17645">
          <cell r="C17645" t="str">
            <v>PV</v>
          </cell>
          <cell r="D17645">
            <v>4</v>
          </cell>
          <cell r="H17645" t="str">
            <v>solar PV</v>
          </cell>
        </row>
        <row r="17646">
          <cell r="C17646" t="str">
            <v>IC</v>
          </cell>
          <cell r="D17646">
            <v>1</v>
          </cell>
          <cell r="H17646" t="str">
            <v>petroleum</v>
          </cell>
        </row>
        <row r="17647">
          <cell r="C17647" t="str">
            <v>IC</v>
          </cell>
          <cell r="D17647">
            <v>0.6</v>
          </cell>
          <cell r="H17647" t="str">
            <v>petroleum</v>
          </cell>
        </row>
        <row r="17648">
          <cell r="C17648" t="str">
            <v>IC</v>
          </cell>
          <cell r="D17648">
            <v>0.6</v>
          </cell>
          <cell r="H17648" t="str">
            <v>petroleum</v>
          </cell>
        </row>
        <row r="17649">
          <cell r="C17649" t="str">
            <v>IC</v>
          </cell>
          <cell r="D17649">
            <v>0.5</v>
          </cell>
          <cell r="H17649" t="str">
            <v>petroleum</v>
          </cell>
        </row>
        <row r="17650">
          <cell r="C17650" t="str">
            <v>IC</v>
          </cell>
          <cell r="D17650">
            <v>0.5</v>
          </cell>
          <cell r="H17650" t="str">
            <v>petroleum</v>
          </cell>
        </row>
        <row r="17651">
          <cell r="C17651" t="str">
            <v>IC</v>
          </cell>
          <cell r="D17651">
            <v>0.3</v>
          </cell>
          <cell r="H17651" t="str">
            <v>petroleum</v>
          </cell>
        </row>
        <row r="17652">
          <cell r="C17652" t="str">
            <v>IC</v>
          </cell>
          <cell r="D17652">
            <v>0.2</v>
          </cell>
          <cell r="H17652" t="str">
            <v>petroleum</v>
          </cell>
        </row>
        <row r="17653">
          <cell r="C17653" t="str">
            <v>IC</v>
          </cell>
          <cell r="D17653">
            <v>0.2</v>
          </cell>
          <cell r="H17653" t="str">
            <v>petroleum</v>
          </cell>
        </row>
        <row r="17654">
          <cell r="C17654" t="str">
            <v>IC</v>
          </cell>
          <cell r="D17654">
            <v>2</v>
          </cell>
          <cell r="H17654" t="str">
            <v>petroleum</v>
          </cell>
        </row>
        <row r="17655">
          <cell r="C17655" t="str">
            <v>IC</v>
          </cell>
          <cell r="D17655">
            <v>2</v>
          </cell>
          <cell r="H17655" t="str">
            <v>petroleum</v>
          </cell>
        </row>
        <row r="17656">
          <cell r="C17656" t="str">
            <v>GT</v>
          </cell>
          <cell r="D17656">
            <v>4.8</v>
          </cell>
          <cell r="H17656" t="str">
            <v>natural gas peaker</v>
          </cell>
        </row>
        <row r="17657">
          <cell r="C17657" t="str">
            <v>IC</v>
          </cell>
          <cell r="D17657">
            <v>1.2</v>
          </cell>
          <cell r="H17657" t="str">
            <v>natural gas peaker</v>
          </cell>
        </row>
        <row r="17658">
          <cell r="C17658" t="str">
            <v>IC</v>
          </cell>
          <cell r="D17658">
            <v>1.2</v>
          </cell>
          <cell r="H17658" t="str">
            <v>natural gas peaker</v>
          </cell>
        </row>
        <row r="17659">
          <cell r="C17659" t="str">
            <v>IC</v>
          </cell>
          <cell r="D17659">
            <v>1.2</v>
          </cell>
          <cell r="H17659" t="str">
            <v>natural gas peaker</v>
          </cell>
        </row>
        <row r="17660">
          <cell r="C17660" t="str">
            <v>PV</v>
          </cell>
          <cell r="D17660">
            <v>1.5</v>
          </cell>
          <cell r="H17660" t="str">
            <v>solar PV</v>
          </cell>
        </row>
        <row r="17661">
          <cell r="C17661" t="str">
            <v>PV</v>
          </cell>
          <cell r="D17661">
            <v>1.5</v>
          </cell>
          <cell r="H17661" t="str">
            <v>solar PV</v>
          </cell>
        </row>
        <row r="17662">
          <cell r="C17662" t="str">
            <v>PV</v>
          </cell>
          <cell r="D17662">
            <v>1</v>
          </cell>
          <cell r="H17662" t="str">
            <v>solar PV</v>
          </cell>
        </row>
        <row r="17663">
          <cell r="C17663" t="str">
            <v>WT</v>
          </cell>
          <cell r="D17663">
            <v>0.9</v>
          </cell>
          <cell r="H17663" t="str">
            <v>onshore wind</v>
          </cell>
        </row>
        <row r="17664">
          <cell r="C17664" t="str">
            <v>WT</v>
          </cell>
          <cell r="D17664">
            <v>0.9</v>
          </cell>
          <cell r="H17664" t="str">
            <v>onshore wind</v>
          </cell>
        </row>
        <row r="17665">
          <cell r="C17665" t="str">
            <v>WT</v>
          </cell>
          <cell r="D17665">
            <v>0.1</v>
          </cell>
          <cell r="H17665" t="str">
            <v>onshore wind</v>
          </cell>
        </row>
        <row r="17666">
          <cell r="C17666" t="str">
            <v>PV</v>
          </cell>
          <cell r="D17666">
            <v>3.1</v>
          </cell>
          <cell r="H17666" t="str">
            <v>solar PV</v>
          </cell>
        </row>
        <row r="17667">
          <cell r="C17667" t="str">
            <v>PV</v>
          </cell>
          <cell r="D17667">
            <v>4</v>
          </cell>
          <cell r="H17667" t="str">
            <v>solar PV</v>
          </cell>
        </row>
        <row r="17668">
          <cell r="C17668" t="str">
            <v>PV</v>
          </cell>
          <cell r="D17668">
            <v>2.2000000000000002</v>
          </cell>
          <cell r="H17668" t="str">
            <v>solar PV</v>
          </cell>
        </row>
        <row r="17669">
          <cell r="C17669" t="str">
            <v>PV</v>
          </cell>
          <cell r="D17669">
            <v>0.7</v>
          </cell>
          <cell r="H17669" t="str">
            <v>solar PV</v>
          </cell>
        </row>
        <row r="17670">
          <cell r="C17670" t="str">
            <v>PV</v>
          </cell>
          <cell r="D17670">
            <v>0.8</v>
          </cell>
          <cell r="H17670" t="str">
            <v>solar PV</v>
          </cell>
        </row>
        <row r="17671">
          <cell r="C17671" t="str">
            <v>PV</v>
          </cell>
          <cell r="D17671">
            <v>0.4</v>
          </cell>
          <cell r="H17671" t="str">
            <v>solar PV</v>
          </cell>
        </row>
        <row r="17672">
          <cell r="C17672" t="str">
            <v>PV</v>
          </cell>
          <cell r="D17672">
            <v>1.6</v>
          </cell>
          <cell r="H17672" t="str">
            <v>solar PV</v>
          </cell>
        </row>
        <row r="17673">
          <cell r="C17673" t="str">
            <v>PV</v>
          </cell>
          <cell r="D17673">
            <v>1.4</v>
          </cell>
          <cell r="H17673" t="str">
            <v>solar PV</v>
          </cell>
        </row>
        <row r="17674">
          <cell r="C17674" t="str">
            <v>PV</v>
          </cell>
          <cell r="D17674">
            <v>2.8</v>
          </cell>
          <cell r="H17674" t="str">
            <v>solar PV</v>
          </cell>
        </row>
        <row r="17675">
          <cell r="C17675" t="str">
            <v>PV</v>
          </cell>
          <cell r="D17675">
            <v>8</v>
          </cell>
          <cell r="H17675" t="str">
            <v>solar PV</v>
          </cell>
        </row>
        <row r="17676">
          <cell r="C17676" t="str">
            <v>PV</v>
          </cell>
          <cell r="D17676">
            <v>8.4</v>
          </cell>
          <cell r="H17676" t="str">
            <v>solar PV</v>
          </cell>
        </row>
        <row r="17677">
          <cell r="C17677" t="str">
            <v>PV</v>
          </cell>
          <cell r="D17677">
            <v>1</v>
          </cell>
          <cell r="H17677" t="str">
            <v>solar PV</v>
          </cell>
        </row>
        <row r="17678">
          <cell r="C17678" t="str">
            <v>ST</v>
          </cell>
          <cell r="D17678">
            <v>3</v>
          </cell>
          <cell r="H17678" t="str">
            <v>biomass</v>
          </cell>
        </row>
        <row r="17679">
          <cell r="C17679" t="str">
            <v>PV</v>
          </cell>
          <cell r="D17679">
            <v>1.1000000000000001</v>
          </cell>
          <cell r="H17679" t="str">
            <v>solar PV</v>
          </cell>
        </row>
        <row r="17680">
          <cell r="C17680" t="str">
            <v>PV</v>
          </cell>
          <cell r="D17680">
            <v>1</v>
          </cell>
          <cell r="H17680" t="str">
            <v>solar PV</v>
          </cell>
        </row>
        <row r="17681">
          <cell r="C17681" t="str">
            <v>IC</v>
          </cell>
          <cell r="D17681">
            <v>1.1000000000000001</v>
          </cell>
          <cell r="H17681" t="str">
            <v>biomass</v>
          </cell>
        </row>
        <row r="17682">
          <cell r="C17682" t="str">
            <v>IC</v>
          </cell>
          <cell r="D17682">
            <v>1.6</v>
          </cell>
          <cell r="H17682" t="str">
            <v>biomass</v>
          </cell>
        </row>
        <row r="17683">
          <cell r="C17683" t="str">
            <v>IC</v>
          </cell>
          <cell r="D17683">
            <v>1.6</v>
          </cell>
          <cell r="H17683" t="str">
            <v>biomass</v>
          </cell>
        </row>
        <row r="17684">
          <cell r="C17684" t="str">
            <v>IC</v>
          </cell>
          <cell r="D17684">
            <v>1.6</v>
          </cell>
          <cell r="H17684" t="str">
            <v>biomass</v>
          </cell>
        </row>
        <row r="17685">
          <cell r="C17685" t="str">
            <v>IC</v>
          </cell>
          <cell r="D17685">
            <v>1.6</v>
          </cell>
          <cell r="H17685" t="str">
            <v>biomass</v>
          </cell>
        </row>
        <row r="17686">
          <cell r="C17686" t="str">
            <v>IC</v>
          </cell>
          <cell r="D17686">
            <v>1.6</v>
          </cell>
          <cell r="H17686" t="str">
            <v>biomass</v>
          </cell>
        </row>
        <row r="17687">
          <cell r="C17687" t="str">
            <v>IC</v>
          </cell>
          <cell r="D17687">
            <v>1.6</v>
          </cell>
          <cell r="H17687" t="str">
            <v>biomass</v>
          </cell>
        </row>
        <row r="17688">
          <cell r="C17688" t="str">
            <v>PV</v>
          </cell>
          <cell r="D17688">
            <v>1</v>
          </cell>
          <cell r="H17688" t="str">
            <v>solar PV</v>
          </cell>
        </row>
        <row r="17689">
          <cell r="C17689" t="str">
            <v>PV</v>
          </cell>
          <cell r="D17689">
            <v>4</v>
          </cell>
          <cell r="H17689" t="str">
            <v>solar PV</v>
          </cell>
        </row>
        <row r="17690">
          <cell r="C17690" t="str">
            <v>PV</v>
          </cell>
          <cell r="D17690">
            <v>0.5</v>
          </cell>
          <cell r="H17690" t="str">
            <v>solar PV</v>
          </cell>
        </row>
        <row r="17691">
          <cell r="C17691" t="str">
            <v>PV</v>
          </cell>
          <cell r="D17691">
            <v>0.5</v>
          </cell>
          <cell r="H17691" t="str">
            <v>solar PV</v>
          </cell>
        </row>
        <row r="17692">
          <cell r="C17692" t="str">
            <v>PV</v>
          </cell>
          <cell r="D17692">
            <v>0.5</v>
          </cell>
          <cell r="H17692" t="str">
            <v>solar PV</v>
          </cell>
        </row>
        <row r="17693">
          <cell r="C17693" t="str">
            <v>PV</v>
          </cell>
          <cell r="D17693">
            <v>0.5</v>
          </cell>
          <cell r="H17693" t="str">
            <v>solar PV</v>
          </cell>
        </row>
        <row r="17694">
          <cell r="C17694" t="str">
            <v>BT</v>
          </cell>
          <cell r="D17694">
            <v>14.8</v>
          </cell>
          <cell r="H17694" t="str">
            <v>geothermal</v>
          </cell>
        </row>
        <row r="17695">
          <cell r="C17695" t="str">
            <v>PV</v>
          </cell>
          <cell r="D17695">
            <v>4</v>
          </cell>
          <cell r="H17695" t="str">
            <v>solar PV</v>
          </cell>
        </row>
        <row r="17696">
          <cell r="C17696" t="str">
            <v>PV</v>
          </cell>
          <cell r="D17696">
            <v>1.4</v>
          </cell>
          <cell r="H17696" t="str">
            <v>solar PV</v>
          </cell>
        </row>
        <row r="17697">
          <cell r="C17697" t="str">
            <v>PV</v>
          </cell>
          <cell r="D17697">
            <v>3</v>
          </cell>
          <cell r="H17697" t="str">
            <v>solar PV</v>
          </cell>
        </row>
        <row r="17698">
          <cell r="C17698" t="str">
            <v>PV</v>
          </cell>
          <cell r="D17698">
            <v>40.700000000000003</v>
          </cell>
          <cell r="H17698" t="str">
            <v>solar PV</v>
          </cell>
        </row>
        <row r="17699">
          <cell r="C17699" t="str">
            <v>BA</v>
          </cell>
          <cell r="D17699">
            <v>1</v>
          </cell>
          <cell r="H17699" t="str">
            <v>other</v>
          </cell>
        </row>
        <row r="17700">
          <cell r="C17700" t="str">
            <v>PV</v>
          </cell>
          <cell r="D17700">
            <v>2.5</v>
          </cell>
          <cell r="H17700" t="str">
            <v>solar PV</v>
          </cell>
        </row>
        <row r="17701">
          <cell r="C17701" t="str">
            <v>PV</v>
          </cell>
          <cell r="D17701">
            <v>6</v>
          </cell>
          <cell r="H17701" t="str">
            <v>solar PV</v>
          </cell>
        </row>
        <row r="17702">
          <cell r="C17702" t="str">
            <v>PV</v>
          </cell>
          <cell r="D17702">
            <v>1</v>
          </cell>
          <cell r="H17702" t="str">
            <v>solar PV</v>
          </cell>
        </row>
        <row r="17703">
          <cell r="C17703" t="str">
            <v>PV</v>
          </cell>
          <cell r="D17703">
            <v>1.8</v>
          </cell>
          <cell r="H17703" t="str">
            <v>solar PV</v>
          </cell>
        </row>
        <row r="17704">
          <cell r="C17704" t="str">
            <v>PV</v>
          </cell>
          <cell r="D17704">
            <v>39.1</v>
          </cell>
          <cell r="H17704" t="str">
            <v>solar PV</v>
          </cell>
        </row>
        <row r="17705">
          <cell r="C17705" t="str">
            <v>PV</v>
          </cell>
          <cell r="D17705">
            <v>39.1</v>
          </cell>
          <cell r="H17705" t="str">
            <v>solar PV</v>
          </cell>
        </row>
        <row r="17706">
          <cell r="C17706" t="str">
            <v>PV</v>
          </cell>
          <cell r="D17706">
            <v>26.5</v>
          </cell>
          <cell r="H17706" t="str">
            <v>solar PV</v>
          </cell>
        </row>
        <row r="17707">
          <cell r="C17707" t="str">
            <v>PV</v>
          </cell>
          <cell r="D17707">
            <v>13.9</v>
          </cell>
          <cell r="H17707" t="str">
            <v>solar PV</v>
          </cell>
        </row>
        <row r="17708">
          <cell r="C17708" t="str">
            <v>PV</v>
          </cell>
          <cell r="D17708">
            <v>22.7</v>
          </cell>
          <cell r="H17708" t="str">
            <v>solar PV</v>
          </cell>
        </row>
        <row r="17709">
          <cell r="C17709" t="str">
            <v>PV</v>
          </cell>
          <cell r="D17709">
            <v>29</v>
          </cell>
          <cell r="H17709" t="str">
            <v>solar PV</v>
          </cell>
        </row>
        <row r="17710">
          <cell r="C17710" t="str">
            <v>PV</v>
          </cell>
          <cell r="D17710">
            <v>29</v>
          </cell>
          <cell r="H17710" t="str">
            <v>solar PV</v>
          </cell>
        </row>
        <row r="17711">
          <cell r="C17711" t="str">
            <v>PV</v>
          </cell>
          <cell r="D17711">
            <v>25.2</v>
          </cell>
          <cell r="H17711" t="str">
            <v>solar PV</v>
          </cell>
        </row>
        <row r="17712">
          <cell r="C17712" t="str">
            <v>PV</v>
          </cell>
          <cell r="D17712">
            <v>25.2</v>
          </cell>
          <cell r="H17712" t="str">
            <v>solar PV</v>
          </cell>
        </row>
        <row r="17713">
          <cell r="C17713" t="str">
            <v>PV</v>
          </cell>
          <cell r="D17713">
            <v>2.5</v>
          </cell>
          <cell r="H17713" t="str">
            <v>solar PV</v>
          </cell>
        </row>
        <row r="17714">
          <cell r="C17714" t="str">
            <v>PV</v>
          </cell>
          <cell r="D17714">
            <v>20</v>
          </cell>
          <cell r="H17714" t="str">
            <v>solar PV</v>
          </cell>
        </row>
        <row r="17715">
          <cell r="C17715" t="str">
            <v>PV</v>
          </cell>
          <cell r="D17715">
            <v>5.7</v>
          </cell>
          <cell r="H17715" t="str">
            <v>solar PV</v>
          </cell>
        </row>
        <row r="17716">
          <cell r="C17716" t="str">
            <v>IC</v>
          </cell>
          <cell r="D17716">
            <v>1.6</v>
          </cell>
          <cell r="H17716" t="str">
            <v>biomass</v>
          </cell>
        </row>
        <row r="17717">
          <cell r="C17717" t="str">
            <v>IC</v>
          </cell>
          <cell r="D17717">
            <v>1.6</v>
          </cell>
          <cell r="H17717" t="str">
            <v>biomass</v>
          </cell>
        </row>
        <row r="17718">
          <cell r="C17718" t="str">
            <v>IC</v>
          </cell>
          <cell r="D17718">
            <v>0.8</v>
          </cell>
          <cell r="H17718" t="str">
            <v>biomass</v>
          </cell>
        </row>
        <row r="17719">
          <cell r="C17719" t="str">
            <v>PV</v>
          </cell>
          <cell r="D17719">
            <v>1</v>
          </cell>
          <cell r="H17719" t="str">
            <v>solar PV</v>
          </cell>
        </row>
        <row r="17720">
          <cell r="C17720" t="str">
            <v>WT</v>
          </cell>
          <cell r="D17720">
            <v>2</v>
          </cell>
          <cell r="H17720" t="str">
            <v>onshore wind</v>
          </cell>
        </row>
        <row r="17721">
          <cell r="C17721" t="str">
            <v>WT</v>
          </cell>
          <cell r="D17721">
            <v>2</v>
          </cell>
          <cell r="H17721" t="str">
            <v>onshore wind</v>
          </cell>
        </row>
        <row r="17722">
          <cell r="C17722" t="str">
            <v>WT</v>
          </cell>
          <cell r="D17722">
            <v>2</v>
          </cell>
          <cell r="H17722" t="str">
            <v>onshore wind</v>
          </cell>
        </row>
        <row r="17723">
          <cell r="C17723" t="str">
            <v>WT</v>
          </cell>
          <cell r="D17723">
            <v>2</v>
          </cell>
          <cell r="H17723" t="str">
            <v>onshore wind</v>
          </cell>
        </row>
        <row r="17724">
          <cell r="C17724" t="str">
            <v>PV</v>
          </cell>
          <cell r="D17724">
            <v>6</v>
          </cell>
          <cell r="H17724" t="str">
            <v>solar PV</v>
          </cell>
        </row>
        <row r="17725">
          <cell r="C17725" t="str">
            <v>PV</v>
          </cell>
          <cell r="D17725">
            <v>2</v>
          </cell>
          <cell r="H17725" t="str">
            <v>solar PV</v>
          </cell>
        </row>
        <row r="17726">
          <cell r="C17726" t="str">
            <v>FC</v>
          </cell>
          <cell r="D17726">
            <v>13.7</v>
          </cell>
          <cell r="H17726" t="str">
            <v>other</v>
          </cell>
        </row>
        <row r="17727">
          <cell r="C17727" t="str">
            <v>PV</v>
          </cell>
          <cell r="D17727">
            <v>10</v>
          </cell>
          <cell r="H17727" t="str">
            <v>solar PV</v>
          </cell>
        </row>
        <row r="17728">
          <cell r="C17728" t="str">
            <v>PV</v>
          </cell>
          <cell r="D17728">
            <v>8.6</v>
          </cell>
          <cell r="H17728" t="str">
            <v>solar PV</v>
          </cell>
        </row>
        <row r="17729">
          <cell r="C17729" t="str">
            <v>PV</v>
          </cell>
          <cell r="D17729">
            <v>5</v>
          </cell>
          <cell r="H17729" t="str">
            <v>solar PV</v>
          </cell>
        </row>
        <row r="17730">
          <cell r="C17730" t="str">
            <v>PV</v>
          </cell>
          <cell r="D17730">
            <v>10</v>
          </cell>
          <cell r="H17730" t="str">
            <v>solar PV</v>
          </cell>
        </row>
        <row r="17731">
          <cell r="C17731" t="str">
            <v>CT</v>
          </cell>
          <cell r="D17731">
            <v>153</v>
          </cell>
          <cell r="H17731" t="str">
            <v>natural gas nonpeaker</v>
          </cell>
        </row>
        <row r="17732">
          <cell r="C17732" t="str">
            <v>CT</v>
          </cell>
          <cell r="D17732">
            <v>153</v>
          </cell>
          <cell r="H17732" t="str">
            <v>natural gas nonpeaker</v>
          </cell>
        </row>
        <row r="17733">
          <cell r="C17733" t="str">
            <v>CA</v>
          </cell>
          <cell r="D17733">
            <v>289</v>
          </cell>
          <cell r="H17733" t="str">
            <v>natural gas nonpeaker</v>
          </cell>
        </row>
        <row r="17734">
          <cell r="C17734" t="str">
            <v>IC</v>
          </cell>
          <cell r="D17734">
            <v>1.9</v>
          </cell>
          <cell r="H17734" t="str">
            <v>biomass</v>
          </cell>
        </row>
        <row r="17735">
          <cell r="C17735" t="str">
            <v>IC</v>
          </cell>
          <cell r="D17735">
            <v>0.9</v>
          </cell>
          <cell r="H17735" t="str">
            <v>biomass</v>
          </cell>
        </row>
        <row r="17736">
          <cell r="C17736" t="str">
            <v>IC</v>
          </cell>
          <cell r="D17736">
            <v>1.9</v>
          </cell>
          <cell r="H17736" t="str">
            <v>biomass</v>
          </cell>
        </row>
        <row r="17737">
          <cell r="C17737" t="str">
            <v>ST</v>
          </cell>
          <cell r="D17737">
            <v>44.3</v>
          </cell>
          <cell r="H17737" t="str">
            <v>biomass</v>
          </cell>
        </row>
        <row r="17738">
          <cell r="C17738" t="str">
            <v>PV</v>
          </cell>
          <cell r="D17738">
            <v>1.5</v>
          </cell>
          <cell r="H17738" t="str">
            <v>solar PV</v>
          </cell>
        </row>
        <row r="17739">
          <cell r="C17739" t="str">
            <v>GT</v>
          </cell>
          <cell r="D17739">
            <v>88</v>
          </cell>
          <cell r="H17739" t="str">
            <v>natural gas peaker</v>
          </cell>
        </row>
        <row r="17740">
          <cell r="C17740" t="str">
            <v>GT</v>
          </cell>
          <cell r="D17740">
            <v>88</v>
          </cell>
          <cell r="H17740" t="str">
            <v>natural gas peaker</v>
          </cell>
        </row>
        <row r="17741">
          <cell r="C17741" t="str">
            <v>GT</v>
          </cell>
          <cell r="D17741">
            <v>88</v>
          </cell>
          <cell r="H17741" t="str">
            <v>natural gas peaker</v>
          </cell>
        </row>
        <row r="17742">
          <cell r="C17742" t="str">
            <v>GT</v>
          </cell>
          <cell r="D17742">
            <v>88</v>
          </cell>
          <cell r="H17742" t="str">
            <v>natural gas peaker</v>
          </cell>
        </row>
        <row r="17743">
          <cell r="C17743" t="str">
            <v>IC</v>
          </cell>
          <cell r="D17743">
            <v>7.6</v>
          </cell>
          <cell r="H17743" t="str">
            <v>biomass</v>
          </cell>
        </row>
        <row r="17744">
          <cell r="C17744" t="str">
            <v>PV</v>
          </cell>
          <cell r="D17744">
            <v>7.9</v>
          </cell>
          <cell r="H17744" t="str">
            <v>solar PV</v>
          </cell>
        </row>
        <row r="17745">
          <cell r="C17745" t="str">
            <v>ST</v>
          </cell>
          <cell r="D17745">
            <v>2.5</v>
          </cell>
          <cell r="H17745" t="str">
            <v>biomass</v>
          </cell>
        </row>
        <row r="17746">
          <cell r="C17746" t="str">
            <v>PV</v>
          </cell>
          <cell r="D17746">
            <v>3.2</v>
          </cell>
          <cell r="H17746" t="str">
            <v>solar PV</v>
          </cell>
        </row>
        <row r="17747">
          <cell r="C17747" t="str">
            <v>PV</v>
          </cell>
          <cell r="D17747">
            <v>5</v>
          </cell>
          <cell r="H17747" t="str">
            <v>solar PV</v>
          </cell>
        </row>
        <row r="17748">
          <cell r="C17748" t="str">
            <v>BT</v>
          </cell>
          <cell r="D17748">
            <v>12.5</v>
          </cell>
          <cell r="H17748" t="str">
            <v>geothermal</v>
          </cell>
        </row>
        <row r="17749">
          <cell r="C17749" t="str">
            <v>BT</v>
          </cell>
          <cell r="D17749">
            <v>12.5</v>
          </cell>
          <cell r="H17749" t="str">
            <v>geothermal</v>
          </cell>
        </row>
        <row r="17750">
          <cell r="C17750" t="str">
            <v>WT</v>
          </cell>
          <cell r="D17750">
            <v>266.8</v>
          </cell>
          <cell r="H17750" t="str">
            <v>onshore wind</v>
          </cell>
        </row>
        <row r="17751">
          <cell r="C17751" t="str">
            <v>PV</v>
          </cell>
          <cell r="D17751">
            <v>0.9</v>
          </cell>
          <cell r="H17751" t="str">
            <v>solar PV</v>
          </cell>
        </row>
        <row r="17752">
          <cell r="C17752" t="str">
            <v>PV</v>
          </cell>
          <cell r="D17752">
            <v>0.9</v>
          </cell>
          <cell r="H17752" t="str">
            <v>solar PV</v>
          </cell>
        </row>
        <row r="17753">
          <cell r="C17753" t="str">
            <v>ST</v>
          </cell>
          <cell r="D17753">
            <v>12.6</v>
          </cell>
          <cell r="H17753" t="str">
            <v>biomass</v>
          </cell>
        </row>
        <row r="17754">
          <cell r="C17754" t="str">
            <v>IC</v>
          </cell>
          <cell r="D17754">
            <v>2.2999999999999998</v>
          </cell>
          <cell r="H17754" t="str">
            <v>petroleum</v>
          </cell>
        </row>
        <row r="17755">
          <cell r="C17755" t="str">
            <v>IC</v>
          </cell>
          <cell r="D17755">
            <v>2.2999999999999998</v>
          </cell>
          <cell r="H17755" t="str">
            <v>petroleum</v>
          </cell>
        </row>
        <row r="17756">
          <cell r="C17756" t="str">
            <v>IC</v>
          </cell>
          <cell r="D17756">
            <v>2.2999999999999998</v>
          </cell>
          <cell r="H17756" t="str">
            <v>petroleum</v>
          </cell>
        </row>
        <row r="17757">
          <cell r="C17757" t="str">
            <v>IC</v>
          </cell>
          <cell r="D17757">
            <v>2.2999999999999998</v>
          </cell>
          <cell r="H17757" t="str">
            <v>petroleum</v>
          </cell>
        </row>
        <row r="17758">
          <cell r="C17758" t="str">
            <v>PV</v>
          </cell>
          <cell r="D17758">
            <v>1.7</v>
          </cell>
          <cell r="H17758" t="str">
            <v>solar PV</v>
          </cell>
        </row>
        <row r="17759">
          <cell r="C17759" t="str">
            <v>IC</v>
          </cell>
          <cell r="D17759">
            <v>1.1000000000000001</v>
          </cell>
          <cell r="H17759" t="str">
            <v>biomass</v>
          </cell>
        </row>
        <row r="17760">
          <cell r="C17760" t="str">
            <v>IC</v>
          </cell>
          <cell r="D17760">
            <v>1.1000000000000001</v>
          </cell>
          <cell r="H17760" t="str">
            <v>biomass</v>
          </cell>
        </row>
        <row r="17761">
          <cell r="C17761" t="str">
            <v>PV</v>
          </cell>
          <cell r="D17761">
            <v>1.5</v>
          </cell>
          <cell r="H17761" t="str">
            <v>solar PV</v>
          </cell>
        </row>
        <row r="17762">
          <cell r="C17762" t="str">
            <v>BA</v>
          </cell>
          <cell r="D17762">
            <v>1</v>
          </cell>
          <cell r="H17762" t="str">
            <v>other</v>
          </cell>
        </row>
        <row r="17763">
          <cell r="C17763" t="str">
            <v>WT</v>
          </cell>
          <cell r="D17763">
            <v>74.8</v>
          </cell>
          <cell r="H17763" t="str">
            <v>onshore wind</v>
          </cell>
        </row>
        <row r="17764">
          <cell r="C17764" t="str">
            <v>PV</v>
          </cell>
          <cell r="D17764">
            <v>1</v>
          </cell>
          <cell r="H17764" t="str">
            <v>solar PV</v>
          </cell>
        </row>
        <row r="17765">
          <cell r="C17765" t="str">
            <v>PV</v>
          </cell>
          <cell r="D17765">
            <v>1.5</v>
          </cell>
          <cell r="H17765" t="str">
            <v>solar PV</v>
          </cell>
        </row>
        <row r="17766">
          <cell r="C17766" t="str">
            <v>PV</v>
          </cell>
          <cell r="D17766">
            <v>3</v>
          </cell>
          <cell r="H17766" t="str">
            <v>solar PV</v>
          </cell>
        </row>
        <row r="17767">
          <cell r="C17767" t="str">
            <v>GT</v>
          </cell>
          <cell r="D17767">
            <v>15.5</v>
          </cell>
          <cell r="H17767" t="str">
            <v>natural gas peaker</v>
          </cell>
        </row>
        <row r="17768">
          <cell r="C17768" t="str">
            <v>PV</v>
          </cell>
          <cell r="D17768">
            <v>4.5</v>
          </cell>
          <cell r="H17768" t="str">
            <v>solar PV</v>
          </cell>
        </row>
        <row r="17769">
          <cell r="C17769" t="str">
            <v>BA</v>
          </cell>
          <cell r="D17769">
            <v>0.5</v>
          </cell>
          <cell r="H17769" t="str">
            <v>other</v>
          </cell>
        </row>
        <row r="17770">
          <cell r="C17770" t="str">
            <v>GT</v>
          </cell>
          <cell r="D17770">
            <v>1.7</v>
          </cell>
          <cell r="H17770" t="str">
            <v>natural gas peaker</v>
          </cell>
        </row>
        <row r="17771">
          <cell r="C17771" t="str">
            <v>PV</v>
          </cell>
          <cell r="D17771">
            <v>1.4</v>
          </cell>
          <cell r="H17771" t="str">
            <v>solar PV</v>
          </cell>
        </row>
        <row r="17772">
          <cell r="C17772" t="str">
            <v>PV</v>
          </cell>
          <cell r="D17772">
            <v>2</v>
          </cell>
          <cell r="H17772" t="str">
            <v>solar PV</v>
          </cell>
        </row>
        <row r="17773">
          <cell r="C17773" t="str">
            <v>WT</v>
          </cell>
          <cell r="D17773">
            <v>100.3</v>
          </cell>
          <cell r="H17773" t="str">
            <v>onshore wind</v>
          </cell>
        </row>
        <row r="17774">
          <cell r="C17774" t="str">
            <v>PV</v>
          </cell>
          <cell r="D17774">
            <v>1</v>
          </cell>
          <cell r="H17774" t="str">
            <v>solar PV</v>
          </cell>
        </row>
        <row r="17775">
          <cell r="C17775" t="str">
            <v>PV</v>
          </cell>
          <cell r="D17775">
            <v>1</v>
          </cell>
          <cell r="H17775" t="str">
            <v>solar PV</v>
          </cell>
        </row>
        <row r="17776">
          <cell r="C17776" t="str">
            <v>PV</v>
          </cell>
          <cell r="D17776">
            <v>18.5</v>
          </cell>
          <cell r="H17776" t="str">
            <v>solar PV</v>
          </cell>
        </row>
        <row r="17777">
          <cell r="C17777" t="str">
            <v>IC</v>
          </cell>
          <cell r="D17777">
            <v>1</v>
          </cell>
          <cell r="H17777" t="str">
            <v>biomass</v>
          </cell>
        </row>
        <row r="17778">
          <cell r="C17778" t="str">
            <v>PV</v>
          </cell>
          <cell r="D17778">
            <v>50</v>
          </cell>
          <cell r="H17778" t="str">
            <v>solar PV</v>
          </cell>
        </row>
        <row r="17779">
          <cell r="C17779" t="str">
            <v>PV</v>
          </cell>
          <cell r="D17779">
            <v>50</v>
          </cell>
          <cell r="H17779" t="str">
            <v>solar PV</v>
          </cell>
        </row>
        <row r="17780">
          <cell r="C17780" t="str">
            <v>PV</v>
          </cell>
          <cell r="D17780">
            <v>50</v>
          </cell>
          <cell r="H17780" t="str">
            <v>solar PV</v>
          </cell>
        </row>
        <row r="17781">
          <cell r="C17781" t="str">
            <v>IC</v>
          </cell>
          <cell r="D17781">
            <v>0.6</v>
          </cell>
          <cell r="H17781" t="str">
            <v>petroleum</v>
          </cell>
        </row>
        <row r="17782">
          <cell r="C17782" t="str">
            <v>IC</v>
          </cell>
          <cell r="D17782">
            <v>0.4</v>
          </cell>
          <cell r="H17782" t="str">
            <v>petroleum</v>
          </cell>
        </row>
        <row r="17783">
          <cell r="C17783" t="str">
            <v>ST</v>
          </cell>
          <cell r="D17783">
            <v>2.9</v>
          </cell>
          <cell r="H17783" t="str">
            <v>natural gas peaker</v>
          </cell>
        </row>
        <row r="17784">
          <cell r="C17784" t="str">
            <v>WT</v>
          </cell>
          <cell r="D17784">
            <v>74.8</v>
          </cell>
          <cell r="H17784" t="str">
            <v>onshore wind</v>
          </cell>
        </row>
        <row r="17785">
          <cell r="C17785" t="str">
            <v>ST</v>
          </cell>
          <cell r="D17785">
            <v>15.2</v>
          </cell>
          <cell r="H17785" t="str">
            <v>biomass</v>
          </cell>
        </row>
        <row r="17786">
          <cell r="C17786" t="str">
            <v>WT</v>
          </cell>
          <cell r="D17786">
            <v>211.2</v>
          </cell>
          <cell r="H17786" t="str">
            <v>onshore wind</v>
          </cell>
        </row>
        <row r="17787">
          <cell r="C17787" t="str">
            <v>GT</v>
          </cell>
          <cell r="D17787">
            <v>5.6</v>
          </cell>
          <cell r="H17787" t="str">
            <v>natural gas peaker</v>
          </cell>
        </row>
        <row r="17788">
          <cell r="C17788" t="str">
            <v>PV</v>
          </cell>
          <cell r="D17788">
            <v>3</v>
          </cell>
          <cell r="H17788" t="str">
            <v>solar PV</v>
          </cell>
        </row>
        <row r="17789">
          <cell r="C17789" t="str">
            <v>PV</v>
          </cell>
          <cell r="D17789">
            <v>3</v>
          </cell>
          <cell r="H17789" t="str">
            <v>solar PV</v>
          </cell>
        </row>
        <row r="17790">
          <cell r="C17790" t="str">
            <v>PV</v>
          </cell>
          <cell r="D17790">
            <v>3</v>
          </cell>
          <cell r="H17790" t="str">
            <v>solar PV</v>
          </cell>
        </row>
        <row r="17791">
          <cell r="C17791" t="str">
            <v>PV</v>
          </cell>
          <cell r="D17791">
            <v>3</v>
          </cell>
          <cell r="H17791" t="str">
            <v>solar PV</v>
          </cell>
        </row>
        <row r="17792">
          <cell r="C17792" t="str">
            <v>PV</v>
          </cell>
          <cell r="D17792">
            <v>3</v>
          </cell>
          <cell r="H17792" t="str">
            <v>solar PV</v>
          </cell>
        </row>
        <row r="17793">
          <cell r="C17793" t="str">
            <v>PV</v>
          </cell>
          <cell r="D17793">
            <v>2.2000000000000002</v>
          </cell>
          <cell r="H17793" t="str">
            <v>solar PV</v>
          </cell>
        </row>
        <row r="17794">
          <cell r="C17794" t="str">
            <v>PV</v>
          </cell>
          <cell r="D17794">
            <v>3</v>
          </cell>
          <cell r="H17794" t="str">
            <v>solar PV</v>
          </cell>
        </row>
        <row r="17795">
          <cell r="C17795" t="str">
            <v>PV</v>
          </cell>
          <cell r="D17795">
            <v>5</v>
          </cell>
          <cell r="H17795" t="str">
            <v>solar PV</v>
          </cell>
        </row>
        <row r="17796">
          <cell r="C17796" t="str">
            <v>IC</v>
          </cell>
          <cell r="D17796">
            <v>0.5</v>
          </cell>
          <cell r="H17796" t="str">
            <v>natural gas peaker</v>
          </cell>
        </row>
        <row r="17797">
          <cell r="C17797" t="str">
            <v>IC</v>
          </cell>
          <cell r="D17797">
            <v>0.5</v>
          </cell>
          <cell r="H17797" t="str">
            <v>natural gas peaker</v>
          </cell>
        </row>
        <row r="17798">
          <cell r="C17798" t="str">
            <v>IC</v>
          </cell>
          <cell r="D17798">
            <v>0.5</v>
          </cell>
          <cell r="H17798" t="str">
            <v>natural gas peaker</v>
          </cell>
        </row>
        <row r="17799">
          <cell r="C17799" t="str">
            <v>WT</v>
          </cell>
          <cell r="D17799">
            <v>8.5</v>
          </cell>
          <cell r="H17799" t="str">
            <v>onshore wind</v>
          </cell>
        </row>
        <row r="17800">
          <cell r="C17800" t="str">
            <v>WT</v>
          </cell>
          <cell r="D17800">
            <v>25.7</v>
          </cell>
          <cell r="H17800" t="str">
            <v>onshore wind</v>
          </cell>
        </row>
        <row r="17801">
          <cell r="C17801" t="str">
            <v>PV</v>
          </cell>
          <cell r="D17801">
            <v>1.5</v>
          </cell>
          <cell r="H17801" t="str">
            <v>solar PV</v>
          </cell>
        </row>
        <row r="17802">
          <cell r="C17802" t="str">
            <v>PV</v>
          </cell>
          <cell r="D17802">
            <v>1.5</v>
          </cell>
          <cell r="H17802" t="str">
            <v>solar PV</v>
          </cell>
        </row>
        <row r="17803">
          <cell r="C17803" t="str">
            <v>PV</v>
          </cell>
          <cell r="D17803">
            <v>1.5</v>
          </cell>
          <cell r="H17803" t="str">
            <v>solar PV</v>
          </cell>
        </row>
        <row r="17804">
          <cell r="C17804" t="str">
            <v>PV</v>
          </cell>
          <cell r="D17804">
            <v>1.5</v>
          </cell>
          <cell r="H17804" t="str">
            <v>solar PV</v>
          </cell>
        </row>
        <row r="17805">
          <cell r="C17805" t="str">
            <v>WT</v>
          </cell>
          <cell r="D17805">
            <v>226.1</v>
          </cell>
          <cell r="H17805" t="str">
            <v>onshore wind</v>
          </cell>
        </row>
        <row r="17806">
          <cell r="C17806" t="str">
            <v>PV</v>
          </cell>
          <cell r="D17806">
            <v>9</v>
          </cell>
          <cell r="H17806" t="str">
            <v>solar PV</v>
          </cell>
        </row>
        <row r="17807">
          <cell r="C17807" t="str">
            <v>PV</v>
          </cell>
          <cell r="D17807">
            <v>18</v>
          </cell>
          <cell r="H17807" t="str">
            <v>solar PV</v>
          </cell>
        </row>
        <row r="17808">
          <cell r="C17808" t="str">
            <v>IC</v>
          </cell>
          <cell r="D17808">
            <v>0.3</v>
          </cell>
          <cell r="H17808" t="str">
            <v>biomass</v>
          </cell>
        </row>
        <row r="17809">
          <cell r="C17809" t="str">
            <v>IC</v>
          </cell>
          <cell r="D17809">
            <v>0.3</v>
          </cell>
          <cell r="H17809" t="str">
            <v>biomass</v>
          </cell>
        </row>
        <row r="17810">
          <cell r="C17810" t="str">
            <v>PV</v>
          </cell>
          <cell r="D17810">
            <v>1.2</v>
          </cell>
          <cell r="H17810" t="str">
            <v>solar PV</v>
          </cell>
        </row>
        <row r="17811">
          <cell r="C17811" t="str">
            <v>IC</v>
          </cell>
          <cell r="D17811">
            <v>0.5</v>
          </cell>
          <cell r="H17811" t="str">
            <v>natural gas peaker</v>
          </cell>
        </row>
        <row r="17812">
          <cell r="C17812" t="str">
            <v>IC</v>
          </cell>
          <cell r="D17812">
            <v>0.5</v>
          </cell>
          <cell r="H17812" t="str">
            <v>natural gas peaker</v>
          </cell>
        </row>
        <row r="17813">
          <cell r="C17813" t="str">
            <v>WT</v>
          </cell>
          <cell r="D17813">
            <v>22.8</v>
          </cell>
          <cell r="H17813" t="str">
            <v>onshore wind</v>
          </cell>
        </row>
        <row r="17814">
          <cell r="C17814" t="str">
            <v>PV</v>
          </cell>
          <cell r="D17814">
            <v>20</v>
          </cell>
          <cell r="H17814" t="str">
            <v>solar PV</v>
          </cell>
        </row>
        <row r="17815">
          <cell r="C17815" t="str">
            <v>HY</v>
          </cell>
          <cell r="D17815">
            <v>1.3</v>
          </cell>
          <cell r="H17815" t="str">
            <v>hydro</v>
          </cell>
        </row>
        <row r="17816">
          <cell r="C17816" t="str">
            <v>HY</v>
          </cell>
          <cell r="D17816">
            <v>1.3</v>
          </cell>
          <cell r="H17816" t="str">
            <v>hydro</v>
          </cell>
        </row>
        <row r="17817">
          <cell r="C17817" t="str">
            <v>PV</v>
          </cell>
          <cell r="D17817">
            <v>20</v>
          </cell>
          <cell r="H17817" t="str">
            <v>solar PV</v>
          </cell>
        </row>
        <row r="17818">
          <cell r="C17818" t="str">
            <v>PV</v>
          </cell>
          <cell r="D17818">
            <v>1.8</v>
          </cell>
          <cell r="H17818" t="str">
            <v>solar PV</v>
          </cell>
        </row>
        <row r="17819">
          <cell r="C17819" t="str">
            <v>FC</v>
          </cell>
          <cell r="D17819">
            <v>1.4</v>
          </cell>
          <cell r="H17819" t="str">
            <v>other</v>
          </cell>
        </row>
        <row r="17820">
          <cell r="C17820" t="str">
            <v>BA</v>
          </cell>
          <cell r="D17820">
            <v>2</v>
          </cell>
          <cell r="H17820" t="str">
            <v>other</v>
          </cell>
        </row>
        <row r="17821">
          <cell r="C17821" t="str">
            <v>PV</v>
          </cell>
          <cell r="D17821">
            <v>1</v>
          </cell>
          <cell r="H17821" t="str">
            <v>solar PV</v>
          </cell>
        </row>
        <row r="17822">
          <cell r="C17822" t="str">
            <v>PV</v>
          </cell>
          <cell r="D17822">
            <v>0.5</v>
          </cell>
          <cell r="H17822" t="str">
            <v>solar PV</v>
          </cell>
        </row>
        <row r="17823">
          <cell r="C17823" t="str">
            <v>PV</v>
          </cell>
          <cell r="D17823">
            <v>19</v>
          </cell>
          <cell r="H17823" t="str">
            <v>solar PV</v>
          </cell>
        </row>
        <row r="17824">
          <cell r="C17824" t="str">
            <v>PV</v>
          </cell>
          <cell r="D17824">
            <v>10</v>
          </cell>
          <cell r="H17824" t="str">
            <v>solar PV</v>
          </cell>
        </row>
        <row r="17825">
          <cell r="C17825" t="str">
            <v>PV</v>
          </cell>
          <cell r="D17825">
            <v>30</v>
          </cell>
          <cell r="H17825" t="str">
            <v>solar PV</v>
          </cell>
        </row>
        <row r="17826">
          <cell r="C17826" t="str">
            <v>BT</v>
          </cell>
          <cell r="D17826">
            <v>7</v>
          </cell>
          <cell r="H17826" t="str">
            <v>geothermal</v>
          </cell>
        </row>
        <row r="17827">
          <cell r="C17827" t="str">
            <v>BT</v>
          </cell>
          <cell r="D17827">
            <v>0.4</v>
          </cell>
          <cell r="H17827" t="str">
            <v>geothermal</v>
          </cell>
        </row>
        <row r="17828">
          <cell r="C17828" t="str">
            <v>BT</v>
          </cell>
          <cell r="D17828">
            <v>0.4</v>
          </cell>
          <cell r="H17828" t="str">
            <v>geothermal</v>
          </cell>
        </row>
        <row r="17829">
          <cell r="C17829" t="str">
            <v>BT</v>
          </cell>
          <cell r="D17829">
            <v>0.4</v>
          </cell>
          <cell r="H17829" t="str">
            <v>geothermal</v>
          </cell>
        </row>
        <row r="17830">
          <cell r="C17830" t="str">
            <v>BT</v>
          </cell>
          <cell r="D17830">
            <v>0.4</v>
          </cell>
          <cell r="H17830" t="str">
            <v>geothermal</v>
          </cell>
        </row>
        <row r="17831">
          <cell r="C17831" t="str">
            <v>WT</v>
          </cell>
          <cell r="D17831">
            <v>3.4</v>
          </cell>
          <cell r="H17831" t="str">
            <v>onshore wind</v>
          </cell>
        </row>
        <row r="17832">
          <cell r="C17832" t="str">
            <v>PV</v>
          </cell>
          <cell r="D17832">
            <v>2</v>
          </cell>
          <cell r="H17832" t="str">
            <v>solar PV</v>
          </cell>
        </row>
        <row r="17833">
          <cell r="C17833" t="str">
            <v>PV</v>
          </cell>
          <cell r="D17833">
            <v>3</v>
          </cell>
          <cell r="H17833" t="str">
            <v>solar PV</v>
          </cell>
        </row>
        <row r="17834">
          <cell r="C17834" t="str">
            <v>PV</v>
          </cell>
          <cell r="D17834">
            <v>1</v>
          </cell>
          <cell r="H17834" t="str">
            <v>solar PV</v>
          </cell>
        </row>
        <row r="17835">
          <cell r="C17835" t="str">
            <v>PV</v>
          </cell>
          <cell r="D17835">
            <v>1</v>
          </cell>
          <cell r="H17835" t="str">
            <v>solar PV</v>
          </cell>
        </row>
        <row r="17836">
          <cell r="C17836" t="str">
            <v>IC</v>
          </cell>
          <cell r="D17836">
            <v>1.7</v>
          </cell>
          <cell r="H17836" t="str">
            <v>natural gas peaker</v>
          </cell>
        </row>
        <row r="17837">
          <cell r="C17837" t="str">
            <v>PV</v>
          </cell>
          <cell r="D17837">
            <v>1</v>
          </cell>
          <cell r="H17837" t="str">
            <v>solar PV</v>
          </cell>
        </row>
        <row r="17838">
          <cell r="C17838" t="str">
            <v>IC</v>
          </cell>
          <cell r="D17838">
            <v>5.2</v>
          </cell>
          <cell r="H17838" t="str">
            <v>biomass</v>
          </cell>
        </row>
        <row r="17839">
          <cell r="C17839" t="str">
            <v>PV</v>
          </cell>
          <cell r="D17839">
            <v>12</v>
          </cell>
          <cell r="H17839" t="str">
            <v>solar PV</v>
          </cell>
        </row>
        <row r="17840">
          <cell r="C17840" t="str">
            <v>BA</v>
          </cell>
          <cell r="D17840">
            <v>6</v>
          </cell>
          <cell r="H17840" t="str">
            <v>other</v>
          </cell>
        </row>
        <row r="17841">
          <cell r="C17841" t="str">
            <v>PV</v>
          </cell>
          <cell r="D17841">
            <v>12</v>
          </cell>
          <cell r="H17841" t="str">
            <v>solar PV</v>
          </cell>
        </row>
        <row r="17842">
          <cell r="C17842" t="str">
            <v>PV</v>
          </cell>
          <cell r="D17842">
            <v>1.5</v>
          </cell>
          <cell r="H17842" t="str">
            <v>solar PV</v>
          </cell>
        </row>
        <row r="17843">
          <cell r="C17843" t="str">
            <v>PV</v>
          </cell>
          <cell r="D17843">
            <v>1.5</v>
          </cell>
          <cell r="H17843" t="str">
            <v>solar PV</v>
          </cell>
        </row>
        <row r="17844">
          <cell r="C17844" t="str">
            <v>PV</v>
          </cell>
          <cell r="D17844">
            <v>2.6</v>
          </cell>
          <cell r="H17844" t="str">
            <v>solar PV</v>
          </cell>
        </row>
        <row r="17845">
          <cell r="C17845" t="str">
            <v>PV</v>
          </cell>
          <cell r="D17845">
            <v>26.4</v>
          </cell>
          <cell r="H17845" t="str">
            <v>solar PV</v>
          </cell>
        </row>
        <row r="17846">
          <cell r="C17846" t="str">
            <v>PV</v>
          </cell>
          <cell r="D17846">
            <v>27.9</v>
          </cell>
          <cell r="H17846" t="str">
            <v>solar PV</v>
          </cell>
        </row>
        <row r="17847">
          <cell r="C17847" t="str">
            <v>PV</v>
          </cell>
          <cell r="D17847">
            <v>37.200000000000003</v>
          </cell>
          <cell r="H17847" t="str">
            <v>solar PV</v>
          </cell>
        </row>
        <row r="17848">
          <cell r="C17848" t="str">
            <v>PV</v>
          </cell>
          <cell r="D17848">
            <v>35.700000000000003</v>
          </cell>
          <cell r="H17848" t="str">
            <v>solar PV</v>
          </cell>
        </row>
        <row r="17849">
          <cell r="C17849" t="str">
            <v>PV</v>
          </cell>
          <cell r="D17849">
            <v>35</v>
          </cell>
          <cell r="H17849" t="str">
            <v>solar PV</v>
          </cell>
        </row>
        <row r="17850">
          <cell r="C17850" t="str">
            <v>PV</v>
          </cell>
          <cell r="D17850">
            <v>36.6</v>
          </cell>
          <cell r="H17850" t="str">
            <v>solar PV</v>
          </cell>
        </row>
        <row r="17851">
          <cell r="C17851" t="str">
            <v>PV</v>
          </cell>
          <cell r="D17851">
            <v>35</v>
          </cell>
          <cell r="H17851" t="str">
            <v>solar PV</v>
          </cell>
        </row>
        <row r="17852">
          <cell r="C17852" t="str">
            <v>PV</v>
          </cell>
          <cell r="D17852">
            <v>26.3</v>
          </cell>
          <cell r="H17852" t="str">
            <v>solar PV</v>
          </cell>
        </row>
        <row r="17853">
          <cell r="C17853" t="str">
            <v>PV</v>
          </cell>
          <cell r="D17853">
            <v>76</v>
          </cell>
          <cell r="H17853" t="str">
            <v>solar PV</v>
          </cell>
        </row>
        <row r="17854">
          <cell r="C17854" t="str">
            <v>PV</v>
          </cell>
          <cell r="D17854">
            <v>34</v>
          </cell>
          <cell r="H17854" t="str">
            <v>solar PV</v>
          </cell>
        </row>
        <row r="17855">
          <cell r="C17855" t="str">
            <v>PV</v>
          </cell>
          <cell r="D17855">
            <v>38</v>
          </cell>
          <cell r="H17855" t="str">
            <v>solar PV</v>
          </cell>
        </row>
        <row r="17856">
          <cell r="C17856" t="str">
            <v>PV</v>
          </cell>
          <cell r="D17856">
            <v>38</v>
          </cell>
          <cell r="H17856" t="str">
            <v>solar PV</v>
          </cell>
        </row>
        <row r="17857">
          <cell r="C17857" t="str">
            <v>PV</v>
          </cell>
          <cell r="D17857">
            <v>38</v>
          </cell>
          <cell r="H17857" t="str">
            <v>solar PV</v>
          </cell>
        </row>
        <row r="17858">
          <cell r="C17858" t="str">
            <v>PV</v>
          </cell>
          <cell r="D17858">
            <v>38</v>
          </cell>
          <cell r="H17858" t="str">
            <v>solar PV</v>
          </cell>
        </row>
        <row r="17859">
          <cell r="C17859" t="str">
            <v>PV</v>
          </cell>
          <cell r="D17859">
            <v>38</v>
          </cell>
          <cell r="H17859" t="str">
            <v>solar PV</v>
          </cell>
        </row>
        <row r="17860">
          <cell r="C17860" t="str">
            <v>PV</v>
          </cell>
          <cell r="D17860">
            <v>1</v>
          </cell>
          <cell r="H17860" t="str">
            <v>solar PV</v>
          </cell>
        </row>
        <row r="17861">
          <cell r="C17861" t="str">
            <v>PV</v>
          </cell>
          <cell r="D17861">
            <v>20</v>
          </cell>
          <cell r="H17861" t="str">
            <v>solar PV</v>
          </cell>
        </row>
        <row r="17862">
          <cell r="C17862" t="str">
            <v>PV</v>
          </cell>
          <cell r="D17862">
            <v>3</v>
          </cell>
          <cell r="H17862" t="str">
            <v>solar PV</v>
          </cell>
        </row>
        <row r="17863">
          <cell r="C17863" t="str">
            <v>PV</v>
          </cell>
          <cell r="D17863">
            <v>5</v>
          </cell>
          <cell r="H17863" t="str">
            <v>solar PV</v>
          </cell>
        </row>
        <row r="17864">
          <cell r="C17864" t="str">
            <v>PV</v>
          </cell>
          <cell r="D17864">
            <v>1.7</v>
          </cell>
          <cell r="H17864" t="str">
            <v>solar PV</v>
          </cell>
        </row>
        <row r="17865">
          <cell r="C17865" t="str">
            <v>PV</v>
          </cell>
          <cell r="D17865">
            <v>2.2999999999999998</v>
          </cell>
          <cell r="H17865" t="str">
            <v>solar PV</v>
          </cell>
        </row>
        <row r="17866">
          <cell r="C17866" t="str">
            <v>PV</v>
          </cell>
          <cell r="D17866">
            <v>0.5</v>
          </cell>
          <cell r="H17866" t="str">
            <v>solar PV</v>
          </cell>
        </row>
        <row r="17867">
          <cell r="C17867" t="str">
            <v>PV</v>
          </cell>
          <cell r="D17867">
            <v>0.5</v>
          </cell>
          <cell r="H17867" t="str">
            <v>solar PV</v>
          </cell>
        </row>
        <row r="17868">
          <cell r="C17868" t="str">
            <v>PV</v>
          </cell>
          <cell r="D17868">
            <v>0.5</v>
          </cell>
          <cell r="H17868" t="str">
            <v>solar PV</v>
          </cell>
        </row>
        <row r="17869">
          <cell r="C17869" t="str">
            <v>PV</v>
          </cell>
          <cell r="D17869">
            <v>0.5</v>
          </cell>
          <cell r="H17869" t="str">
            <v>solar PV</v>
          </cell>
        </row>
        <row r="17870">
          <cell r="C17870" t="str">
            <v>PV</v>
          </cell>
          <cell r="D17870">
            <v>0.5</v>
          </cell>
          <cell r="H17870" t="str">
            <v>solar PV</v>
          </cell>
        </row>
        <row r="17871">
          <cell r="C17871" t="str">
            <v>PV</v>
          </cell>
          <cell r="D17871">
            <v>0.5</v>
          </cell>
          <cell r="H17871" t="str">
            <v>solar PV</v>
          </cell>
        </row>
        <row r="17872">
          <cell r="C17872" t="str">
            <v>PV</v>
          </cell>
          <cell r="D17872">
            <v>0.5</v>
          </cell>
          <cell r="H17872" t="str">
            <v>solar PV</v>
          </cell>
        </row>
        <row r="17873">
          <cell r="C17873" t="str">
            <v>PV</v>
          </cell>
          <cell r="D17873">
            <v>0.5</v>
          </cell>
          <cell r="H17873" t="str">
            <v>solar PV</v>
          </cell>
        </row>
        <row r="17874">
          <cell r="C17874" t="str">
            <v>PV</v>
          </cell>
          <cell r="D17874">
            <v>0.5</v>
          </cell>
          <cell r="H17874" t="str">
            <v>solar PV</v>
          </cell>
        </row>
        <row r="17875">
          <cell r="C17875" t="str">
            <v>PV</v>
          </cell>
          <cell r="D17875">
            <v>0.5</v>
          </cell>
          <cell r="H17875" t="str">
            <v>solar PV</v>
          </cell>
        </row>
        <row r="17876">
          <cell r="C17876" t="str">
            <v>PV</v>
          </cell>
          <cell r="D17876">
            <v>0.5</v>
          </cell>
          <cell r="H17876" t="str">
            <v>solar PV</v>
          </cell>
        </row>
        <row r="17877">
          <cell r="C17877" t="str">
            <v>PV</v>
          </cell>
          <cell r="D17877">
            <v>0.5</v>
          </cell>
          <cell r="H17877" t="str">
            <v>solar PV</v>
          </cell>
        </row>
        <row r="17878">
          <cell r="C17878" t="str">
            <v>PV</v>
          </cell>
          <cell r="D17878">
            <v>0.5</v>
          </cell>
          <cell r="H17878" t="str">
            <v>solar PV</v>
          </cell>
        </row>
        <row r="17879">
          <cell r="C17879" t="str">
            <v>WT</v>
          </cell>
          <cell r="D17879">
            <v>200</v>
          </cell>
          <cell r="H17879" t="str">
            <v>onshore wind</v>
          </cell>
        </row>
        <row r="17880">
          <cell r="C17880" t="str">
            <v>WT</v>
          </cell>
          <cell r="D17880">
            <v>195</v>
          </cell>
          <cell r="H17880" t="str">
            <v>onshore wind</v>
          </cell>
        </row>
        <row r="17881">
          <cell r="C17881" t="str">
            <v>PV</v>
          </cell>
          <cell r="D17881">
            <v>5</v>
          </cell>
          <cell r="H17881" t="str">
            <v>solar PV</v>
          </cell>
        </row>
        <row r="17882">
          <cell r="C17882" t="str">
            <v>PV</v>
          </cell>
          <cell r="D17882">
            <v>80</v>
          </cell>
          <cell r="H17882" t="str">
            <v>solar PV</v>
          </cell>
        </row>
        <row r="17883">
          <cell r="C17883" t="str">
            <v>WT</v>
          </cell>
          <cell r="D17883">
            <v>1.7</v>
          </cell>
          <cell r="H17883" t="str">
            <v>onshore wind</v>
          </cell>
        </row>
        <row r="17884">
          <cell r="C17884" t="str">
            <v>WT</v>
          </cell>
          <cell r="D17884">
            <v>1.7</v>
          </cell>
          <cell r="H17884" t="str">
            <v>onshore wind</v>
          </cell>
        </row>
        <row r="17885">
          <cell r="C17885" t="str">
            <v>IC</v>
          </cell>
          <cell r="D17885">
            <v>0.6</v>
          </cell>
          <cell r="H17885" t="str">
            <v>biomass</v>
          </cell>
        </row>
        <row r="17886">
          <cell r="C17886" t="str">
            <v>IC</v>
          </cell>
          <cell r="D17886">
            <v>0.6</v>
          </cell>
          <cell r="H17886" t="str">
            <v>biomass</v>
          </cell>
        </row>
        <row r="17887">
          <cell r="C17887" t="str">
            <v>GT</v>
          </cell>
          <cell r="D17887">
            <v>3.6</v>
          </cell>
          <cell r="H17887" t="str">
            <v>natural gas peaker</v>
          </cell>
        </row>
        <row r="17888">
          <cell r="C17888" t="str">
            <v>PV</v>
          </cell>
          <cell r="D17888">
            <v>4</v>
          </cell>
          <cell r="H17888" t="str">
            <v>solar PV</v>
          </cell>
        </row>
        <row r="17889">
          <cell r="C17889" t="str">
            <v>WT</v>
          </cell>
          <cell r="D17889">
            <v>50.7</v>
          </cell>
          <cell r="H17889" t="str">
            <v>onshore wind</v>
          </cell>
        </row>
        <row r="17890">
          <cell r="C17890" t="str">
            <v>PV</v>
          </cell>
          <cell r="D17890">
            <v>4</v>
          </cell>
          <cell r="H17890" t="str">
            <v>solar PV</v>
          </cell>
        </row>
        <row r="17891">
          <cell r="C17891" t="str">
            <v>PV</v>
          </cell>
          <cell r="D17891">
            <v>3.5</v>
          </cell>
          <cell r="H17891" t="str">
            <v>solar PV</v>
          </cell>
        </row>
        <row r="17892">
          <cell r="C17892" t="str">
            <v>PV</v>
          </cell>
          <cell r="D17892">
            <v>4</v>
          </cell>
          <cell r="H17892" t="str">
            <v>solar PV</v>
          </cell>
        </row>
        <row r="17893">
          <cell r="C17893" t="str">
            <v>PV</v>
          </cell>
          <cell r="D17893">
            <v>4</v>
          </cell>
          <cell r="H17893" t="str">
            <v>solar PV</v>
          </cell>
        </row>
        <row r="17894">
          <cell r="C17894" t="str">
            <v>PV</v>
          </cell>
          <cell r="D17894">
            <v>5</v>
          </cell>
          <cell r="H17894" t="str">
            <v>solar PV</v>
          </cell>
        </row>
        <row r="17895">
          <cell r="C17895" t="str">
            <v>PV</v>
          </cell>
          <cell r="D17895">
            <v>5</v>
          </cell>
          <cell r="H17895" t="str">
            <v>solar PV</v>
          </cell>
        </row>
        <row r="17896">
          <cell r="C17896" t="str">
            <v>PV</v>
          </cell>
          <cell r="D17896">
            <v>5</v>
          </cell>
          <cell r="H17896" t="str">
            <v>solar PV</v>
          </cell>
        </row>
        <row r="17897">
          <cell r="C17897" t="str">
            <v>PV</v>
          </cell>
          <cell r="D17897">
            <v>1</v>
          </cell>
          <cell r="H17897" t="str">
            <v>solar PV</v>
          </cell>
        </row>
        <row r="17898">
          <cell r="C17898" t="str">
            <v>WT</v>
          </cell>
          <cell r="D17898">
            <v>110.4</v>
          </cell>
          <cell r="H17898" t="str">
            <v>onshore wind</v>
          </cell>
        </row>
        <row r="17899">
          <cell r="C17899" t="str">
            <v>HY</v>
          </cell>
          <cell r="D17899">
            <v>0.8</v>
          </cell>
          <cell r="H17899" t="str">
            <v>hydro</v>
          </cell>
        </row>
        <row r="17900">
          <cell r="C17900" t="str">
            <v>HY</v>
          </cell>
          <cell r="D17900">
            <v>0.8</v>
          </cell>
          <cell r="H17900" t="str">
            <v>hydro</v>
          </cell>
        </row>
        <row r="17901">
          <cell r="C17901" t="str">
            <v>HY</v>
          </cell>
          <cell r="D17901">
            <v>0.6</v>
          </cell>
          <cell r="H17901" t="str">
            <v>hydro</v>
          </cell>
        </row>
        <row r="17902">
          <cell r="C17902" t="str">
            <v>HY</v>
          </cell>
          <cell r="D17902">
            <v>0.6</v>
          </cell>
          <cell r="H17902" t="str">
            <v>hydro</v>
          </cell>
        </row>
        <row r="17903">
          <cell r="C17903" t="str">
            <v>HY</v>
          </cell>
          <cell r="D17903">
            <v>0.2</v>
          </cell>
          <cell r="H17903" t="str">
            <v>hydro</v>
          </cell>
        </row>
        <row r="17904">
          <cell r="C17904" t="str">
            <v>PV</v>
          </cell>
          <cell r="D17904">
            <v>2.6</v>
          </cell>
          <cell r="H17904" t="str">
            <v>solar PV</v>
          </cell>
        </row>
        <row r="17905">
          <cell r="C17905" t="str">
            <v>WT</v>
          </cell>
          <cell r="D17905">
            <v>150</v>
          </cell>
          <cell r="H17905" t="str">
            <v>onshore wind</v>
          </cell>
        </row>
        <row r="17906">
          <cell r="C17906" t="str">
            <v>PV</v>
          </cell>
          <cell r="D17906">
            <v>6.3</v>
          </cell>
          <cell r="H17906" t="str">
            <v>solar PV</v>
          </cell>
        </row>
        <row r="17907">
          <cell r="C17907" t="str">
            <v>WT</v>
          </cell>
          <cell r="D17907">
            <v>150.4</v>
          </cell>
          <cell r="H17907" t="str">
            <v>onshore wind</v>
          </cell>
        </row>
        <row r="17908">
          <cell r="C17908" t="str">
            <v>PV</v>
          </cell>
          <cell r="D17908">
            <v>1</v>
          </cell>
          <cell r="H17908" t="str">
            <v>solar PV</v>
          </cell>
        </row>
        <row r="17909">
          <cell r="C17909" t="str">
            <v>HY</v>
          </cell>
          <cell r="D17909">
            <v>6.7</v>
          </cell>
          <cell r="H17909" t="str">
            <v>hydro</v>
          </cell>
        </row>
        <row r="17910">
          <cell r="C17910" t="str">
            <v>WT</v>
          </cell>
          <cell r="D17910">
            <v>51</v>
          </cell>
          <cell r="H17910" t="str">
            <v>onshore wind</v>
          </cell>
        </row>
        <row r="17911">
          <cell r="C17911" t="str">
            <v>IC</v>
          </cell>
          <cell r="D17911">
            <v>1.6</v>
          </cell>
          <cell r="H17911" t="str">
            <v>biomass</v>
          </cell>
        </row>
        <row r="17912">
          <cell r="C17912" t="str">
            <v>IC</v>
          </cell>
          <cell r="D17912">
            <v>1.6</v>
          </cell>
          <cell r="H17912" t="str">
            <v>biomass</v>
          </cell>
        </row>
        <row r="17913">
          <cell r="C17913" t="str">
            <v>IC</v>
          </cell>
          <cell r="D17913">
            <v>1.6</v>
          </cell>
          <cell r="H17913" t="str">
            <v>biomass</v>
          </cell>
        </row>
        <row r="17914">
          <cell r="C17914" t="str">
            <v>IC</v>
          </cell>
          <cell r="D17914">
            <v>1.5</v>
          </cell>
          <cell r="H17914" t="str">
            <v>biomass</v>
          </cell>
        </row>
        <row r="17915">
          <cell r="C17915" t="str">
            <v>IC</v>
          </cell>
          <cell r="D17915">
            <v>1.5</v>
          </cell>
          <cell r="H17915" t="str">
            <v>biomass</v>
          </cell>
        </row>
        <row r="17916">
          <cell r="C17916" t="str">
            <v>IC</v>
          </cell>
          <cell r="D17916">
            <v>1.5</v>
          </cell>
          <cell r="H17916" t="str">
            <v>biomass</v>
          </cell>
        </row>
        <row r="17917">
          <cell r="C17917" t="str">
            <v>PV</v>
          </cell>
          <cell r="D17917">
            <v>1.3</v>
          </cell>
          <cell r="H17917" t="str">
            <v>solar PV</v>
          </cell>
        </row>
        <row r="17918">
          <cell r="C17918" t="str">
            <v>WT</v>
          </cell>
          <cell r="D17918">
            <v>100</v>
          </cell>
          <cell r="H17918" t="str">
            <v>onshore wind</v>
          </cell>
        </row>
        <row r="17919">
          <cell r="C17919" t="str">
            <v>WT</v>
          </cell>
          <cell r="D17919">
            <v>13</v>
          </cell>
          <cell r="H17919" t="str">
            <v>onshore wind</v>
          </cell>
        </row>
        <row r="17920">
          <cell r="C17920" t="str">
            <v>WT</v>
          </cell>
          <cell r="D17920">
            <v>78</v>
          </cell>
          <cell r="H17920" t="str">
            <v>onshore wind</v>
          </cell>
        </row>
        <row r="17921">
          <cell r="C17921" t="str">
            <v>WT</v>
          </cell>
          <cell r="D17921">
            <v>212</v>
          </cell>
          <cell r="H17921" t="str">
            <v>onshore wind</v>
          </cell>
        </row>
        <row r="17922">
          <cell r="C17922" t="str">
            <v>WT</v>
          </cell>
          <cell r="D17922">
            <v>400</v>
          </cell>
          <cell r="H17922" t="str">
            <v>onshore wind</v>
          </cell>
        </row>
        <row r="17923">
          <cell r="C17923" t="str">
            <v>HY</v>
          </cell>
          <cell r="D17923">
            <v>2.8</v>
          </cell>
          <cell r="H17923" t="str">
            <v>hydro</v>
          </cell>
        </row>
        <row r="17924">
          <cell r="C17924" t="str">
            <v>CA</v>
          </cell>
          <cell r="D17924">
            <v>266</v>
          </cell>
          <cell r="H17924" t="str">
            <v>natural gas nonpeaker</v>
          </cell>
        </row>
        <row r="17925">
          <cell r="C17925" t="str">
            <v>GT</v>
          </cell>
          <cell r="D17925">
            <v>39</v>
          </cell>
          <cell r="H17925" t="str">
            <v>natural gas peaker</v>
          </cell>
        </row>
        <row r="17926">
          <cell r="C17926" t="str">
            <v>GT</v>
          </cell>
          <cell r="D17926">
            <v>39</v>
          </cell>
          <cell r="H17926" t="str">
            <v>natural gas peaker</v>
          </cell>
        </row>
        <row r="17927">
          <cell r="C17927" t="str">
            <v>CT</v>
          </cell>
          <cell r="D17927">
            <v>170</v>
          </cell>
          <cell r="H17927" t="str">
            <v>natural gas nonpeaker</v>
          </cell>
        </row>
        <row r="17928">
          <cell r="C17928" t="str">
            <v>CT</v>
          </cell>
          <cell r="D17928">
            <v>171</v>
          </cell>
          <cell r="H17928" t="str">
            <v>natural gas nonpeaker</v>
          </cell>
        </row>
        <row r="17929">
          <cell r="C17929" t="str">
            <v>PV</v>
          </cell>
          <cell r="D17929">
            <v>1</v>
          </cell>
          <cell r="H17929" t="str">
            <v>solar PV</v>
          </cell>
        </row>
        <row r="17930">
          <cell r="C17930" t="str">
            <v>PV</v>
          </cell>
          <cell r="D17930">
            <v>1.5</v>
          </cell>
          <cell r="H17930" t="str">
            <v>solar PV</v>
          </cell>
        </row>
        <row r="17931">
          <cell r="C17931" t="str">
            <v>PV</v>
          </cell>
          <cell r="D17931">
            <v>0.5</v>
          </cell>
          <cell r="H17931" t="str">
            <v>solar PV</v>
          </cell>
        </row>
        <row r="17932">
          <cell r="C17932" t="str">
            <v>IC</v>
          </cell>
          <cell r="D17932">
            <v>0.9</v>
          </cell>
          <cell r="H17932" t="str">
            <v>biomass</v>
          </cell>
        </row>
        <row r="17933">
          <cell r="C17933" t="str">
            <v>IC</v>
          </cell>
          <cell r="D17933">
            <v>0.9</v>
          </cell>
          <cell r="H17933" t="str">
            <v>biomass</v>
          </cell>
        </row>
        <row r="17934">
          <cell r="C17934" t="str">
            <v>PV</v>
          </cell>
          <cell r="D17934">
            <v>2.5</v>
          </cell>
          <cell r="H17934" t="str">
            <v>solar PV</v>
          </cell>
        </row>
        <row r="17935">
          <cell r="C17935" t="str">
            <v>PV</v>
          </cell>
          <cell r="D17935">
            <v>19.399999999999999</v>
          </cell>
          <cell r="H17935" t="str">
            <v>solar PV</v>
          </cell>
        </row>
        <row r="17936">
          <cell r="C17936" t="str">
            <v>PV</v>
          </cell>
          <cell r="D17936">
            <v>2</v>
          </cell>
          <cell r="H17936" t="str">
            <v>solar PV</v>
          </cell>
        </row>
        <row r="17937">
          <cell r="C17937" t="str">
            <v>PV</v>
          </cell>
          <cell r="D17937">
            <v>4</v>
          </cell>
          <cell r="H17937" t="str">
            <v>solar PV</v>
          </cell>
        </row>
        <row r="17938">
          <cell r="C17938" t="str">
            <v>IC</v>
          </cell>
          <cell r="D17938">
            <v>1.4</v>
          </cell>
          <cell r="H17938" t="str">
            <v>biomass</v>
          </cell>
        </row>
        <row r="17939">
          <cell r="C17939" t="str">
            <v>IC</v>
          </cell>
          <cell r="D17939">
            <v>1.5</v>
          </cell>
          <cell r="H17939" t="str">
            <v>biomass</v>
          </cell>
        </row>
        <row r="17940">
          <cell r="C17940" t="str">
            <v>ST</v>
          </cell>
          <cell r="D17940">
            <v>20</v>
          </cell>
          <cell r="H17940" t="str">
            <v>biomass</v>
          </cell>
        </row>
        <row r="17941">
          <cell r="C17941" t="str">
            <v>ST</v>
          </cell>
          <cell r="D17941">
            <v>20</v>
          </cell>
          <cell r="H17941" t="str">
            <v>biomass</v>
          </cell>
        </row>
        <row r="17942">
          <cell r="C17942" t="str">
            <v>PV</v>
          </cell>
          <cell r="D17942">
            <v>1</v>
          </cell>
          <cell r="H17942" t="str">
            <v>solar PV</v>
          </cell>
        </row>
        <row r="17943">
          <cell r="C17943" t="str">
            <v>PV</v>
          </cell>
          <cell r="D17943">
            <v>1.4</v>
          </cell>
          <cell r="H17943" t="str">
            <v>solar PV</v>
          </cell>
        </row>
        <row r="17944">
          <cell r="C17944" t="str">
            <v>PV</v>
          </cell>
          <cell r="D17944">
            <v>30.2</v>
          </cell>
          <cell r="H17944" t="str">
            <v>solar PV</v>
          </cell>
        </row>
        <row r="17945">
          <cell r="C17945" t="str">
            <v>PV</v>
          </cell>
          <cell r="D17945">
            <v>12</v>
          </cell>
          <cell r="H17945" t="str">
            <v>solar PV</v>
          </cell>
        </row>
        <row r="17946">
          <cell r="C17946" t="str">
            <v>PV</v>
          </cell>
          <cell r="D17946">
            <v>20</v>
          </cell>
          <cell r="H17946" t="str">
            <v>solar PV</v>
          </cell>
        </row>
        <row r="17947">
          <cell r="C17947" t="str">
            <v>PV</v>
          </cell>
          <cell r="D17947">
            <v>60</v>
          </cell>
          <cell r="H17947" t="str">
            <v>solar PV</v>
          </cell>
        </row>
        <row r="17948">
          <cell r="C17948" t="str">
            <v>IC</v>
          </cell>
          <cell r="D17948">
            <v>4.2</v>
          </cell>
          <cell r="H17948" t="str">
            <v>natural gas peaker</v>
          </cell>
        </row>
        <row r="17949">
          <cell r="C17949" t="str">
            <v>IC</v>
          </cell>
          <cell r="D17949">
            <v>4.2</v>
          </cell>
          <cell r="H17949" t="str">
            <v>natural gas peaker</v>
          </cell>
        </row>
        <row r="17950">
          <cell r="C17950" t="str">
            <v>IC</v>
          </cell>
          <cell r="D17950">
            <v>4.2</v>
          </cell>
          <cell r="H17950" t="str">
            <v>natural gas peaker</v>
          </cell>
        </row>
        <row r="17951">
          <cell r="C17951" t="str">
            <v>IC</v>
          </cell>
          <cell r="D17951">
            <v>4.2</v>
          </cell>
          <cell r="H17951" t="str">
            <v>natural gas peaker</v>
          </cell>
        </row>
        <row r="17952">
          <cell r="C17952" t="str">
            <v>IC</v>
          </cell>
          <cell r="D17952">
            <v>4.2</v>
          </cell>
          <cell r="H17952" t="str">
            <v>natural gas peaker</v>
          </cell>
        </row>
        <row r="17953">
          <cell r="C17953" t="str">
            <v>IC</v>
          </cell>
          <cell r="D17953">
            <v>4.2</v>
          </cell>
          <cell r="H17953" t="str">
            <v>natural gas peaker</v>
          </cell>
        </row>
        <row r="17954">
          <cell r="C17954" t="str">
            <v>IC</v>
          </cell>
          <cell r="D17954">
            <v>4.2</v>
          </cell>
          <cell r="H17954" t="str">
            <v>natural gas peaker</v>
          </cell>
        </row>
        <row r="17955">
          <cell r="C17955" t="str">
            <v>IC</v>
          </cell>
          <cell r="D17955">
            <v>4.2</v>
          </cell>
          <cell r="H17955" t="str">
            <v>natural gas peaker</v>
          </cell>
        </row>
        <row r="17956">
          <cell r="C17956" t="str">
            <v>IC</v>
          </cell>
          <cell r="D17956">
            <v>4.2</v>
          </cell>
          <cell r="H17956" t="str">
            <v>natural gas peaker</v>
          </cell>
        </row>
        <row r="17957">
          <cell r="C17957" t="str">
            <v>IC</v>
          </cell>
          <cell r="D17957">
            <v>4.2</v>
          </cell>
          <cell r="H17957" t="str">
            <v>natural gas peaker</v>
          </cell>
        </row>
        <row r="17958">
          <cell r="C17958" t="str">
            <v>PV</v>
          </cell>
          <cell r="D17958">
            <v>4.4000000000000004</v>
          </cell>
          <cell r="H17958" t="str">
            <v>solar PV</v>
          </cell>
        </row>
        <row r="17959">
          <cell r="C17959" t="str">
            <v>PV</v>
          </cell>
          <cell r="D17959">
            <v>39.6</v>
          </cell>
          <cell r="H17959" t="str">
            <v>solar PV</v>
          </cell>
        </row>
        <row r="17960">
          <cell r="C17960" t="str">
            <v>PV</v>
          </cell>
          <cell r="D17960">
            <v>12</v>
          </cell>
          <cell r="H17960" t="str">
            <v>solar PV</v>
          </cell>
        </row>
        <row r="17961">
          <cell r="C17961" t="str">
            <v>WT</v>
          </cell>
          <cell r="D17961">
            <v>74.8</v>
          </cell>
          <cell r="H17961" t="str">
            <v>onshore wind</v>
          </cell>
        </row>
        <row r="17962">
          <cell r="C17962" t="str">
            <v>WT</v>
          </cell>
          <cell r="D17962">
            <v>181.7</v>
          </cell>
          <cell r="H17962" t="str">
            <v>onshore wind</v>
          </cell>
        </row>
        <row r="17963">
          <cell r="C17963" t="str">
            <v>PV</v>
          </cell>
          <cell r="D17963">
            <v>8</v>
          </cell>
          <cell r="H17963" t="str">
            <v>solar PV</v>
          </cell>
        </row>
        <row r="17964">
          <cell r="C17964" t="str">
            <v>PV</v>
          </cell>
          <cell r="D17964">
            <v>5</v>
          </cell>
          <cell r="H17964" t="str">
            <v>solar PV</v>
          </cell>
        </row>
        <row r="17965">
          <cell r="C17965" t="str">
            <v>PV</v>
          </cell>
          <cell r="D17965">
            <v>5</v>
          </cell>
          <cell r="H17965" t="str">
            <v>solar PV</v>
          </cell>
        </row>
        <row r="17966">
          <cell r="C17966" t="str">
            <v>PV</v>
          </cell>
          <cell r="D17966">
            <v>5</v>
          </cell>
          <cell r="H17966" t="str">
            <v>solar PV</v>
          </cell>
        </row>
        <row r="17967">
          <cell r="C17967" t="str">
            <v>PV</v>
          </cell>
          <cell r="D17967">
            <v>3</v>
          </cell>
          <cell r="H17967" t="str">
            <v>solar PV</v>
          </cell>
        </row>
        <row r="17968">
          <cell r="C17968" t="str">
            <v>PV</v>
          </cell>
          <cell r="D17968">
            <v>5</v>
          </cell>
          <cell r="H17968" t="str">
            <v>solar PV</v>
          </cell>
        </row>
        <row r="17969">
          <cell r="C17969" t="str">
            <v>PV</v>
          </cell>
          <cell r="D17969">
            <v>3</v>
          </cell>
          <cell r="H17969" t="str">
            <v>solar PV</v>
          </cell>
        </row>
        <row r="17970">
          <cell r="C17970" t="str">
            <v>PV</v>
          </cell>
          <cell r="D17970">
            <v>4</v>
          </cell>
          <cell r="H17970" t="str">
            <v>solar PV</v>
          </cell>
        </row>
        <row r="17971">
          <cell r="C17971" t="str">
            <v>PV</v>
          </cell>
          <cell r="D17971">
            <v>3</v>
          </cell>
          <cell r="H17971" t="str">
            <v>solar PV</v>
          </cell>
        </row>
        <row r="17972">
          <cell r="C17972" t="str">
            <v>PV</v>
          </cell>
          <cell r="D17972">
            <v>3</v>
          </cell>
          <cell r="H17972" t="str">
            <v>solar PV</v>
          </cell>
        </row>
        <row r="17973">
          <cell r="C17973" t="str">
            <v>PV</v>
          </cell>
          <cell r="D17973">
            <v>4</v>
          </cell>
          <cell r="H17973" t="str">
            <v>solar PV</v>
          </cell>
        </row>
        <row r="17974">
          <cell r="C17974" t="str">
            <v>PV</v>
          </cell>
          <cell r="D17974">
            <v>5</v>
          </cell>
          <cell r="H17974" t="str">
            <v>solar PV</v>
          </cell>
        </row>
        <row r="17975">
          <cell r="C17975" t="str">
            <v>PV</v>
          </cell>
          <cell r="D17975">
            <v>4.5</v>
          </cell>
          <cell r="H17975" t="str">
            <v>solar PV</v>
          </cell>
        </row>
        <row r="17976">
          <cell r="C17976" t="str">
            <v>PV</v>
          </cell>
          <cell r="D17976">
            <v>5</v>
          </cell>
          <cell r="H17976" t="str">
            <v>solar PV</v>
          </cell>
        </row>
        <row r="17977">
          <cell r="C17977" t="str">
            <v>IC</v>
          </cell>
          <cell r="D17977">
            <v>1.6</v>
          </cell>
          <cell r="H17977" t="str">
            <v>biomass</v>
          </cell>
        </row>
        <row r="17978">
          <cell r="C17978" t="str">
            <v>IC</v>
          </cell>
          <cell r="D17978">
            <v>1.6</v>
          </cell>
          <cell r="H17978" t="str">
            <v>biomass</v>
          </cell>
        </row>
        <row r="17979">
          <cell r="C17979" t="str">
            <v>PV</v>
          </cell>
          <cell r="D17979">
            <v>1</v>
          </cell>
          <cell r="H17979" t="str">
            <v>solar PV</v>
          </cell>
        </row>
        <row r="17980">
          <cell r="C17980" t="str">
            <v>PV</v>
          </cell>
          <cell r="D17980">
            <v>1</v>
          </cell>
          <cell r="H17980" t="str">
            <v>solar PV</v>
          </cell>
        </row>
        <row r="17981">
          <cell r="C17981" t="str">
            <v>PV</v>
          </cell>
          <cell r="D17981">
            <v>5</v>
          </cell>
          <cell r="H17981" t="str">
            <v>solar PV</v>
          </cell>
        </row>
        <row r="17982">
          <cell r="C17982" t="str">
            <v>PV</v>
          </cell>
          <cell r="D17982">
            <v>1.5</v>
          </cell>
          <cell r="H17982" t="str">
            <v>solar PV</v>
          </cell>
        </row>
        <row r="17983">
          <cell r="C17983" t="str">
            <v>PV</v>
          </cell>
          <cell r="D17983">
            <v>1.5</v>
          </cell>
          <cell r="H17983" t="str">
            <v>solar PV</v>
          </cell>
        </row>
        <row r="17984">
          <cell r="C17984" t="str">
            <v>PV</v>
          </cell>
          <cell r="D17984">
            <v>1.5</v>
          </cell>
          <cell r="H17984" t="str">
            <v>solar PV</v>
          </cell>
        </row>
        <row r="17985">
          <cell r="C17985" t="str">
            <v>PV</v>
          </cell>
          <cell r="D17985">
            <v>1.5</v>
          </cell>
          <cell r="H17985" t="str">
            <v>solar PV</v>
          </cell>
        </row>
        <row r="17986">
          <cell r="C17986" t="str">
            <v>PV</v>
          </cell>
          <cell r="D17986">
            <v>1.5</v>
          </cell>
          <cell r="H17986" t="str">
            <v>solar PV</v>
          </cell>
        </row>
        <row r="17987">
          <cell r="C17987" t="str">
            <v>PV</v>
          </cell>
          <cell r="D17987">
            <v>1</v>
          </cell>
          <cell r="H17987" t="str">
            <v>solar PV</v>
          </cell>
        </row>
        <row r="17988">
          <cell r="C17988" t="str">
            <v>PV</v>
          </cell>
          <cell r="D17988">
            <v>1.5</v>
          </cell>
          <cell r="H17988" t="str">
            <v>solar PV</v>
          </cell>
        </row>
        <row r="17989">
          <cell r="C17989" t="str">
            <v>PV</v>
          </cell>
          <cell r="D17989">
            <v>2</v>
          </cell>
          <cell r="H17989" t="str">
            <v>solar PV</v>
          </cell>
        </row>
        <row r="17990">
          <cell r="C17990" t="str">
            <v>PV</v>
          </cell>
          <cell r="D17990">
            <v>1.5</v>
          </cell>
          <cell r="H17990" t="str">
            <v>solar PV</v>
          </cell>
        </row>
        <row r="17991">
          <cell r="C17991" t="str">
            <v>PV</v>
          </cell>
          <cell r="D17991">
            <v>1.5</v>
          </cell>
          <cell r="H17991" t="str">
            <v>solar PV</v>
          </cell>
        </row>
        <row r="17992">
          <cell r="C17992" t="str">
            <v>PV</v>
          </cell>
          <cell r="D17992">
            <v>2</v>
          </cell>
          <cell r="H17992" t="str">
            <v>solar PV</v>
          </cell>
        </row>
        <row r="17993">
          <cell r="C17993" t="str">
            <v>PV</v>
          </cell>
          <cell r="D17993">
            <v>2</v>
          </cell>
          <cell r="H17993" t="str">
            <v>solar PV</v>
          </cell>
        </row>
        <row r="17994">
          <cell r="C17994" t="str">
            <v>PV</v>
          </cell>
          <cell r="D17994">
            <v>1.5</v>
          </cell>
          <cell r="H17994" t="str">
            <v>solar PV</v>
          </cell>
        </row>
        <row r="17995">
          <cell r="C17995" t="str">
            <v>WT</v>
          </cell>
          <cell r="D17995">
            <v>288.60000000000002</v>
          </cell>
          <cell r="H17995" t="str">
            <v>onshore wind</v>
          </cell>
        </row>
        <row r="17996">
          <cell r="C17996" t="str">
            <v>WT</v>
          </cell>
          <cell r="D17996">
            <v>257</v>
          </cell>
          <cell r="H17996" t="str">
            <v>onshore wind</v>
          </cell>
        </row>
        <row r="17997">
          <cell r="C17997" t="str">
            <v>WT</v>
          </cell>
          <cell r="D17997">
            <v>205.7</v>
          </cell>
          <cell r="H17997" t="str">
            <v>onshore wind</v>
          </cell>
        </row>
        <row r="17998">
          <cell r="C17998" t="str">
            <v>WT</v>
          </cell>
          <cell r="D17998">
            <v>16.2</v>
          </cell>
          <cell r="H17998" t="str">
            <v>onshore wind</v>
          </cell>
        </row>
        <row r="17999">
          <cell r="C17999" t="str">
            <v>WT</v>
          </cell>
          <cell r="D17999">
            <v>34</v>
          </cell>
          <cell r="H17999" t="str">
            <v>onshore wind</v>
          </cell>
        </row>
        <row r="18000">
          <cell r="C18000" t="str">
            <v>WT</v>
          </cell>
          <cell r="D18000">
            <v>28.6</v>
          </cell>
          <cell r="H18000" t="str">
            <v>onshore wind</v>
          </cell>
        </row>
        <row r="18001">
          <cell r="C18001" t="str">
            <v>PV</v>
          </cell>
          <cell r="D18001">
            <v>8</v>
          </cell>
          <cell r="H18001" t="str">
            <v>solar PV</v>
          </cell>
        </row>
        <row r="18002">
          <cell r="C18002" t="str">
            <v>WT</v>
          </cell>
          <cell r="D18002">
            <v>250</v>
          </cell>
          <cell r="H18002" t="str">
            <v>onshore wind</v>
          </cell>
        </row>
        <row r="18003">
          <cell r="C18003" t="str">
            <v>WT</v>
          </cell>
          <cell r="D18003">
            <v>200</v>
          </cell>
          <cell r="H18003" t="str">
            <v>onshore wind</v>
          </cell>
        </row>
        <row r="18004">
          <cell r="C18004" t="str">
            <v>WT</v>
          </cell>
          <cell r="D18004">
            <v>200</v>
          </cell>
          <cell r="H18004" t="str">
            <v>onshore wind</v>
          </cell>
        </row>
        <row r="18005">
          <cell r="C18005" t="str">
            <v>WT</v>
          </cell>
          <cell r="D18005">
            <v>161</v>
          </cell>
          <cell r="H18005" t="str">
            <v>onshore wind</v>
          </cell>
        </row>
        <row r="18006">
          <cell r="C18006" t="str">
            <v>WT</v>
          </cell>
          <cell r="D18006">
            <v>194</v>
          </cell>
          <cell r="H18006" t="str">
            <v>onshore wind</v>
          </cell>
        </row>
        <row r="18007">
          <cell r="C18007" t="str">
            <v>PV</v>
          </cell>
          <cell r="D18007">
            <v>5</v>
          </cell>
          <cell r="H18007" t="str">
            <v>solar PV</v>
          </cell>
        </row>
        <row r="18008">
          <cell r="C18008" t="str">
            <v>HY</v>
          </cell>
          <cell r="D18008">
            <v>3.8</v>
          </cell>
          <cell r="H18008" t="str">
            <v>hydro</v>
          </cell>
        </row>
        <row r="18009">
          <cell r="C18009" t="str">
            <v>HY</v>
          </cell>
          <cell r="D18009">
            <v>3.3</v>
          </cell>
          <cell r="H18009" t="str">
            <v>hydro</v>
          </cell>
        </row>
        <row r="18010">
          <cell r="C18010" t="str">
            <v>PV</v>
          </cell>
          <cell r="D18010">
            <v>1</v>
          </cell>
          <cell r="H18010" t="str">
            <v>solar PV</v>
          </cell>
        </row>
        <row r="18011">
          <cell r="C18011" t="str">
            <v>PV</v>
          </cell>
          <cell r="D18011">
            <v>2.5</v>
          </cell>
          <cell r="H18011" t="str">
            <v>solar PV</v>
          </cell>
        </row>
        <row r="18012">
          <cell r="C18012" t="str">
            <v>PV</v>
          </cell>
          <cell r="D18012">
            <v>2</v>
          </cell>
          <cell r="H18012" t="str">
            <v>solar PV</v>
          </cell>
        </row>
        <row r="18013">
          <cell r="C18013" t="str">
            <v>PV</v>
          </cell>
          <cell r="D18013">
            <v>1</v>
          </cell>
          <cell r="H18013" t="str">
            <v>solar PV</v>
          </cell>
        </row>
        <row r="18014">
          <cell r="C18014" t="str">
            <v>PV</v>
          </cell>
          <cell r="D18014">
            <v>1.5</v>
          </cell>
          <cell r="H18014" t="str">
            <v>solar PV</v>
          </cell>
        </row>
        <row r="18015">
          <cell r="C18015" t="str">
            <v>PV</v>
          </cell>
          <cell r="D18015">
            <v>2.5</v>
          </cell>
          <cell r="H18015" t="str">
            <v>solar PV</v>
          </cell>
        </row>
        <row r="18016">
          <cell r="C18016" t="str">
            <v>PV</v>
          </cell>
          <cell r="D18016">
            <v>1.5</v>
          </cell>
          <cell r="H18016" t="str">
            <v>solar PV</v>
          </cell>
        </row>
        <row r="18017">
          <cell r="C18017" t="str">
            <v>PV</v>
          </cell>
          <cell r="D18017">
            <v>5</v>
          </cell>
          <cell r="H18017" t="str">
            <v>solar PV</v>
          </cell>
        </row>
        <row r="18018">
          <cell r="C18018" t="str">
            <v>PV</v>
          </cell>
          <cell r="D18018">
            <v>19.399999999999999</v>
          </cell>
          <cell r="H18018" t="str">
            <v>solar PV</v>
          </cell>
        </row>
        <row r="18019">
          <cell r="C18019" t="str">
            <v>PV</v>
          </cell>
          <cell r="D18019">
            <v>11.4</v>
          </cell>
          <cell r="H18019" t="str">
            <v>solar PV</v>
          </cell>
        </row>
        <row r="18020">
          <cell r="C18020" t="str">
            <v>PV</v>
          </cell>
          <cell r="D18020">
            <v>1.5</v>
          </cell>
          <cell r="H18020" t="str">
            <v>solar PV</v>
          </cell>
        </row>
        <row r="18021">
          <cell r="C18021" t="str">
            <v>PV</v>
          </cell>
          <cell r="D18021">
            <v>1</v>
          </cell>
          <cell r="H18021" t="str">
            <v>solar PV</v>
          </cell>
        </row>
        <row r="18022">
          <cell r="C18022" t="str">
            <v>PV</v>
          </cell>
          <cell r="D18022">
            <v>1</v>
          </cell>
          <cell r="H18022" t="str">
            <v>solar PV</v>
          </cell>
        </row>
        <row r="18023">
          <cell r="C18023" t="str">
            <v>PV</v>
          </cell>
          <cell r="D18023">
            <v>1</v>
          </cell>
          <cell r="H18023" t="str">
            <v>solar PV</v>
          </cell>
        </row>
        <row r="18024">
          <cell r="C18024" t="str">
            <v>PV</v>
          </cell>
          <cell r="D18024">
            <v>1.3</v>
          </cell>
          <cell r="H18024" t="str">
            <v>solar PV</v>
          </cell>
        </row>
        <row r="18025">
          <cell r="C18025" t="str">
            <v>PV</v>
          </cell>
          <cell r="D18025">
            <v>5</v>
          </cell>
          <cell r="H18025" t="str">
            <v>solar PV</v>
          </cell>
        </row>
        <row r="18026">
          <cell r="C18026" t="str">
            <v>PV</v>
          </cell>
          <cell r="D18026">
            <v>0.5</v>
          </cell>
          <cell r="H18026" t="str">
            <v>solar PV</v>
          </cell>
        </row>
        <row r="18027">
          <cell r="C18027" t="str">
            <v>PV</v>
          </cell>
          <cell r="D18027">
            <v>0.5</v>
          </cell>
          <cell r="H18027" t="str">
            <v>solar PV</v>
          </cell>
        </row>
        <row r="18028">
          <cell r="C18028" t="str">
            <v>PV</v>
          </cell>
          <cell r="D18028">
            <v>0.5</v>
          </cell>
          <cell r="H18028" t="str">
            <v>solar PV</v>
          </cell>
        </row>
        <row r="18029">
          <cell r="C18029" t="str">
            <v>PV</v>
          </cell>
          <cell r="D18029">
            <v>0.5</v>
          </cell>
          <cell r="H18029" t="str">
            <v>solar PV</v>
          </cell>
        </row>
        <row r="18030">
          <cell r="C18030" t="str">
            <v>PV</v>
          </cell>
          <cell r="D18030">
            <v>0.5</v>
          </cell>
          <cell r="H18030" t="str">
            <v>solar PV</v>
          </cell>
        </row>
        <row r="18031">
          <cell r="C18031" t="str">
            <v>PV</v>
          </cell>
          <cell r="D18031">
            <v>0.5</v>
          </cell>
          <cell r="H18031" t="str">
            <v>solar PV</v>
          </cell>
        </row>
        <row r="18032">
          <cell r="C18032" t="str">
            <v>PV</v>
          </cell>
          <cell r="D18032">
            <v>0.5</v>
          </cell>
          <cell r="H18032" t="str">
            <v>solar PV</v>
          </cell>
        </row>
        <row r="18033">
          <cell r="C18033" t="str">
            <v>PV</v>
          </cell>
          <cell r="D18033">
            <v>0.5</v>
          </cell>
          <cell r="H18033" t="str">
            <v>solar PV</v>
          </cell>
        </row>
        <row r="18034">
          <cell r="C18034" t="str">
            <v>PV</v>
          </cell>
          <cell r="D18034">
            <v>2</v>
          </cell>
          <cell r="H18034" t="str">
            <v>solar PV</v>
          </cell>
        </row>
        <row r="18035">
          <cell r="C18035" t="str">
            <v>PV</v>
          </cell>
          <cell r="D18035">
            <v>0.5</v>
          </cell>
          <cell r="H18035" t="str">
            <v>solar PV</v>
          </cell>
        </row>
        <row r="18036">
          <cell r="C18036" t="str">
            <v>PV</v>
          </cell>
          <cell r="D18036">
            <v>0.5</v>
          </cell>
          <cell r="H18036" t="str">
            <v>solar PV</v>
          </cell>
        </row>
        <row r="18037">
          <cell r="C18037" t="str">
            <v>PV</v>
          </cell>
          <cell r="D18037">
            <v>0.5</v>
          </cell>
          <cell r="H18037" t="str">
            <v>solar PV</v>
          </cell>
        </row>
        <row r="18038">
          <cell r="C18038" t="str">
            <v>PV</v>
          </cell>
          <cell r="D18038">
            <v>0.5</v>
          </cell>
          <cell r="H18038" t="str">
            <v>solar PV</v>
          </cell>
        </row>
        <row r="18039">
          <cell r="C18039" t="str">
            <v>PV</v>
          </cell>
          <cell r="D18039">
            <v>0.5</v>
          </cell>
          <cell r="H18039" t="str">
            <v>solar PV</v>
          </cell>
        </row>
        <row r="18040">
          <cell r="C18040" t="str">
            <v>PV</v>
          </cell>
          <cell r="D18040">
            <v>0.5</v>
          </cell>
          <cell r="H18040" t="str">
            <v>solar PV</v>
          </cell>
        </row>
        <row r="18041">
          <cell r="C18041" t="str">
            <v>PV</v>
          </cell>
          <cell r="D18041">
            <v>0.5</v>
          </cell>
          <cell r="H18041" t="str">
            <v>solar PV</v>
          </cell>
        </row>
        <row r="18042">
          <cell r="C18042" t="str">
            <v>PV</v>
          </cell>
          <cell r="D18042">
            <v>0.5</v>
          </cell>
          <cell r="H18042" t="str">
            <v>solar PV</v>
          </cell>
        </row>
        <row r="18043">
          <cell r="C18043" t="str">
            <v>PV</v>
          </cell>
          <cell r="D18043">
            <v>0.5</v>
          </cell>
          <cell r="H18043" t="str">
            <v>solar PV</v>
          </cell>
        </row>
        <row r="18044">
          <cell r="C18044" t="str">
            <v>PV</v>
          </cell>
          <cell r="D18044">
            <v>0.5</v>
          </cell>
          <cell r="H18044" t="str">
            <v>solar PV</v>
          </cell>
        </row>
        <row r="18045">
          <cell r="C18045" t="str">
            <v>PV</v>
          </cell>
          <cell r="D18045">
            <v>5</v>
          </cell>
          <cell r="H18045" t="str">
            <v>solar PV</v>
          </cell>
        </row>
        <row r="18046">
          <cell r="C18046" t="str">
            <v>PV</v>
          </cell>
          <cell r="D18046">
            <v>5</v>
          </cell>
          <cell r="H18046" t="str">
            <v>solar PV</v>
          </cell>
        </row>
        <row r="18047">
          <cell r="C18047" t="str">
            <v>PV</v>
          </cell>
          <cell r="D18047">
            <v>5</v>
          </cell>
          <cell r="H18047" t="str">
            <v>solar PV</v>
          </cell>
        </row>
        <row r="18048">
          <cell r="C18048" t="str">
            <v>PV</v>
          </cell>
          <cell r="D18048">
            <v>5</v>
          </cell>
          <cell r="H18048" t="str">
            <v>solar PV</v>
          </cell>
        </row>
        <row r="18049">
          <cell r="C18049" t="str">
            <v>PV</v>
          </cell>
          <cell r="D18049">
            <v>5</v>
          </cell>
          <cell r="H18049" t="str">
            <v>solar PV</v>
          </cell>
        </row>
        <row r="18050">
          <cell r="C18050" t="str">
            <v>IC</v>
          </cell>
          <cell r="D18050">
            <v>4.2</v>
          </cell>
          <cell r="H18050" t="str">
            <v>natural gas peaker</v>
          </cell>
        </row>
        <row r="18051">
          <cell r="C18051" t="str">
            <v>IC</v>
          </cell>
          <cell r="D18051">
            <v>4.2</v>
          </cell>
          <cell r="H18051" t="str">
            <v>natural gas peaker</v>
          </cell>
        </row>
        <row r="18052">
          <cell r="C18052" t="str">
            <v>IC</v>
          </cell>
          <cell r="D18052">
            <v>4.2</v>
          </cell>
          <cell r="H18052" t="str">
            <v>natural gas peaker</v>
          </cell>
        </row>
        <row r="18053">
          <cell r="C18053" t="str">
            <v>IC</v>
          </cell>
          <cell r="D18053">
            <v>4.2</v>
          </cell>
          <cell r="H18053" t="str">
            <v>natural gas peaker</v>
          </cell>
        </row>
        <row r="18054">
          <cell r="C18054" t="str">
            <v>IC</v>
          </cell>
          <cell r="D18054">
            <v>4.2</v>
          </cell>
          <cell r="H18054" t="str">
            <v>natural gas peaker</v>
          </cell>
        </row>
        <row r="18055">
          <cell r="C18055" t="str">
            <v>PV</v>
          </cell>
          <cell r="D18055">
            <v>5</v>
          </cell>
          <cell r="H18055" t="str">
            <v>solar PV</v>
          </cell>
        </row>
        <row r="18056">
          <cell r="C18056" t="str">
            <v>IC</v>
          </cell>
          <cell r="D18056">
            <v>6.8</v>
          </cell>
          <cell r="H18056" t="str">
            <v>natural gas peaker</v>
          </cell>
        </row>
        <row r="18057">
          <cell r="C18057" t="str">
            <v>IC</v>
          </cell>
          <cell r="D18057">
            <v>6.8</v>
          </cell>
          <cell r="H18057" t="str">
            <v>natural gas peaker</v>
          </cell>
        </row>
        <row r="18058">
          <cell r="C18058" t="str">
            <v>IC</v>
          </cell>
          <cell r="D18058">
            <v>6.8</v>
          </cell>
          <cell r="H18058" t="str">
            <v>natural gas peaker</v>
          </cell>
        </row>
        <row r="18059">
          <cell r="C18059" t="str">
            <v>PV</v>
          </cell>
          <cell r="D18059">
            <v>1.5</v>
          </cell>
          <cell r="H18059" t="str">
            <v>solar PV</v>
          </cell>
        </row>
        <row r="18060">
          <cell r="C18060" t="str">
            <v>PV</v>
          </cell>
          <cell r="D18060">
            <v>1.5</v>
          </cell>
          <cell r="H18060" t="str">
            <v>solar PV</v>
          </cell>
        </row>
        <row r="18061">
          <cell r="C18061" t="str">
            <v>IC</v>
          </cell>
          <cell r="D18061">
            <v>1.8</v>
          </cell>
          <cell r="H18061" t="str">
            <v>natural gas peaker</v>
          </cell>
        </row>
        <row r="18062">
          <cell r="C18062" t="str">
            <v>IC</v>
          </cell>
          <cell r="D18062">
            <v>6.8</v>
          </cell>
          <cell r="H18062" t="str">
            <v>natural gas peaker</v>
          </cell>
        </row>
        <row r="18063">
          <cell r="C18063" t="str">
            <v>IC</v>
          </cell>
          <cell r="D18063">
            <v>6.8</v>
          </cell>
          <cell r="H18063" t="str">
            <v>natural gas peaker</v>
          </cell>
        </row>
        <row r="18064">
          <cell r="C18064" t="str">
            <v>IC</v>
          </cell>
          <cell r="D18064">
            <v>6.8</v>
          </cell>
          <cell r="H18064" t="str">
            <v>natural gas peaker</v>
          </cell>
        </row>
        <row r="18065">
          <cell r="C18065" t="str">
            <v>PV</v>
          </cell>
          <cell r="D18065">
            <v>0.8</v>
          </cell>
          <cell r="H18065" t="str">
            <v>solar PV</v>
          </cell>
        </row>
        <row r="18066">
          <cell r="C18066" t="str">
            <v>PV</v>
          </cell>
          <cell r="D18066">
            <v>0.5</v>
          </cell>
          <cell r="H18066" t="str">
            <v>solar PV</v>
          </cell>
        </row>
        <row r="18067">
          <cell r="C18067" t="str">
            <v>PV</v>
          </cell>
          <cell r="D18067">
            <v>2.2999999999999998</v>
          </cell>
          <cell r="H18067" t="str">
            <v>solar PV</v>
          </cell>
        </row>
        <row r="18068">
          <cell r="C18068" t="str">
            <v>IC</v>
          </cell>
          <cell r="D18068">
            <v>0.6</v>
          </cell>
          <cell r="H18068" t="str">
            <v>natural gas peaker</v>
          </cell>
        </row>
        <row r="18069">
          <cell r="C18069" t="str">
            <v>IC</v>
          </cell>
          <cell r="D18069">
            <v>0.6</v>
          </cell>
          <cell r="H18069" t="str">
            <v>natural gas peaker</v>
          </cell>
        </row>
        <row r="18070">
          <cell r="C18070" t="str">
            <v>PV</v>
          </cell>
          <cell r="D18070">
            <v>5</v>
          </cell>
          <cell r="H18070" t="str">
            <v>solar PV</v>
          </cell>
        </row>
        <row r="18071">
          <cell r="C18071" t="str">
            <v>PV</v>
          </cell>
          <cell r="D18071">
            <v>5</v>
          </cell>
          <cell r="H18071" t="str">
            <v>solar PV</v>
          </cell>
        </row>
        <row r="18072">
          <cell r="C18072" t="str">
            <v>WT</v>
          </cell>
          <cell r="D18072">
            <v>111</v>
          </cell>
          <cell r="H18072" t="str">
            <v>onshore wind</v>
          </cell>
        </row>
        <row r="18073">
          <cell r="C18073" t="str">
            <v>WT</v>
          </cell>
          <cell r="D18073">
            <v>44</v>
          </cell>
          <cell r="H18073" t="str">
            <v>onshore wind</v>
          </cell>
        </row>
        <row r="18074">
          <cell r="C18074" t="str">
            <v>WT</v>
          </cell>
          <cell r="D18074">
            <v>75.900000000000006</v>
          </cell>
          <cell r="H18074" t="str">
            <v>onshore wind</v>
          </cell>
        </row>
        <row r="18075">
          <cell r="C18075" t="str">
            <v>PV</v>
          </cell>
          <cell r="D18075">
            <v>16</v>
          </cell>
          <cell r="H18075" t="str">
            <v>solar PV</v>
          </cell>
        </row>
        <row r="18076">
          <cell r="C18076" t="str">
            <v>PV</v>
          </cell>
          <cell r="D18076">
            <v>1</v>
          </cell>
          <cell r="H18076" t="str">
            <v>solar PV</v>
          </cell>
        </row>
        <row r="18077">
          <cell r="C18077" t="str">
            <v>PV</v>
          </cell>
          <cell r="D18077">
            <v>51</v>
          </cell>
          <cell r="H18077" t="str">
            <v>solar PV</v>
          </cell>
        </row>
        <row r="18078">
          <cell r="C18078" t="str">
            <v>WT</v>
          </cell>
          <cell r="D18078">
            <v>30</v>
          </cell>
          <cell r="H18078" t="str">
            <v>onshore wind</v>
          </cell>
        </row>
        <row r="18079">
          <cell r="C18079" t="str">
            <v>IC</v>
          </cell>
          <cell r="D18079">
            <v>0.8</v>
          </cell>
          <cell r="H18079" t="str">
            <v>biomass</v>
          </cell>
        </row>
        <row r="18080">
          <cell r="C18080" t="str">
            <v>IC</v>
          </cell>
          <cell r="D18080">
            <v>0.8</v>
          </cell>
          <cell r="H18080" t="str">
            <v>biomass</v>
          </cell>
        </row>
        <row r="18081">
          <cell r="C18081" t="str">
            <v>GT</v>
          </cell>
          <cell r="D18081">
            <v>194.7</v>
          </cell>
          <cell r="H18081" t="str">
            <v>natural gas peaker</v>
          </cell>
        </row>
        <row r="18082">
          <cell r="C18082" t="str">
            <v>GT</v>
          </cell>
          <cell r="D18082">
            <v>195.1</v>
          </cell>
          <cell r="H18082" t="str">
            <v>natural gas peaker</v>
          </cell>
        </row>
        <row r="18083">
          <cell r="C18083" t="str">
            <v>GT</v>
          </cell>
          <cell r="D18083">
            <v>190.9</v>
          </cell>
          <cell r="H18083" t="str">
            <v>natural gas peaker</v>
          </cell>
        </row>
        <row r="18084">
          <cell r="C18084" t="str">
            <v>WT</v>
          </cell>
          <cell r="D18084">
            <v>50</v>
          </cell>
          <cell r="H18084" t="str">
            <v>onshore wind</v>
          </cell>
        </row>
        <row r="18085">
          <cell r="C18085" t="str">
            <v>WT</v>
          </cell>
          <cell r="D18085">
            <v>110</v>
          </cell>
          <cell r="H18085" t="str">
            <v>onshore wind</v>
          </cell>
        </row>
        <row r="18086">
          <cell r="C18086" t="str">
            <v>PV</v>
          </cell>
          <cell r="D18086">
            <v>0.5</v>
          </cell>
          <cell r="H18086" t="str">
            <v>solar PV</v>
          </cell>
        </row>
        <row r="18087">
          <cell r="C18087" t="str">
            <v>PV</v>
          </cell>
          <cell r="D18087">
            <v>0.3</v>
          </cell>
          <cell r="H18087" t="str">
            <v>solar PV</v>
          </cell>
        </row>
        <row r="18088">
          <cell r="C18088" t="str">
            <v>PV</v>
          </cell>
          <cell r="D18088">
            <v>0.5</v>
          </cell>
          <cell r="H18088" t="str">
            <v>solar PV</v>
          </cell>
        </row>
        <row r="18089">
          <cell r="C18089" t="str">
            <v>PV</v>
          </cell>
          <cell r="D18089">
            <v>0.5</v>
          </cell>
          <cell r="H18089" t="str">
            <v>solar PV</v>
          </cell>
        </row>
        <row r="18090">
          <cell r="C18090" t="str">
            <v>PV</v>
          </cell>
          <cell r="D18090">
            <v>0.5</v>
          </cell>
          <cell r="H18090" t="str">
            <v>solar PV</v>
          </cell>
        </row>
        <row r="18091">
          <cell r="C18091" t="str">
            <v>PV</v>
          </cell>
          <cell r="D18091">
            <v>0.5</v>
          </cell>
          <cell r="H18091" t="str">
            <v>solar PV</v>
          </cell>
        </row>
        <row r="18092">
          <cell r="C18092" t="str">
            <v>PV</v>
          </cell>
          <cell r="D18092">
            <v>0.5</v>
          </cell>
          <cell r="H18092" t="str">
            <v>solar PV</v>
          </cell>
        </row>
        <row r="18093">
          <cell r="C18093" t="str">
            <v>PV</v>
          </cell>
          <cell r="D18093">
            <v>0.5</v>
          </cell>
          <cell r="H18093" t="str">
            <v>solar PV</v>
          </cell>
        </row>
        <row r="18094">
          <cell r="C18094" t="str">
            <v>PV</v>
          </cell>
          <cell r="D18094">
            <v>0.5</v>
          </cell>
          <cell r="H18094" t="str">
            <v>solar PV</v>
          </cell>
        </row>
        <row r="18095">
          <cell r="C18095" t="str">
            <v>PV</v>
          </cell>
          <cell r="D18095">
            <v>0.5</v>
          </cell>
          <cell r="H18095" t="str">
            <v>solar PV</v>
          </cell>
        </row>
        <row r="18096">
          <cell r="C18096" t="str">
            <v>PV</v>
          </cell>
          <cell r="D18096">
            <v>0.5</v>
          </cell>
          <cell r="H18096" t="str">
            <v>solar PV</v>
          </cell>
        </row>
        <row r="18097">
          <cell r="C18097" t="str">
            <v>PV</v>
          </cell>
          <cell r="D18097">
            <v>0.5</v>
          </cell>
          <cell r="H18097" t="str">
            <v>solar PV</v>
          </cell>
        </row>
        <row r="18098">
          <cell r="C18098" t="str">
            <v>PV</v>
          </cell>
          <cell r="D18098">
            <v>5</v>
          </cell>
          <cell r="H18098" t="str">
            <v>solar PV</v>
          </cell>
        </row>
        <row r="18099">
          <cell r="C18099" t="str">
            <v>PV</v>
          </cell>
          <cell r="D18099">
            <v>3.2</v>
          </cell>
          <cell r="H18099" t="str">
            <v>solar PV</v>
          </cell>
        </row>
        <row r="18100">
          <cell r="C18100" t="str">
            <v>PV</v>
          </cell>
          <cell r="D18100">
            <v>20</v>
          </cell>
          <cell r="H18100" t="str">
            <v>solar PV</v>
          </cell>
        </row>
        <row r="18101">
          <cell r="C18101" t="str">
            <v>PV</v>
          </cell>
          <cell r="D18101">
            <v>5</v>
          </cell>
          <cell r="H18101" t="str">
            <v>solar PV</v>
          </cell>
        </row>
        <row r="18102">
          <cell r="C18102" t="str">
            <v>PV</v>
          </cell>
          <cell r="D18102">
            <v>5</v>
          </cell>
          <cell r="H18102" t="str">
            <v>solar PV</v>
          </cell>
        </row>
        <row r="18103">
          <cell r="C18103" t="str">
            <v>PV</v>
          </cell>
          <cell r="D18103">
            <v>5</v>
          </cell>
          <cell r="H18103" t="str">
            <v>solar PV</v>
          </cell>
        </row>
        <row r="18104">
          <cell r="C18104" t="str">
            <v>PV</v>
          </cell>
          <cell r="D18104">
            <v>65</v>
          </cell>
          <cell r="H18104" t="str">
            <v>solar PV</v>
          </cell>
        </row>
        <row r="18105">
          <cell r="C18105" t="str">
            <v>PV</v>
          </cell>
          <cell r="D18105">
            <v>2</v>
          </cell>
          <cell r="H18105" t="str">
            <v>solar PV</v>
          </cell>
        </row>
        <row r="18106">
          <cell r="C18106" t="str">
            <v>PV</v>
          </cell>
          <cell r="D18106">
            <v>5</v>
          </cell>
          <cell r="H18106" t="str">
            <v>solar PV</v>
          </cell>
        </row>
        <row r="18107">
          <cell r="C18107" t="str">
            <v>PV</v>
          </cell>
          <cell r="D18107">
            <v>5</v>
          </cell>
          <cell r="H18107" t="str">
            <v>solar PV</v>
          </cell>
        </row>
        <row r="18108">
          <cell r="C18108" t="str">
            <v>PV</v>
          </cell>
          <cell r="D18108">
            <v>5</v>
          </cell>
          <cell r="H18108" t="str">
            <v>solar PV</v>
          </cell>
        </row>
        <row r="18109">
          <cell r="C18109" t="str">
            <v>PV</v>
          </cell>
          <cell r="D18109">
            <v>5</v>
          </cell>
          <cell r="H18109" t="str">
            <v>solar PV</v>
          </cell>
        </row>
        <row r="18110">
          <cell r="C18110" t="str">
            <v>PV</v>
          </cell>
          <cell r="D18110">
            <v>5</v>
          </cell>
          <cell r="H18110" t="str">
            <v>solar PV</v>
          </cell>
        </row>
        <row r="18111">
          <cell r="C18111" t="str">
            <v>PV</v>
          </cell>
          <cell r="D18111">
            <v>5</v>
          </cell>
          <cell r="H18111" t="str">
            <v>solar PV</v>
          </cell>
        </row>
        <row r="18112">
          <cell r="C18112" t="str">
            <v>PV</v>
          </cell>
          <cell r="D18112">
            <v>5</v>
          </cell>
          <cell r="H18112" t="str">
            <v>solar PV</v>
          </cell>
        </row>
        <row r="18113">
          <cell r="C18113" t="str">
            <v>PV</v>
          </cell>
          <cell r="D18113">
            <v>5</v>
          </cell>
          <cell r="H18113" t="str">
            <v>solar PV</v>
          </cell>
        </row>
        <row r="18114">
          <cell r="C18114" t="str">
            <v>PV</v>
          </cell>
          <cell r="D18114">
            <v>5</v>
          </cell>
          <cell r="H18114" t="str">
            <v>solar PV</v>
          </cell>
        </row>
        <row r="18115">
          <cell r="C18115" t="str">
            <v>PV</v>
          </cell>
          <cell r="D18115">
            <v>5</v>
          </cell>
          <cell r="H18115" t="str">
            <v>solar PV</v>
          </cell>
        </row>
        <row r="18116">
          <cell r="C18116" t="str">
            <v>IC</v>
          </cell>
          <cell r="D18116">
            <v>1.9</v>
          </cell>
          <cell r="H18116" t="str">
            <v>biomass</v>
          </cell>
        </row>
        <row r="18117">
          <cell r="C18117" t="str">
            <v>IC</v>
          </cell>
          <cell r="D18117">
            <v>1.6</v>
          </cell>
          <cell r="H18117" t="str">
            <v>biomass</v>
          </cell>
        </row>
        <row r="18118">
          <cell r="C18118" t="str">
            <v>PV</v>
          </cell>
          <cell r="D18118">
            <v>5</v>
          </cell>
          <cell r="H18118" t="str">
            <v>solar PV</v>
          </cell>
        </row>
        <row r="18119">
          <cell r="C18119" t="str">
            <v>PV</v>
          </cell>
          <cell r="D18119">
            <v>5</v>
          </cell>
          <cell r="H18119" t="str">
            <v>solar PV</v>
          </cell>
        </row>
        <row r="18120">
          <cell r="C18120" t="str">
            <v>PV</v>
          </cell>
          <cell r="D18120">
            <v>5</v>
          </cell>
          <cell r="H18120" t="str">
            <v>solar PV</v>
          </cell>
        </row>
        <row r="18121">
          <cell r="C18121" t="str">
            <v>ST</v>
          </cell>
          <cell r="D18121">
            <v>14</v>
          </cell>
          <cell r="H18121" t="str">
            <v>other</v>
          </cell>
        </row>
        <row r="18122">
          <cell r="C18122" t="str">
            <v>PV</v>
          </cell>
          <cell r="D18122">
            <v>2.9</v>
          </cell>
          <cell r="H18122" t="str">
            <v>solar PV</v>
          </cell>
        </row>
        <row r="18123">
          <cell r="C18123" t="str">
            <v>WT</v>
          </cell>
          <cell r="D18123">
            <v>205</v>
          </cell>
          <cell r="H18123" t="str">
            <v>onshore wind</v>
          </cell>
        </row>
        <row r="18124">
          <cell r="C18124" t="str">
            <v>HY</v>
          </cell>
          <cell r="D18124">
            <v>2</v>
          </cell>
          <cell r="H18124" t="str">
            <v>hydro</v>
          </cell>
        </row>
        <row r="18125">
          <cell r="C18125" t="str">
            <v>HY</v>
          </cell>
          <cell r="D18125">
            <v>2</v>
          </cell>
          <cell r="H18125" t="str">
            <v>hydro</v>
          </cell>
        </row>
        <row r="18126">
          <cell r="C18126" t="str">
            <v>PV</v>
          </cell>
          <cell r="D18126">
            <v>4.9000000000000004</v>
          </cell>
          <cell r="H18126" t="str">
            <v>solar PV</v>
          </cell>
        </row>
        <row r="18127">
          <cell r="C18127" t="str">
            <v>PV</v>
          </cell>
          <cell r="D18127">
            <v>20</v>
          </cell>
          <cell r="H18127" t="str">
            <v>solar PV</v>
          </cell>
        </row>
        <row r="18128">
          <cell r="C18128" t="str">
            <v>PV</v>
          </cell>
          <cell r="D18128">
            <v>8.6</v>
          </cell>
          <cell r="H18128" t="str">
            <v>solar PV</v>
          </cell>
        </row>
        <row r="18129">
          <cell r="C18129" t="str">
            <v>PV</v>
          </cell>
          <cell r="D18129">
            <v>4.9000000000000004</v>
          </cell>
          <cell r="H18129" t="str">
            <v>solar PV</v>
          </cell>
        </row>
        <row r="18130">
          <cell r="C18130" t="str">
            <v>PV</v>
          </cell>
          <cell r="D18130">
            <v>4.9000000000000004</v>
          </cell>
          <cell r="H18130" t="str">
            <v>solar PV</v>
          </cell>
        </row>
        <row r="18131">
          <cell r="C18131" t="str">
            <v>PV</v>
          </cell>
          <cell r="D18131">
            <v>2.9</v>
          </cell>
          <cell r="H18131" t="str">
            <v>solar PV</v>
          </cell>
        </row>
        <row r="18132">
          <cell r="C18132" t="str">
            <v>PV</v>
          </cell>
          <cell r="D18132">
            <v>7.5</v>
          </cell>
          <cell r="H18132" t="str">
            <v>solar PV</v>
          </cell>
        </row>
        <row r="18133">
          <cell r="C18133" t="str">
            <v>WT</v>
          </cell>
          <cell r="D18133">
            <v>16.399999999999999</v>
          </cell>
          <cell r="H18133" t="str">
            <v>onshore wind</v>
          </cell>
        </row>
        <row r="18134">
          <cell r="C18134" t="str">
            <v>WT</v>
          </cell>
          <cell r="D18134">
            <v>100.8</v>
          </cell>
          <cell r="H18134" t="str">
            <v>onshore wind</v>
          </cell>
        </row>
        <row r="18135">
          <cell r="C18135" t="str">
            <v>WT</v>
          </cell>
          <cell r="D18135">
            <v>89.1</v>
          </cell>
          <cell r="H18135" t="str">
            <v>onshore wind</v>
          </cell>
        </row>
        <row r="18136">
          <cell r="C18136" t="str">
            <v>WT</v>
          </cell>
          <cell r="D18136">
            <v>89.2</v>
          </cell>
          <cell r="H18136" t="str">
            <v>onshore wind</v>
          </cell>
        </row>
        <row r="18137">
          <cell r="C18137" t="str">
            <v>WT</v>
          </cell>
          <cell r="D18137">
            <v>115</v>
          </cell>
          <cell r="H18137" t="str">
            <v>onshore wind</v>
          </cell>
        </row>
        <row r="18138">
          <cell r="C18138" t="str">
            <v>WT</v>
          </cell>
          <cell r="D18138">
            <v>86.8</v>
          </cell>
          <cell r="H18138" t="str">
            <v>onshore wind</v>
          </cell>
        </row>
        <row r="18139">
          <cell r="C18139" t="str">
            <v>WT</v>
          </cell>
          <cell r="D18139">
            <v>4.7</v>
          </cell>
          <cell r="H18139" t="str">
            <v>onshore wind</v>
          </cell>
        </row>
        <row r="18140">
          <cell r="C18140" t="str">
            <v>WT</v>
          </cell>
          <cell r="D18140">
            <v>251</v>
          </cell>
          <cell r="H18140" t="str">
            <v>onshore wind</v>
          </cell>
        </row>
        <row r="18141">
          <cell r="C18141" t="str">
            <v>WT</v>
          </cell>
          <cell r="D18141">
            <v>119.6</v>
          </cell>
          <cell r="H18141" t="str">
            <v>onshore wind</v>
          </cell>
        </row>
        <row r="18142">
          <cell r="C18142" t="str">
            <v>WT</v>
          </cell>
          <cell r="D18142">
            <v>138.6</v>
          </cell>
          <cell r="H18142" t="str">
            <v>onshore wind</v>
          </cell>
        </row>
        <row r="18143">
          <cell r="C18143" t="str">
            <v>WT</v>
          </cell>
          <cell r="D18143">
            <v>2.5</v>
          </cell>
          <cell r="H18143" t="str">
            <v>onshore wind</v>
          </cell>
        </row>
        <row r="18144">
          <cell r="C18144" t="str">
            <v>WT</v>
          </cell>
          <cell r="D18144">
            <v>2.5</v>
          </cell>
          <cell r="H18144" t="str">
            <v>onshore wind</v>
          </cell>
        </row>
        <row r="18145">
          <cell r="C18145" t="str">
            <v>PV</v>
          </cell>
          <cell r="D18145">
            <v>1</v>
          </cell>
          <cell r="H18145" t="str">
            <v>solar PV</v>
          </cell>
        </row>
        <row r="18146">
          <cell r="C18146" t="str">
            <v>PV</v>
          </cell>
          <cell r="D18146">
            <v>1.1000000000000001</v>
          </cell>
          <cell r="H18146" t="str">
            <v>solar PV</v>
          </cell>
        </row>
        <row r="18147">
          <cell r="C18147" t="str">
            <v>WT</v>
          </cell>
          <cell r="D18147">
            <v>20</v>
          </cell>
          <cell r="H18147" t="str">
            <v>onshore wind</v>
          </cell>
        </row>
        <row r="18148">
          <cell r="C18148" t="str">
            <v>WT</v>
          </cell>
          <cell r="D18148">
            <v>29.4</v>
          </cell>
          <cell r="H18148" t="str">
            <v>onshore wind</v>
          </cell>
        </row>
        <row r="18149">
          <cell r="C18149" t="str">
            <v>PV</v>
          </cell>
          <cell r="D18149">
            <v>16</v>
          </cell>
          <cell r="H18149" t="str">
            <v>solar PV</v>
          </cell>
        </row>
        <row r="18150">
          <cell r="C18150" t="str">
            <v>PV</v>
          </cell>
          <cell r="D18150">
            <v>2.4</v>
          </cell>
          <cell r="H18150" t="str">
            <v>solar PV</v>
          </cell>
        </row>
        <row r="18151">
          <cell r="C18151" t="str">
            <v>PV</v>
          </cell>
          <cell r="D18151">
            <v>1</v>
          </cell>
          <cell r="H18151" t="str">
            <v>solar PV</v>
          </cell>
        </row>
        <row r="18152">
          <cell r="C18152" t="str">
            <v>IC</v>
          </cell>
          <cell r="D18152">
            <v>1.6</v>
          </cell>
          <cell r="H18152" t="str">
            <v>natural gas peaker</v>
          </cell>
        </row>
        <row r="18153">
          <cell r="C18153" t="str">
            <v>IC</v>
          </cell>
          <cell r="D18153">
            <v>1.6</v>
          </cell>
          <cell r="H18153" t="str">
            <v>natural gas peaker</v>
          </cell>
        </row>
        <row r="18154">
          <cell r="C18154" t="str">
            <v>IC</v>
          </cell>
          <cell r="D18154">
            <v>1.6</v>
          </cell>
          <cell r="H18154" t="str">
            <v>natural gas peaker</v>
          </cell>
        </row>
        <row r="18155">
          <cell r="C18155" t="str">
            <v>IC</v>
          </cell>
          <cell r="D18155">
            <v>1.6</v>
          </cell>
          <cell r="H18155" t="str">
            <v>natural gas peaker</v>
          </cell>
        </row>
        <row r="18156">
          <cell r="C18156" t="str">
            <v>IC</v>
          </cell>
          <cell r="D18156">
            <v>1.6</v>
          </cell>
          <cell r="H18156" t="str">
            <v>natural gas peaker</v>
          </cell>
        </row>
        <row r="18157">
          <cell r="C18157" t="str">
            <v>IC</v>
          </cell>
          <cell r="D18157">
            <v>1.6</v>
          </cell>
          <cell r="H18157" t="str">
            <v>natural gas peaker</v>
          </cell>
        </row>
        <row r="18158">
          <cell r="C18158" t="str">
            <v>IC</v>
          </cell>
          <cell r="D18158">
            <v>1.6</v>
          </cell>
          <cell r="H18158" t="str">
            <v>natural gas peaker</v>
          </cell>
        </row>
        <row r="18159">
          <cell r="C18159" t="str">
            <v>IC</v>
          </cell>
          <cell r="D18159">
            <v>1.6</v>
          </cell>
          <cell r="H18159" t="str">
            <v>natural gas peaker</v>
          </cell>
        </row>
        <row r="18160">
          <cell r="C18160" t="str">
            <v>IC</v>
          </cell>
          <cell r="D18160">
            <v>1.6</v>
          </cell>
          <cell r="H18160" t="str">
            <v>natural gas peaker</v>
          </cell>
        </row>
        <row r="18161">
          <cell r="C18161" t="str">
            <v>IC</v>
          </cell>
          <cell r="D18161">
            <v>1.6</v>
          </cell>
          <cell r="H18161" t="str">
            <v>natural gas peaker</v>
          </cell>
        </row>
        <row r="18162">
          <cell r="C18162" t="str">
            <v>WT</v>
          </cell>
          <cell r="D18162">
            <v>175</v>
          </cell>
          <cell r="H18162" t="str">
            <v>onshore wind</v>
          </cell>
        </row>
        <row r="18163">
          <cell r="C18163" t="str">
            <v>PV</v>
          </cell>
          <cell r="D18163">
            <v>0.5</v>
          </cell>
          <cell r="H18163" t="str">
            <v>solar PV</v>
          </cell>
        </row>
        <row r="18164">
          <cell r="C18164" t="str">
            <v>BA</v>
          </cell>
          <cell r="D18164">
            <v>0.8</v>
          </cell>
          <cell r="H18164" t="str">
            <v>other</v>
          </cell>
        </row>
        <row r="18165">
          <cell r="C18165" t="str">
            <v>WT</v>
          </cell>
          <cell r="D18165">
            <v>299.7</v>
          </cell>
          <cell r="H18165" t="str">
            <v>onshore wind</v>
          </cell>
        </row>
        <row r="18166">
          <cell r="C18166" t="str">
            <v>HY</v>
          </cell>
          <cell r="D18166">
            <v>7.2</v>
          </cell>
          <cell r="H18166" t="str">
            <v>hydro</v>
          </cell>
        </row>
        <row r="18167">
          <cell r="C18167" t="str">
            <v>HY</v>
          </cell>
          <cell r="D18167">
            <v>0.8</v>
          </cell>
          <cell r="H18167" t="str">
            <v>hydro</v>
          </cell>
        </row>
        <row r="18168">
          <cell r="C18168" t="str">
            <v>WT</v>
          </cell>
          <cell r="D18168">
            <v>298</v>
          </cell>
          <cell r="H18168" t="str">
            <v>onshore wind</v>
          </cell>
        </row>
        <row r="18169">
          <cell r="C18169" t="str">
            <v>WT</v>
          </cell>
          <cell r="D18169">
            <v>40</v>
          </cell>
          <cell r="H18169" t="str">
            <v>onshore wind</v>
          </cell>
        </row>
        <row r="18170">
          <cell r="C18170" t="str">
            <v>PV</v>
          </cell>
          <cell r="D18170">
            <v>2.5</v>
          </cell>
          <cell r="H18170" t="str">
            <v>solar PV</v>
          </cell>
        </row>
        <row r="18171">
          <cell r="C18171" t="str">
            <v>PV</v>
          </cell>
          <cell r="D18171">
            <v>5</v>
          </cell>
          <cell r="H18171" t="str">
            <v>solar PV</v>
          </cell>
        </row>
        <row r="18172">
          <cell r="C18172" t="str">
            <v>WT</v>
          </cell>
          <cell r="D18172">
            <v>50.4</v>
          </cell>
          <cell r="H18172" t="str">
            <v>onshore wind</v>
          </cell>
        </row>
        <row r="18173">
          <cell r="C18173" t="str">
            <v>PV</v>
          </cell>
          <cell r="D18173">
            <v>2</v>
          </cell>
          <cell r="H18173" t="str">
            <v>solar PV</v>
          </cell>
        </row>
        <row r="18174">
          <cell r="C18174" t="str">
            <v>PV</v>
          </cell>
          <cell r="D18174">
            <v>5</v>
          </cell>
          <cell r="H18174" t="str">
            <v>solar PV</v>
          </cell>
        </row>
        <row r="18175">
          <cell r="C18175" t="str">
            <v>PV</v>
          </cell>
          <cell r="D18175">
            <v>1.8</v>
          </cell>
          <cell r="H18175" t="str">
            <v>solar PV</v>
          </cell>
        </row>
        <row r="18176">
          <cell r="C18176" t="str">
            <v>PV</v>
          </cell>
          <cell r="D18176">
            <v>1.5</v>
          </cell>
          <cell r="H18176" t="str">
            <v>solar PV</v>
          </cell>
        </row>
        <row r="18177">
          <cell r="C18177" t="str">
            <v>GT</v>
          </cell>
          <cell r="D18177">
            <v>7</v>
          </cell>
          <cell r="H18177" t="str">
            <v>natural gas peaker</v>
          </cell>
        </row>
        <row r="18178">
          <cell r="C18178" t="str">
            <v>GT</v>
          </cell>
          <cell r="D18178">
            <v>4.5999999999999996</v>
          </cell>
          <cell r="H18178" t="str">
            <v>natural gas peaker</v>
          </cell>
        </row>
        <row r="18179">
          <cell r="C18179" t="str">
            <v>GT</v>
          </cell>
          <cell r="D18179">
            <v>4.5999999999999996</v>
          </cell>
          <cell r="H18179" t="str">
            <v>natural gas peaker</v>
          </cell>
        </row>
        <row r="18180">
          <cell r="C18180" t="str">
            <v>PV</v>
          </cell>
          <cell r="D18180">
            <v>26</v>
          </cell>
          <cell r="H18180" t="str">
            <v>solar PV</v>
          </cell>
        </row>
        <row r="18181">
          <cell r="C18181" t="str">
            <v>PV</v>
          </cell>
          <cell r="D18181">
            <v>21</v>
          </cell>
          <cell r="H18181" t="str">
            <v>solar PV</v>
          </cell>
        </row>
        <row r="18182">
          <cell r="C18182" t="str">
            <v>PV</v>
          </cell>
          <cell r="D18182">
            <v>27</v>
          </cell>
          <cell r="H18182" t="str">
            <v>solar PV</v>
          </cell>
        </row>
        <row r="18183">
          <cell r="C18183" t="str">
            <v>PV</v>
          </cell>
          <cell r="D18183">
            <v>26</v>
          </cell>
          <cell r="H18183" t="str">
            <v>solar PV</v>
          </cell>
        </row>
        <row r="18184">
          <cell r="C18184" t="str">
            <v>PV</v>
          </cell>
          <cell r="D18184">
            <v>28</v>
          </cell>
          <cell r="H18184" t="str">
            <v>solar PV</v>
          </cell>
        </row>
        <row r="18185">
          <cell r="C18185" t="str">
            <v>PV</v>
          </cell>
          <cell r="D18185">
            <v>25</v>
          </cell>
          <cell r="H18185" t="str">
            <v>solar PV</v>
          </cell>
        </row>
        <row r="18186">
          <cell r="C18186" t="str">
            <v>PV</v>
          </cell>
          <cell r="D18186">
            <v>26</v>
          </cell>
          <cell r="H18186" t="str">
            <v>solar PV</v>
          </cell>
        </row>
        <row r="18187">
          <cell r="C18187" t="str">
            <v>PV</v>
          </cell>
          <cell r="D18187">
            <v>26</v>
          </cell>
          <cell r="H18187" t="str">
            <v>solar PV</v>
          </cell>
        </row>
        <row r="18188">
          <cell r="C18188" t="str">
            <v>PV</v>
          </cell>
          <cell r="D18188">
            <v>26</v>
          </cell>
          <cell r="H18188" t="str">
            <v>solar PV</v>
          </cell>
        </row>
        <row r="18189">
          <cell r="C18189" t="str">
            <v>PV</v>
          </cell>
          <cell r="D18189">
            <v>24</v>
          </cell>
          <cell r="H18189" t="str">
            <v>solar PV</v>
          </cell>
        </row>
        <row r="18190">
          <cell r="C18190" t="str">
            <v>PV</v>
          </cell>
          <cell r="D18190">
            <v>1</v>
          </cell>
          <cell r="H18190" t="str">
            <v>solar PV</v>
          </cell>
        </row>
        <row r="18191">
          <cell r="C18191" t="str">
            <v>PV</v>
          </cell>
          <cell r="D18191">
            <v>1.2</v>
          </cell>
          <cell r="H18191" t="str">
            <v>solar PV</v>
          </cell>
        </row>
        <row r="18192">
          <cell r="C18192" t="str">
            <v>PV</v>
          </cell>
          <cell r="D18192">
            <v>1.3</v>
          </cell>
          <cell r="H18192" t="str">
            <v>solar PV</v>
          </cell>
        </row>
        <row r="18193">
          <cell r="C18193" t="str">
            <v>PV</v>
          </cell>
          <cell r="D18193">
            <v>1.5</v>
          </cell>
          <cell r="H18193" t="str">
            <v>solar PV</v>
          </cell>
        </row>
        <row r="18194">
          <cell r="C18194" t="str">
            <v>IC</v>
          </cell>
          <cell r="D18194">
            <v>1.2</v>
          </cell>
          <cell r="H18194" t="str">
            <v>biomass</v>
          </cell>
        </row>
        <row r="18195">
          <cell r="C18195" t="str">
            <v>IC</v>
          </cell>
          <cell r="D18195">
            <v>1.2</v>
          </cell>
          <cell r="H18195" t="str">
            <v>biomass</v>
          </cell>
        </row>
        <row r="18196">
          <cell r="C18196" t="str">
            <v>WT</v>
          </cell>
          <cell r="D18196">
            <v>1.5</v>
          </cell>
          <cell r="H18196" t="str">
            <v>onshore wind</v>
          </cell>
        </row>
        <row r="18197">
          <cell r="C18197" t="str">
            <v>IC</v>
          </cell>
          <cell r="D18197">
            <v>0.9</v>
          </cell>
          <cell r="H18197" t="str">
            <v>petroleum</v>
          </cell>
        </row>
        <row r="18198">
          <cell r="C18198" t="str">
            <v>WT</v>
          </cell>
          <cell r="D18198">
            <v>1.5</v>
          </cell>
          <cell r="H18198" t="str">
            <v>onshore wind</v>
          </cell>
        </row>
        <row r="18199">
          <cell r="C18199" t="str">
            <v>PV</v>
          </cell>
          <cell r="D18199">
            <v>2.6</v>
          </cell>
          <cell r="H18199" t="str">
            <v>solar PV</v>
          </cell>
        </row>
        <row r="18200">
          <cell r="C18200" t="str">
            <v>PV</v>
          </cell>
          <cell r="D18200">
            <v>0.3</v>
          </cell>
          <cell r="H18200" t="str">
            <v>solar PV</v>
          </cell>
        </row>
        <row r="18201">
          <cell r="C18201" t="str">
            <v>PV</v>
          </cell>
          <cell r="D18201">
            <v>1.9</v>
          </cell>
          <cell r="H18201" t="str">
            <v>solar PV</v>
          </cell>
        </row>
        <row r="18202">
          <cell r="C18202" t="str">
            <v>PV</v>
          </cell>
          <cell r="D18202">
            <v>2.4</v>
          </cell>
          <cell r="H18202" t="str">
            <v>solar PV</v>
          </cell>
        </row>
        <row r="18203">
          <cell r="C18203" t="str">
            <v>PV</v>
          </cell>
          <cell r="D18203">
            <v>2</v>
          </cell>
          <cell r="H18203" t="str">
            <v>solar PV</v>
          </cell>
        </row>
        <row r="18204">
          <cell r="C18204" t="str">
            <v>WT</v>
          </cell>
          <cell r="D18204">
            <v>150</v>
          </cell>
          <cell r="H18204" t="str">
            <v>onshore wind</v>
          </cell>
        </row>
        <row r="18205">
          <cell r="C18205" t="str">
            <v>WT</v>
          </cell>
          <cell r="D18205">
            <v>5</v>
          </cell>
          <cell r="H18205" t="str">
            <v>onshore wind</v>
          </cell>
        </row>
        <row r="18206">
          <cell r="C18206" t="str">
            <v>WT</v>
          </cell>
          <cell r="D18206">
            <v>10</v>
          </cell>
          <cell r="H18206" t="str">
            <v>onshore wind</v>
          </cell>
        </row>
        <row r="18207">
          <cell r="C18207" t="str">
            <v>PV</v>
          </cell>
          <cell r="D18207">
            <v>2.8</v>
          </cell>
          <cell r="H18207" t="str">
            <v>solar PV</v>
          </cell>
        </row>
        <row r="18208">
          <cell r="C18208" t="str">
            <v>PV</v>
          </cell>
          <cell r="D18208">
            <v>20</v>
          </cell>
          <cell r="H18208" t="str">
            <v>solar PV</v>
          </cell>
        </row>
        <row r="18209">
          <cell r="C18209" t="str">
            <v>ST</v>
          </cell>
          <cell r="D18209">
            <v>46.5</v>
          </cell>
          <cell r="H18209" t="str">
            <v>biomass</v>
          </cell>
        </row>
        <row r="18210">
          <cell r="C18210" t="str">
            <v>IC</v>
          </cell>
          <cell r="D18210">
            <v>0.6</v>
          </cell>
          <cell r="H18210" t="str">
            <v>natural gas peaker</v>
          </cell>
        </row>
        <row r="18211">
          <cell r="C18211" t="str">
            <v>IC</v>
          </cell>
          <cell r="D18211">
            <v>0.6</v>
          </cell>
          <cell r="H18211" t="str">
            <v>natural gas peaker</v>
          </cell>
        </row>
        <row r="18212">
          <cell r="C18212" t="str">
            <v>IC</v>
          </cell>
          <cell r="D18212">
            <v>0.6</v>
          </cell>
          <cell r="H18212" t="str">
            <v>natural gas peaker</v>
          </cell>
        </row>
        <row r="18213">
          <cell r="C18213" t="str">
            <v>IC</v>
          </cell>
          <cell r="D18213">
            <v>1.4</v>
          </cell>
          <cell r="H18213" t="str">
            <v>biomass</v>
          </cell>
        </row>
        <row r="18214">
          <cell r="C18214" t="str">
            <v>IC</v>
          </cell>
          <cell r="D18214">
            <v>1.4</v>
          </cell>
          <cell r="H18214" t="str">
            <v>biomass</v>
          </cell>
        </row>
        <row r="18215">
          <cell r="C18215" t="str">
            <v>IC</v>
          </cell>
          <cell r="D18215">
            <v>1.4</v>
          </cell>
          <cell r="H18215" t="str">
            <v>biomass</v>
          </cell>
        </row>
        <row r="18216">
          <cell r="C18216" t="str">
            <v>IC</v>
          </cell>
          <cell r="D18216">
            <v>0.9</v>
          </cell>
          <cell r="H18216" t="str">
            <v>petroleum</v>
          </cell>
        </row>
        <row r="18217">
          <cell r="C18217" t="str">
            <v>GT</v>
          </cell>
          <cell r="D18217">
            <v>4</v>
          </cell>
          <cell r="H18217" t="str">
            <v>natural gas peaker</v>
          </cell>
        </row>
        <row r="18218">
          <cell r="C18218" t="str">
            <v>PV</v>
          </cell>
          <cell r="D18218">
            <v>1.5</v>
          </cell>
          <cell r="H18218" t="str">
            <v>solar PV</v>
          </cell>
        </row>
        <row r="18219">
          <cell r="C18219" t="str">
            <v>PV</v>
          </cell>
          <cell r="D18219">
            <v>8.5</v>
          </cell>
          <cell r="H18219" t="str">
            <v>solar PV</v>
          </cell>
        </row>
        <row r="18220">
          <cell r="C18220" t="str">
            <v>PV</v>
          </cell>
          <cell r="D18220">
            <v>4.8</v>
          </cell>
          <cell r="H18220" t="str">
            <v>solar PV</v>
          </cell>
        </row>
        <row r="18221">
          <cell r="C18221" t="str">
            <v>PV</v>
          </cell>
          <cell r="D18221">
            <v>2.7</v>
          </cell>
          <cell r="H18221" t="str">
            <v>solar PV</v>
          </cell>
        </row>
        <row r="18222">
          <cell r="C18222" t="str">
            <v>PV</v>
          </cell>
          <cell r="D18222">
            <v>1</v>
          </cell>
          <cell r="H18222" t="str">
            <v>solar PV</v>
          </cell>
        </row>
        <row r="18223">
          <cell r="C18223" t="str">
            <v>PV</v>
          </cell>
          <cell r="D18223">
            <v>4.8</v>
          </cell>
          <cell r="H18223" t="str">
            <v>solar PV</v>
          </cell>
        </row>
        <row r="18224">
          <cell r="C18224" t="str">
            <v>PV</v>
          </cell>
          <cell r="D18224">
            <v>4.8</v>
          </cell>
          <cell r="H18224" t="str">
            <v>solar PV</v>
          </cell>
        </row>
        <row r="18225">
          <cell r="C18225" t="str">
            <v>PV</v>
          </cell>
          <cell r="D18225">
            <v>4.8</v>
          </cell>
          <cell r="H18225" t="str">
            <v>solar PV</v>
          </cell>
        </row>
        <row r="18226">
          <cell r="C18226" t="str">
            <v>WT</v>
          </cell>
          <cell r="D18226">
            <v>1.5</v>
          </cell>
          <cell r="H18226" t="str">
            <v>onshore wind</v>
          </cell>
        </row>
        <row r="18227">
          <cell r="C18227" t="str">
            <v>PV</v>
          </cell>
          <cell r="D18227">
            <v>2.8</v>
          </cell>
          <cell r="H18227" t="str">
            <v>solar PV</v>
          </cell>
        </row>
        <row r="18228">
          <cell r="C18228" t="str">
            <v>IC</v>
          </cell>
          <cell r="D18228">
            <v>1.1000000000000001</v>
          </cell>
          <cell r="H18228" t="str">
            <v>biomass</v>
          </cell>
        </row>
        <row r="18229">
          <cell r="C18229" t="str">
            <v>IC</v>
          </cell>
          <cell r="D18229">
            <v>1.1000000000000001</v>
          </cell>
          <cell r="H18229" t="str">
            <v>biomass</v>
          </cell>
        </row>
        <row r="18230">
          <cell r="C18230" t="str">
            <v>IC</v>
          </cell>
          <cell r="D18230">
            <v>1.1000000000000001</v>
          </cell>
          <cell r="H18230" t="str">
            <v>biomass</v>
          </cell>
        </row>
        <row r="18231">
          <cell r="C18231" t="str">
            <v>IC</v>
          </cell>
          <cell r="D18231">
            <v>1.1000000000000001</v>
          </cell>
          <cell r="H18231" t="str">
            <v>biomass</v>
          </cell>
        </row>
        <row r="18232">
          <cell r="C18232" t="str">
            <v>PV</v>
          </cell>
          <cell r="D18232">
            <v>2</v>
          </cell>
          <cell r="H18232" t="str">
            <v>solar PV</v>
          </cell>
        </row>
        <row r="18233">
          <cell r="C18233" t="str">
            <v>PV</v>
          </cell>
          <cell r="D18233">
            <v>1</v>
          </cell>
          <cell r="H18233" t="str">
            <v>solar PV</v>
          </cell>
        </row>
        <row r="18234">
          <cell r="C18234" t="str">
            <v>PV</v>
          </cell>
          <cell r="D18234">
            <v>2</v>
          </cell>
          <cell r="H18234" t="str">
            <v>solar PV</v>
          </cell>
        </row>
        <row r="18235">
          <cell r="C18235" t="str">
            <v>WT</v>
          </cell>
          <cell r="D18235">
            <v>48</v>
          </cell>
          <cell r="H18235" t="str">
            <v>onshore wind</v>
          </cell>
        </row>
        <row r="18236">
          <cell r="C18236" t="str">
            <v>WT</v>
          </cell>
          <cell r="D18236">
            <v>107.5</v>
          </cell>
          <cell r="H18236" t="str">
            <v>onshore wind</v>
          </cell>
        </row>
        <row r="18237">
          <cell r="C18237" t="str">
            <v>WT</v>
          </cell>
          <cell r="D18237">
            <v>10</v>
          </cell>
          <cell r="H18237" t="str">
            <v>onshore wind</v>
          </cell>
        </row>
        <row r="18238">
          <cell r="C18238" t="str">
            <v>PV</v>
          </cell>
          <cell r="D18238">
            <v>4.0999999999999996</v>
          </cell>
          <cell r="H18238" t="str">
            <v>solar PV</v>
          </cell>
        </row>
        <row r="18239">
          <cell r="C18239" t="str">
            <v>PV</v>
          </cell>
          <cell r="D18239">
            <v>13.6</v>
          </cell>
          <cell r="H18239" t="str">
            <v>solar PV</v>
          </cell>
        </row>
        <row r="18240">
          <cell r="C18240" t="str">
            <v>PV</v>
          </cell>
          <cell r="D18240">
            <v>19.8</v>
          </cell>
          <cell r="H18240" t="str">
            <v>solar PV</v>
          </cell>
        </row>
        <row r="18241">
          <cell r="C18241" t="str">
            <v>PV</v>
          </cell>
          <cell r="D18241">
            <v>2.2999999999999998</v>
          </cell>
          <cell r="H18241" t="str">
            <v>solar PV</v>
          </cell>
        </row>
        <row r="18242">
          <cell r="C18242" t="str">
            <v>PV</v>
          </cell>
          <cell r="D18242">
            <v>100</v>
          </cell>
          <cell r="H18242" t="str">
            <v>solar PV</v>
          </cell>
        </row>
        <row r="18243">
          <cell r="C18243" t="str">
            <v>HY</v>
          </cell>
          <cell r="D18243">
            <v>3.9</v>
          </cell>
          <cell r="H18243" t="str">
            <v>hydro</v>
          </cell>
        </row>
        <row r="18244">
          <cell r="C18244" t="str">
            <v>HY</v>
          </cell>
          <cell r="D18244">
            <v>0.9</v>
          </cell>
          <cell r="H18244" t="str">
            <v>hydro</v>
          </cell>
        </row>
        <row r="18245">
          <cell r="C18245" t="str">
            <v>IC</v>
          </cell>
          <cell r="D18245">
            <v>1.5</v>
          </cell>
          <cell r="H18245" t="str">
            <v>biomass</v>
          </cell>
        </row>
        <row r="18246">
          <cell r="C18246" t="str">
            <v>WT</v>
          </cell>
          <cell r="D18246">
            <v>79.900000000000006</v>
          </cell>
          <cell r="H18246" t="str">
            <v>onshore wind</v>
          </cell>
        </row>
        <row r="18247">
          <cell r="C18247" t="str">
            <v>IC</v>
          </cell>
          <cell r="D18247">
            <v>0.6</v>
          </cell>
          <cell r="H18247" t="str">
            <v>biomass</v>
          </cell>
        </row>
        <row r="18248">
          <cell r="C18248" t="str">
            <v>IC</v>
          </cell>
          <cell r="D18248">
            <v>0.6</v>
          </cell>
          <cell r="H18248" t="str">
            <v>biomass</v>
          </cell>
        </row>
        <row r="18249">
          <cell r="C18249" t="str">
            <v>IC</v>
          </cell>
          <cell r="D18249">
            <v>0.6</v>
          </cell>
          <cell r="H18249" t="str">
            <v>biomass</v>
          </cell>
        </row>
        <row r="18250">
          <cell r="C18250" t="str">
            <v>WT</v>
          </cell>
          <cell r="D18250">
            <v>73.099999999999994</v>
          </cell>
          <cell r="H18250" t="str">
            <v>onshore wind</v>
          </cell>
        </row>
        <row r="18251">
          <cell r="C18251" t="str">
            <v>HY</v>
          </cell>
          <cell r="D18251">
            <v>6.5</v>
          </cell>
          <cell r="H18251" t="str">
            <v>hydro</v>
          </cell>
        </row>
        <row r="18252">
          <cell r="C18252" t="str">
            <v>PV</v>
          </cell>
          <cell r="D18252">
            <v>45</v>
          </cell>
          <cell r="H18252" t="str">
            <v>solar PV</v>
          </cell>
        </row>
        <row r="18253">
          <cell r="C18253" t="str">
            <v>PV</v>
          </cell>
          <cell r="D18253">
            <v>19</v>
          </cell>
          <cell r="H18253" t="str">
            <v>solar PV</v>
          </cell>
        </row>
        <row r="18254">
          <cell r="C18254" t="str">
            <v>PV</v>
          </cell>
          <cell r="D18254">
            <v>20</v>
          </cell>
          <cell r="H18254" t="str">
            <v>solar PV</v>
          </cell>
        </row>
        <row r="18255">
          <cell r="C18255" t="str">
            <v>PV</v>
          </cell>
          <cell r="D18255">
            <v>20</v>
          </cell>
          <cell r="H18255" t="str">
            <v>solar PV</v>
          </cell>
        </row>
        <row r="18256">
          <cell r="C18256" t="str">
            <v>IC</v>
          </cell>
          <cell r="D18256">
            <v>16.5</v>
          </cell>
          <cell r="H18256" t="str">
            <v>natural gas peaker</v>
          </cell>
        </row>
        <row r="18257">
          <cell r="C18257" t="str">
            <v>IC</v>
          </cell>
          <cell r="D18257">
            <v>16.5</v>
          </cell>
          <cell r="H18257" t="str">
            <v>natural gas peaker</v>
          </cell>
        </row>
        <row r="18258">
          <cell r="C18258" t="str">
            <v>IC</v>
          </cell>
          <cell r="D18258">
            <v>16.5</v>
          </cell>
          <cell r="H18258" t="str">
            <v>natural gas peaker</v>
          </cell>
        </row>
        <row r="18259">
          <cell r="C18259" t="str">
            <v>IC</v>
          </cell>
          <cell r="D18259">
            <v>16.5</v>
          </cell>
          <cell r="H18259" t="str">
            <v>natural gas peaker</v>
          </cell>
        </row>
        <row r="18260">
          <cell r="C18260" t="str">
            <v>IC</v>
          </cell>
          <cell r="D18260">
            <v>16.5</v>
          </cell>
          <cell r="H18260" t="str">
            <v>natural gas peaker</v>
          </cell>
        </row>
        <row r="18261">
          <cell r="C18261" t="str">
            <v>IC</v>
          </cell>
          <cell r="D18261">
            <v>16.5</v>
          </cell>
          <cell r="H18261" t="str">
            <v>natural gas peaker</v>
          </cell>
        </row>
        <row r="18262">
          <cell r="C18262" t="str">
            <v>IC</v>
          </cell>
          <cell r="D18262">
            <v>16.5</v>
          </cell>
          <cell r="H18262" t="str">
            <v>natural gas peaker</v>
          </cell>
        </row>
        <row r="18263">
          <cell r="C18263" t="str">
            <v>IC</v>
          </cell>
          <cell r="D18263">
            <v>16.5</v>
          </cell>
          <cell r="H18263" t="str">
            <v>natural gas peaker</v>
          </cell>
        </row>
        <row r="18264">
          <cell r="C18264" t="str">
            <v>IC</v>
          </cell>
          <cell r="D18264">
            <v>16.5</v>
          </cell>
          <cell r="H18264" t="str">
            <v>natural gas peaker</v>
          </cell>
        </row>
        <row r="18265">
          <cell r="C18265" t="str">
            <v>IC</v>
          </cell>
          <cell r="D18265">
            <v>16.5</v>
          </cell>
          <cell r="H18265" t="str">
            <v>natural gas peaker</v>
          </cell>
        </row>
        <row r="18266">
          <cell r="C18266" t="str">
            <v>PV</v>
          </cell>
          <cell r="D18266">
            <v>15</v>
          </cell>
          <cell r="H18266" t="str">
            <v>solar PV</v>
          </cell>
        </row>
        <row r="18267">
          <cell r="C18267" t="str">
            <v>PV</v>
          </cell>
          <cell r="D18267">
            <v>20</v>
          </cell>
          <cell r="H18267" t="str">
            <v>solar PV</v>
          </cell>
        </row>
        <row r="18268">
          <cell r="C18268" t="str">
            <v>WT</v>
          </cell>
          <cell r="D18268">
            <v>1.7</v>
          </cell>
          <cell r="H18268" t="str">
            <v>onshore wind</v>
          </cell>
        </row>
        <row r="18269">
          <cell r="C18269" t="str">
            <v>WT</v>
          </cell>
          <cell r="D18269">
            <v>1.7</v>
          </cell>
          <cell r="H18269" t="str">
            <v>onshore wind</v>
          </cell>
        </row>
        <row r="18270">
          <cell r="C18270" t="str">
            <v>IC</v>
          </cell>
          <cell r="D18270">
            <v>0.9</v>
          </cell>
          <cell r="H18270" t="str">
            <v>biomass</v>
          </cell>
        </row>
        <row r="18271">
          <cell r="C18271" t="str">
            <v>IC</v>
          </cell>
          <cell r="D18271">
            <v>0.9</v>
          </cell>
          <cell r="H18271" t="str">
            <v>biomass</v>
          </cell>
        </row>
        <row r="18272">
          <cell r="C18272" t="str">
            <v>IC</v>
          </cell>
          <cell r="D18272">
            <v>0.9</v>
          </cell>
          <cell r="H18272" t="str">
            <v>biomass</v>
          </cell>
        </row>
        <row r="18273">
          <cell r="C18273" t="str">
            <v>WT</v>
          </cell>
          <cell r="D18273">
            <v>98.8</v>
          </cell>
          <cell r="H18273" t="str">
            <v>onshore wind</v>
          </cell>
        </row>
        <row r="18274">
          <cell r="C18274" t="str">
            <v>WT</v>
          </cell>
          <cell r="D18274">
            <v>1.6</v>
          </cell>
          <cell r="H18274" t="str">
            <v>onshore wind</v>
          </cell>
        </row>
        <row r="18275">
          <cell r="C18275" t="str">
            <v>IC</v>
          </cell>
          <cell r="D18275">
            <v>0.4</v>
          </cell>
          <cell r="H18275" t="str">
            <v>petroleum</v>
          </cell>
        </row>
        <row r="18276">
          <cell r="C18276" t="str">
            <v>IC</v>
          </cell>
          <cell r="D18276">
            <v>1.7</v>
          </cell>
          <cell r="H18276" t="str">
            <v>petroleum</v>
          </cell>
        </row>
        <row r="18277">
          <cell r="C18277" t="str">
            <v>IC</v>
          </cell>
          <cell r="D18277">
            <v>1.7</v>
          </cell>
          <cell r="H18277" t="str">
            <v>petroleum</v>
          </cell>
        </row>
        <row r="18278">
          <cell r="C18278" t="str">
            <v>WT</v>
          </cell>
          <cell r="D18278">
            <v>200</v>
          </cell>
          <cell r="H18278" t="str">
            <v>onshore wind</v>
          </cell>
        </row>
        <row r="18279">
          <cell r="C18279" t="str">
            <v>WT</v>
          </cell>
          <cell r="D18279">
            <v>74</v>
          </cell>
          <cell r="H18279" t="str">
            <v>onshore wind</v>
          </cell>
        </row>
        <row r="18280">
          <cell r="C18280" t="str">
            <v>PV</v>
          </cell>
          <cell r="D18280">
            <v>7.8</v>
          </cell>
          <cell r="H18280" t="str">
            <v>solar PV</v>
          </cell>
        </row>
        <row r="18281">
          <cell r="C18281" t="str">
            <v>GT</v>
          </cell>
          <cell r="D18281">
            <v>105.5</v>
          </cell>
          <cell r="H18281" t="str">
            <v>natural gas peaker</v>
          </cell>
        </row>
        <row r="18282">
          <cell r="C18282" t="str">
            <v>GT</v>
          </cell>
          <cell r="D18282">
            <v>105.5</v>
          </cell>
          <cell r="H18282" t="str">
            <v>natural gas peaker</v>
          </cell>
        </row>
        <row r="18283">
          <cell r="C18283" t="str">
            <v>GT</v>
          </cell>
          <cell r="D18283">
            <v>105.5</v>
          </cell>
          <cell r="H18283" t="str">
            <v>natural gas peaker</v>
          </cell>
        </row>
        <row r="18284">
          <cell r="C18284" t="str">
            <v>GT</v>
          </cell>
          <cell r="D18284">
            <v>105.5</v>
          </cell>
          <cell r="H18284" t="str">
            <v>natural gas peaker</v>
          </cell>
        </row>
        <row r="18285">
          <cell r="C18285" t="str">
            <v>GT</v>
          </cell>
          <cell r="D18285">
            <v>105.5</v>
          </cell>
          <cell r="H18285" t="str">
            <v>natural gas peaker</v>
          </cell>
        </row>
        <row r="18286">
          <cell r="C18286" t="str">
            <v>WT</v>
          </cell>
          <cell r="D18286">
            <v>9.6999999999999993</v>
          </cell>
          <cell r="H18286" t="str">
            <v>onshore wind</v>
          </cell>
        </row>
        <row r="18287">
          <cell r="C18287" t="str">
            <v>CT</v>
          </cell>
          <cell r="D18287">
            <v>220</v>
          </cell>
          <cell r="H18287" t="str">
            <v>natural gas nonpeaker</v>
          </cell>
        </row>
        <row r="18288">
          <cell r="C18288" t="str">
            <v>CT</v>
          </cell>
          <cell r="D18288">
            <v>220</v>
          </cell>
          <cell r="H18288" t="str">
            <v>natural gas nonpeaker</v>
          </cell>
        </row>
        <row r="18289">
          <cell r="C18289" t="str">
            <v>CA</v>
          </cell>
          <cell r="D18289">
            <v>326</v>
          </cell>
          <cell r="H18289" t="str">
            <v>natural gas nonpeaker</v>
          </cell>
        </row>
        <row r="18290">
          <cell r="C18290" t="str">
            <v>WT</v>
          </cell>
          <cell r="D18290">
            <v>230.4</v>
          </cell>
          <cell r="H18290" t="str">
            <v>onshore wind</v>
          </cell>
        </row>
        <row r="18291">
          <cell r="C18291" t="str">
            <v>PV</v>
          </cell>
          <cell r="D18291">
            <v>15</v>
          </cell>
          <cell r="H18291" t="str">
            <v>solar PV</v>
          </cell>
        </row>
        <row r="18292">
          <cell r="C18292" t="str">
            <v>PV</v>
          </cell>
          <cell r="D18292">
            <v>26</v>
          </cell>
          <cell r="H18292" t="str">
            <v>solar PV</v>
          </cell>
        </row>
        <row r="18293">
          <cell r="C18293" t="str">
            <v>PV</v>
          </cell>
          <cell r="D18293">
            <v>52.2</v>
          </cell>
          <cell r="H18293" t="str">
            <v>solar PV</v>
          </cell>
        </row>
        <row r="18294">
          <cell r="C18294" t="str">
            <v>IC</v>
          </cell>
          <cell r="D18294">
            <v>1.5</v>
          </cell>
          <cell r="H18294" t="str">
            <v>biomass</v>
          </cell>
        </row>
        <row r="18295">
          <cell r="C18295" t="str">
            <v>GT</v>
          </cell>
          <cell r="D18295">
            <v>4</v>
          </cell>
          <cell r="H18295" t="str">
            <v>biomass</v>
          </cell>
        </row>
        <row r="18296">
          <cell r="C18296" t="str">
            <v>GT</v>
          </cell>
          <cell r="D18296">
            <v>4</v>
          </cell>
          <cell r="H18296" t="str">
            <v>biomass</v>
          </cell>
        </row>
        <row r="18297">
          <cell r="C18297" t="str">
            <v>GT</v>
          </cell>
          <cell r="D18297">
            <v>4</v>
          </cell>
          <cell r="H18297" t="str">
            <v>biomass</v>
          </cell>
        </row>
        <row r="18298">
          <cell r="C18298" t="str">
            <v>PV</v>
          </cell>
          <cell r="D18298">
            <v>2.5</v>
          </cell>
          <cell r="H18298" t="str">
            <v>solar PV</v>
          </cell>
        </row>
        <row r="18299">
          <cell r="C18299" t="str">
            <v>PV</v>
          </cell>
          <cell r="D18299">
            <v>4.9000000000000004</v>
          </cell>
          <cell r="H18299" t="str">
            <v>solar PV</v>
          </cell>
        </row>
        <row r="18300">
          <cell r="C18300" t="str">
            <v>PV</v>
          </cell>
          <cell r="D18300">
            <v>2</v>
          </cell>
          <cell r="H18300" t="str">
            <v>solar PV</v>
          </cell>
        </row>
        <row r="18301">
          <cell r="C18301" t="str">
            <v>PV</v>
          </cell>
          <cell r="D18301">
            <v>4</v>
          </cell>
          <cell r="H18301" t="str">
            <v>solar PV</v>
          </cell>
        </row>
        <row r="18302">
          <cell r="C18302" t="str">
            <v>PV</v>
          </cell>
          <cell r="D18302">
            <v>2</v>
          </cell>
          <cell r="H18302" t="str">
            <v>solar PV</v>
          </cell>
        </row>
        <row r="18303">
          <cell r="C18303" t="str">
            <v>PV</v>
          </cell>
          <cell r="D18303">
            <v>2</v>
          </cell>
          <cell r="H18303" t="str">
            <v>solar PV</v>
          </cell>
        </row>
        <row r="18304">
          <cell r="C18304" t="str">
            <v>PV</v>
          </cell>
          <cell r="D18304">
            <v>32</v>
          </cell>
          <cell r="H18304" t="str">
            <v>solar PV</v>
          </cell>
        </row>
        <row r="18305">
          <cell r="C18305" t="str">
            <v>WT</v>
          </cell>
          <cell r="D18305">
            <v>98</v>
          </cell>
          <cell r="H18305" t="str">
            <v>onshore wind</v>
          </cell>
        </row>
        <row r="18306">
          <cell r="C18306" t="str">
            <v>WT</v>
          </cell>
          <cell r="D18306">
            <v>2</v>
          </cell>
          <cell r="H18306" t="str">
            <v>onshore wind</v>
          </cell>
        </row>
        <row r="18307">
          <cell r="C18307" t="str">
            <v>WT</v>
          </cell>
          <cell r="D18307">
            <v>2</v>
          </cell>
          <cell r="H18307" t="str">
            <v>onshore wind</v>
          </cell>
        </row>
        <row r="18308">
          <cell r="C18308" t="str">
            <v>WT</v>
          </cell>
          <cell r="D18308">
            <v>1</v>
          </cell>
          <cell r="H18308" t="str">
            <v>onshore wind</v>
          </cell>
        </row>
        <row r="18309">
          <cell r="C18309" t="str">
            <v>IC</v>
          </cell>
          <cell r="D18309">
            <v>0.9</v>
          </cell>
          <cell r="H18309" t="str">
            <v>biomass</v>
          </cell>
        </row>
        <row r="18310">
          <cell r="C18310" t="str">
            <v>IC</v>
          </cell>
          <cell r="D18310">
            <v>0.9</v>
          </cell>
          <cell r="H18310" t="str">
            <v>biomass</v>
          </cell>
        </row>
        <row r="18311">
          <cell r="C18311" t="str">
            <v>PV</v>
          </cell>
          <cell r="D18311">
            <v>0.8</v>
          </cell>
          <cell r="H18311" t="str">
            <v>solar PV</v>
          </cell>
        </row>
        <row r="18312">
          <cell r="C18312" t="str">
            <v>PV</v>
          </cell>
          <cell r="D18312">
            <v>1.5</v>
          </cell>
          <cell r="H18312" t="str">
            <v>solar PV</v>
          </cell>
        </row>
        <row r="18313">
          <cell r="C18313" t="str">
            <v>PV</v>
          </cell>
          <cell r="D18313">
            <v>2</v>
          </cell>
          <cell r="H18313" t="str">
            <v>solar PV</v>
          </cell>
        </row>
        <row r="18314">
          <cell r="C18314" t="str">
            <v>PV</v>
          </cell>
          <cell r="D18314">
            <v>3</v>
          </cell>
          <cell r="H18314" t="str">
            <v>solar PV</v>
          </cell>
        </row>
        <row r="18315">
          <cell r="C18315" t="str">
            <v>PV</v>
          </cell>
          <cell r="D18315">
            <v>1.5</v>
          </cell>
          <cell r="H18315" t="str">
            <v>solar PV</v>
          </cell>
        </row>
        <row r="18316">
          <cell r="C18316" t="str">
            <v>PV</v>
          </cell>
          <cell r="D18316">
            <v>2.5</v>
          </cell>
          <cell r="H18316" t="str">
            <v>solar PV</v>
          </cell>
        </row>
        <row r="18317">
          <cell r="C18317" t="str">
            <v>PV</v>
          </cell>
          <cell r="D18317">
            <v>1.5</v>
          </cell>
          <cell r="H18317" t="str">
            <v>solar PV</v>
          </cell>
        </row>
        <row r="18318">
          <cell r="C18318" t="str">
            <v>WT</v>
          </cell>
          <cell r="D18318">
            <v>204</v>
          </cell>
          <cell r="H18318" t="str">
            <v>onshore wind</v>
          </cell>
        </row>
        <row r="18319">
          <cell r="C18319" t="str">
            <v>ST</v>
          </cell>
          <cell r="D18319">
            <v>7.5</v>
          </cell>
          <cell r="H18319" t="str">
            <v>biomass</v>
          </cell>
        </row>
        <row r="18320">
          <cell r="C18320" t="str">
            <v>IC</v>
          </cell>
          <cell r="D18320">
            <v>0.5</v>
          </cell>
          <cell r="H18320" t="str">
            <v>petroleum</v>
          </cell>
        </row>
        <row r="18321">
          <cell r="C18321" t="str">
            <v>IC</v>
          </cell>
          <cell r="D18321">
            <v>0.5</v>
          </cell>
          <cell r="H18321" t="str">
            <v>petroleum</v>
          </cell>
        </row>
        <row r="18322">
          <cell r="C18322" t="str">
            <v>PV</v>
          </cell>
          <cell r="D18322">
            <v>3</v>
          </cell>
          <cell r="H18322" t="str">
            <v>solar PV</v>
          </cell>
        </row>
        <row r="18323">
          <cell r="C18323" t="str">
            <v>PV</v>
          </cell>
          <cell r="D18323">
            <v>1.5</v>
          </cell>
          <cell r="H18323" t="str">
            <v>solar PV</v>
          </cell>
        </row>
        <row r="18324">
          <cell r="C18324" t="str">
            <v>HY</v>
          </cell>
          <cell r="D18324">
            <v>0.2</v>
          </cell>
          <cell r="H18324" t="str">
            <v>hydro</v>
          </cell>
        </row>
        <row r="18325">
          <cell r="C18325" t="str">
            <v>HY</v>
          </cell>
          <cell r="D18325">
            <v>0.2</v>
          </cell>
          <cell r="H18325" t="str">
            <v>hydro</v>
          </cell>
        </row>
        <row r="18326">
          <cell r="C18326" t="str">
            <v>HY</v>
          </cell>
          <cell r="D18326">
            <v>0.2</v>
          </cell>
          <cell r="H18326" t="str">
            <v>hydro</v>
          </cell>
        </row>
        <row r="18327">
          <cell r="C18327" t="str">
            <v>HY</v>
          </cell>
          <cell r="D18327">
            <v>0.2</v>
          </cell>
          <cell r="H18327" t="str">
            <v>hydro</v>
          </cell>
        </row>
        <row r="18328">
          <cell r="C18328" t="str">
            <v>HY</v>
          </cell>
          <cell r="D18328">
            <v>0.2</v>
          </cell>
          <cell r="H18328" t="str">
            <v>hydro</v>
          </cell>
        </row>
        <row r="18329">
          <cell r="C18329" t="str">
            <v>HY</v>
          </cell>
          <cell r="D18329">
            <v>0.2</v>
          </cell>
          <cell r="H18329" t="str">
            <v>hydro</v>
          </cell>
        </row>
        <row r="18330">
          <cell r="C18330" t="str">
            <v>HY</v>
          </cell>
          <cell r="D18330">
            <v>0.2</v>
          </cell>
          <cell r="H18330" t="str">
            <v>hydro</v>
          </cell>
        </row>
        <row r="18331">
          <cell r="C18331" t="str">
            <v>HY</v>
          </cell>
          <cell r="D18331">
            <v>0.2</v>
          </cell>
          <cell r="H18331" t="str">
            <v>hydro</v>
          </cell>
        </row>
        <row r="18332">
          <cell r="C18332" t="str">
            <v>HY</v>
          </cell>
          <cell r="D18332">
            <v>0.2</v>
          </cell>
          <cell r="H18332" t="str">
            <v>hydro</v>
          </cell>
        </row>
        <row r="18333">
          <cell r="C18333" t="str">
            <v>HY</v>
          </cell>
          <cell r="D18333">
            <v>0.2</v>
          </cell>
          <cell r="H18333" t="str">
            <v>hydro</v>
          </cell>
        </row>
        <row r="18334">
          <cell r="C18334" t="str">
            <v>HY</v>
          </cell>
          <cell r="D18334">
            <v>0.2</v>
          </cell>
          <cell r="H18334" t="str">
            <v>hydro</v>
          </cell>
        </row>
        <row r="18335">
          <cell r="C18335" t="str">
            <v>HY</v>
          </cell>
          <cell r="D18335">
            <v>0.2</v>
          </cell>
          <cell r="H18335" t="str">
            <v>hydro</v>
          </cell>
        </row>
        <row r="18336">
          <cell r="C18336" t="str">
            <v>PV</v>
          </cell>
          <cell r="D18336">
            <v>1.5</v>
          </cell>
          <cell r="H18336" t="str">
            <v>solar PV</v>
          </cell>
        </row>
        <row r="18337">
          <cell r="C18337" t="str">
            <v>PV</v>
          </cell>
          <cell r="D18337">
            <v>2</v>
          </cell>
          <cell r="H18337" t="str">
            <v>solar PV</v>
          </cell>
        </row>
        <row r="18338">
          <cell r="C18338" t="str">
            <v>PV</v>
          </cell>
          <cell r="D18338">
            <v>6</v>
          </cell>
          <cell r="H18338" t="str">
            <v>solar PV</v>
          </cell>
        </row>
        <row r="18339">
          <cell r="C18339" t="str">
            <v>IC</v>
          </cell>
          <cell r="D18339">
            <v>9</v>
          </cell>
          <cell r="H18339" t="str">
            <v>natural gas peaker</v>
          </cell>
        </row>
        <row r="18340">
          <cell r="C18340" t="str">
            <v>IC</v>
          </cell>
          <cell r="D18340">
            <v>9</v>
          </cell>
          <cell r="H18340" t="str">
            <v>natural gas peaker</v>
          </cell>
        </row>
        <row r="18341">
          <cell r="C18341" t="str">
            <v>IC</v>
          </cell>
          <cell r="D18341">
            <v>9</v>
          </cell>
          <cell r="H18341" t="str">
            <v>natural gas peaker</v>
          </cell>
        </row>
        <row r="18342">
          <cell r="C18342" t="str">
            <v>PV</v>
          </cell>
          <cell r="D18342">
            <v>3.4</v>
          </cell>
          <cell r="H18342" t="str">
            <v>solar PV</v>
          </cell>
        </row>
        <row r="18343">
          <cell r="C18343" t="str">
            <v>PV</v>
          </cell>
          <cell r="D18343">
            <v>2.2000000000000002</v>
          </cell>
          <cell r="H18343" t="str">
            <v>solar PV</v>
          </cell>
        </row>
        <row r="18344">
          <cell r="C18344" t="str">
            <v>PV</v>
          </cell>
          <cell r="D18344">
            <v>1.8</v>
          </cell>
          <cell r="H18344" t="str">
            <v>solar PV</v>
          </cell>
        </row>
        <row r="18345">
          <cell r="C18345" t="str">
            <v>PV</v>
          </cell>
          <cell r="D18345">
            <v>1.9</v>
          </cell>
          <cell r="H18345" t="str">
            <v>solar PV</v>
          </cell>
        </row>
        <row r="18346">
          <cell r="C18346" t="str">
            <v>PV</v>
          </cell>
          <cell r="D18346">
            <v>3</v>
          </cell>
          <cell r="H18346" t="str">
            <v>solar PV</v>
          </cell>
        </row>
        <row r="18347">
          <cell r="C18347" t="str">
            <v>WT</v>
          </cell>
          <cell r="D18347">
            <v>3</v>
          </cell>
          <cell r="H18347" t="str">
            <v>onshore wind</v>
          </cell>
        </row>
        <row r="18348">
          <cell r="C18348" t="str">
            <v>IC</v>
          </cell>
          <cell r="D18348">
            <v>3</v>
          </cell>
          <cell r="H18348" t="str">
            <v>natural gas peaker</v>
          </cell>
        </row>
        <row r="18349">
          <cell r="C18349" t="str">
            <v>PV</v>
          </cell>
          <cell r="D18349">
            <v>2.4</v>
          </cell>
          <cell r="H18349" t="str">
            <v>solar PV</v>
          </cell>
        </row>
        <row r="18350">
          <cell r="C18350" t="str">
            <v>IC</v>
          </cell>
          <cell r="D18350">
            <v>3.8</v>
          </cell>
          <cell r="H18350" t="str">
            <v>natural gas peaker</v>
          </cell>
        </row>
        <row r="18351">
          <cell r="C18351" t="str">
            <v>PV</v>
          </cell>
          <cell r="D18351">
            <v>2.7</v>
          </cell>
          <cell r="H18351" t="str">
            <v>solar PV</v>
          </cell>
        </row>
        <row r="18352">
          <cell r="C18352" t="str">
            <v>PV</v>
          </cell>
          <cell r="D18352">
            <v>1</v>
          </cell>
          <cell r="H18352" t="str">
            <v>solar PV</v>
          </cell>
        </row>
        <row r="18353">
          <cell r="C18353" t="str">
            <v>PV</v>
          </cell>
          <cell r="D18353">
            <v>2</v>
          </cell>
          <cell r="H18353" t="str">
            <v>solar PV</v>
          </cell>
        </row>
        <row r="18354">
          <cell r="C18354" t="str">
            <v>PV</v>
          </cell>
          <cell r="D18354">
            <v>1.5</v>
          </cell>
          <cell r="H18354" t="str">
            <v>solar PV</v>
          </cell>
        </row>
        <row r="18355">
          <cell r="C18355" t="str">
            <v>WT</v>
          </cell>
          <cell r="D18355">
            <v>305.8</v>
          </cell>
          <cell r="H18355" t="str">
            <v>onshore wind</v>
          </cell>
        </row>
        <row r="18356">
          <cell r="C18356" t="str">
            <v>WT</v>
          </cell>
          <cell r="D18356">
            <v>201</v>
          </cell>
          <cell r="H18356" t="str">
            <v>onshore wind</v>
          </cell>
        </row>
        <row r="18357">
          <cell r="C18357" t="str">
            <v>WT</v>
          </cell>
          <cell r="D18357">
            <v>108</v>
          </cell>
          <cell r="H18357" t="str">
            <v>onshore wind</v>
          </cell>
        </row>
        <row r="18358">
          <cell r="C18358" t="str">
            <v>WT</v>
          </cell>
          <cell r="D18358">
            <v>228</v>
          </cell>
          <cell r="H18358" t="str">
            <v>onshore wind</v>
          </cell>
        </row>
        <row r="18359">
          <cell r="C18359" t="str">
            <v>WT</v>
          </cell>
          <cell r="D18359">
            <v>200</v>
          </cell>
          <cell r="H18359" t="str">
            <v>onshore wind</v>
          </cell>
        </row>
        <row r="18360">
          <cell r="C18360" t="str">
            <v>WT</v>
          </cell>
          <cell r="D18360">
            <v>12.1</v>
          </cell>
          <cell r="H18360" t="str">
            <v>onshore wind</v>
          </cell>
        </row>
        <row r="18361">
          <cell r="C18361" t="str">
            <v>WT</v>
          </cell>
          <cell r="D18361">
            <v>20.7</v>
          </cell>
          <cell r="H18361" t="str">
            <v>onshore wind</v>
          </cell>
        </row>
        <row r="18362">
          <cell r="C18362" t="str">
            <v>IC</v>
          </cell>
          <cell r="D18362">
            <v>1</v>
          </cell>
          <cell r="H18362" t="str">
            <v>biomass</v>
          </cell>
        </row>
        <row r="18363">
          <cell r="C18363" t="str">
            <v>GT</v>
          </cell>
          <cell r="D18363">
            <v>8.5</v>
          </cell>
          <cell r="H18363" t="str">
            <v>natural gas peaker</v>
          </cell>
        </row>
        <row r="18364">
          <cell r="C18364" t="str">
            <v>GT</v>
          </cell>
          <cell r="D18364">
            <v>8.5</v>
          </cell>
          <cell r="H18364" t="str">
            <v>natural gas peaker</v>
          </cell>
        </row>
        <row r="18365">
          <cell r="C18365" t="str">
            <v>GT</v>
          </cell>
          <cell r="D18365">
            <v>8.5</v>
          </cell>
          <cell r="H18365" t="str">
            <v>natural gas peaker</v>
          </cell>
        </row>
        <row r="18366">
          <cell r="C18366" t="str">
            <v>GT</v>
          </cell>
          <cell r="D18366">
            <v>21.7</v>
          </cell>
          <cell r="H18366" t="str">
            <v>natural gas peaker</v>
          </cell>
        </row>
        <row r="18367">
          <cell r="C18367" t="str">
            <v>GT</v>
          </cell>
          <cell r="D18367">
            <v>21.7</v>
          </cell>
          <cell r="H18367" t="str">
            <v>natural gas peaker</v>
          </cell>
        </row>
        <row r="18368">
          <cell r="C18368" t="str">
            <v>GT</v>
          </cell>
          <cell r="D18368">
            <v>12.9</v>
          </cell>
          <cell r="H18368" t="str">
            <v>natural gas peaker</v>
          </cell>
        </row>
        <row r="18369">
          <cell r="C18369" t="str">
            <v>OT</v>
          </cell>
          <cell r="D18369">
            <v>3</v>
          </cell>
          <cell r="H18369" t="str">
            <v>other</v>
          </cell>
        </row>
        <row r="18370">
          <cell r="C18370" t="str">
            <v>OT</v>
          </cell>
          <cell r="D18370">
            <v>1.3</v>
          </cell>
          <cell r="H18370" t="str">
            <v>other</v>
          </cell>
        </row>
        <row r="18371">
          <cell r="C18371" t="str">
            <v>OT</v>
          </cell>
          <cell r="D18371">
            <v>1.7</v>
          </cell>
          <cell r="H18371" t="str">
            <v>other</v>
          </cell>
        </row>
        <row r="18372">
          <cell r="C18372" t="str">
            <v>IC</v>
          </cell>
          <cell r="D18372">
            <v>1</v>
          </cell>
          <cell r="H18372" t="str">
            <v>petroleum</v>
          </cell>
        </row>
        <row r="18373">
          <cell r="C18373" t="str">
            <v>ST</v>
          </cell>
          <cell r="D18373">
            <v>40</v>
          </cell>
          <cell r="H18373" t="str">
            <v>natural gas peaker</v>
          </cell>
        </row>
        <row r="18374">
          <cell r="C18374" t="str">
            <v>ST</v>
          </cell>
          <cell r="D18374">
            <v>40</v>
          </cell>
          <cell r="H18374" t="str">
            <v>natural gas peaker</v>
          </cell>
        </row>
        <row r="18375">
          <cell r="C18375" t="str">
            <v>IC</v>
          </cell>
          <cell r="D18375">
            <v>2.2999999999999998</v>
          </cell>
          <cell r="H18375" t="str">
            <v>petroleum</v>
          </cell>
        </row>
        <row r="18376">
          <cell r="C18376" t="str">
            <v>IC</v>
          </cell>
          <cell r="D18376">
            <v>2.2999999999999998</v>
          </cell>
          <cell r="H18376" t="str">
            <v>petroleum</v>
          </cell>
        </row>
        <row r="18377">
          <cell r="C18377" t="str">
            <v>IC</v>
          </cell>
          <cell r="D18377">
            <v>2.2999999999999998</v>
          </cell>
          <cell r="H18377" t="str">
            <v>petroleum</v>
          </cell>
        </row>
        <row r="18378">
          <cell r="C18378" t="str">
            <v>IC</v>
          </cell>
          <cell r="D18378">
            <v>2.2999999999999998</v>
          </cell>
          <cell r="H18378" t="str">
            <v>petroleum</v>
          </cell>
        </row>
        <row r="18379">
          <cell r="C18379" t="str">
            <v>IC</v>
          </cell>
          <cell r="D18379">
            <v>2.2999999999999998</v>
          </cell>
          <cell r="H18379" t="str">
            <v>petroleum</v>
          </cell>
        </row>
        <row r="18380">
          <cell r="C18380" t="str">
            <v>IC</v>
          </cell>
          <cell r="D18380">
            <v>2.2999999999999998</v>
          </cell>
          <cell r="H18380" t="str">
            <v>petroleum</v>
          </cell>
        </row>
        <row r="18381">
          <cell r="C18381" t="str">
            <v>IC</v>
          </cell>
          <cell r="D18381">
            <v>2.2999999999999998</v>
          </cell>
          <cell r="H18381" t="str">
            <v>petroleum</v>
          </cell>
        </row>
        <row r="18382">
          <cell r="C18382" t="str">
            <v>IC</v>
          </cell>
          <cell r="D18382">
            <v>2.2999999999999998</v>
          </cell>
          <cell r="H18382" t="str">
            <v>petroleum</v>
          </cell>
        </row>
        <row r="18383">
          <cell r="C18383" t="str">
            <v>IC</v>
          </cell>
          <cell r="D18383">
            <v>2.2999999999999998</v>
          </cell>
          <cell r="H18383" t="str">
            <v>petroleum</v>
          </cell>
        </row>
        <row r="18384">
          <cell r="C18384" t="str">
            <v>IC</v>
          </cell>
          <cell r="D18384">
            <v>2.2999999999999998</v>
          </cell>
          <cell r="H18384" t="str">
            <v>petroleum</v>
          </cell>
        </row>
        <row r="18385">
          <cell r="C18385" t="str">
            <v>IC</v>
          </cell>
          <cell r="D18385">
            <v>2.2999999999999998</v>
          </cell>
          <cell r="H18385" t="str">
            <v>petroleum</v>
          </cell>
        </row>
        <row r="18386">
          <cell r="C18386" t="str">
            <v>IC</v>
          </cell>
          <cell r="D18386">
            <v>2.2999999999999998</v>
          </cell>
          <cell r="H18386" t="str">
            <v>petroleum</v>
          </cell>
        </row>
        <row r="18387">
          <cell r="C18387" t="str">
            <v>IC</v>
          </cell>
          <cell r="D18387">
            <v>2.2999999999999998</v>
          </cell>
          <cell r="H18387" t="str">
            <v>petroleum</v>
          </cell>
        </row>
        <row r="18388">
          <cell r="C18388" t="str">
            <v>IC</v>
          </cell>
          <cell r="D18388">
            <v>2.2999999999999998</v>
          </cell>
          <cell r="H18388" t="str">
            <v>petroleum</v>
          </cell>
        </row>
        <row r="18389">
          <cell r="C18389" t="str">
            <v>IC</v>
          </cell>
          <cell r="D18389">
            <v>2.2999999999999998</v>
          </cell>
          <cell r="H18389" t="str">
            <v>petroleum</v>
          </cell>
        </row>
        <row r="18390">
          <cell r="C18390" t="str">
            <v>IC</v>
          </cell>
          <cell r="D18390">
            <v>2.2999999999999998</v>
          </cell>
          <cell r="H18390" t="str">
            <v>petroleum</v>
          </cell>
        </row>
        <row r="18391">
          <cell r="C18391" t="str">
            <v>IC</v>
          </cell>
          <cell r="D18391">
            <v>2.2999999999999998</v>
          </cell>
          <cell r="H18391" t="str">
            <v>petroleum</v>
          </cell>
        </row>
        <row r="18392">
          <cell r="C18392" t="str">
            <v>IC</v>
          </cell>
          <cell r="D18392">
            <v>2.2999999999999998</v>
          </cell>
          <cell r="H18392" t="str">
            <v>petroleum</v>
          </cell>
        </row>
        <row r="18393">
          <cell r="C18393" t="str">
            <v>IC</v>
          </cell>
          <cell r="D18393">
            <v>2.2999999999999998</v>
          </cell>
          <cell r="H18393" t="str">
            <v>petroleum</v>
          </cell>
        </row>
        <row r="18394">
          <cell r="C18394" t="str">
            <v>IC</v>
          </cell>
          <cell r="D18394">
            <v>2.2999999999999998</v>
          </cell>
          <cell r="H18394" t="str">
            <v>petroleum</v>
          </cell>
        </row>
        <row r="18395">
          <cell r="C18395" t="str">
            <v>IC</v>
          </cell>
          <cell r="D18395">
            <v>2.2999999999999998</v>
          </cell>
          <cell r="H18395" t="str">
            <v>petroleum</v>
          </cell>
        </row>
        <row r="18396">
          <cell r="C18396" t="str">
            <v>IC</v>
          </cell>
          <cell r="D18396">
            <v>2.2999999999999998</v>
          </cell>
          <cell r="H18396" t="str">
            <v>petroleum</v>
          </cell>
        </row>
        <row r="18397">
          <cell r="C18397" t="str">
            <v>IC</v>
          </cell>
          <cell r="D18397">
            <v>2.2999999999999998</v>
          </cell>
          <cell r="H18397" t="str">
            <v>petroleum</v>
          </cell>
        </row>
        <row r="18398">
          <cell r="C18398" t="str">
            <v>IC</v>
          </cell>
          <cell r="D18398">
            <v>2.2000000000000002</v>
          </cell>
          <cell r="H18398" t="str">
            <v>petroleum</v>
          </cell>
        </row>
        <row r="18399">
          <cell r="C18399" t="str">
            <v>IC</v>
          </cell>
          <cell r="D18399">
            <v>2.2000000000000002</v>
          </cell>
          <cell r="H18399" t="str">
            <v>petroleum</v>
          </cell>
        </row>
        <row r="18400">
          <cell r="C18400" t="str">
            <v>IC</v>
          </cell>
          <cell r="D18400">
            <v>2.2000000000000002</v>
          </cell>
          <cell r="H18400" t="str">
            <v>petroleum</v>
          </cell>
        </row>
        <row r="18401">
          <cell r="C18401" t="str">
            <v>IC</v>
          </cell>
          <cell r="D18401">
            <v>2.2000000000000002</v>
          </cell>
          <cell r="H18401" t="str">
            <v>petroleum</v>
          </cell>
        </row>
        <row r="18402">
          <cell r="C18402" t="str">
            <v>IC</v>
          </cell>
          <cell r="D18402">
            <v>2.2000000000000002</v>
          </cell>
          <cell r="H18402" t="str">
            <v>petroleum</v>
          </cell>
        </row>
        <row r="18403">
          <cell r="C18403" t="str">
            <v>IC</v>
          </cell>
          <cell r="D18403">
            <v>2.2000000000000002</v>
          </cell>
          <cell r="H18403" t="str">
            <v>petroleum</v>
          </cell>
        </row>
        <row r="18404">
          <cell r="C18404" t="str">
            <v>IC</v>
          </cell>
          <cell r="D18404">
            <v>2.2000000000000002</v>
          </cell>
          <cell r="H18404" t="str">
            <v>petroleum</v>
          </cell>
        </row>
        <row r="18405">
          <cell r="C18405" t="str">
            <v>IC</v>
          </cell>
          <cell r="D18405">
            <v>2.2000000000000002</v>
          </cell>
          <cell r="H18405" t="str">
            <v>petroleum</v>
          </cell>
        </row>
        <row r="18406">
          <cell r="C18406" t="str">
            <v>IC</v>
          </cell>
          <cell r="D18406">
            <v>2.2000000000000002</v>
          </cell>
          <cell r="H18406" t="str">
            <v>petroleum</v>
          </cell>
        </row>
        <row r="18407">
          <cell r="C18407" t="str">
            <v>IC</v>
          </cell>
          <cell r="D18407">
            <v>2.2000000000000002</v>
          </cell>
          <cell r="H18407" t="str">
            <v>petroleum</v>
          </cell>
        </row>
        <row r="18408">
          <cell r="C18408" t="str">
            <v>IC</v>
          </cell>
          <cell r="D18408">
            <v>2.2000000000000002</v>
          </cell>
          <cell r="H18408" t="str">
            <v>petroleum</v>
          </cell>
        </row>
        <row r="18409">
          <cell r="C18409" t="str">
            <v>IC</v>
          </cell>
          <cell r="D18409">
            <v>2.2000000000000002</v>
          </cell>
          <cell r="H18409" t="str">
            <v>petroleum</v>
          </cell>
        </row>
        <row r="18410">
          <cell r="C18410" t="str">
            <v>IC</v>
          </cell>
          <cell r="D18410">
            <v>2.2000000000000002</v>
          </cell>
          <cell r="H18410" t="str">
            <v>petroleum</v>
          </cell>
        </row>
        <row r="18411">
          <cell r="C18411" t="str">
            <v>IC</v>
          </cell>
          <cell r="D18411">
            <v>2.2000000000000002</v>
          </cell>
          <cell r="H18411" t="str">
            <v>petroleum</v>
          </cell>
        </row>
        <row r="18412">
          <cell r="C18412" t="str">
            <v>IC</v>
          </cell>
          <cell r="D18412">
            <v>2.2000000000000002</v>
          </cell>
          <cell r="H18412" t="str">
            <v>petroleum</v>
          </cell>
        </row>
        <row r="18413">
          <cell r="C18413" t="str">
            <v>IC</v>
          </cell>
          <cell r="D18413">
            <v>2.2000000000000002</v>
          </cell>
          <cell r="H18413" t="str">
            <v>petroleum</v>
          </cell>
        </row>
        <row r="18414">
          <cell r="C18414" t="str">
            <v>IC</v>
          </cell>
          <cell r="D18414">
            <v>2.2999999999999998</v>
          </cell>
          <cell r="H18414" t="str">
            <v>petroleum</v>
          </cell>
        </row>
        <row r="18415">
          <cell r="C18415" t="str">
            <v>IC</v>
          </cell>
          <cell r="D18415">
            <v>2.2999999999999998</v>
          </cell>
          <cell r="H18415" t="str">
            <v>petroleum</v>
          </cell>
        </row>
        <row r="18416">
          <cell r="C18416" t="str">
            <v>PV</v>
          </cell>
          <cell r="D18416">
            <v>1</v>
          </cell>
          <cell r="H18416" t="str">
            <v>solar PV</v>
          </cell>
        </row>
        <row r="18417">
          <cell r="C18417" t="str">
            <v>WT</v>
          </cell>
          <cell r="D18417">
            <v>10</v>
          </cell>
          <cell r="H18417" t="str">
            <v>onshore wind</v>
          </cell>
        </row>
        <row r="18418">
          <cell r="C18418" t="str">
            <v>PV</v>
          </cell>
          <cell r="D18418">
            <v>1.5</v>
          </cell>
          <cell r="H18418" t="str">
            <v>solar PV</v>
          </cell>
        </row>
        <row r="18419">
          <cell r="C18419" t="str">
            <v>PV</v>
          </cell>
          <cell r="D18419">
            <v>4</v>
          </cell>
          <cell r="H18419" t="str">
            <v>solar PV</v>
          </cell>
        </row>
        <row r="18420">
          <cell r="C18420" t="str">
            <v>PV</v>
          </cell>
          <cell r="D18420">
            <v>1</v>
          </cell>
          <cell r="H18420" t="str">
            <v>solar PV</v>
          </cell>
        </row>
        <row r="18421">
          <cell r="C18421" t="str">
            <v>PV</v>
          </cell>
          <cell r="D18421">
            <v>1</v>
          </cell>
          <cell r="H18421" t="str">
            <v>solar PV</v>
          </cell>
        </row>
        <row r="18422">
          <cell r="C18422" t="str">
            <v>PV</v>
          </cell>
          <cell r="D18422">
            <v>4</v>
          </cell>
          <cell r="H18422" t="str">
            <v>solar PV</v>
          </cell>
        </row>
        <row r="18423">
          <cell r="C18423" t="str">
            <v>PV</v>
          </cell>
          <cell r="D18423">
            <v>5</v>
          </cell>
          <cell r="H18423" t="str">
            <v>solar PV</v>
          </cell>
        </row>
        <row r="18424">
          <cell r="C18424" t="str">
            <v>WT</v>
          </cell>
          <cell r="D18424">
            <v>200.6</v>
          </cell>
          <cell r="H18424" t="str">
            <v>onshore wind</v>
          </cell>
        </row>
        <row r="18425">
          <cell r="C18425" t="str">
            <v>WT</v>
          </cell>
          <cell r="D18425">
            <v>72</v>
          </cell>
          <cell r="H18425" t="str">
            <v>onshore wind</v>
          </cell>
        </row>
        <row r="18426">
          <cell r="C18426" t="str">
            <v>PV</v>
          </cell>
          <cell r="D18426">
            <v>4.5</v>
          </cell>
          <cell r="H18426" t="str">
            <v>solar PV</v>
          </cell>
        </row>
        <row r="18427">
          <cell r="C18427" t="str">
            <v>PV</v>
          </cell>
          <cell r="D18427">
            <v>12</v>
          </cell>
          <cell r="H18427" t="str">
            <v>solar PV</v>
          </cell>
        </row>
        <row r="18428">
          <cell r="C18428" t="str">
            <v>PV</v>
          </cell>
          <cell r="D18428">
            <v>12</v>
          </cell>
          <cell r="H18428" t="str">
            <v>solar PV</v>
          </cell>
        </row>
        <row r="18429">
          <cell r="C18429" t="str">
            <v>PV</v>
          </cell>
          <cell r="D18429">
            <v>20</v>
          </cell>
          <cell r="H18429" t="str">
            <v>solar PV</v>
          </cell>
        </row>
        <row r="18430">
          <cell r="C18430" t="str">
            <v>PV</v>
          </cell>
          <cell r="D18430">
            <v>2</v>
          </cell>
          <cell r="H18430" t="str">
            <v>solar PV</v>
          </cell>
        </row>
        <row r="18431">
          <cell r="C18431" t="str">
            <v>CT</v>
          </cell>
          <cell r="D18431">
            <v>43.1</v>
          </cell>
          <cell r="H18431" t="str">
            <v>natural gas nonpeaker</v>
          </cell>
        </row>
        <row r="18432">
          <cell r="C18432" t="str">
            <v>CT</v>
          </cell>
          <cell r="D18432">
            <v>43.1</v>
          </cell>
          <cell r="H18432" t="str">
            <v>natural gas nonpeaker</v>
          </cell>
        </row>
        <row r="18433">
          <cell r="C18433" t="str">
            <v>CA</v>
          </cell>
          <cell r="D18433">
            <v>40.9</v>
          </cell>
          <cell r="H18433" t="str">
            <v>natural gas nonpeaker</v>
          </cell>
        </row>
        <row r="18434">
          <cell r="C18434" t="str">
            <v>PV</v>
          </cell>
          <cell r="D18434">
            <v>1.5</v>
          </cell>
          <cell r="H18434" t="str">
            <v>solar PV</v>
          </cell>
        </row>
        <row r="18435">
          <cell r="C18435" t="str">
            <v>PV</v>
          </cell>
          <cell r="D18435">
            <v>1</v>
          </cell>
          <cell r="H18435" t="str">
            <v>solar PV</v>
          </cell>
        </row>
        <row r="18436">
          <cell r="C18436" t="str">
            <v>PV</v>
          </cell>
          <cell r="D18436">
            <v>1</v>
          </cell>
          <cell r="H18436" t="str">
            <v>solar PV</v>
          </cell>
        </row>
        <row r="18437">
          <cell r="C18437" t="str">
            <v>PV</v>
          </cell>
          <cell r="D18437">
            <v>10.1</v>
          </cell>
          <cell r="H18437" t="str">
            <v>solar PV</v>
          </cell>
        </row>
        <row r="18438">
          <cell r="C18438" t="str">
            <v>PV</v>
          </cell>
          <cell r="D18438">
            <v>1</v>
          </cell>
          <cell r="H18438" t="str">
            <v>solar PV</v>
          </cell>
        </row>
        <row r="18439">
          <cell r="C18439" t="str">
            <v>PV</v>
          </cell>
          <cell r="D18439">
            <v>1</v>
          </cell>
          <cell r="H18439" t="str">
            <v>solar PV</v>
          </cell>
        </row>
        <row r="18440">
          <cell r="C18440" t="str">
            <v>PV</v>
          </cell>
          <cell r="D18440">
            <v>4.9000000000000004</v>
          </cell>
          <cell r="H18440" t="str">
            <v>solar PV</v>
          </cell>
        </row>
        <row r="18441">
          <cell r="C18441" t="str">
            <v>PV</v>
          </cell>
          <cell r="D18441">
            <v>5</v>
          </cell>
          <cell r="H18441" t="str">
            <v>solar PV</v>
          </cell>
        </row>
        <row r="18442">
          <cell r="C18442" t="str">
            <v>PV</v>
          </cell>
          <cell r="D18442">
            <v>5</v>
          </cell>
          <cell r="H18442" t="str">
            <v>solar PV</v>
          </cell>
        </row>
        <row r="18443">
          <cell r="C18443" t="str">
            <v>PV</v>
          </cell>
          <cell r="D18443">
            <v>4.9000000000000004</v>
          </cell>
          <cell r="H18443" t="str">
            <v>solar PV</v>
          </cell>
        </row>
        <row r="18444">
          <cell r="C18444" t="str">
            <v>PV</v>
          </cell>
          <cell r="D18444">
            <v>2</v>
          </cell>
          <cell r="H18444" t="str">
            <v>solar PV</v>
          </cell>
        </row>
        <row r="18445">
          <cell r="C18445" t="str">
            <v>PV</v>
          </cell>
          <cell r="D18445">
            <v>5</v>
          </cell>
          <cell r="H18445" t="str">
            <v>solar PV</v>
          </cell>
        </row>
        <row r="18446">
          <cell r="C18446" t="str">
            <v>PV</v>
          </cell>
          <cell r="D18446">
            <v>5</v>
          </cell>
          <cell r="H18446" t="str">
            <v>solar PV</v>
          </cell>
        </row>
        <row r="18447">
          <cell r="C18447" t="str">
            <v>PV</v>
          </cell>
          <cell r="D18447">
            <v>4.9000000000000004</v>
          </cell>
          <cell r="H18447" t="str">
            <v>solar PV</v>
          </cell>
        </row>
        <row r="18448">
          <cell r="C18448" t="str">
            <v>PV</v>
          </cell>
          <cell r="D18448">
            <v>5</v>
          </cell>
          <cell r="H18448" t="str">
            <v>solar PV</v>
          </cell>
        </row>
        <row r="18449">
          <cell r="C18449" t="str">
            <v>PV</v>
          </cell>
          <cell r="D18449">
            <v>5</v>
          </cell>
          <cell r="H18449" t="str">
            <v>solar PV</v>
          </cell>
        </row>
        <row r="18450">
          <cell r="C18450" t="str">
            <v>PV</v>
          </cell>
          <cell r="D18450">
            <v>5</v>
          </cell>
          <cell r="H18450" t="str">
            <v>solar PV</v>
          </cell>
        </row>
        <row r="18451">
          <cell r="C18451" t="str">
            <v>PV</v>
          </cell>
          <cell r="D18451">
            <v>2</v>
          </cell>
          <cell r="H18451" t="str">
            <v>solar PV</v>
          </cell>
        </row>
        <row r="18452">
          <cell r="C18452" t="str">
            <v>PV</v>
          </cell>
          <cell r="D18452">
            <v>1.9</v>
          </cell>
          <cell r="H18452" t="str">
            <v>solar PV</v>
          </cell>
        </row>
        <row r="18453">
          <cell r="C18453" t="str">
            <v>IC</v>
          </cell>
          <cell r="D18453">
            <v>2.1</v>
          </cell>
          <cell r="H18453" t="str">
            <v>biomass</v>
          </cell>
        </row>
        <row r="18454">
          <cell r="C18454" t="str">
            <v>PV</v>
          </cell>
          <cell r="D18454">
            <v>23.1</v>
          </cell>
          <cell r="H18454" t="str">
            <v>solar PV</v>
          </cell>
        </row>
        <row r="18455">
          <cell r="C18455" t="str">
            <v>WT</v>
          </cell>
          <cell r="D18455">
            <v>165</v>
          </cell>
          <cell r="H18455" t="str">
            <v>onshore wind</v>
          </cell>
        </row>
        <row r="18456">
          <cell r="C18456" t="str">
            <v>PV</v>
          </cell>
          <cell r="D18456">
            <v>2</v>
          </cell>
          <cell r="H18456" t="str">
            <v>solar PV</v>
          </cell>
        </row>
        <row r="18457">
          <cell r="C18457" t="str">
            <v>PV</v>
          </cell>
          <cell r="D18457">
            <v>2</v>
          </cell>
          <cell r="H18457" t="str">
            <v>solar PV</v>
          </cell>
        </row>
        <row r="18458">
          <cell r="C18458" t="str">
            <v>PV</v>
          </cell>
          <cell r="D18458">
            <v>1.9</v>
          </cell>
          <cell r="H18458" t="str">
            <v>solar PV</v>
          </cell>
        </row>
        <row r="18459">
          <cell r="C18459" t="str">
            <v>PV</v>
          </cell>
          <cell r="D18459">
            <v>1.5</v>
          </cell>
          <cell r="H18459" t="str">
            <v>solar PV</v>
          </cell>
        </row>
        <row r="18460">
          <cell r="C18460" t="str">
            <v>PV</v>
          </cell>
          <cell r="D18460">
            <v>3</v>
          </cell>
          <cell r="H18460" t="str">
            <v>solar PV</v>
          </cell>
        </row>
        <row r="18461">
          <cell r="C18461" t="str">
            <v>PV</v>
          </cell>
          <cell r="D18461">
            <v>3</v>
          </cell>
          <cell r="H18461" t="str">
            <v>solar PV</v>
          </cell>
        </row>
        <row r="18462">
          <cell r="C18462" t="str">
            <v>PV</v>
          </cell>
          <cell r="D18462">
            <v>2</v>
          </cell>
          <cell r="H18462" t="str">
            <v>solar PV</v>
          </cell>
        </row>
        <row r="18463">
          <cell r="C18463" t="str">
            <v>PV</v>
          </cell>
          <cell r="D18463">
            <v>5</v>
          </cell>
          <cell r="H18463" t="str">
            <v>solar PV</v>
          </cell>
        </row>
        <row r="18464">
          <cell r="C18464" t="str">
            <v>PV</v>
          </cell>
          <cell r="D18464">
            <v>5</v>
          </cell>
          <cell r="H18464" t="str">
            <v>solar PV</v>
          </cell>
        </row>
        <row r="18465">
          <cell r="C18465" t="str">
            <v>PV</v>
          </cell>
          <cell r="D18465">
            <v>3.2</v>
          </cell>
          <cell r="H18465" t="str">
            <v>solar PV</v>
          </cell>
        </row>
        <row r="18466">
          <cell r="C18466" t="str">
            <v>PV</v>
          </cell>
          <cell r="D18466">
            <v>1.1000000000000001</v>
          </cell>
          <cell r="H18466" t="str">
            <v>solar PV</v>
          </cell>
        </row>
        <row r="18467">
          <cell r="C18467" t="str">
            <v>PV</v>
          </cell>
          <cell r="D18467">
            <v>1.3</v>
          </cell>
          <cell r="H18467" t="str">
            <v>solar PV</v>
          </cell>
        </row>
        <row r="18468">
          <cell r="C18468" t="str">
            <v>PV</v>
          </cell>
          <cell r="D18468">
            <v>1.3</v>
          </cell>
          <cell r="H18468" t="str">
            <v>solar PV</v>
          </cell>
        </row>
        <row r="18469">
          <cell r="C18469" t="str">
            <v>PV</v>
          </cell>
          <cell r="D18469">
            <v>1.1000000000000001</v>
          </cell>
          <cell r="H18469" t="str">
            <v>solar PV</v>
          </cell>
        </row>
        <row r="18470">
          <cell r="C18470" t="str">
            <v>PV</v>
          </cell>
          <cell r="D18470">
            <v>1.1000000000000001</v>
          </cell>
          <cell r="H18470" t="str">
            <v>solar PV</v>
          </cell>
        </row>
        <row r="18471">
          <cell r="C18471" t="str">
            <v>PV</v>
          </cell>
          <cell r="D18471">
            <v>1.9</v>
          </cell>
          <cell r="H18471" t="str">
            <v>solar PV</v>
          </cell>
        </row>
        <row r="18472">
          <cell r="C18472" t="str">
            <v>PV</v>
          </cell>
          <cell r="D18472">
            <v>2.6</v>
          </cell>
          <cell r="H18472" t="str">
            <v>solar PV</v>
          </cell>
        </row>
        <row r="18473">
          <cell r="C18473" t="str">
            <v>PV</v>
          </cell>
          <cell r="D18473">
            <v>1.3</v>
          </cell>
          <cell r="H18473" t="str">
            <v>solar PV</v>
          </cell>
        </row>
        <row r="18474">
          <cell r="C18474" t="str">
            <v>PV</v>
          </cell>
          <cell r="D18474">
            <v>5.6</v>
          </cell>
          <cell r="H18474" t="str">
            <v>solar PV</v>
          </cell>
        </row>
        <row r="18475">
          <cell r="C18475" t="str">
            <v>PV</v>
          </cell>
          <cell r="D18475">
            <v>1.1000000000000001</v>
          </cell>
          <cell r="H18475" t="str">
            <v>solar PV</v>
          </cell>
        </row>
        <row r="18476">
          <cell r="C18476" t="str">
            <v>PV</v>
          </cell>
          <cell r="D18476">
            <v>1.1000000000000001</v>
          </cell>
          <cell r="H18476" t="str">
            <v>solar PV</v>
          </cell>
        </row>
        <row r="18477">
          <cell r="C18477" t="str">
            <v>PV</v>
          </cell>
          <cell r="D18477">
            <v>4.5</v>
          </cell>
          <cell r="H18477" t="str">
            <v>solar PV</v>
          </cell>
        </row>
        <row r="18478">
          <cell r="C18478" t="str">
            <v>IC</v>
          </cell>
          <cell r="D18478">
            <v>1.6</v>
          </cell>
          <cell r="H18478" t="str">
            <v>biomass</v>
          </cell>
        </row>
        <row r="18479">
          <cell r="C18479" t="str">
            <v>IC</v>
          </cell>
          <cell r="D18479">
            <v>3.1</v>
          </cell>
          <cell r="H18479" t="str">
            <v>biomass</v>
          </cell>
        </row>
        <row r="18480">
          <cell r="C18480" t="str">
            <v>PV</v>
          </cell>
          <cell r="D18480">
            <v>1.8</v>
          </cell>
          <cell r="H18480" t="str">
            <v>solar PV</v>
          </cell>
        </row>
        <row r="18481">
          <cell r="C18481" t="str">
            <v>GT</v>
          </cell>
          <cell r="D18481">
            <v>70</v>
          </cell>
          <cell r="H18481" t="str">
            <v>natural gas peaker</v>
          </cell>
        </row>
        <row r="18482">
          <cell r="C18482" t="str">
            <v>PV</v>
          </cell>
          <cell r="D18482">
            <v>3</v>
          </cell>
          <cell r="H18482" t="str">
            <v>solar PV</v>
          </cell>
        </row>
        <row r="18483">
          <cell r="C18483" t="str">
            <v>WT</v>
          </cell>
          <cell r="D18483">
            <v>30</v>
          </cell>
          <cell r="H18483" t="str">
            <v>onshore wind</v>
          </cell>
        </row>
        <row r="18484">
          <cell r="C18484" t="str">
            <v>PV</v>
          </cell>
          <cell r="D18484">
            <v>5</v>
          </cell>
          <cell r="H18484" t="str">
            <v>solar PV</v>
          </cell>
        </row>
        <row r="18485">
          <cell r="C18485" t="str">
            <v>PV</v>
          </cell>
          <cell r="D18485">
            <v>5</v>
          </cell>
          <cell r="H18485" t="str">
            <v>solar PV</v>
          </cell>
        </row>
        <row r="18486">
          <cell r="C18486" t="str">
            <v>PV</v>
          </cell>
          <cell r="D18486">
            <v>100</v>
          </cell>
          <cell r="H18486" t="str">
            <v>solar PV</v>
          </cell>
        </row>
        <row r="18487">
          <cell r="C18487" t="str">
            <v>IC</v>
          </cell>
          <cell r="D18487">
            <v>1.6</v>
          </cell>
          <cell r="H18487" t="str">
            <v>biomass</v>
          </cell>
        </row>
        <row r="18488">
          <cell r="C18488" t="str">
            <v>IC</v>
          </cell>
          <cell r="D18488">
            <v>1.6</v>
          </cell>
          <cell r="H18488" t="str">
            <v>biomass</v>
          </cell>
        </row>
        <row r="18489">
          <cell r="C18489" t="str">
            <v>PV</v>
          </cell>
          <cell r="D18489">
            <v>5</v>
          </cell>
          <cell r="H18489" t="str">
            <v>solar PV</v>
          </cell>
        </row>
        <row r="18490">
          <cell r="C18490" t="str">
            <v>PV</v>
          </cell>
          <cell r="D18490">
            <v>20</v>
          </cell>
          <cell r="H18490" t="str">
            <v>solar PV</v>
          </cell>
        </row>
        <row r="18491">
          <cell r="C18491" t="str">
            <v>PV</v>
          </cell>
          <cell r="D18491">
            <v>5</v>
          </cell>
          <cell r="H18491" t="str">
            <v>solar PV</v>
          </cell>
        </row>
        <row r="18492">
          <cell r="C18492" t="str">
            <v>PV</v>
          </cell>
          <cell r="D18492">
            <v>20</v>
          </cell>
          <cell r="H18492" t="str">
            <v>solar PV</v>
          </cell>
        </row>
        <row r="18493">
          <cell r="C18493" t="str">
            <v>PV</v>
          </cell>
          <cell r="D18493">
            <v>5</v>
          </cell>
          <cell r="H18493" t="str">
            <v>solar PV</v>
          </cell>
        </row>
        <row r="18494">
          <cell r="C18494" t="str">
            <v>PV</v>
          </cell>
          <cell r="D18494">
            <v>5</v>
          </cell>
          <cell r="H18494" t="str">
            <v>solar PV</v>
          </cell>
        </row>
        <row r="18495">
          <cell r="C18495" t="str">
            <v>PV</v>
          </cell>
          <cell r="D18495">
            <v>5</v>
          </cell>
          <cell r="H18495" t="str">
            <v>solar PV</v>
          </cell>
        </row>
        <row r="18496">
          <cell r="C18496" t="str">
            <v>PV</v>
          </cell>
          <cell r="D18496">
            <v>5</v>
          </cell>
          <cell r="H18496" t="str">
            <v>solar PV</v>
          </cell>
        </row>
        <row r="18497">
          <cell r="C18497" t="str">
            <v>PV</v>
          </cell>
          <cell r="D18497">
            <v>5</v>
          </cell>
          <cell r="H18497" t="str">
            <v>solar PV</v>
          </cell>
        </row>
        <row r="18498">
          <cell r="C18498" t="str">
            <v>PV</v>
          </cell>
          <cell r="D18498">
            <v>40</v>
          </cell>
          <cell r="H18498" t="str">
            <v>solar PV</v>
          </cell>
        </row>
        <row r="18499">
          <cell r="C18499" t="str">
            <v>PV</v>
          </cell>
          <cell r="D18499">
            <v>1.2</v>
          </cell>
          <cell r="H18499" t="str">
            <v>solar PV</v>
          </cell>
        </row>
        <row r="18500">
          <cell r="C18500" t="str">
            <v>PV</v>
          </cell>
          <cell r="D18500">
            <v>1.5</v>
          </cell>
          <cell r="H18500" t="str">
            <v>solar PV</v>
          </cell>
        </row>
        <row r="18501">
          <cell r="C18501" t="str">
            <v>PV</v>
          </cell>
          <cell r="D18501">
            <v>29</v>
          </cell>
          <cell r="H18501" t="str">
            <v>solar PV</v>
          </cell>
        </row>
        <row r="18502">
          <cell r="C18502" t="str">
            <v>PV</v>
          </cell>
          <cell r="D18502">
            <v>1.5</v>
          </cell>
          <cell r="H18502" t="str">
            <v>solar PV</v>
          </cell>
        </row>
        <row r="18503">
          <cell r="C18503" t="str">
            <v>PV</v>
          </cell>
          <cell r="D18503">
            <v>5</v>
          </cell>
          <cell r="H18503" t="str">
            <v>solar PV</v>
          </cell>
        </row>
        <row r="18504">
          <cell r="C18504" t="str">
            <v>PV</v>
          </cell>
          <cell r="D18504">
            <v>5</v>
          </cell>
          <cell r="H18504" t="str">
            <v>solar PV</v>
          </cell>
        </row>
        <row r="18505">
          <cell r="C18505" t="str">
            <v>PV</v>
          </cell>
          <cell r="D18505">
            <v>3.8</v>
          </cell>
          <cell r="H18505" t="str">
            <v>solar PV</v>
          </cell>
        </row>
        <row r="18506">
          <cell r="C18506" t="str">
            <v>PV</v>
          </cell>
          <cell r="D18506">
            <v>5</v>
          </cell>
          <cell r="H18506" t="str">
            <v>solar PV</v>
          </cell>
        </row>
        <row r="18507">
          <cell r="C18507" t="str">
            <v>PV</v>
          </cell>
          <cell r="D18507">
            <v>5</v>
          </cell>
          <cell r="H18507" t="str">
            <v>solar PV</v>
          </cell>
        </row>
        <row r="18508">
          <cell r="C18508" t="str">
            <v>PV</v>
          </cell>
          <cell r="D18508">
            <v>5</v>
          </cell>
          <cell r="H18508" t="str">
            <v>solar PV</v>
          </cell>
        </row>
        <row r="18509">
          <cell r="C18509" t="str">
            <v>PV</v>
          </cell>
          <cell r="D18509">
            <v>5</v>
          </cell>
          <cell r="H18509" t="str">
            <v>solar PV</v>
          </cell>
        </row>
        <row r="18510">
          <cell r="C18510" t="str">
            <v>PV</v>
          </cell>
          <cell r="D18510">
            <v>5</v>
          </cell>
          <cell r="H18510" t="str">
            <v>solar PV</v>
          </cell>
        </row>
        <row r="18511">
          <cell r="C18511" t="str">
            <v>PV</v>
          </cell>
          <cell r="D18511">
            <v>3</v>
          </cell>
          <cell r="H18511" t="str">
            <v>solar PV</v>
          </cell>
        </row>
        <row r="18512">
          <cell r="C18512" t="str">
            <v>PV</v>
          </cell>
          <cell r="D18512">
            <v>4</v>
          </cell>
          <cell r="H18512" t="str">
            <v>solar PV</v>
          </cell>
        </row>
        <row r="18513">
          <cell r="C18513" t="str">
            <v>PV</v>
          </cell>
          <cell r="D18513">
            <v>1.5</v>
          </cell>
          <cell r="H18513" t="str">
            <v>solar PV</v>
          </cell>
        </row>
        <row r="18514">
          <cell r="C18514" t="str">
            <v>GT</v>
          </cell>
          <cell r="D18514">
            <v>1</v>
          </cell>
          <cell r="H18514" t="str">
            <v>biomass</v>
          </cell>
        </row>
        <row r="18515">
          <cell r="C18515" t="str">
            <v>PV</v>
          </cell>
          <cell r="D18515">
            <v>1.5</v>
          </cell>
          <cell r="H18515" t="str">
            <v>solar PV</v>
          </cell>
        </row>
        <row r="18516">
          <cell r="C18516" t="str">
            <v>PV</v>
          </cell>
          <cell r="D18516">
            <v>20</v>
          </cell>
          <cell r="H18516" t="str">
            <v>solar PV</v>
          </cell>
        </row>
        <row r="18517">
          <cell r="C18517" t="str">
            <v>PV</v>
          </cell>
          <cell r="D18517">
            <v>15.8</v>
          </cell>
          <cell r="H18517" t="str">
            <v>solar PV</v>
          </cell>
        </row>
        <row r="18518">
          <cell r="C18518" t="str">
            <v>PV</v>
          </cell>
          <cell r="D18518">
            <v>5</v>
          </cell>
          <cell r="H18518" t="str">
            <v>solar PV</v>
          </cell>
        </row>
        <row r="18519">
          <cell r="C18519" t="str">
            <v>PV</v>
          </cell>
          <cell r="D18519">
            <v>7</v>
          </cell>
          <cell r="H18519" t="str">
            <v>solar PV</v>
          </cell>
        </row>
        <row r="18520">
          <cell r="C18520" t="str">
            <v>WT</v>
          </cell>
          <cell r="D18520">
            <v>80</v>
          </cell>
          <cell r="H18520" t="str">
            <v>onshore wind</v>
          </cell>
        </row>
        <row r="18521">
          <cell r="C18521" t="str">
            <v>PV</v>
          </cell>
          <cell r="D18521">
            <v>15.8</v>
          </cell>
          <cell r="H18521" t="str">
            <v>solar PV</v>
          </cell>
        </row>
        <row r="18522">
          <cell r="C18522" t="str">
            <v>PV</v>
          </cell>
          <cell r="D18522">
            <v>2</v>
          </cell>
          <cell r="H18522" t="str">
            <v>solar PV</v>
          </cell>
        </row>
        <row r="18523">
          <cell r="C18523" t="str">
            <v>PV</v>
          </cell>
          <cell r="D18523">
            <v>2</v>
          </cell>
          <cell r="H18523" t="str">
            <v>solar PV</v>
          </cell>
        </row>
        <row r="18524">
          <cell r="C18524" t="str">
            <v>PV</v>
          </cell>
          <cell r="D18524">
            <v>5</v>
          </cell>
          <cell r="H18524" t="str">
            <v>solar PV</v>
          </cell>
        </row>
        <row r="18525">
          <cell r="C18525" t="str">
            <v>PV</v>
          </cell>
          <cell r="D18525">
            <v>5</v>
          </cell>
          <cell r="H18525" t="str">
            <v>solar PV</v>
          </cell>
        </row>
        <row r="18526">
          <cell r="C18526" t="str">
            <v>WT</v>
          </cell>
          <cell r="D18526">
            <v>249</v>
          </cell>
          <cell r="H18526" t="str">
            <v>onshore wind</v>
          </cell>
        </row>
        <row r="18527">
          <cell r="C18527" t="str">
            <v>IC</v>
          </cell>
          <cell r="D18527">
            <v>2</v>
          </cell>
          <cell r="H18527" t="str">
            <v>petroleum</v>
          </cell>
        </row>
        <row r="18528">
          <cell r="C18528" t="str">
            <v>IC</v>
          </cell>
          <cell r="D18528">
            <v>2</v>
          </cell>
          <cell r="H18528" t="str">
            <v>petroleum</v>
          </cell>
        </row>
        <row r="18529">
          <cell r="C18529" t="str">
            <v>GT</v>
          </cell>
          <cell r="D18529">
            <v>18</v>
          </cell>
          <cell r="H18529" t="str">
            <v>natural gas peaker</v>
          </cell>
        </row>
        <row r="18530">
          <cell r="C18530" t="str">
            <v>PV</v>
          </cell>
          <cell r="D18530">
            <v>1.6</v>
          </cell>
          <cell r="H18530" t="str">
            <v>solar PV</v>
          </cell>
        </row>
        <row r="18531">
          <cell r="C18531" t="str">
            <v>PV</v>
          </cell>
          <cell r="D18531">
            <v>1.6</v>
          </cell>
          <cell r="H18531" t="str">
            <v>solar PV</v>
          </cell>
        </row>
        <row r="18532">
          <cell r="C18532" t="str">
            <v>WT</v>
          </cell>
          <cell r="D18532">
            <v>148</v>
          </cell>
          <cell r="H18532" t="str">
            <v>onshore wind</v>
          </cell>
        </row>
        <row r="18533">
          <cell r="C18533" t="str">
            <v>WT</v>
          </cell>
          <cell r="D18533">
            <v>196</v>
          </cell>
          <cell r="H18533" t="str">
            <v>onshore wind</v>
          </cell>
        </row>
        <row r="18534">
          <cell r="C18534" t="str">
            <v>PV</v>
          </cell>
          <cell r="D18534">
            <v>1.5</v>
          </cell>
          <cell r="H18534" t="str">
            <v>solar PV</v>
          </cell>
        </row>
        <row r="18535">
          <cell r="C18535" t="str">
            <v>PV</v>
          </cell>
          <cell r="D18535">
            <v>1.5</v>
          </cell>
          <cell r="H18535" t="str">
            <v>solar PV</v>
          </cell>
        </row>
        <row r="18536">
          <cell r="C18536" t="str">
            <v>PV</v>
          </cell>
          <cell r="D18536">
            <v>1.5</v>
          </cell>
          <cell r="H18536" t="str">
            <v>solar PV</v>
          </cell>
        </row>
        <row r="18537">
          <cell r="C18537" t="str">
            <v>PV</v>
          </cell>
          <cell r="D18537">
            <v>5.5</v>
          </cell>
          <cell r="H18537" t="str">
            <v>solar PV</v>
          </cell>
        </row>
        <row r="18538">
          <cell r="C18538" t="str">
            <v>PV</v>
          </cell>
          <cell r="D18538">
            <v>100</v>
          </cell>
          <cell r="H18538" t="str">
            <v>solar PV</v>
          </cell>
        </row>
        <row r="18539">
          <cell r="C18539" t="str">
            <v>PV</v>
          </cell>
          <cell r="D18539">
            <v>116</v>
          </cell>
          <cell r="H18539" t="str">
            <v>solar PV</v>
          </cell>
        </row>
        <row r="18540">
          <cell r="C18540" t="str">
            <v>PV</v>
          </cell>
          <cell r="D18540">
            <v>100</v>
          </cell>
          <cell r="H18540" t="str">
            <v>solar PV</v>
          </cell>
        </row>
        <row r="18541">
          <cell r="C18541" t="str">
            <v>PV</v>
          </cell>
          <cell r="D18541">
            <v>5</v>
          </cell>
          <cell r="H18541" t="str">
            <v>solar PV</v>
          </cell>
        </row>
        <row r="18542">
          <cell r="C18542" t="str">
            <v>PV</v>
          </cell>
          <cell r="D18542">
            <v>5</v>
          </cell>
          <cell r="H18542" t="str">
            <v>solar PV</v>
          </cell>
        </row>
        <row r="18543">
          <cell r="C18543" t="str">
            <v>PV</v>
          </cell>
          <cell r="D18543">
            <v>1.5</v>
          </cell>
          <cell r="H18543" t="str">
            <v>solar PV</v>
          </cell>
        </row>
        <row r="18544">
          <cell r="C18544" t="str">
            <v>PV</v>
          </cell>
          <cell r="D18544">
            <v>1.5</v>
          </cell>
          <cell r="H18544" t="str">
            <v>solar PV</v>
          </cell>
        </row>
        <row r="18545">
          <cell r="C18545" t="str">
            <v>CT</v>
          </cell>
          <cell r="D18545">
            <v>242.5</v>
          </cell>
          <cell r="H18545" t="str">
            <v>natural gas nonpeaker</v>
          </cell>
        </row>
        <row r="18546">
          <cell r="C18546" t="str">
            <v>CT</v>
          </cell>
          <cell r="D18546">
            <v>242.5</v>
          </cell>
          <cell r="H18546" t="str">
            <v>natural gas nonpeaker</v>
          </cell>
        </row>
        <row r="18547">
          <cell r="C18547" t="str">
            <v>CA</v>
          </cell>
          <cell r="D18547">
            <v>492</v>
          </cell>
          <cell r="H18547" t="str">
            <v>natural gas nonpeaker</v>
          </cell>
        </row>
        <row r="18548">
          <cell r="C18548" t="str">
            <v>IC</v>
          </cell>
          <cell r="D18548">
            <v>1.6</v>
          </cell>
          <cell r="H18548" t="str">
            <v>biomass</v>
          </cell>
        </row>
        <row r="18549">
          <cell r="C18549" t="str">
            <v>IC</v>
          </cell>
          <cell r="D18549">
            <v>1.6</v>
          </cell>
          <cell r="H18549" t="str">
            <v>biomass</v>
          </cell>
        </row>
        <row r="18550">
          <cell r="C18550" t="str">
            <v>IC</v>
          </cell>
          <cell r="D18550">
            <v>1.6</v>
          </cell>
          <cell r="H18550" t="str">
            <v>biomass</v>
          </cell>
        </row>
        <row r="18551">
          <cell r="C18551" t="str">
            <v>IC</v>
          </cell>
          <cell r="D18551">
            <v>1.6</v>
          </cell>
          <cell r="H18551" t="str">
            <v>biomass</v>
          </cell>
        </row>
        <row r="18552">
          <cell r="C18552" t="str">
            <v>WT</v>
          </cell>
          <cell r="D18552">
            <v>39.9</v>
          </cell>
          <cell r="H18552" t="str">
            <v>onshore wind</v>
          </cell>
        </row>
        <row r="18553">
          <cell r="C18553" t="str">
            <v>WT</v>
          </cell>
          <cell r="D18553">
            <v>3</v>
          </cell>
          <cell r="H18553" t="str">
            <v>onshore wind</v>
          </cell>
        </row>
        <row r="18554">
          <cell r="C18554" t="str">
            <v>WT</v>
          </cell>
          <cell r="D18554">
            <v>3</v>
          </cell>
          <cell r="H18554" t="str">
            <v>onshore wind</v>
          </cell>
        </row>
        <row r="18555">
          <cell r="C18555" t="str">
            <v>WT</v>
          </cell>
          <cell r="D18555">
            <v>3</v>
          </cell>
          <cell r="H18555" t="str">
            <v>onshore wind</v>
          </cell>
        </row>
        <row r="18556">
          <cell r="C18556" t="str">
            <v>WT</v>
          </cell>
          <cell r="D18556">
            <v>3</v>
          </cell>
          <cell r="H18556" t="str">
            <v>onshore wind</v>
          </cell>
        </row>
        <row r="18557">
          <cell r="C18557" t="str">
            <v>WT</v>
          </cell>
          <cell r="D18557">
            <v>3</v>
          </cell>
          <cell r="H18557" t="str">
            <v>onshore wind</v>
          </cell>
        </row>
        <row r="18558">
          <cell r="C18558" t="str">
            <v>WT</v>
          </cell>
          <cell r="D18558">
            <v>3</v>
          </cell>
          <cell r="H18558" t="str">
            <v>onshore wind</v>
          </cell>
        </row>
        <row r="18559">
          <cell r="C18559" t="str">
            <v>WT</v>
          </cell>
          <cell r="D18559">
            <v>3</v>
          </cell>
          <cell r="H18559" t="str">
            <v>onshore wind</v>
          </cell>
        </row>
        <row r="18560">
          <cell r="C18560" t="str">
            <v>WT</v>
          </cell>
          <cell r="D18560">
            <v>3</v>
          </cell>
          <cell r="H18560" t="str">
            <v>onshore wind</v>
          </cell>
        </row>
        <row r="18561">
          <cell r="C18561" t="str">
            <v>WT</v>
          </cell>
          <cell r="D18561">
            <v>3</v>
          </cell>
          <cell r="H18561" t="str">
            <v>onshore wind</v>
          </cell>
        </row>
        <row r="18562">
          <cell r="C18562" t="str">
            <v>CS</v>
          </cell>
          <cell r="D18562">
            <v>5</v>
          </cell>
          <cell r="H18562" t="str">
            <v>natural gas nonpeaker</v>
          </cell>
        </row>
        <row r="18563">
          <cell r="C18563" t="str">
            <v>WT</v>
          </cell>
          <cell r="D18563">
            <v>100</v>
          </cell>
          <cell r="H18563" t="str">
            <v>onshore wind</v>
          </cell>
        </row>
        <row r="18564">
          <cell r="C18564" t="str">
            <v>WT</v>
          </cell>
          <cell r="D18564">
            <v>19.8</v>
          </cell>
          <cell r="H18564" t="str">
            <v>onshore wind</v>
          </cell>
        </row>
        <row r="18565">
          <cell r="C18565" t="str">
            <v>WT</v>
          </cell>
          <cell r="D18565">
            <v>99</v>
          </cell>
          <cell r="H18565" t="str">
            <v>onshore wind</v>
          </cell>
        </row>
        <row r="18566">
          <cell r="C18566" t="str">
            <v>PV</v>
          </cell>
          <cell r="D18566">
            <v>20</v>
          </cell>
          <cell r="H18566" t="str">
            <v>solar PV</v>
          </cell>
        </row>
        <row r="18567">
          <cell r="C18567" t="str">
            <v>WT</v>
          </cell>
          <cell r="D18567">
            <v>67.599999999999994</v>
          </cell>
          <cell r="H18567" t="str">
            <v>onshore wind</v>
          </cell>
        </row>
        <row r="18568">
          <cell r="C18568" t="str">
            <v>PV</v>
          </cell>
          <cell r="D18568">
            <v>1</v>
          </cell>
          <cell r="H18568" t="str">
            <v>solar PV</v>
          </cell>
        </row>
        <row r="18569">
          <cell r="C18569" t="str">
            <v>IC</v>
          </cell>
          <cell r="D18569">
            <v>1.4</v>
          </cell>
          <cell r="H18569" t="str">
            <v>biomass</v>
          </cell>
        </row>
        <row r="18570">
          <cell r="C18570" t="str">
            <v>IC</v>
          </cell>
          <cell r="D18570">
            <v>1.4</v>
          </cell>
          <cell r="H18570" t="str">
            <v>biomass</v>
          </cell>
        </row>
        <row r="18571">
          <cell r="C18571" t="str">
            <v>PV</v>
          </cell>
          <cell r="D18571">
            <v>3</v>
          </cell>
          <cell r="H18571" t="str">
            <v>solar PV</v>
          </cell>
        </row>
        <row r="18572">
          <cell r="C18572" t="str">
            <v>PV</v>
          </cell>
          <cell r="D18572">
            <v>2</v>
          </cell>
          <cell r="H18572" t="str">
            <v>solar PV</v>
          </cell>
        </row>
        <row r="18573">
          <cell r="C18573" t="str">
            <v>WT</v>
          </cell>
          <cell r="D18573">
            <v>80</v>
          </cell>
          <cell r="H18573" t="str">
            <v>onshore wind</v>
          </cell>
        </row>
        <row r="18574">
          <cell r="C18574" t="str">
            <v>WT</v>
          </cell>
          <cell r="D18574">
            <v>155.4</v>
          </cell>
          <cell r="H18574" t="str">
            <v>onshore wind</v>
          </cell>
        </row>
        <row r="18575">
          <cell r="C18575" t="str">
            <v>WT</v>
          </cell>
          <cell r="D18575">
            <v>478</v>
          </cell>
          <cell r="H18575" t="str">
            <v>onshore wind</v>
          </cell>
        </row>
        <row r="18576">
          <cell r="C18576" t="str">
            <v>PV</v>
          </cell>
          <cell r="D18576">
            <v>1.5</v>
          </cell>
          <cell r="H18576" t="str">
            <v>solar PV</v>
          </cell>
        </row>
        <row r="18577">
          <cell r="C18577" t="str">
            <v>PV</v>
          </cell>
          <cell r="D18577">
            <v>19.5</v>
          </cell>
          <cell r="H18577" t="str">
            <v>solar PV</v>
          </cell>
        </row>
        <row r="18578">
          <cell r="C18578" t="str">
            <v>PV</v>
          </cell>
          <cell r="D18578">
            <v>19.5</v>
          </cell>
          <cell r="H18578" t="str">
            <v>solar PV</v>
          </cell>
        </row>
        <row r="18579">
          <cell r="C18579" t="str">
            <v>PV</v>
          </cell>
          <cell r="D18579">
            <v>24.4</v>
          </cell>
          <cell r="H18579" t="str">
            <v>solar PV</v>
          </cell>
        </row>
        <row r="18580">
          <cell r="C18580" t="str">
            <v>PV</v>
          </cell>
          <cell r="D18580">
            <v>14.7</v>
          </cell>
          <cell r="H18580" t="str">
            <v>solar PV</v>
          </cell>
        </row>
        <row r="18581">
          <cell r="C18581" t="str">
            <v>CA</v>
          </cell>
          <cell r="D18581">
            <v>8.9</v>
          </cell>
          <cell r="H18581" t="str">
            <v>biomass</v>
          </cell>
        </row>
        <row r="18582">
          <cell r="C18582" t="str">
            <v>CT</v>
          </cell>
          <cell r="D18582">
            <v>5.5</v>
          </cell>
          <cell r="H18582" t="str">
            <v>biomass</v>
          </cell>
        </row>
        <row r="18583">
          <cell r="C18583" t="str">
            <v>CT</v>
          </cell>
          <cell r="D18583">
            <v>5.5</v>
          </cell>
          <cell r="H18583" t="str">
            <v>biomass</v>
          </cell>
        </row>
        <row r="18584">
          <cell r="C18584" t="str">
            <v>CT</v>
          </cell>
          <cell r="D18584">
            <v>5.5</v>
          </cell>
          <cell r="H18584" t="str">
            <v>biomass</v>
          </cell>
        </row>
        <row r="18585">
          <cell r="C18585" t="str">
            <v>CT</v>
          </cell>
          <cell r="D18585">
            <v>5.5</v>
          </cell>
          <cell r="H18585" t="str">
            <v>biomass</v>
          </cell>
        </row>
        <row r="18586">
          <cell r="C18586" t="str">
            <v>IC</v>
          </cell>
          <cell r="D18586">
            <v>3</v>
          </cell>
          <cell r="H18586" t="str">
            <v>other</v>
          </cell>
        </row>
        <row r="18587">
          <cell r="C18587" t="str">
            <v>IC</v>
          </cell>
          <cell r="D18587">
            <v>3</v>
          </cell>
          <cell r="H18587" t="str">
            <v>other</v>
          </cell>
        </row>
        <row r="18588">
          <cell r="C18588" t="str">
            <v>IC</v>
          </cell>
          <cell r="D18588">
            <v>3</v>
          </cell>
          <cell r="H18588" t="str">
            <v>other</v>
          </cell>
        </row>
        <row r="18589">
          <cell r="C18589" t="str">
            <v>IC</v>
          </cell>
          <cell r="D18589">
            <v>3</v>
          </cell>
          <cell r="H18589" t="str">
            <v>other</v>
          </cell>
        </row>
        <row r="18590">
          <cell r="C18590" t="str">
            <v>BA</v>
          </cell>
          <cell r="D18590">
            <v>2</v>
          </cell>
          <cell r="H18590" t="str">
            <v>other</v>
          </cell>
        </row>
        <row r="18591">
          <cell r="C18591" t="str">
            <v>BA</v>
          </cell>
          <cell r="D18591">
            <v>4</v>
          </cell>
          <cell r="H18591" t="str">
            <v>other</v>
          </cell>
        </row>
        <row r="18592">
          <cell r="C18592" t="str">
            <v>IC</v>
          </cell>
          <cell r="D18592">
            <v>0.7</v>
          </cell>
          <cell r="H18592" t="str">
            <v>biomass</v>
          </cell>
        </row>
        <row r="18593">
          <cell r="C18593" t="str">
            <v>IC</v>
          </cell>
          <cell r="D18593">
            <v>0.7</v>
          </cell>
          <cell r="H18593" t="str">
            <v>biomass</v>
          </cell>
        </row>
        <row r="18594">
          <cell r="C18594" t="str">
            <v>FC</v>
          </cell>
          <cell r="D18594">
            <v>1</v>
          </cell>
          <cell r="H18594" t="str">
            <v>other</v>
          </cell>
        </row>
        <row r="18595">
          <cell r="C18595" t="str">
            <v>PV</v>
          </cell>
          <cell r="D18595">
            <v>5</v>
          </cell>
          <cell r="H18595" t="str">
            <v>solar PV</v>
          </cell>
        </row>
        <row r="18596">
          <cell r="C18596" t="str">
            <v>PV</v>
          </cell>
          <cell r="D18596">
            <v>1.5</v>
          </cell>
          <cell r="H18596" t="str">
            <v>solar PV</v>
          </cell>
        </row>
        <row r="18597">
          <cell r="C18597" t="str">
            <v>PV</v>
          </cell>
          <cell r="D18597">
            <v>1.5</v>
          </cell>
          <cell r="H18597" t="str">
            <v>solar PV</v>
          </cell>
        </row>
        <row r="18598">
          <cell r="C18598" t="str">
            <v>PV</v>
          </cell>
          <cell r="D18598">
            <v>1.5</v>
          </cell>
          <cell r="H18598" t="str">
            <v>solar PV</v>
          </cell>
        </row>
        <row r="18599">
          <cell r="C18599" t="str">
            <v>PV</v>
          </cell>
          <cell r="D18599">
            <v>1.6</v>
          </cell>
          <cell r="H18599" t="str">
            <v>solar PV</v>
          </cell>
        </row>
        <row r="18600">
          <cell r="C18600" t="str">
            <v>PV</v>
          </cell>
          <cell r="D18600">
            <v>1.6</v>
          </cell>
          <cell r="H18600" t="str">
            <v>solar PV</v>
          </cell>
        </row>
        <row r="18601">
          <cell r="C18601" t="str">
            <v>PV</v>
          </cell>
          <cell r="D18601">
            <v>1.6</v>
          </cell>
          <cell r="H18601" t="str">
            <v>solar PV</v>
          </cell>
        </row>
        <row r="18602">
          <cell r="C18602" t="str">
            <v>PV</v>
          </cell>
          <cell r="D18602">
            <v>1.6</v>
          </cell>
          <cell r="H18602" t="str">
            <v>solar PV</v>
          </cell>
        </row>
        <row r="18603">
          <cell r="C18603" t="str">
            <v>PV</v>
          </cell>
          <cell r="D18603">
            <v>9</v>
          </cell>
          <cell r="H18603" t="str">
            <v>solar PV</v>
          </cell>
        </row>
        <row r="18604">
          <cell r="C18604" t="str">
            <v>PV</v>
          </cell>
          <cell r="D18604">
            <v>4</v>
          </cell>
          <cell r="H18604" t="str">
            <v>solar PV</v>
          </cell>
        </row>
        <row r="18605">
          <cell r="C18605" t="str">
            <v>PV</v>
          </cell>
          <cell r="D18605">
            <v>1</v>
          </cell>
          <cell r="H18605" t="str">
            <v>solar PV</v>
          </cell>
        </row>
        <row r="18606">
          <cell r="C18606" t="str">
            <v>PV</v>
          </cell>
          <cell r="D18606">
            <v>9.5</v>
          </cell>
          <cell r="H18606" t="str">
            <v>solar PV</v>
          </cell>
        </row>
        <row r="18607">
          <cell r="C18607" t="str">
            <v>PV</v>
          </cell>
          <cell r="D18607">
            <v>1.3</v>
          </cell>
          <cell r="H18607" t="str">
            <v>solar PV</v>
          </cell>
        </row>
        <row r="18608">
          <cell r="C18608" t="str">
            <v>PV</v>
          </cell>
          <cell r="D18608">
            <v>1</v>
          </cell>
          <cell r="H18608" t="str">
            <v>solar PV</v>
          </cell>
        </row>
        <row r="18609">
          <cell r="C18609" t="str">
            <v>FC</v>
          </cell>
          <cell r="D18609">
            <v>1</v>
          </cell>
          <cell r="H18609" t="str">
            <v>other</v>
          </cell>
        </row>
        <row r="18610">
          <cell r="C18610" t="str">
            <v>FC</v>
          </cell>
          <cell r="D18610">
            <v>1</v>
          </cell>
          <cell r="H18610" t="str">
            <v>other</v>
          </cell>
        </row>
        <row r="18611">
          <cell r="C18611" t="str">
            <v>FC</v>
          </cell>
          <cell r="D18611">
            <v>6</v>
          </cell>
          <cell r="H18611" t="str">
            <v>other</v>
          </cell>
        </row>
        <row r="18612">
          <cell r="C18612" t="str">
            <v>FC</v>
          </cell>
          <cell r="D18612">
            <v>3.8</v>
          </cell>
          <cell r="H18612" t="str">
            <v>other</v>
          </cell>
        </row>
        <row r="18613">
          <cell r="C18613" t="str">
            <v>PV</v>
          </cell>
          <cell r="D18613">
            <v>1</v>
          </cell>
          <cell r="H18613" t="str">
            <v>solar PV</v>
          </cell>
        </row>
        <row r="18614">
          <cell r="C18614" t="str">
            <v>WT</v>
          </cell>
          <cell r="D18614">
            <v>199</v>
          </cell>
          <cell r="H18614" t="str">
            <v>onshore wind</v>
          </cell>
        </row>
        <row r="18615">
          <cell r="C18615" t="str">
            <v>WT</v>
          </cell>
          <cell r="D18615">
            <v>318.10000000000002</v>
          </cell>
          <cell r="H18615" t="str">
            <v>onshore wind</v>
          </cell>
        </row>
        <row r="18616">
          <cell r="C18616" t="str">
            <v>WT</v>
          </cell>
          <cell r="D18616">
            <v>1.5</v>
          </cell>
          <cell r="H18616" t="str">
            <v>onshore wind</v>
          </cell>
        </row>
        <row r="18617">
          <cell r="C18617" t="str">
            <v>WT</v>
          </cell>
          <cell r="D18617">
            <v>105</v>
          </cell>
          <cell r="H18617" t="str">
            <v>onshore wind</v>
          </cell>
        </row>
        <row r="18618">
          <cell r="C18618" t="str">
            <v>PV</v>
          </cell>
          <cell r="D18618">
            <v>1.5</v>
          </cell>
          <cell r="H18618" t="str">
            <v>solar PV</v>
          </cell>
        </row>
        <row r="18619">
          <cell r="C18619" t="str">
            <v>IC</v>
          </cell>
          <cell r="D18619">
            <v>2</v>
          </cell>
          <cell r="H18619" t="str">
            <v>biomass</v>
          </cell>
        </row>
        <row r="18620">
          <cell r="C18620" t="str">
            <v>IC</v>
          </cell>
          <cell r="D18620">
            <v>2</v>
          </cell>
          <cell r="H18620" t="str">
            <v>biomass</v>
          </cell>
        </row>
        <row r="18621">
          <cell r="C18621" t="str">
            <v>PV</v>
          </cell>
          <cell r="D18621">
            <v>1.5</v>
          </cell>
          <cell r="H18621" t="str">
            <v>solar PV</v>
          </cell>
        </row>
        <row r="18622">
          <cell r="C18622" t="str">
            <v>PV</v>
          </cell>
          <cell r="D18622">
            <v>1.5</v>
          </cell>
          <cell r="H18622" t="str">
            <v>solar PV</v>
          </cell>
        </row>
        <row r="18623">
          <cell r="C18623" t="str">
            <v>WT</v>
          </cell>
          <cell r="D18623">
            <v>1.5</v>
          </cell>
          <cell r="H18623" t="str">
            <v>onshore wind</v>
          </cell>
        </row>
        <row r="18624">
          <cell r="C18624" t="str">
            <v>WT</v>
          </cell>
          <cell r="D18624">
            <v>1.5</v>
          </cell>
          <cell r="H18624" t="str">
            <v>onshore wind</v>
          </cell>
        </row>
        <row r="18625">
          <cell r="C18625" t="str">
            <v>WT</v>
          </cell>
          <cell r="D18625">
            <v>1.5</v>
          </cell>
          <cell r="H18625" t="str">
            <v>onshore wind</v>
          </cell>
        </row>
        <row r="18626">
          <cell r="C18626" t="str">
            <v>WT</v>
          </cell>
          <cell r="D18626">
            <v>1.5</v>
          </cell>
          <cell r="H18626" t="str">
            <v>onshore wind</v>
          </cell>
        </row>
        <row r="18627">
          <cell r="C18627" t="str">
            <v>WT</v>
          </cell>
          <cell r="D18627">
            <v>1.5</v>
          </cell>
          <cell r="H18627" t="str">
            <v>onshore wind</v>
          </cell>
        </row>
        <row r="18628">
          <cell r="C18628" t="str">
            <v>WT</v>
          </cell>
          <cell r="D18628">
            <v>1.5</v>
          </cell>
          <cell r="H18628" t="str">
            <v>onshore wind</v>
          </cell>
        </row>
        <row r="18629">
          <cell r="C18629" t="str">
            <v>PV</v>
          </cell>
          <cell r="D18629">
            <v>37.799999999999997</v>
          </cell>
          <cell r="H18629" t="str">
            <v>solar PV</v>
          </cell>
        </row>
        <row r="18630">
          <cell r="C18630" t="str">
            <v>PV</v>
          </cell>
          <cell r="D18630">
            <v>47.3</v>
          </cell>
          <cell r="H18630" t="str">
            <v>solar PV</v>
          </cell>
        </row>
        <row r="18631">
          <cell r="C18631" t="str">
            <v>IC</v>
          </cell>
          <cell r="D18631">
            <v>1.9</v>
          </cell>
          <cell r="H18631" t="str">
            <v>biomass</v>
          </cell>
        </row>
        <row r="18632">
          <cell r="C18632" t="str">
            <v>IC</v>
          </cell>
          <cell r="D18632">
            <v>1.9</v>
          </cell>
          <cell r="H18632" t="str">
            <v>biomass</v>
          </cell>
        </row>
        <row r="18633">
          <cell r="C18633" t="str">
            <v>WT</v>
          </cell>
          <cell r="D18633">
            <v>199</v>
          </cell>
          <cell r="H18633" t="str">
            <v>onshore wind</v>
          </cell>
        </row>
        <row r="18634">
          <cell r="C18634" t="str">
            <v>WT</v>
          </cell>
          <cell r="D18634">
            <v>98.6</v>
          </cell>
          <cell r="H18634" t="str">
            <v>onshore wind</v>
          </cell>
        </row>
        <row r="18635">
          <cell r="C18635" t="str">
            <v>WT</v>
          </cell>
          <cell r="D18635">
            <v>1.5</v>
          </cell>
          <cell r="H18635" t="str">
            <v>onshore wind</v>
          </cell>
        </row>
        <row r="18636">
          <cell r="C18636" t="str">
            <v>WT</v>
          </cell>
          <cell r="D18636">
            <v>1.5</v>
          </cell>
          <cell r="H18636" t="str">
            <v>onshore wind</v>
          </cell>
        </row>
        <row r="18637">
          <cell r="C18637" t="str">
            <v>WT</v>
          </cell>
          <cell r="D18637">
            <v>1.5</v>
          </cell>
          <cell r="H18637" t="str">
            <v>onshore wind</v>
          </cell>
        </row>
        <row r="18638">
          <cell r="C18638" t="str">
            <v>WT</v>
          </cell>
          <cell r="D18638">
            <v>1.5</v>
          </cell>
          <cell r="H18638" t="str">
            <v>onshore wind</v>
          </cell>
        </row>
        <row r="18639">
          <cell r="C18639" t="str">
            <v>PV</v>
          </cell>
          <cell r="D18639">
            <v>51</v>
          </cell>
          <cell r="H18639" t="str">
            <v>solar PV</v>
          </cell>
        </row>
        <row r="18640">
          <cell r="C18640" t="str">
            <v>PV</v>
          </cell>
          <cell r="D18640">
            <v>51</v>
          </cell>
          <cell r="H18640" t="str">
            <v>solar PV</v>
          </cell>
        </row>
        <row r="18641">
          <cell r="C18641" t="str">
            <v>PV</v>
          </cell>
          <cell r="D18641">
            <v>47</v>
          </cell>
          <cell r="H18641" t="str">
            <v>solar PV</v>
          </cell>
        </row>
        <row r="18642">
          <cell r="C18642" t="str">
            <v>PV</v>
          </cell>
          <cell r="D18642">
            <v>5.2</v>
          </cell>
          <cell r="H18642" t="str">
            <v>solar PV</v>
          </cell>
        </row>
        <row r="18643">
          <cell r="C18643" t="str">
            <v>PV</v>
          </cell>
          <cell r="D18643">
            <v>8.1999999999999993</v>
          </cell>
          <cell r="H18643" t="str">
            <v>solar PV</v>
          </cell>
        </row>
        <row r="18644">
          <cell r="C18644" t="str">
            <v>WT</v>
          </cell>
          <cell r="D18644">
            <v>200</v>
          </cell>
          <cell r="H18644" t="str">
            <v>onshore wind</v>
          </cell>
        </row>
        <row r="18645">
          <cell r="C18645" t="str">
            <v>WT</v>
          </cell>
          <cell r="D18645">
            <v>200</v>
          </cell>
          <cell r="H18645" t="str">
            <v>onshore wind</v>
          </cell>
        </row>
        <row r="18646">
          <cell r="C18646" t="str">
            <v>PV</v>
          </cell>
          <cell r="D18646">
            <v>20</v>
          </cell>
          <cell r="H18646" t="str">
            <v>solar PV</v>
          </cell>
        </row>
        <row r="18647">
          <cell r="C18647" t="str">
            <v>PV</v>
          </cell>
          <cell r="D18647">
            <v>1.5</v>
          </cell>
          <cell r="H18647" t="str">
            <v>solar PV</v>
          </cell>
        </row>
        <row r="18648">
          <cell r="C18648" t="str">
            <v>PV</v>
          </cell>
          <cell r="D18648">
            <v>0.9</v>
          </cell>
          <cell r="H18648" t="str">
            <v>solar PV</v>
          </cell>
        </row>
        <row r="18649">
          <cell r="C18649" t="str">
            <v>CT</v>
          </cell>
          <cell r="D18649">
            <v>259</v>
          </cell>
          <cell r="H18649" t="str">
            <v>natural gas nonpeaker</v>
          </cell>
        </row>
        <row r="18650">
          <cell r="C18650" t="str">
            <v>CA</v>
          </cell>
          <cell r="D18650">
            <v>227</v>
          </cell>
          <cell r="H18650" t="str">
            <v>natural gas nonpeaker</v>
          </cell>
        </row>
        <row r="18651">
          <cell r="C18651" t="str">
            <v>CT</v>
          </cell>
          <cell r="D18651">
            <v>250.2</v>
          </cell>
          <cell r="H18651" t="str">
            <v>natural gas nonpeaker</v>
          </cell>
        </row>
        <row r="18652">
          <cell r="C18652" t="str">
            <v>CA</v>
          </cell>
          <cell r="D18652">
            <v>217.2</v>
          </cell>
          <cell r="H18652" t="str">
            <v>natural gas nonpeaker</v>
          </cell>
        </row>
        <row r="18653">
          <cell r="C18653" t="str">
            <v>PV</v>
          </cell>
          <cell r="D18653">
            <v>1</v>
          </cell>
          <cell r="H18653" t="str">
            <v>solar PV</v>
          </cell>
        </row>
        <row r="18654">
          <cell r="C18654" t="str">
            <v>WT</v>
          </cell>
          <cell r="D18654">
            <v>1</v>
          </cell>
          <cell r="H18654" t="str">
            <v>onshore wind</v>
          </cell>
        </row>
        <row r="18655">
          <cell r="C18655" t="str">
            <v>WT</v>
          </cell>
          <cell r="D18655">
            <v>1</v>
          </cell>
          <cell r="H18655" t="str">
            <v>onshore wind</v>
          </cell>
        </row>
        <row r="18656">
          <cell r="C18656" t="str">
            <v>WT</v>
          </cell>
          <cell r="D18656">
            <v>1</v>
          </cell>
          <cell r="H18656" t="str">
            <v>onshore wind</v>
          </cell>
        </row>
        <row r="18657">
          <cell r="C18657" t="str">
            <v>WT</v>
          </cell>
          <cell r="D18657">
            <v>1.6</v>
          </cell>
          <cell r="H18657" t="str">
            <v>onshore wind</v>
          </cell>
        </row>
        <row r="18658">
          <cell r="C18658" t="str">
            <v>WT</v>
          </cell>
          <cell r="D18658">
            <v>211.2</v>
          </cell>
          <cell r="H18658" t="str">
            <v>onshore wind</v>
          </cell>
        </row>
        <row r="18659">
          <cell r="C18659" t="str">
            <v>PV</v>
          </cell>
          <cell r="D18659">
            <v>2</v>
          </cell>
          <cell r="H18659" t="str">
            <v>solar PV</v>
          </cell>
        </row>
        <row r="18660">
          <cell r="C18660" t="str">
            <v>PV</v>
          </cell>
          <cell r="D18660">
            <v>18</v>
          </cell>
          <cell r="H18660" t="str">
            <v>solar PV</v>
          </cell>
        </row>
        <row r="18661">
          <cell r="C18661" t="str">
            <v>IC</v>
          </cell>
          <cell r="D18661">
            <v>1.9</v>
          </cell>
          <cell r="H18661" t="str">
            <v>biomass</v>
          </cell>
        </row>
        <row r="18662">
          <cell r="C18662" t="str">
            <v>PV</v>
          </cell>
          <cell r="D18662">
            <v>5</v>
          </cell>
          <cell r="H18662" t="str">
            <v>solar PV</v>
          </cell>
        </row>
        <row r="18663">
          <cell r="C18663" t="str">
            <v>CT</v>
          </cell>
          <cell r="D18663">
            <v>146</v>
          </cell>
          <cell r="H18663" t="str">
            <v>natural gas nonpeaker</v>
          </cell>
        </row>
        <row r="18664">
          <cell r="C18664" t="str">
            <v>CT</v>
          </cell>
          <cell r="D18664">
            <v>146</v>
          </cell>
          <cell r="H18664" t="str">
            <v>natural gas nonpeaker</v>
          </cell>
        </row>
        <row r="18665">
          <cell r="C18665" t="str">
            <v>CA</v>
          </cell>
          <cell r="D18665">
            <v>223</v>
          </cell>
          <cell r="H18665" t="str">
            <v>natural gas nonpeaker</v>
          </cell>
        </row>
        <row r="18666">
          <cell r="C18666" t="str">
            <v>PV</v>
          </cell>
          <cell r="D18666">
            <v>105.1</v>
          </cell>
          <cell r="H18666" t="str">
            <v>solar PV</v>
          </cell>
        </row>
        <row r="18667">
          <cell r="C18667" t="str">
            <v>HY</v>
          </cell>
          <cell r="D18667">
            <v>1.4</v>
          </cell>
          <cell r="H18667" t="str">
            <v>hydro</v>
          </cell>
        </row>
        <row r="18668">
          <cell r="C18668" t="str">
            <v>HY</v>
          </cell>
          <cell r="D18668">
            <v>6.1</v>
          </cell>
          <cell r="H18668" t="str">
            <v>hydro</v>
          </cell>
        </row>
        <row r="18669">
          <cell r="C18669" t="str">
            <v>PV</v>
          </cell>
          <cell r="D18669">
            <v>2</v>
          </cell>
          <cell r="H18669" t="str">
            <v>solar PV</v>
          </cell>
        </row>
        <row r="18670">
          <cell r="C18670" t="str">
            <v>PV</v>
          </cell>
          <cell r="D18670">
            <v>1.5</v>
          </cell>
          <cell r="H18670" t="str">
            <v>solar PV</v>
          </cell>
        </row>
        <row r="18671">
          <cell r="C18671" t="str">
            <v>PV</v>
          </cell>
          <cell r="D18671">
            <v>1</v>
          </cell>
          <cell r="H18671" t="str">
            <v>solar PV</v>
          </cell>
        </row>
        <row r="18672">
          <cell r="C18672" t="str">
            <v>PV</v>
          </cell>
          <cell r="D18672">
            <v>1.4</v>
          </cell>
          <cell r="H18672" t="str">
            <v>solar PV</v>
          </cell>
        </row>
        <row r="18673">
          <cell r="C18673" t="str">
            <v>PV</v>
          </cell>
          <cell r="D18673">
            <v>1.4</v>
          </cell>
          <cell r="H18673" t="str">
            <v>solar PV</v>
          </cell>
        </row>
        <row r="18674">
          <cell r="C18674" t="str">
            <v>PV</v>
          </cell>
          <cell r="D18674">
            <v>1.4</v>
          </cell>
          <cell r="H18674" t="str">
            <v>solar PV</v>
          </cell>
        </row>
        <row r="18675">
          <cell r="C18675" t="str">
            <v>PV</v>
          </cell>
          <cell r="D18675">
            <v>1.3</v>
          </cell>
          <cell r="H18675" t="str">
            <v>solar PV</v>
          </cell>
        </row>
        <row r="18676">
          <cell r="C18676" t="str">
            <v>PV</v>
          </cell>
          <cell r="D18676">
            <v>4.9000000000000004</v>
          </cell>
          <cell r="H18676" t="str">
            <v>solar PV</v>
          </cell>
        </row>
        <row r="18677">
          <cell r="C18677" t="str">
            <v>PV</v>
          </cell>
          <cell r="D18677">
            <v>8.5</v>
          </cell>
          <cell r="H18677" t="str">
            <v>solar PV</v>
          </cell>
        </row>
        <row r="18678">
          <cell r="C18678" t="str">
            <v>PV</v>
          </cell>
          <cell r="D18678">
            <v>1.1000000000000001</v>
          </cell>
          <cell r="H18678" t="str">
            <v>solar PV</v>
          </cell>
        </row>
        <row r="18679">
          <cell r="C18679" t="str">
            <v>PV</v>
          </cell>
          <cell r="D18679">
            <v>2.2000000000000002</v>
          </cell>
          <cell r="H18679" t="str">
            <v>solar PV</v>
          </cell>
        </row>
        <row r="18680">
          <cell r="C18680" t="str">
            <v>PV</v>
          </cell>
          <cell r="D18680">
            <v>1</v>
          </cell>
          <cell r="H18680" t="str">
            <v>solar PV</v>
          </cell>
        </row>
        <row r="18681">
          <cell r="C18681" t="str">
            <v>PV</v>
          </cell>
          <cell r="D18681">
            <v>1.8</v>
          </cell>
          <cell r="H18681" t="str">
            <v>solar PV</v>
          </cell>
        </row>
        <row r="18682">
          <cell r="C18682" t="str">
            <v>PV</v>
          </cell>
          <cell r="D18682">
            <v>1.9</v>
          </cell>
          <cell r="H18682" t="str">
            <v>solar PV</v>
          </cell>
        </row>
        <row r="18683">
          <cell r="C18683" t="str">
            <v>GT</v>
          </cell>
          <cell r="D18683">
            <v>1.2</v>
          </cell>
          <cell r="H18683" t="str">
            <v>natural gas peaker</v>
          </cell>
        </row>
        <row r="18684">
          <cell r="C18684" t="str">
            <v>GT</v>
          </cell>
          <cell r="D18684">
            <v>1.2</v>
          </cell>
          <cell r="H18684" t="str">
            <v>natural gas peaker</v>
          </cell>
        </row>
        <row r="18685">
          <cell r="C18685" t="str">
            <v>GT</v>
          </cell>
          <cell r="D18685">
            <v>1.2</v>
          </cell>
          <cell r="H18685" t="str">
            <v>natural gas peaker</v>
          </cell>
        </row>
        <row r="18686">
          <cell r="C18686" t="str">
            <v>GT</v>
          </cell>
          <cell r="D18686">
            <v>1.1000000000000001</v>
          </cell>
          <cell r="H18686" t="str">
            <v>natural gas peaker</v>
          </cell>
        </row>
        <row r="18687">
          <cell r="C18687" t="str">
            <v>PV</v>
          </cell>
          <cell r="D18687">
            <v>5</v>
          </cell>
          <cell r="H18687" t="str">
            <v>solar PV</v>
          </cell>
        </row>
        <row r="18688">
          <cell r="C18688" t="str">
            <v>PV</v>
          </cell>
          <cell r="D18688">
            <v>2</v>
          </cell>
          <cell r="H18688" t="str">
            <v>solar PV</v>
          </cell>
        </row>
        <row r="18689">
          <cell r="C18689" t="str">
            <v>PV</v>
          </cell>
          <cell r="D18689">
            <v>2</v>
          </cell>
          <cell r="H18689" t="str">
            <v>solar PV</v>
          </cell>
        </row>
        <row r="18690">
          <cell r="C18690" t="str">
            <v>PV</v>
          </cell>
          <cell r="D18690">
            <v>1.5</v>
          </cell>
          <cell r="H18690" t="str">
            <v>solar PV</v>
          </cell>
        </row>
        <row r="18691">
          <cell r="C18691" t="str">
            <v>IC</v>
          </cell>
          <cell r="D18691">
            <v>1.1000000000000001</v>
          </cell>
          <cell r="H18691" t="str">
            <v>petroleum</v>
          </cell>
        </row>
        <row r="18692">
          <cell r="C18692" t="str">
            <v>PV</v>
          </cell>
          <cell r="D18692">
            <v>19.5</v>
          </cell>
          <cell r="H18692" t="str">
            <v>solar PV</v>
          </cell>
        </row>
        <row r="18693">
          <cell r="C18693" t="str">
            <v>GT</v>
          </cell>
          <cell r="D18693">
            <v>3</v>
          </cell>
          <cell r="H18693" t="str">
            <v>natural gas peaker</v>
          </cell>
        </row>
        <row r="18694">
          <cell r="C18694" t="str">
            <v>ST</v>
          </cell>
          <cell r="D18694">
            <v>1.8</v>
          </cell>
          <cell r="H18694" t="str">
            <v>geothermal</v>
          </cell>
        </row>
        <row r="18695">
          <cell r="C18695" t="str">
            <v>ST</v>
          </cell>
          <cell r="D18695">
            <v>0.8</v>
          </cell>
          <cell r="H18695" t="str">
            <v>other</v>
          </cell>
        </row>
        <row r="18696">
          <cell r="C18696" t="str">
            <v>WT</v>
          </cell>
          <cell r="D18696">
            <v>200</v>
          </cell>
          <cell r="H18696" t="str">
            <v>onshore wind</v>
          </cell>
        </row>
        <row r="18697">
          <cell r="C18697" t="str">
            <v>PV</v>
          </cell>
          <cell r="D18697">
            <v>80</v>
          </cell>
          <cell r="H18697" t="str">
            <v>solar PV</v>
          </cell>
        </row>
        <row r="18698">
          <cell r="C18698" t="str">
            <v>PV</v>
          </cell>
          <cell r="D18698">
            <v>80</v>
          </cell>
          <cell r="H18698" t="str">
            <v>solar PV</v>
          </cell>
        </row>
        <row r="18699">
          <cell r="C18699" t="str">
            <v>PV</v>
          </cell>
          <cell r="D18699">
            <v>80</v>
          </cell>
          <cell r="H18699" t="str">
            <v>solar PV</v>
          </cell>
        </row>
        <row r="18700">
          <cell r="C18700" t="str">
            <v>PV</v>
          </cell>
          <cell r="D18700">
            <v>80</v>
          </cell>
          <cell r="H18700" t="str">
            <v>solar PV</v>
          </cell>
        </row>
        <row r="18701">
          <cell r="C18701" t="str">
            <v>PV</v>
          </cell>
          <cell r="D18701">
            <v>4.8</v>
          </cell>
          <cell r="H18701" t="str">
            <v>solar PV</v>
          </cell>
        </row>
        <row r="18702">
          <cell r="C18702" t="str">
            <v>IC</v>
          </cell>
          <cell r="D18702">
            <v>18.3</v>
          </cell>
          <cell r="H18702" t="str">
            <v>natural gas peaker</v>
          </cell>
        </row>
        <row r="18703">
          <cell r="C18703" t="str">
            <v>IC</v>
          </cell>
          <cell r="D18703">
            <v>18.3</v>
          </cell>
          <cell r="H18703" t="str">
            <v>natural gas peaker</v>
          </cell>
        </row>
        <row r="18704">
          <cell r="C18704" t="str">
            <v>IC</v>
          </cell>
          <cell r="D18704">
            <v>18.3</v>
          </cell>
          <cell r="H18704" t="str">
            <v>natural gas peaker</v>
          </cell>
        </row>
        <row r="18705">
          <cell r="C18705" t="str">
            <v>IC</v>
          </cell>
          <cell r="D18705">
            <v>18.3</v>
          </cell>
          <cell r="H18705" t="str">
            <v>natural gas peaker</v>
          </cell>
        </row>
        <row r="18706">
          <cell r="C18706" t="str">
            <v>IC</v>
          </cell>
          <cell r="D18706">
            <v>18.3</v>
          </cell>
          <cell r="H18706" t="str">
            <v>natural gas peaker</v>
          </cell>
        </row>
        <row r="18707">
          <cell r="C18707" t="str">
            <v>IC</v>
          </cell>
          <cell r="D18707">
            <v>18.3</v>
          </cell>
          <cell r="H18707" t="str">
            <v>natural gas peaker</v>
          </cell>
        </row>
        <row r="18708">
          <cell r="C18708" t="str">
            <v>IC</v>
          </cell>
          <cell r="D18708">
            <v>18.3</v>
          </cell>
          <cell r="H18708" t="str">
            <v>natural gas peaker</v>
          </cell>
        </row>
        <row r="18709">
          <cell r="C18709" t="str">
            <v>IC</v>
          </cell>
          <cell r="D18709">
            <v>18.3</v>
          </cell>
          <cell r="H18709" t="str">
            <v>natural gas peaker</v>
          </cell>
        </row>
        <row r="18710">
          <cell r="C18710" t="str">
            <v>IC</v>
          </cell>
          <cell r="D18710">
            <v>18.3</v>
          </cell>
          <cell r="H18710" t="str">
            <v>natural gas peaker</v>
          </cell>
        </row>
        <row r="18711">
          <cell r="C18711" t="str">
            <v>IC</v>
          </cell>
          <cell r="D18711">
            <v>18.3</v>
          </cell>
          <cell r="H18711" t="str">
            <v>natural gas peaker</v>
          </cell>
        </row>
        <row r="18712">
          <cell r="C18712" t="str">
            <v>IC</v>
          </cell>
          <cell r="D18712">
            <v>18.3</v>
          </cell>
          <cell r="H18712" t="str">
            <v>natural gas peaker</v>
          </cell>
        </row>
        <row r="18713">
          <cell r="C18713" t="str">
            <v>IC</v>
          </cell>
          <cell r="D18713">
            <v>18.3</v>
          </cell>
          <cell r="H18713" t="str">
            <v>natural gas peaker</v>
          </cell>
        </row>
        <row r="18714">
          <cell r="C18714" t="str">
            <v>IC</v>
          </cell>
          <cell r="D18714">
            <v>1.2</v>
          </cell>
          <cell r="H18714" t="str">
            <v>biomass</v>
          </cell>
        </row>
        <row r="18715">
          <cell r="C18715" t="str">
            <v>PV</v>
          </cell>
          <cell r="D18715">
            <v>2</v>
          </cell>
          <cell r="H18715" t="str">
            <v>solar PV</v>
          </cell>
        </row>
        <row r="18716">
          <cell r="C18716" t="str">
            <v>PV</v>
          </cell>
          <cell r="D18716">
            <v>1.5</v>
          </cell>
          <cell r="H18716" t="str">
            <v>solar PV</v>
          </cell>
        </row>
        <row r="18717">
          <cell r="C18717" t="str">
            <v>PV</v>
          </cell>
          <cell r="D18717">
            <v>1</v>
          </cell>
          <cell r="H18717" t="str">
            <v>solar PV</v>
          </cell>
        </row>
        <row r="18718">
          <cell r="C18718" t="str">
            <v>PV</v>
          </cell>
          <cell r="D18718">
            <v>5</v>
          </cell>
          <cell r="H18718" t="str">
            <v>solar PV</v>
          </cell>
        </row>
        <row r="18719">
          <cell r="C18719" t="str">
            <v>PV</v>
          </cell>
          <cell r="D18719">
            <v>17.5</v>
          </cell>
          <cell r="H18719" t="str">
            <v>solar PV</v>
          </cell>
        </row>
        <row r="18720">
          <cell r="C18720" t="str">
            <v>PV</v>
          </cell>
          <cell r="D18720">
            <v>1.3</v>
          </cell>
          <cell r="H18720" t="str">
            <v>solar PV</v>
          </cell>
        </row>
        <row r="18721">
          <cell r="C18721" t="str">
            <v>PV</v>
          </cell>
          <cell r="D18721">
            <v>2</v>
          </cell>
          <cell r="H18721" t="str">
            <v>solar PV</v>
          </cell>
        </row>
        <row r="18722">
          <cell r="C18722" t="str">
            <v>PV</v>
          </cell>
          <cell r="D18722">
            <v>10.3</v>
          </cell>
          <cell r="H18722" t="str">
            <v>solar PV</v>
          </cell>
        </row>
        <row r="18723">
          <cell r="C18723" t="str">
            <v>PV</v>
          </cell>
          <cell r="D18723">
            <v>20</v>
          </cell>
          <cell r="H18723" t="str">
            <v>solar PV</v>
          </cell>
        </row>
        <row r="18724">
          <cell r="C18724" t="str">
            <v>PV</v>
          </cell>
          <cell r="D18724">
            <v>1</v>
          </cell>
          <cell r="H18724" t="str">
            <v>solar PV</v>
          </cell>
        </row>
        <row r="18725">
          <cell r="C18725" t="str">
            <v>PV</v>
          </cell>
          <cell r="D18725">
            <v>1.5</v>
          </cell>
          <cell r="H18725" t="str">
            <v>solar PV</v>
          </cell>
        </row>
        <row r="18726">
          <cell r="C18726" t="str">
            <v>PV</v>
          </cell>
          <cell r="D18726">
            <v>1.5</v>
          </cell>
          <cell r="H18726" t="str">
            <v>solar PV</v>
          </cell>
        </row>
        <row r="18727">
          <cell r="C18727" t="str">
            <v>PV</v>
          </cell>
          <cell r="D18727">
            <v>20</v>
          </cell>
          <cell r="H18727" t="str">
            <v>solar PV</v>
          </cell>
        </row>
        <row r="18728">
          <cell r="C18728" t="str">
            <v>PV</v>
          </cell>
          <cell r="D18728">
            <v>19.8</v>
          </cell>
          <cell r="H18728" t="str">
            <v>solar PV</v>
          </cell>
        </row>
        <row r="18729">
          <cell r="C18729" t="str">
            <v>PV</v>
          </cell>
          <cell r="D18729">
            <v>20</v>
          </cell>
          <cell r="H18729" t="str">
            <v>solar PV</v>
          </cell>
        </row>
        <row r="18730">
          <cell r="C18730" t="str">
            <v>IC</v>
          </cell>
          <cell r="D18730">
            <v>2.5</v>
          </cell>
          <cell r="H18730" t="str">
            <v>petroleum</v>
          </cell>
        </row>
        <row r="18731">
          <cell r="C18731" t="str">
            <v>IC</v>
          </cell>
          <cell r="D18731">
            <v>2.5</v>
          </cell>
          <cell r="H18731" t="str">
            <v>petroleum</v>
          </cell>
        </row>
        <row r="18732">
          <cell r="C18732" t="str">
            <v>IC</v>
          </cell>
          <cell r="D18732">
            <v>2.5</v>
          </cell>
          <cell r="H18732" t="str">
            <v>petroleum</v>
          </cell>
        </row>
        <row r="18733">
          <cell r="C18733" t="str">
            <v>IC</v>
          </cell>
          <cell r="D18733">
            <v>2.5</v>
          </cell>
          <cell r="H18733" t="str">
            <v>petroleum</v>
          </cell>
        </row>
        <row r="18734">
          <cell r="C18734" t="str">
            <v>PV</v>
          </cell>
          <cell r="D18734">
            <v>2</v>
          </cell>
          <cell r="H18734" t="str">
            <v>solar PV</v>
          </cell>
        </row>
        <row r="18735">
          <cell r="C18735" t="str">
            <v>WT</v>
          </cell>
          <cell r="D18735">
            <v>20</v>
          </cell>
          <cell r="H18735" t="str">
            <v>onshore wind</v>
          </cell>
        </row>
        <row r="18736">
          <cell r="C18736" t="str">
            <v>PV</v>
          </cell>
          <cell r="D18736">
            <v>1.5</v>
          </cell>
          <cell r="H18736" t="str">
            <v>solar PV</v>
          </cell>
        </row>
        <row r="18737">
          <cell r="C18737" t="str">
            <v>PV</v>
          </cell>
          <cell r="D18737">
            <v>1.5</v>
          </cell>
          <cell r="H18737" t="str">
            <v>solar PV</v>
          </cell>
        </row>
        <row r="18738">
          <cell r="C18738" t="str">
            <v>PV</v>
          </cell>
          <cell r="D18738">
            <v>1.5</v>
          </cell>
          <cell r="H18738" t="str">
            <v>solar PV</v>
          </cell>
        </row>
        <row r="18739">
          <cell r="C18739" t="str">
            <v>PV</v>
          </cell>
          <cell r="D18739">
            <v>7.5</v>
          </cell>
          <cell r="H18739" t="str">
            <v>solar PV</v>
          </cell>
        </row>
        <row r="18740">
          <cell r="C18740" t="str">
            <v>IC</v>
          </cell>
          <cell r="D18740">
            <v>1.9</v>
          </cell>
          <cell r="H18740" t="str">
            <v>biomass</v>
          </cell>
        </row>
        <row r="18741">
          <cell r="C18741" t="str">
            <v>IC</v>
          </cell>
          <cell r="D18741">
            <v>1.9</v>
          </cell>
          <cell r="H18741" t="str">
            <v>biomass</v>
          </cell>
        </row>
        <row r="18742">
          <cell r="C18742" t="str">
            <v>IC</v>
          </cell>
          <cell r="D18742">
            <v>1.9</v>
          </cell>
          <cell r="H18742" t="str">
            <v>biomass</v>
          </cell>
        </row>
        <row r="18743">
          <cell r="C18743" t="str">
            <v>PV</v>
          </cell>
          <cell r="D18743">
            <v>5</v>
          </cell>
          <cell r="H18743" t="str">
            <v>solar PV</v>
          </cell>
        </row>
        <row r="18744">
          <cell r="C18744" t="str">
            <v>PV</v>
          </cell>
          <cell r="D18744">
            <v>5</v>
          </cell>
          <cell r="H18744" t="str">
            <v>solar PV</v>
          </cell>
        </row>
        <row r="18745">
          <cell r="C18745" t="str">
            <v>HY</v>
          </cell>
          <cell r="D18745" t="str">
            <v xml:space="preserve"> </v>
          </cell>
          <cell r="H18745" t="str">
            <v>hydro</v>
          </cell>
        </row>
        <row r="18746">
          <cell r="C18746" t="str">
            <v>HY</v>
          </cell>
          <cell r="D18746" t="str">
            <v xml:space="preserve"> </v>
          </cell>
          <cell r="H18746" t="str">
            <v>hydro</v>
          </cell>
        </row>
        <row r="18747">
          <cell r="C18747" t="str">
            <v>PV</v>
          </cell>
          <cell r="D18747">
            <v>5</v>
          </cell>
          <cell r="H18747" t="str">
            <v>solar PV</v>
          </cell>
        </row>
        <row r="18748">
          <cell r="C18748" t="str">
            <v>PV</v>
          </cell>
          <cell r="D18748">
            <v>5</v>
          </cell>
          <cell r="H18748" t="str">
            <v>solar PV</v>
          </cell>
        </row>
        <row r="18749">
          <cell r="C18749" t="str">
            <v>PV</v>
          </cell>
          <cell r="D18749">
            <v>18</v>
          </cell>
          <cell r="H18749" t="str">
            <v>solar PV</v>
          </cell>
        </row>
        <row r="18750">
          <cell r="C18750" t="str">
            <v>PV</v>
          </cell>
          <cell r="D18750">
            <v>2.7</v>
          </cell>
          <cell r="H18750" t="str">
            <v>solar PV</v>
          </cell>
        </row>
        <row r="18751">
          <cell r="C18751" t="str">
            <v>PV</v>
          </cell>
          <cell r="D18751">
            <v>2.7</v>
          </cell>
          <cell r="H18751" t="str">
            <v>solar PV</v>
          </cell>
        </row>
        <row r="18752">
          <cell r="C18752" t="str">
            <v>PV</v>
          </cell>
          <cell r="D18752">
            <v>3.4</v>
          </cell>
          <cell r="H18752" t="str">
            <v>solar PV</v>
          </cell>
        </row>
        <row r="18753">
          <cell r="C18753" t="str">
            <v>WT</v>
          </cell>
          <cell r="D18753">
            <v>19.5</v>
          </cell>
          <cell r="H18753" t="str">
            <v>onshore wind</v>
          </cell>
        </row>
        <row r="18754">
          <cell r="C18754" t="str">
            <v>IC</v>
          </cell>
          <cell r="D18754">
            <v>1.5</v>
          </cell>
          <cell r="H18754" t="str">
            <v>biomass</v>
          </cell>
        </row>
        <row r="18755">
          <cell r="C18755" t="str">
            <v>IC</v>
          </cell>
          <cell r="D18755">
            <v>0.8</v>
          </cell>
          <cell r="H18755" t="str">
            <v>biomass</v>
          </cell>
        </row>
        <row r="18756">
          <cell r="C18756" t="str">
            <v>IC</v>
          </cell>
          <cell r="D18756">
            <v>0.8</v>
          </cell>
          <cell r="H18756" t="str">
            <v>biomass</v>
          </cell>
        </row>
        <row r="18757">
          <cell r="C18757" t="str">
            <v>IC</v>
          </cell>
          <cell r="D18757">
            <v>0.8</v>
          </cell>
          <cell r="H18757" t="str">
            <v>biomass</v>
          </cell>
        </row>
        <row r="18758">
          <cell r="C18758" t="str">
            <v>IC</v>
          </cell>
          <cell r="D18758">
            <v>0.8</v>
          </cell>
          <cell r="H18758" t="str">
            <v>biomass</v>
          </cell>
        </row>
        <row r="18759">
          <cell r="C18759" t="str">
            <v>IC</v>
          </cell>
          <cell r="D18759">
            <v>1.5</v>
          </cell>
          <cell r="H18759" t="str">
            <v>biomass</v>
          </cell>
        </row>
        <row r="18760">
          <cell r="C18760" t="str">
            <v>IC</v>
          </cell>
          <cell r="D18760">
            <v>1.5</v>
          </cell>
          <cell r="H18760" t="str">
            <v>biomass</v>
          </cell>
        </row>
        <row r="18761">
          <cell r="C18761" t="str">
            <v>IC</v>
          </cell>
          <cell r="D18761">
            <v>1.5</v>
          </cell>
          <cell r="H18761" t="str">
            <v>biomass</v>
          </cell>
        </row>
        <row r="18762">
          <cell r="C18762" t="str">
            <v>HY</v>
          </cell>
          <cell r="D18762">
            <v>0.8</v>
          </cell>
          <cell r="H18762" t="str">
            <v>hydro</v>
          </cell>
        </row>
        <row r="18763">
          <cell r="C18763" t="str">
            <v>HY</v>
          </cell>
          <cell r="D18763">
            <v>0.8</v>
          </cell>
          <cell r="H18763" t="str">
            <v>hydro</v>
          </cell>
        </row>
        <row r="18764">
          <cell r="C18764" t="str">
            <v>HY</v>
          </cell>
          <cell r="D18764">
            <v>0.8</v>
          </cell>
          <cell r="H18764" t="str">
            <v>hydro</v>
          </cell>
        </row>
        <row r="18765">
          <cell r="C18765" t="str">
            <v>HY</v>
          </cell>
          <cell r="D18765">
            <v>1.3</v>
          </cell>
          <cell r="H18765" t="str">
            <v>hydro</v>
          </cell>
        </row>
        <row r="18766">
          <cell r="C18766" t="str">
            <v>HY</v>
          </cell>
          <cell r="D18766">
            <v>1.3</v>
          </cell>
          <cell r="H18766" t="str">
            <v>hydro</v>
          </cell>
        </row>
        <row r="18767">
          <cell r="C18767" t="str">
            <v>HY</v>
          </cell>
          <cell r="D18767">
            <v>1.3</v>
          </cell>
          <cell r="H18767" t="str">
            <v>hydro</v>
          </cell>
        </row>
        <row r="18768">
          <cell r="C18768" t="str">
            <v>IC</v>
          </cell>
          <cell r="D18768">
            <v>1.5</v>
          </cell>
          <cell r="H18768" t="str">
            <v>biomass</v>
          </cell>
        </row>
        <row r="18769">
          <cell r="C18769" t="str">
            <v>PV</v>
          </cell>
          <cell r="D18769">
            <v>7</v>
          </cell>
          <cell r="H18769" t="str">
            <v>solar PV</v>
          </cell>
        </row>
        <row r="18770">
          <cell r="C18770" t="str">
            <v>PV</v>
          </cell>
          <cell r="D18770">
            <v>20</v>
          </cell>
          <cell r="H18770" t="str">
            <v>solar PV</v>
          </cell>
        </row>
        <row r="18771">
          <cell r="C18771" t="str">
            <v>WT</v>
          </cell>
          <cell r="D18771">
            <v>200.1</v>
          </cell>
          <cell r="H18771" t="str">
            <v>onshore wind</v>
          </cell>
        </row>
        <row r="18772">
          <cell r="C18772" t="str">
            <v>PV</v>
          </cell>
          <cell r="D18772">
            <v>20</v>
          </cell>
          <cell r="H18772" t="str">
            <v>solar PV</v>
          </cell>
        </row>
        <row r="18773">
          <cell r="C18773" t="str">
            <v>PV</v>
          </cell>
          <cell r="D18773">
            <v>10</v>
          </cell>
          <cell r="H18773" t="str">
            <v>solar PV</v>
          </cell>
        </row>
        <row r="18774">
          <cell r="C18774" t="str">
            <v>PV</v>
          </cell>
          <cell r="D18774">
            <v>2</v>
          </cell>
          <cell r="H18774" t="str">
            <v>solar PV</v>
          </cell>
        </row>
        <row r="18775">
          <cell r="C18775" t="str">
            <v>PV</v>
          </cell>
          <cell r="D18775">
            <v>5</v>
          </cell>
          <cell r="H18775" t="str">
            <v>solar PV</v>
          </cell>
        </row>
        <row r="18776">
          <cell r="C18776" t="str">
            <v>GT</v>
          </cell>
          <cell r="D18776">
            <v>3.5</v>
          </cell>
          <cell r="H18776" t="str">
            <v>biomass</v>
          </cell>
        </row>
        <row r="18777">
          <cell r="C18777" t="str">
            <v>GT</v>
          </cell>
          <cell r="D18777">
            <v>3.5</v>
          </cell>
          <cell r="H18777" t="str">
            <v>natural gas peaker</v>
          </cell>
        </row>
        <row r="18778">
          <cell r="C18778" t="str">
            <v>WT</v>
          </cell>
          <cell r="D18778">
            <v>1.5</v>
          </cell>
          <cell r="H18778" t="str">
            <v>onshore wind</v>
          </cell>
        </row>
        <row r="18779">
          <cell r="C18779" t="str">
            <v>WT</v>
          </cell>
          <cell r="D18779">
            <v>1.5</v>
          </cell>
          <cell r="H18779" t="str">
            <v>onshore wind</v>
          </cell>
        </row>
        <row r="18780">
          <cell r="C18780" t="str">
            <v>PV</v>
          </cell>
          <cell r="D18780">
            <v>18.899999999999999</v>
          </cell>
          <cell r="H18780" t="str">
            <v>solar PV</v>
          </cell>
        </row>
        <row r="18781">
          <cell r="C18781" t="str">
            <v>PV</v>
          </cell>
          <cell r="D18781">
            <v>79.900000000000006</v>
          </cell>
          <cell r="H18781" t="str">
            <v>solar PV</v>
          </cell>
        </row>
        <row r="18782">
          <cell r="C18782" t="str">
            <v>PV</v>
          </cell>
          <cell r="D18782">
            <v>2.5</v>
          </cell>
          <cell r="H18782" t="str">
            <v>solar PV</v>
          </cell>
        </row>
        <row r="18783">
          <cell r="C18783" t="str">
            <v>GT</v>
          </cell>
          <cell r="D18783">
            <v>6.8</v>
          </cell>
          <cell r="H18783" t="str">
            <v>natural gas peaker</v>
          </cell>
        </row>
        <row r="18784">
          <cell r="C18784" t="str">
            <v>GT</v>
          </cell>
          <cell r="D18784">
            <v>3.5</v>
          </cell>
          <cell r="H18784" t="str">
            <v>natural gas peaker</v>
          </cell>
        </row>
        <row r="18785">
          <cell r="C18785" t="str">
            <v>PV</v>
          </cell>
          <cell r="D18785">
            <v>10</v>
          </cell>
          <cell r="H18785" t="str">
            <v>solar PV</v>
          </cell>
        </row>
        <row r="18786">
          <cell r="C18786" t="str">
            <v>PV</v>
          </cell>
          <cell r="D18786">
            <v>5</v>
          </cell>
          <cell r="H18786" t="str">
            <v>solar PV</v>
          </cell>
        </row>
        <row r="18787">
          <cell r="C18787" t="str">
            <v>GT</v>
          </cell>
          <cell r="D18787">
            <v>4</v>
          </cell>
          <cell r="H18787" t="str">
            <v>natural gas peaker</v>
          </cell>
        </row>
        <row r="18788">
          <cell r="C18788" t="str">
            <v>GT</v>
          </cell>
          <cell r="D18788">
            <v>4</v>
          </cell>
          <cell r="H18788" t="str">
            <v>natural gas peaker</v>
          </cell>
        </row>
        <row r="18789">
          <cell r="C18789" t="str">
            <v>GT</v>
          </cell>
          <cell r="D18789">
            <v>4</v>
          </cell>
          <cell r="H18789" t="str">
            <v>natural gas peaker</v>
          </cell>
        </row>
        <row r="18790">
          <cell r="C18790" t="str">
            <v>GT</v>
          </cell>
          <cell r="D18790">
            <v>4</v>
          </cell>
          <cell r="H18790" t="str">
            <v>natural gas peaker</v>
          </cell>
        </row>
        <row r="18791">
          <cell r="C18791" t="str">
            <v>PV</v>
          </cell>
          <cell r="D18791">
            <v>1</v>
          </cell>
          <cell r="H18791" t="str">
            <v>solar PV</v>
          </cell>
        </row>
        <row r="18792">
          <cell r="C18792" t="str">
            <v>WT</v>
          </cell>
          <cell r="D18792">
            <v>299</v>
          </cell>
          <cell r="H18792" t="str">
            <v>onshore wind</v>
          </cell>
        </row>
        <row r="18793">
          <cell r="C18793" t="str">
            <v>IC</v>
          </cell>
          <cell r="D18793">
            <v>3.4</v>
          </cell>
          <cell r="H18793" t="str">
            <v>biomass</v>
          </cell>
        </row>
        <row r="18794">
          <cell r="C18794" t="str">
            <v>IC</v>
          </cell>
          <cell r="D18794">
            <v>3.4</v>
          </cell>
          <cell r="H18794" t="str">
            <v>biomass</v>
          </cell>
        </row>
        <row r="18795">
          <cell r="C18795" t="str">
            <v>IC</v>
          </cell>
          <cell r="D18795">
            <v>3.4</v>
          </cell>
          <cell r="H18795" t="str">
            <v>biomass</v>
          </cell>
        </row>
        <row r="18796">
          <cell r="C18796" t="str">
            <v>IC</v>
          </cell>
          <cell r="D18796">
            <v>3.4</v>
          </cell>
          <cell r="H18796" t="str">
            <v>biomass</v>
          </cell>
        </row>
        <row r="18797">
          <cell r="C18797" t="str">
            <v>IC</v>
          </cell>
          <cell r="D18797">
            <v>3.4</v>
          </cell>
          <cell r="H18797" t="str">
            <v>biomass</v>
          </cell>
        </row>
        <row r="18798">
          <cell r="C18798" t="str">
            <v>IC</v>
          </cell>
          <cell r="D18798">
            <v>3.4</v>
          </cell>
          <cell r="H18798" t="str">
            <v>biomass</v>
          </cell>
        </row>
        <row r="18799">
          <cell r="C18799" t="str">
            <v>IC</v>
          </cell>
          <cell r="D18799">
            <v>3.4</v>
          </cell>
          <cell r="H18799" t="str">
            <v>biomass</v>
          </cell>
        </row>
        <row r="18800">
          <cell r="C18800" t="str">
            <v>PV</v>
          </cell>
          <cell r="D18800">
            <v>1.5</v>
          </cell>
          <cell r="H18800" t="str">
            <v>solar PV</v>
          </cell>
        </row>
        <row r="18801">
          <cell r="C18801" t="str">
            <v>PV</v>
          </cell>
          <cell r="D18801">
            <v>2</v>
          </cell>
          <cell r="H18801" t="str">
            <v>solar PV</v>
          </cell>
        </row>
        <row r="18802">
          <cell r="C18802" t="str">
            <v>PV</v>
          </cell>
          <cell r="D18802">
            <v>3</v>
          </cell>
          <cell r="H18802" t="str">
            <v>solar PV</v>
          </cell>
        </row>
        <row r="18803">
          <cell r="C18803" t="str">
            <v>PV</v>
          </cell>
          <cell r="D18803">
            <v>1.5</v>
          </cell>
          <cell r="H18803" t="str">
            <v>solar PV</v>
          </cell>
        </row>
        <row r="18804">
          <cell r="C18804" t="str">
            <v>PV</v>
          </cell>
          <cell r="D18804">
            <v>1.9</v>
          </cell>
          <cell r="H18804" t="str">
            <v>solar PV</v>
          </cell>
        </row>
        <row r="18805">
          <cell r="C18805" t="str">
            <v>IC</v>
          </cell>
          <cell r="D18805">
            <v>4.3</v>
          </cell>
          <cell r="H18805" t="str">
            <v>natural gas peaker</v>
          </cell>
        </row>
        <row r="18806">
          <cell r="C18806" t="str">
            <v>IC</v>
          </cell>
          <cell r="D18806">
            <v>4.3</v>
          </cell>
          <cell r="H18806" t="str">
            <v>natural gas peaker</v>
          </cell>
        </row>
        <row r="18807">
          <cell r="C18807" t="str">
            <v>IC</v>
          </cell>
          <cell r="D18807">
            <v>4.3</v>
          </cell>
          <cell r="H18807" t="str">
            <v>natural gas peaker</v>
          </cell>
        </row>
        <row r="18808">
          <cell r="C18808" t="str">
            <v>PV</v>
          </cell>
          <cell r="D18808">
            <v>2</v>
          </cell>
          <cell r="H18808" t="str">
            <v>solar PV</v>
          </cell>
        </row>
        <row r="18809">
          <cell r="C18809" t="str">
            <v>PV</v>
          </cell>
          <cell r="D18809">
            <v>20</v>
          </cell>
          <cell r="H18809" t="str">
            <v>solar PV</v>
          </cell>
        </row>
        <row r="18810">
          <cell r="C18810" t="str">
            <v>PV</v>
          </cell>
          <cell r="D18810">
            <v>1.8</v>
          </cell>
          <cell r="H18810" t="str">
            <v>solar PV</v>
          </cell>
        </row>
        <row r="18811">
          <cell r="C18811" t="str">
            <v>PV</v>
          </cell>
          <cell r="D18811">
            <v>19.899999999999999</v>
          </cell>
          <cell r="H18811" t="str">
            <v>solar PV</v>
          </cell>
        </row>
        <row r="18812">
          <cell r="C18812" t="str">
            <v>PV</v>
          </cell>
          <cell r="D18812">
            <v>14.4</v>
          </cell>
          <cell r="H18812" t="str">
            <v>solar PV</v>
          </cell>
        </row>
        <row r="18813">
          <cell r="C18813" t="str">
            <v>PV</v>
          </cell>
          <cell r="D18813">
            <v>17.5</v>
          </cell>
          <cell r="H18813" t="str">
            <v>solar PV</v>
          </cell>
        </row>
        <row r="18814">
          <cell r="C18814" t="str">
            <v>WT</v>
          </cell>
          <cell r="D18814">
            <v>249.9</v>
          </cell>
          <cell r="H18814" t="str">
            <v>onshore wind</v>
          </cell>
        </row>
        <row r="18815">
          <cell r="C18815" t="str">
            <v>PV</v>
          </cell>
          <cell r="D18815">
            <v>2</v>
          </cell>
          <cell r="H18815" t="str">
            <v>solar PV</v>
          </cell>
        </row>
        <row r="18816">
          <cell r="C18816" t="str">
            <v>PV</v>
          </cell>
          <cell r="D18816">
            <v>2.2000000000000002</v>
          </cell>
          <cell r="H18816" t="str">
            <v>solar PV</v>
          </cell>
        </row>
        <row r="18817">
          <cell r="C18817" t="str">
            <v>PV</v>
          </cell>
          <cell r="D18817">
            <v>1</v>
          </cell>
          <cell r="H18817" t="str">
            <v>solar PV</v>
          </cell>
        </row>
        <row r="18818">
          <cell r="C18818" t="str">
            <v>PV</v>
          </cell>
          <cell r="D18818">
            <v>1</v>
          </cell>
          <cell r="H18818" t="str">
            <v>solar PV</v>
          </cell>
        </row>
        <row r="18819">
          <cell r="C18819" t="str">
            <v>PV</v>
          </cell>
          <cell r="D18819">
            <v>1</v>
          </cell>
          <cell r="H18819" t="str">
            <v>solar PV</v>
          </cell>
        </row>
        <row r="18820">
          <cell r="C18820" t="str">
            <v>PV</v>
          </cell>
          <cell r="D18820">
            <v>3</v>
          </cell>
          <cell r="H18820" t="str">
            <v>solar PV</v>
          </cell>
        </row>
        <row r="18821">
          <cell r="C18821" t="str">
            <v>PV</v>
          </cell>
          <cell r="D18821">
            <v>1</v>
          </cell>
          <cell r="H18821" t="str">
            <v>solar PV</v>
          </cell>
        </row>
        <row r="18822">
          <cell r="C18822" t="str">
            <v>PV</v>
          </cell>
          <cell r="D18822">
            <v>3</v>
          </cell>
          <cell r="H18822" t="str">
            <v>solar PV</v>
          </cell>
        </row>
        <row r="18823">
          <cell r="C18823" t="str">
            <v>PV</v>
          </cell>
          <cell r="D18823">
            <v>2</v>
          </cell>
          <cell r="H18823" t="str">
            <v>solar PV</v>
          </cell>
        </row>
        <row r="18824">
          <cell r="C18824" t="str">
            <v>PV</v>
          </cell>
          <cell r="D18824">
            <v>1.9</v>
          </cell>
          <cell r="H18824" t="str">
            <v>solar PV</v>
          </cell>
        </row>
        <row r="18825">
          <cell r="C18825" t="str">
            <v>PV</v>
          </cell>
          <cell r="D18825">
            <v>4.9000000000000004</v>
          </cell>
          <cell r="H18825" t="str">
            <v>solar PV</v>
          </cell>
        </row>
        <row r="18826">
          <cell r="C18826" t="str">
            <v>PV</v>
          </cell>
          <cell r="D18826">
            <v>4.9000000000000004</v>
          </cell>
          <cell r="H18826" t="str">
            <v>solar PV</v>
          </cell>
        </row>
        <row r="18827">
          <cell r="C18827" t="str">
            <v>PV</v>
          </cell>
          <cell r="D18827">
            <v>4.9000000000000004</v>
          </cell>
          <cell r="H18827" t="str">
            <v>solar PV</v>
          </cell>
        </row>
        <row r="18828">
          <cell r="C18828" t="str">
            <v>PV</v>
          </cell>
          <cell r="D18828">
            <v>1.7</v>
          </cell>
          <cell r="H18828" t="str">
            <v>solar PV</v>
          </cell>
        </row>
        <row r="18829">
          <cell r="C18829" t="str">
            <v>WT</v>
          </cell>
          <cell r="D18829">
            <v>10</v>
          </cell>
          <cell r="H18829" t="str">
            <v>onshore wind</v>
          </cell>
        </row>
        <row r="18830">
          <cell r="C18830" t="str">
            <v>WT</v>
          </cell>
          <cell r="D18830">
            <v>10</v>
          </cell>
          <cell r="H18830" t="str">
            <v>onshore wind</v>
          </cell>
        </row>
        <row r="18831">
          <cell r="C18831" t="str">
            <v>WT</v>
          </cell>
          <cell r="D18831">
            <v>10</v>
          </cell>
          <cell r="H18831" t="str">
            <v>onshore wind</v>
          </cell>
        </row>
        <row r="18832">
          <cell r="C18832" t="str">
            <v>WT</v>
          </cell>
          <cell r="D18832">
            <v>10</v>
          </cell>
          <cell r="H18832" t="str">
            <v>onshore wind</v>
          </cell>
        </row>
        <row r="18833">
          <cell r="C18833" t="str">
            <v>WT</v>
          </cell>
          <cell r="D18833">
            <v>10</v>
          </cell>
          <cell r="H18833" t="str">
            <v>onshore wind</v>
          </cell>
        </row>
        <row r="18834">
          <cell r="C18834" t="str">
            <v>PV</v>
          </cell>
          <cell r="D18834">
            <v>4</v>
          </cell>
          <cell r="H18834" t="str">
            <v>solar PV</v>
          </cell>
        </row>
        <row r="18835">
          <cell r="C18835" t="str">
            <v>GT</v>
          </cell>
          <cell r="D18835">
            <v>4.5999999999999996</v>
          </cell>
          <cell r="H18835" t="str">
            <v>natural gas peaker</v>
          </cell>
        </row>
        <row r="18836">
          <cell r="C18836" t="str">
            <v>PV</v>
          </cell>
          <cell r="D18836">
            <v>5</v>
          </cell>
          <cell r="H18836" t="str">
            <v>solar PV</v>
          </cell>
        </row>
        <row r="18837">
          <cell r="C18837" t="str">
            <v>PV</v>
          </cell>
          <cell r="D18837">
            <v>10</v>
          </cell>
          <cell r="H18837" t="str">
            <v>solar PV</v>
          </cell>
        </row>
        <row r="18838">
          <cell r="C18838" t="str">
            <v>PV</v>
          </cell>
          <cell r="D18838">
            <v>5</v>
          </cell>
          <cell r="H18838" t="str">
            <v>solar PV</v>
          </cell>
        </row>
        <row r="18839">
          <cell r="C18839" t="str">
            <v>PV</v>
          </cell>
          <cell r="D18839">
            <v>5</v>
          </cell>
          <cell r="H18839" t="str">
            <v>solar PV</v>
          </cell>
        </row>
        <row r="18840">
          <cell r="C18840" t="str">
            <v>PV</v>
          </cell>
          <cell r="D18840">
            <v>5</v>
          </cell>
          <cell r="H18840" t="str">
            <v>solar PV</v>
          </cell>
        </row>
        <row r="18841">
          <cell r="C18841" t="str">
            <v>PV</v>
          </cell>
          <cell r="D18841">
            <v>5</v>
          </cell>
          <cell r="H18841" t="str">
            <v>solar PV</v>
          </cell>
        </row>
        <row r="18842">
          <cell r="C18842" t="str">
            <v>PV</v>
          </cell>
          <cell r="D18842">
            <v>5</v>
          </cell>
          <cell r="H18842" t="str">
            <v>solar PV</v>
          </cell>
        </row>
        <row r="18843">
          <cell r="C18843" t="str">
            <v>PV</v>
          </cell>
          <cell r="D18843">
            <v>5</v>
          </cell>
          <cell r="H18843" t="str">
            <v>solar PV</v>
          </cell>
        </row>
        <row r="18844">
          <cell r="C18844" t="str">
            <v>PV</v>
          </cell>
          <cell r="D18844">
            <v>5</v>
          </cell>
          <cell r="H18844" t="str">
            <v>solar PV</v>
          </cell>
        </row>
        <row r="18845">
          <cell r="C18845" t="str">
            <v>PV</v>
          </cell>
          <cell r="D18845">
            <v>4</v>
          </cell>
          <cell r="H18845" t="str">
            <v>solar PV</v>
          </cell>
        </row>
        <row r="18846">
          <cell r="C18846" t="str">
            <v>PV</v>
          </cell>
          <cell r="D18846">
            <v>3</v>
          </cell>
          <cell r="H18846" t="str">
            <v>solar PV</v>
          </cell>
        </row>
        <row r="18847">
          <cell r="C18847" t="str">
            <v>PV</v>
          </cell>
          <cell r="D18847">
            <v>5</v>
          </cell>
          <cell r="H18847" t="str">
            <v>solar PV</v>
          </cell>
        </row>
        <row r="18848">
          <cell r="C18848" t="str">
            <v>PV</v>
          </cell>
          <cell r="D18848">
            <v>4</v>
          </cell>
          <cell r="H18848" t="str">
            <v>solar PV</v>
          </cell>
        </row>
        <row r="18849">
          <cell r="C18849" t="str">
            <v>PV</v>
          </cell>
          <cell r="D18849">
            <v>5</v>
          </cell>
          <cell r="H18849" t="str">
            <v>solar PV</v>
          </cell>
        </row>
        <row r="18850">
          <cell r="C18850" t="str">
            <v>PV</v>
          </cell>
          <cell r="D18850">
            <v>4</v>
          </cell>
          <cell r="H18850" t="str">
            <v>solar PV</v>
          </cell>
        </row>
        <row r="18851">
          <cell r="C18851" t="str">
            <v>PV</v>
          </cell>
          <cell r="D18851">
            <v>4</v>
          </cell>
          <cell r="H18851" t="str">
            <v>solar PV</v>
          </cell>
        </row>
        <row r="18852">
          <cell r="C18852" t="str">
            <v>PV</v>
          </cell>
          <cell r="D18852">
            <v>20</v>
          </cell>
          <cell r="H18852" t="str">
            <v>solar PV</v>
          </cell>
        </row>
        <row r="18853">
          <cell r="C18853" t="str">
            <v>PV</v>
          </cell>
          <cell r="D18853">
            <v>5</v>
          </cell>
          <cell r="H18853" t="str">
            <v>solar PV</v>
          </cell>
        </row>
        <row r="18854">
          <cell r="C18854" t="str">
            <v>PV</v>
          </cell>
          <cell r="D18854">
            <v>5</v>
          </cell>
          <cell r="H18854" t="str">
            <v>solar PV</v>
          </cell>
        </row>
        <row r="18855">
          <cell r="C18855" t="str">
            <v>PV</v>
          </cell>
          <cell r="D18855">
            <v>16</v>
          </cell>
          <cell r="H18855" t="str">
            <v>solar PV</v>
          </cell>
        </row>
        <row r="18856">
          <cell r="C18856" t="str">
            <v>PV</v>
          </cell>
          <cell r="D18856">
            <v>5</v>
          </cell>
          <cell r="H18856" t="str">
            <v>solar PV</v>
          </cell>
        </row>
        <row r="18857">
          <cell r="C18857" t="str">
            <v>PV</v>
          </cell>
          <cell r="D18857">
            <v>3.5</v>
          </cell>
          <cell r="H18857" t="str">
            <v>solar PV</v>
          </cell>
        </row>
        <row r="18858">
          <cell r="C18858" t="str">
            <v>PV</v>
          </cell>
          <cell r="D18858">
            <v>5</v>
          </cell>
          <cell r="H18858" t="str">
            <v>solar PV</v>
          </cell>
        </row>
        <row r="18859">
          <cell r="C18859" t="str">
            <v>PV</v>
          </cell>
          <cell r="D18859">
            <v>5</v>
          </cell>
          <cell r="H18859" t="str">
            <v>solar PV</v>
          </cell>
        </row>
        <row r="18860">
          <cell r="C18860" t="str">
            <v>PV</v>
          </cell>
          <cell r="D18860">
            <v>20</v>
          </cell>
          <cell r="H18860" t="str">
            <v>solar PV</v>
          </cell>
        </row>
        <row r="18861">
          <cell r="C18861" t="str">
            <v>PV</v>
          </cell>
          <cell r="D18861">
            <v>60</v>
          </cell>
          <cell r="H18861" t="str">
            <v>solar PV</v>
          </cell>
        </row>
        <row r="18862">
          <cell r="C18862" t="str">
            <v>PV</v>
          </cell>
          <cell r="D18862">
            <v>20</v>
          </cell>
          <cell r="H18862" t="str">
            <v>solar PV</v>
          </cell>
        </row>
        <row r="18863">
          <cell r="C18863" t="str">
            <v>PV</v>
          </cell>
          <cell r="D18863">
            <v>200</v>
          </cell>
          <cell r="H18863" t="str">
            <v>solar PV</v>
          </cell>
        </row>
        <row r="18864">
          <cell r="C18864" t="str">
            <v>PV</v>
          </cell>
          <cell r="D18864">
            <v>12</v>
          </cell>
          <cell r="H18864" t="str">
            <v>solar PV</v>
          </cell>
        </row>
        <row r="18865">
          <cell r="C18865" t="str">
            <v>PV</v>
          </cell>
          <cell r="D18865">
            <v>20</v>
          </cell>
          <cell r="H18865" t="str">
            <v>solar PV</v>
          </cell>
        </row>
        <row r="18866">
          <cell r="C18866" t="str">
            <v>PV</v>
          </cell>
          <cell r="D18866">
            <v>20</v>
          </cell>
          <cell r="H18866" t="str">
            <v>solar PV</v>
          </cell>
        </row>
        <row r="18867">
          <cell r="C18867" t="str">
            <v>IC</v>
          </cell>
          <cell r="D18867">
            <v>1.4</v>
          </cell>
          <cell r="H18867" t="str">
            <v>biomass</v>
          </cell>
        </row>
        <row r="18868">
          <cell r="C18868" t="str">
            <v>IC</v>
          </cell>
          <cell r="D18868">
            <v>1.4</v>
          </cell>
          <cell r="H18868" t="str">
            <v>biomass</v>
          </cell>
        </row>
        <row r="18869">
          <cell r="C18869" t="str">
            <v>PV</v>
          </cell>
          <cell r="D18869">
            <v>20</v>
          </cell>
          <cell r="H18869" t="str">
            <v>solar PV</v>
          </cell>
        </row>
        <row r="18870">
          <cell r="C18870" t="str">
            <v>PV</v>
          </cell>
          <cell r="D18870">
            <v>105</v>
          </cell>
          <cell r="H18870" t="str">
            <v>solar PV</v>
          </cell>
        </row>
        <row r="18871">
          <cell r="C18871" t="str">
            <v>PV</v>
          </cell>
          <cell r="D18871">
            <v>5</v>
          </cell>
          <cell r="H18871" t="str">
            <v>solar PV</v>
          </cell>
        </row>
        <row r="18872">
          <cell r="C18872" t="str">
            <v>PV</v>
          </cell>
          <cell r="D18872">
            <v>5</v>
          </cell>
          <cell r="H18872" t="str">
            <v>solar PV</v>
          </cell>
        </row>
        <row r="18873">
          <cell r="C18873" t="str">
            <v>PV</v>
          </cell>
          <cell r="D18873">
            <v>20</v>
          </cell>
          <cell r="H18873" t="str">
            <v>solar PV</v>
          </cell>
        </row>
        <row r="18874">
          <cell r="C18874" t="str">
            <v>PV</v>
          </cell>
          <cell r="D18874">
            <v>1.5</v>
          </cell>
          <cell r="H18874" t="str">
            <v>solar PV</v>
          </cell>
        </row>
        <row r="18875">
          <cell r="C18875" t="str">
            <v>PV</v>
          </cell>
          <cell r="D18875">
            <v>1.5</v>
          </cell>
          <cell r="H18875" t="str">
            <v>solar PV</v>
          </cell>
        </row>
        <row r="18876">
          <cell r="C18876" t="str">
            <v>PV</v>
          </cell>
          <cell r="D18876">
            <v>1.5</v>
          </cell>
          <cell r="H18876" t="str">
            <v>solar PV</v>
          </cell>
        </row>
        <row r="18877">
          <cell r="C18877" t="str">
            <v>PV</v>
          </cell>
          <cell r="D18877">
            <v>1.8</v>
          </cell>
          <cell r="H18877" t="str">
            <v>solar PV</v>
          </cell>
        </row>
        <row r="18878">
          <cell r="C18878" t="str">
            <v>PV</v>
          </cell>
          <cell r="D18878">
            <v>1.5</v>
          </cell>
          <cell r="H18878" t="str">
            <v>solar PV</v>
          </cell>
        </row>
        <row r="18879">
          <cell r="C18879" t="str">
            <v>PV</v>
          </cell>
          <cell r="D18879">
            <v>3.6</v>
          </cell>
          <cell r="H18879" t="str">
            <v>solar PV</v>
          </cell>
        </row>
        <row r="18880">
          <cell r="C18880" t="str">
            <v>PV</v>
          </cell>
          <cell r="D18880">
            <v>1.6</v>
          </cell>
          <cell r="H18880" t="str">
            <v>solar PV</v>
          </cell>
        </row>
        <row r="18881">
          <cell r="C18881" t="str">
            <v>PV</v>
          </cell>
          <cell r="D18881">
            <v>1.3</v>
          </cell>
          <cell r="H18881" t="str">
            <v>solar PV</v>
          </cell>
        </row>
        <row r="18882">
          <cell r="C18882" t="str">
            <v>PV</v>
          </cell>
          <cell r="D18882">
            <v>1.5</v>
          </cell>
          <cell r="H18882" t="str">
            <v>solar PV</v>
          </cell>
        </row>
        <row r="18883">
          <cell r="C18883" t="str">
            <v>PV</v>
          </cell>
          <cell r="D18883">
            <v>1.3</v>
          </cell>
          <cell r="H18883" t="str">
            <v>solar PV</v>
          </cell>
        </row>
        <row r="18884">
          <cell r="C18884" t="str">
            <v>WT</v>
          </cell>
          <cell r="D18884">
            <v>150</v>
          </cell>
          <cell r="H18884" t="str">
            <v>onshore wind</v>
          </cell>
        </row>
        <row r="18885">
          <cell r="C18885" t="str">
            <v>PV</v>
          </cell>
          <cell r="D18885">
            <v>14</v>
          </cell>
          <cell r="H18885" t="str">
            <v>solar PV</v>
          </cell>
        </row>
        <row r="18886">
          <cell r="C18886" t="str">
            <v>PV</v>
          </cell>
          <cell r="D18886">
            <v>5</v>
          </cell>
          <cell r="H18886" t="str">
            <v>solar PV</v>
          </cell>
        </row>
        <row r="18887">
          <cell r="C18887" t="str">
            <v>PV</v>
          </cell>
          <cell r="D18887">
            <v>2</v>
          </cell>
          <cell r="H18887" t="str">
            <v>solar PV</v>
          </cell>
        </row>
        <row r="18888">
          <cell r="C18888" t="str">
            <v>PV</v>
          </cell>
          <cell r="D18888">
            <v>4.3</v>
          </cell>
          <cell r="H18888" t="str">
            <v>solar PV</v>
          </cell>
        </row>
        <row r="18889">
          <cell r="C18889" t="str">
            <v>PV</v>
          </cell>
          <cell r="D18889">
            <v>2</v>
          </cell>
          <cell r="H18889" t="str">
            <v>solar PV</v>
          </cell>
        </row>
        <row r="18890">
          <cell r="C18890" t="str">
            <v>PV</v>
          </cell>
          <cell r="D18890">
            <v>1.5</v>
          </cell>
          <cell r="H18890" t="str">
            <v>solar PV</v>
          </cell>
        </row>
        <row r="18891">
          <cell r="C18891" t="str">
            <v>PV</v>
          </cell>
          <cell r="D18891">
            <v>1.5</v>
          </cell>
          <cell r="H18891" t="str">
            <v>solar PV</v>
          </cell>
        </row>
        <row r="18892">
          <cell r="C18892" t="str">
            <v>PV</v>
          </cell>
          <cell r="D18892">
            <v>20</v>
          </cell>
          <cell r="H18892" t="str">
            <v>solar PV</v>
          </cell>
        </row>
        <row r="18893">
          <cell r="C18893" t="str">
            <v>PV</v>
          </cell>
          <cell r="D18893">
            <v>6.5</v>
          </cell>
          <cell r="H18893" t="str">
            <v>solar PV</v>
          </cell>
        </row>
        <row r="18894">
          <cell r="C18894" t="str">
            <v>FC</v>
          </cell>
          <cell r="D18894">
            <v>4</v>
          </cell>
          <cell r="H18894" t="str">
            <v>biomass</v>
          </cell>
        </row>
        <row r="18895">
          <cell r="C18895" t="str">
            <v>PV</v>
          </cell>
          <cell r="D18895">
            <v>6.1</v>
          </cell>
          <cell r="H18895" t="str">
            <v>solar PV</v>
          </cell>
        </row>
        <row r="18896">
          <cell r="C18896" t="str">
            <v>IC</v>
          </cell>
          <cell r="D18896">
            <v>1</v>
          </cell>
          <cell r="H18896" t="str">
            <v>biomass</v>
          </cell>
        </row>
        <row r="18897">
          <cell r="C18897" t="str">
            <v>IC</v>
          </cell>
          <cell r="D18897">
            <v>1</v>
          </cell>
          <cell r="H18897" t="str">
            <v>biomass</v>
          </cell>
        </row>
        <row r="18898">
          <cell r="C18898" t="str">
            <v>PV</v>
          </cell>
          <cell r="D18898">
            <v>0.9</v>
          </cell>
          <cell r="H18898" t="str">
            <v>solar PV</v>
          </cell>
        </row>
        <row r="18899">
          <cell r="C18899" t="str">
            <v>PV</v>
          </cell>
          <cell r="D18899">
            <v>5</v>
          </cell>
          <cell r="H18899" t="str">
            <v>solar PV</v>
          </cell>
        </row>
        <row r="18900">
          <cell r="C18900" t="str">
            <v>PV</v>
          </cell>
          <cell r="D18900">
            <v>5</v>
          </cell>
          <cell r="H18900" t="str">
            <v>solar PV</v>
          </cell>
        </row>
        <row r="18901">
          <cell r="C18901" t="str">
            <v>PV</v>
          </cell>
          <cell r="D18901">
            <v>5</v>
          </cell>
          <cell r="H18901" t="str">
            <v>solar PV</v>
          </cell>
        </row>
        <row r="18902">
          <cell r="C18902" t="str">
            <v>PV</v>
          </cell>
          <cell r="D18902">
            <v>5</v>
          </cell>
          <cell r="H18902" t="str">
            <v>solar PV</v>
          </cell>
        </row>
        <row r="18903">
          <cell r="C18903" t="str">
            <v>PV</v>
          </cell>
          <cell r="D18903">
            <v>5</v>
          </cell>
          <cell r="H18903" t="str">
            <v>solar PV</v>
          </cell>
        </row>
        <row r="18904">
          <cell r="C18904" t="str">
            <v>PV</v>
          </cell>
          <cell r="D18904">
            <v>4</v>
          </cell>
          <cell r="H18904" t="str">
            <v>solar PV</v>
          </cell>
        </row>
        <row r="18905">
          <cell r="C18905" t="str">
            <v>PV</v>
          </cell>
          <cell r="D18905">
            <v>5</v>
          </cell>
          <cell r="H18905" t="str">
            <v>solar PV</v>
          </cell>
        </row>
        <row r="18906">
          <cell r="C18906" t="str">
            <v>PV</v>
          </cell>
          <cell r="D18906">
            <v>15.4</v>
          </cell>
          <cell r="H18906" t="str">
            <v>solar PV</v>
          </cell>
        </row>
        <row r="18907">
          <cell r="C18907" t="str">
            <v>PV</v>
          </cell>
          <cell r="D18907">
            <v>1.1000000000000001</v>
          </cell>
          <cell r="H18907" t="str">
            <v>solar PV</v>
          </cell>
        </row>
        <row r="18908">
          <cell r="C18908" t="str">
            <v>IC</v>
          </cell>
          <cell r="D18908">
            <v>4.5999999999999996</v>
          </cell>
          <cell r="H18908" t="str">
            <v>biomass</v>
          </cell>
        </row>
        <row r="18909">
          <cell r="C18909" t="str">
            <v>PV</v>
          </cell>
          <cell r="D18909">
            <v>5</v>
          </cell>
          <cell r="H18909" t="str">
            <v>solar PV</v>
          </cell>
        </row>
        <row r="18910">
          <cell r="C18910" t="str">
            <v>PV</v>
          </cell>
          <cell r="D18910">
            <v>5</v>
          </cell>
          <cell r="H18910" t="str">
            <v>solar PV</v>
          </cell>
        </row>
        <row r="18911">
          <cell r="C18911" t="str">
            <v>PV</v>
          </cell>
          <cell r="D18911">
            <v>5</v>
          </cell>
          <cell r="H18911" t="str">
            <v>solar PV</v>
          </cell>
        </row>
        <row r="18912">
          <cell r="C18912" t="str">
            <v>PV</v>
          </cell>
          <cell r="D18912">
            <v>5</v>
          </cell>
          <cell r="H18912" t="str">
            <v>solar PV</v>
          </cell>
        </row>
        <row r="18913">
          <cell r="C18913" t="str">
            <v>PV</v>
          </cell>
          <cell r="D18913">
            <v>2</v>
          </cell>
          <cell r="H18913" t="str">
            <v>solar PV</v>
          </cell>
        </row>
        <row r="18914">
          <cell r="C18914" t="str">
            <v>PV</v>
          </cell>
          <cell r="D18914">
            <v>5</v>
          </cell>
          <cell r="H18914" t="str">
            <v>solar PV</v>
          </cell>
        </row>
        <row r="18915">
          <cell r="C18915" t="str">
            <v>PV</v>
          </cell>
          <cell r="D18915">
            <v>5</v>
          </cell>
          <cell r="H18915" t="str">
            <v>solar PV</v>
          </cell>
        </row>
        <row r="18916">
          <cell r="C18916" t="str">
            <v>PV</v>
          </cell>
          <cell r="D18916">
            <v>5</v>
          </cell>
          <cell r="H18916" t="str">
            <v>solar PV</v>
          </cell>
        </row>
        <row r="18917">
          <cell r="C18917" t="str">
            <v>PV</v>
          </cell>
          <cell r="D18917">
            <v>5</v>
          </cell>
          <cell r="H18917" t="str">
            <v>solar PV</v>
          </cell>
        </row>
        <row r="18918">
          <cell r="C18918" t="str">
            <v>PV</v>
          </cell>
          <cell r="D18918">
            <v>3</v>
          </cell>
          <cell r="H18918" t="str">
            <v>solar PV</v>
          </cell>
        </row>
        <row r="18919">
          <cell r="C18919" t="str">
            <v>PV</v>
          </cell>
          <cell r="D18919">
            <v>74.8</v>
          </cell>
          <cell r="H18919" t="str">
            <v>solar PV</v>
          </cell>
        </row>
        <row r="18920">
          <cell r="C18920" t="str">
            <v>PV</v>
          </cell>
          <cell r="D18920">
            <v>5</v>
          </cell>
          <cell r="H18920" t="str">
            <v>solar PV</v>
          </cell>
        </row>
        <row r="18921">
          <cell r="C18921" t="str">
            <v>PV</v>
          </cell>
          <cell r="D18921">
            <v>5</v>
          </cell>
          <cell r="H18921" t="str">
            <v>solar PV</v>
          </cell>
        </row>
        <row r="18922">
          <cell r="C18922" t="str">
            <v>PV</v>
          </cell>
          <cell r="D18922">
            <v>5</v>
          </cell>
          <cell r="H18922" t="str">
            <v>solar PV</v>
          </cell>
        </row>
        <row r="18923">
          <cell r="C18923" t="str">
            <v>PV</v>
          </cell>
          <cell r="D18923">
            <v>5</v>
          </cell>
          <cell r="H18923" t="str">
            <v>solar PV</v>
          </cell>
        </row>
        <row r="18924">
          <cell r="C18924" t="str">
            <v>PV</v>
          </cell>
          <cell r="D18924">
            <v>2.5</v>
          </cell>
          <cell r="H18924" t="str">
            <v>solar PV</v>
          </cell>
        </row>
        <row r="18925">
          <cell r="C18925" t="str">
            <v>PV</v>
          </cell>
          <cell r="D18925">
            <v>1</v>
          </cell>
          <cell r="H18925" t="str">
            <v>solar PV</v>
          </cell>
        </row>
        <row r="18926">
          <cell r="C18926" t="str">
            <v>PV</v>
          </cell>
          <cell r="D18926">
            <v>13</v>
          </cell>
          <cell r="H18926" t="str">
            <v>solar PV</v>
          </cell>
        </row>
        <row r="18927">
          <cell r="C18927" t="str">
            <v>PV</v>
          </cell>
          <cell r="D18927">
            <v>19</v>
          </cell>
          <cell r="H18927" t="str">
            <v>solar PV</v>
          </cell>
        </row>
        <row r="18928">
          <cell r="C18928" t="str">
            <v>PV</v>
          </cell>
          <cell r="D18928">
            <v>10</v>
          </cell>
          <cell r="H18928" t="str">
            <v>solar PV</v>
          </cell>
        </row>
        <row r="18929">
          <cell r="C18929" t="str">
            <v>PV</v>
          </cell>
          <cell r="D18929">
            <v>5</v>
          </cell>
          <cell r="H18929" t="str">
            <v>solar PV</v>
          </cell>
        </row>
        <row r="18930">
          <cell r="C18930" t="str">
            <v>PV</v>
          </cell>
          <cell r="D18930">
            <v>5</v>
          </cell>
          <cell r="H18930" t="str">
            <v>solar PV</v>
          </cell>
        </row>
        <row r="18931">
          <cell r="C18931" t="str">
            <v>PV</v>
          </cell>
          <cell r="D18931">
            <v>5</v>
          </cell>
          <cell r="H18931" t="str">
            <v>solar PV</v>
          </cell>
        </row>
        <row r="18932">
          <cell r="C18932" t="str">
            <v>PV</v>
          </cell>
          <cell r="D18932">
            <v>3.5</v>
          </cell>
          <cell r="H18932" t="str">
            <v>solar PV</v>
          </cell>
        </row>
        <row r="18933">
          <cell r="C18933" t="str">
            <v>PV</v>
          </cell>
          <cell r="D18933">
            <v>20</v>
          </cell>
          <cell r="H18933" t="str">
            <v>solar PV</v>
          </cell>
        </row>
        <row r="18934">
          <cell r="C18934" t="str">
            <v>PV</v>
          </cell>
          <cell r="D18934">
            <v>20</v>
          </cell>
          <cell r="H18934" t="str">
            <v>solar PV</v>
          </cell>
        </row>
        <row r="18935">
          <cell r="C18935" t="str">
            <v>PV</v>
          </cell>
          <cell r="D18935">
            <v>6</v>
          </cell>
          <cell r="H18935" t="str">
            <v>solar PV</v>
          </cell>
        </row>
        <row r="18936">
          <cell r="C18936" t="str">
            <v>PV</v>
          </cell>
          <cell r="D18936">
            <v>1.2</v>
          </cell>
          <cell r="H18936" t="str">
            <v>solar PV</v>
          </cell>
        </row>
        <row r="18937">
          <cell r="C18937" t="str">
            <v>IC</v>
          </cell>
          <cell r="D18937">
            <v>0.6</v>
          </cell>
          <cell r="H18937" t="str">
            <v>petroleum</v>
          </cell>
        </row>
        <row r="18938">
          <cell r="C18938" t="str">
            <v>IC</v>
          </cell>
          <cell r="D18938">
            <v>0.6</v>
          </cell>
          <cell r="H18938" t="str">
            <v>petroleum</v>
          </cell>
        </row>
        <row r="18939">
          <cell r="C18939" t="str">
            <v>IC</v>
          </cell>
          <cell r="D18939">
            <v>0.6</v>
          </cell>
          <cell r="H18939" t="str">
            <v>petroleum</v>
          </cell>
        </row>
        <row r="18940">
          <cell r="C18940" t="str">
            <v>IC</v>
          </cell>
          <cell r="D18940">
            <v>0.6</v>
          </cell>
          <cell r="H18940" t="str">
            <v>petroleum</v>
          </cell>
        </row>
        <row r="18941">
          <cell r="C18941" t="str">
            <v>IC</v>
          </cell>
          <cell r="D18941">
            <v>0.6</v>
          </cell>
          <cell r="H18941" t="str">
            <v>petroleum</v>
          </cell>
        </row>
        <row r="18942">
          <cell r="C18942" t="str">
            <v>IC</v>
          </cell>
          <cell r="D18942">
            <v>0.6</v>
          </cell>
          <cell r="H18942" t="str">
            <v>petroleum</v>
          </cell>
        </row>
        <row r="18943">
          <cell r="C18943" t="str">
            <v>IC</v>
          </cell>
          <cell r="D18943">
            <v>0.6</v>
          </cell>
          <cell r="H18943" t="str">
            <v>petroleum</v>
          </cell>
        </row>
        <row r="18944">
          <cell r="C18944" t="str">
            <v>IC</v>
          </cell>
          <cell r="D18944">
            <v>0.6</v>
          </cell>
          <cell r="H18944" t="str">
            <v>petroleum</v>
          </cell>
        </row>
        <row r="18945">
          <cell r="C18945" t="str">
            <v>IC</v>
          </cell>
          <cell r="D18945">
            <v>0.6</v>
          </cell>
          <cell r="H18945" t="str">
            <v>petroleum</v>
          </cell>
        </row>
        <row r="18946">
          <cell r="C18946" t="str">
            <v>IC</v>
          </cell>
          <cell r="D18946">
            <v>0.6</v>
          </cell>
          <cell r="H18946" t="str">
            <v>petroleum</v>
          </cell>
        </row>
        <row r="18947">
          <cell r="C18947" t="str">
            <v>PV</v>
          </cell>
          <cell r="D18947">
            <v>9</v>
          </cell>
          <cell r="H18947" t="str">
            <v>solar PV</v>
          </cell>
        </row>
        <row r="18948">
          <cell r="C18948" t="str">
            <v>PV</v>
          </cell>
          <cell r="D18948">
            <v>7.6</v>
          </cell>
          <cell r="H18948" t="str">
            <v>solar PV</v>
          </cell>
        </row>
        <row r="18949">
          <cell r="C18949" t="str">
            <v>PV</v>
          </cell>
          <cell r="D18949">
            <v>2.9</v>
          </cell>
          <cell r="H18949" t="str">
            <v>solar PV</v>
          </cell>
        </row>
        <row r="18950">
          <cell r="C18950" t="str">
            <v>WT</v>
          </cell>
          <cell r="D18950">
            <v>299.7</v>
          </cell>
          <cell r="H18950" t="str">
            <v>onshore wind</v>
          </cell>
        </row>
        <row r="18951">
          <cell r="C18951" t="str">
            <v>WT</v>
          </cell>
          <cell r="D18951">
            <v>7.9</v>
          </cell>
          <cell r="H18951" t="str">
            <v>onshore wind</v>
          </cell>
        </row>
        <row r="18952">
          <cell r="C18952" t="str">
            <v>PV</v>
          </cell>
          <cell r="D18952">
            <v>2</v>
          </cell>
          <cell r="H18952" t="str">
            <v>solar PV</v>
          </cell>
        </row>
        <row r="18953">
          <cell r="C18953" t="str">
            <v>PV</v>
          </cell>
          <cell r="D18953">
            <v>1.5</v>
          </cell>
          <cell r="H18953" t="str">
            <v>solar PV</v>
          </cell>
        </row>
        <row r="18954">
          <cell r="C18954" t="str">
            <v>PV</v>
          </cell>
          <cell r="D18954">
            <v>2</v>
          </cell>
          <cell r="H18954" t="str">
            <v>solar PV</v>
          </cell>
        </row>
        <row r="18955">
          <cell r="C18955" t="str">
            <v>PV</v>
          </cell>
          <cell r="D18955">
            <v>1.6</v>
          </cell>
          <cell r="H18955" t="str">
            <v>solar PV</v>
          </cell>
        </row>
        <row r="18956">
          <cell r="C18956" t="str">
            <v>PV</v>
          </cell>
          <cell r="D18956">
            <v>3.3</v>
          </cell>
          <cell r="H18956" t="str">
            <v>solar PV</v>
          </cell>
        </row>
        <row r="18957">
          <cell r="C18957" t="str">
            <v>PV</v>
          </cell>
          <cell r="D18957">
            <v>5</v>
          </cell>
          <cell r="H18957" t="str">
            <v>solar PV</v>
          </cell>
        </row>
        <row r="18958">
          <cell r="C18958" t="str">
            <v>WT</v>
          </cell>
          <cell r="D18958">
            <v>77.7</v>
          </cell>
          <cell r="H18958" t="str">
            <v>onshore wind</v>
          </cell>
        </row>
        <row r="18959">
          <cell r="C18959" t="str">
            <v>PV</v>
          </cell>
          <cell r="D18959">
            <v>5.2</v>
          </cell>
          <cell r="H18959" t="str">
            <v>solar PV</v>
          </cell>
        </row>
        <row r="18960">
          <cell r="C18960" t="str">
            <v>PV</v>
          </cell>
          <cell r="D18960">
            <v>8</v>
          </cell>
          <cell r="H18960" t="str">
            <v>solar PV</v>
          </cell>
        </row>
        <row r="18961">
          <cell r="C18961" t="str">
            <v>PV</v>
          </cell>
          <cell r="D18961">
            <v>1.2</v>
          </cell>
          <cell r="H18961" t="str">
            <v>solar PV</v>
          </cell>
        </row>
        <row r="18962">
          <cell r="C18962" t="str">
            <v>PV</v>
          </cell>
          <cell r="D18962">
            <v>20</v>
          </cell>
          <cell r="H18962" t="str">
            <v>solar PV</v>
          </cell>
        </row>
        <row r="18963">
          <cell r="C18963" t="str">
            <v>PV</v>
          </cell>
          <cell r="D18963">
            <v>43</v>
          </cell>
          <cell r="H18963" t="str">
            <v>solar PV</v>
          </cell>
        </row>
        <row r="18964">
          <cell r="C18964" t="str">
            <v>IC</v>
          </cell>
          <cell r="D18964">
            <v>1.6</v>
          </cell>
          <cell r="H18964" t="str">
            <v>biomass</v>
          </cell>
        </row>
        <row r="18965">
          <cell r="C18965" t="str">
            <v>IC</v>
          </cell>
          <cell r="D18965">
            <v>1.6</v>
          </cell>
          <cell r="H18965" t="str">
            <v>biomass</v>
          </cell>
        </row>
        <row r="18966">
          <cell r="C18966" t="str">
            <v>PV</v>
          </cell>
          <cell r="D18966">
            <v>3.9</v>
          </cell>
          <cell r="H18966" t="str">
            <v>solar PV</v>
          </cell>
        </row>
        <row r="18967">
          <cell r="C18967" t="str">
            <v>WT</v>
          </cell>
          <cell r="D18967">
            <v>4.7</v>
          </cell>
          <cell r="H18967" t="str">
            <v>onshore wind</v>
          </cell>
        </row>
        <row r="18968">
          <cell r="C18968" t="str">
            <v>WT</v>
          </cell>
          <cell r="D18968">
            <v>43.3</v>
          </cell>
          <cell r="H18968" t="str">
            <v>onshore wind</v>
          </cell>
        </row>
        <row r="18969">
          <cell r="C18969" t="str">
            <v>WT</v>
          </cell>
          <cell r="D18969">
            <v>58</v>
          </cell>
          <cell r="H18969" t="str">
            <v>onshore wind</v>
          </cell>
        </row>
        <row r="18970">
          <cell r="C18970" t="str">
            <v>WT</v>
          </cell>
          <cell r="D18970">
            <v>48.3</v>
          </cell>
          <cell r="H18970" t="str">
            <v>onshore wind</v>
          </cell>
        </row>
        <row r="18971">
          <cell r="C18971" t="str">
            <v>PV</v>
          </cell>
          <cell r="D18971">
            <v>20</v>
          </cell>
          <cell r="H18971" t="str">
            <v>solar PV</v>
          </cell>
        </row>
        <row r="18972">
          <cell r="C18972" t="str">
            <v>WT</v>
          </cell>
          <cell r="D18972">
            <v>2</v>
          </cell>
          <cell r="H18972" t="str">
            <v>onshore wind</v>
          </cell>
        </row>
        <row r="18973">
          <cell r="C18973" t="str">
            <v>PV</v>
          </cell>
          <cell r="D18973">
            <v>5</v>
          </cell>
          <cell r="H18973" t="str">
            <v>solar PV</v>
          </cell>
        </row>
        <row r="18974">
          <cell r="C18974" t="str">
            <v>PV</v>
          </cell>
          <cell r="D18974">
            <v>5</v>
          </cell>
          <cell r="H18974" t="str">
            <v>solar PV</v>
          </cell>
        </row>
        <row r="18975">
          <cell r="C18975" t="str">
            <v>PV</v>
          </cell>
          <cell r="D18975">
            <v>5</v>
          </cell>
          <cell r="H18975" t="str">
            <v>solar PV</v>
          </cell>
        </row>
        <row r="18976">
          <cell r="C18976" t="str">
            <v>PV</v>
          </cell>
          <cell r="D18976">
            <v>5</v>
          </cell>
          <cell r="H18976" t="str">
            <v>solar PV</v>
          </cell>
        </row>
        <row r="18977">
          <cell r="C18977" t="str">
            <v>PV</v>
          </cell>
          <cell r="D18977">
            <v>4.8</v>
          </cell>
          <cell r="H18977" t="str">
            <v>solar PV</v>
          </cell>
        </row>
        <row r="18978">
          <cell r="C18978" t="str">
            <v>IC</v>
          </cell>
          <cell r="D18978">
            <v>18.600000000000001</v>
          </cell>
          <cell r="H18978" t="str">
            <v>natural gas peaker</v>
          </cell>
        </row>
        <row r="18979">
          <cell r="C18979" t="str">
            <v>IC</v>
          </cell>
          <cell r="D18979">
            <v>18.600000000000001</v>
          </cell>
          <cell r="H18979" t="str">
            <v>natural gas peaker</v>
          </cell>
        </row>
        <row r="18980">
          <cell r="C18980" t="str">
            <v>IC</v>
          </cell>
          <cell r="D18980">
            <v>18.600000000000001</v>
          </cell>
          <cell r="H18980" t="str">
            <v>natural gas peaker</v>
          </cell>
        </row>
        <row r="18981">
          <cell r="C18981" t="str">
            <v>PV</v>
          </cell>
          <cell r="D18981">
            <v>5</v>
          </cell>
          <cell r="H18981" t="str">
            <v>solar PV</v>
          </cell>
        </row>
        <row r="18982">
          <cell r="C18982" t="str">
            <v>IC</v>
          </cell>
          <cell r="D18982">
            <v>1.1000000000000001</v>
          </cell>
          <cell r="H18982" t="str">
            <v>biomass</v>
          </cell>
        </row>
        <row r="18983">
          <cell r="C18983" t="str">
            <v>IC</v>
          </cell>
          <cell r="D18983">
            <v>1.1000000000000001</v>
          </cell>
          <cell r="H18983" t="str">
            <v>biomass</v>
          </cell>
        </row>
        <row r="18984">
          <cell r="C18984" t="str">
            <v>IC</v>
          </cell>
          <cell r="D18984">
            <v>1.1000000000000001</v>
          </cell>
          <cell r="H18984" t="str">
            <v>biomass</v>
          </cell>
        </row>
        <row r="18985">
          <cell r="C18985" t="str">
            <v>IC</v>
          </cell>
          <cell r="D18985">
            <v>1.1000000000000001</v>
          </cell>
          <cell r="H18985" t="str">
            <v>biomass</v>
          </cell>
        </row>
        <row r="18986">
          <cell r="C18986" t="str">
            <v>IC</v>
          </cell>
          <cell r="D18986">
            <v>1.6</v>
          </cell>
          <cell r="H18986" t="str">
            <v>biomass</v>
          </cell>
        </row>
        <row r="18987">
          <cell r="C18987" t="str">
            <v>PV</v>
          </cell>
          <cell r="D18987">
            <v>1.3</v>
          </cell>
          <cell r="H18987" t="str">
            <v>solar PV</v>
          </cell>
        </row>
        <row r="18988">
          <cell r="C18988" t="str">
            <v>PV</v>
          </cell>
          <cell r="D18988">
            <v>1</v>
          </cell>
          <cell r="H18988" t="str">
            <v>solar PV</v>
          </cell>
        </row>
        <row r="18989">
          <cell r="C18989" t="str">
            <v>PV</v>
          </cell>
          <cell r="D18989">
            <v>1.9</v>
          </cell>
          <cell r="H18989" t="str">
            <v>solar PV</v>
          </cell>
        </row>
        <row r="18990">
          <cell r="C18990" t="str">
            <v>WT</v>
          </cell>
          <cell r="D18990">
            <v>78</v>
          </cell>
          <cell r="H18990" t="str">
            <v>onshore wind</v>
          </cell>
        </row>
        <row r="18991">
          <cell r="C18991" t="str">
            <v>WT</v>
          </cell>
          <cell r="D18991">
            <v>97.8</v>
          </cell>
          <cell r="H18991" t="str">
            <v>onshore wind</v>
          </cell>
        </row>
        <row r="18992">
          <cell r="C18992" t="str">
            <v>PV</v>
          </cell>
          <cell r="D18992">
            <v>120</v>
          </cell>
          <cell r="H18992" t="str">
            <v>solar PV</v>
          </cell>
        </row>
        <row r="18993">
          <cell r="C18993" t="str">
            <v>PV</v>
          </cell>
          <cell r="D18993">
            <v>20</v>
          </cell>
          <cell r="H18993" t="str">
            <v>solar PV</v>
          </cell>
        </row>
        <row r="18994">
          <cell r="C18994" t="str">
            <v>ST</v>
          </cell>
          <cell r="D18994">
            <v>27.2</v>
          </cell>
          <cell r="H18994" t="str">
            <v>biomass</v>
          </cell>
        </row>
        <row r="18995">
          <cell r="C18995" t="str">
            <v>IC</v>
          </cell>
          <cell r="D18995">
            <v>2</v>
          </cell>
          <cell r="H18995" t="str">
            <v>natural gas peaker</v>
          </cell>
        </row>
        <row r="18996">
          <cell r="C18996" t="str">
            <v>IC</v>
          </cell>
          <cell r="D18996">
            <v>2</v>
          </cell>
          <cell r="H18996" t="str">
            <v>natural gas peaker</v>
          </cell>
        </row>
        <row r="18997">
          <cell r="C18997" t="str">
            <v>IC</v>
          </cell>
          <cell r="D18997">
            <v>2</v>
          </cell>
          <cell r="H18997" t="str">
            <v>natural gas peaker</v>
          </cell>
        </row>
        <row r="18998">
          <cell r="C18998" t="str">
            <v>BA</v>
          </cell>
          <cell r="D18998">
            <v>8</v>
          </cell>
          <cell r="H18998" t="str">
            <v>other</v>
          </cell>
        </row>
        <row r="18999">
          <cell r="C18999" t="str">
            <v>PV</v>
          </cell>
          <cell r="D18999">
            <v>5</v>
          </cell>
          <cell r="H18999" t="str">
            <v>solar PV</v>
          </cell>
        </row>
        <row r="19000">
          <cell r="C19000" t="str">
            <v>GT</v>
          </cell>
          <cell r="D19000">
            <v>21</v>
          </cell>
          <cell r="H19000" t="str">
            <v>natural gas peaker</v>
          </cell>
        </row>
        <row r="19001">
          <cell r="C19001" t="str">
            <v>GT</v>
          </cell>
          <cell r="D19001">
            <v>21</v>
          </cell>
          <cell r="H19001" t="str">
            <v>natural gas peaker</v>
          </cell>
        </row>
        <row r="19002">
          <cell r="C19002" t="str">
            <v>PV</v>
          </cell>
          <cell r="D19002">
            <v>100</v>
          </cell>
          <cell r="H19002" t="str">
            <v>solar PV</v>
          </cell>
        </row>
        <row r="19003">
          <cell r="C19003" t="str">
            <v>PV</v>
          </cell>
          <cell r="D19003">
            <v>33.799999999999997</v>
          </cell>
          <cell r="H19003" t="str">
            <v>solar PV</v>
          </cell>
        </row>
        <row r="19004">
          <cell r="C19004" t="str">
            <v>PV</v>
          </cell>
          <cell r="D19004">
            <v>4.9000000000000004</v>
          </cell>
          <cell r="H19004" t="str">
            <v>solar PV</v>
          </cell>
        </row>
        <row r="19005">
          <cell r="C19005" t="str">
            <v>PV</v>
          </cell>
          <cell r="D19005">
            <v>50</v>
          </cell>
          <cell r="H19005" t="str">
            <v>solar PV</v>
          </cell>
        </row>
        <row r="19006">
          <cell r="C19006" t="str">
            <v>PV</v>
          </cell>
          <cell r="D19006">
            <v>1.9</v>
          </cell>
          <cell r="H19006" t="str">
            <v>solar PV</v>
          </cell>
        </row>
        <row r="19007">
          <cell r="C19007" t="str">
            <v>PV</v>
          </cell>
          <cell r="D19007">
            <v>78.5</v>
          </cell>
          <cell r="H19007" t="str">
            <v>solar PV</v>
          </cell>
        </row>
        <row r="19008">
          <cell r="C19008" t="str">
            <v>PV</v>
          </cell>
          <cell r="D19008">
            <v>4.9000000000000004</v>
          </cell>
          <cell r="H19008" t="str">
            <v>solar PV</v>
          </cell>
        </row>
        <row r="19009">
          <cell r="C19009" t="str">
            <v>PV</v>
          </cell>
          <cell r="D19009">
            <v>6.5</v>
          </cell>
          <cell r="H19009" t="str">
            <v>solar PV</v>
          </cell>
        </row>
        <row r="19010">
          <cell r="C19010" t="str">
            <v>PV</v>
          </cell>
          <cell r="D19010">
            <v>4.9000000000000004</v>
          </cell>
          <cell r="H19010" t="str">
            <v>solar PV</v>
          </cell>
        </row>
        <row r="19011">
          <cell r="C19011" t="str">
            <v>PV</v>
          </cell>
          <cell r="D19011">
            <v>33.299999999999997</v>
          </cell>
          <cell r="H19011" t="str">
            <v>solar PV</v>
          </cell>
        </row>
        <row r="19012">
          <cell r="C19012" t="str">
            <v>PV</v>
          </cell>
          <cell r="D19012">
            <v>1.5</v>
          </cell>
          <cell r="H19012" t="str">
            <v>solar PV</v>
          </cell>
        </row>
        <row r="19013">
          <cell r="C19013" t="str">
            <v>PV</v>
          </cell>
          <cell r="D19013">
            <v>1.7</v>
          </cell>
          <cell r="H19013" t="str">
            <v>solar PV</v>
          </cell>
        </row>
        <row r="19014">
          <cell r="C19014" t="str">
            <v>WT</v>
          </cell>
          <cell r="D19014">
            <v>150</v>
          </cell>
          <cell r="H19014" t="str">
            <v>onshore wind</v>
          </cell>
        </row>
        <row r="19015">
          <cell r="C19015" t="str">
            <v>PV</v>
          </cell>
          <cell r="D19015">
            <v>8</v>
          </cell>
          <cell r="H19015" t="str">
            <v>solar PV</v>
          </cell>
        </row>
        <row r="19016">
          <cell r="C19016" t="str">
            <v>IC</v>
          </cell>
          <cell r="D19016">
            <v>1.6</v>
          </cell>
          <cell r="H19016" t="str">
            <v>biomass</v>
          </cell>
        </row>
        <row r="19017">
          <cell r="C19017" t="str">
            <v>IC</v>
          </cell>
          <cell r="D19017">
            <v>1.6</v>
          </cell>
          <cell r="H19017" t="str">
            <v>biomass</v>
          </cell>
        </row>
        <row r="19018">
          <cell r="C19018" t="str">
            <v>IC</v>
          </cell>
          <cell r="D19018">
            <v>1.6</v>
          </cell>
          <cell r="H19018" t="str">
            <v>biomass</v>
          </cell>
        </row>
        <row r="19019">
          <cell r="C19019" t="str">
            <v>IC</v>
          </cell>
          <cell r="D19019">
            <v>1.6</v>
          </cell>
          <cell r="H19019" t="str">
            <v>biomass</v>
          </cell>
        </row>
        <row r="19020">
          <cell r="C19020" t="str">
            <v>PV</v>
          </cell>
          <cell r="D19020">
            <v>1.5</v>
          </cell>
          <cell r="H19020" t="str">
            <v>solar PV</v>
          </cell>
        </row>
        <row r="19021">
          <cell r="C19021" t="str">
            <v>IC</v>
          </cell>
          <cell r="D19021">
            <v>0.3</v>
          </cell>
          <cell r="H19021" t="str">
            <v>biomass</v>
          </cell>
        </row>
        <row r="19022">
          <cell r="C19022" t="str">
            <v>IC</v>
          </cell>
          <cell r="D19022">
            <v>0.3</v>
          </cell>
          <cell r="H19022" t="str">
            <v>biomass</v>
          </cell>
        </row>
        <row r="19023">
          <cell r="C19023" t="str">
            <v>IC</v>
          </cell>
          <cell r="D19023">
            <v>0.3</v>
          </cell>
          <cell r="H19023" t="str">
            <v>biomass</v>
          </cell>
        </row>
        <row r="19024">
          <cell r="C19024" t="str">
            <v>IC</v>
          </cell>
          <cell r="D19024">
            <v>0.3</v>
          </cell>
          <cell r="H19024" t="str">
            <v>biomass</v>
          </cell>
        </row>
        <row r="19025">
          <cell r="C19025" t="str">
            <v>IC</v>
          </cell>
          <cell r="D19025">
            <v>0.3</v>
          </cell>
          <cell r="H19025" t="str">
            <v>biomass</v>
          </cell>
        </row>
        <row r="19026">
          <cell r="C19026" t="str">
            <v>IC</v>
          </cell>
          <cell r="D19026">
            <v>0.3</v>
          </cell>
          <cell r="H19026" t="str">
            <v>biomass</v>
          </cell>
        </row>
        <row r="19027">
          <cell r="C19027" t="str">
            <v>IC</v>
          </cell>
          <cell r="D19027">
            <v>0.3</v>
          </cell>
          <cell r="H19027" t="str">
            <v>biomass</v>
          </cell>
        </row>
        <row r="19028">
          <cell r="C19028" t="str">
            <v>IC</v>
          </cell>
          <cell r="D19028">
            <v>0.3</v>
          </cell>
          <cell r="H19028" t="str">
            <v>biomass</v>
          </cell>
        </row>
        <row r="19029">
          <cell r="C19029" t="str">
            <v>IC</v>
          </cell>
          <cell r="D19029">
            <v>0.3</v>
          </cell>
          <cell r="H19029" t="str">
            <v>biomass</v>
          </cell>
        </row>
        <row r="19030">
          <cell r="C19030" t="str">
            <v>IC</v>
          </cell>
          <cell r="D19030">
            <v>0.3</v>
          </cell>
          <cell r="H19030" t="str">
            <v>biomass</v>
          </cell>
        </row>
        <row r="19031">
          <cell r="C19031" t="str">
            <v>IC</v>
          </cell>
          <cell r="D19031">
            <v>0.3</v>
          </cell>
          <cell r="H19031" t="str">
            <v>biomass</v>
          </cell>
        </row>
        <row r="19032">
          <cell r="C19032" t="str">
            <v>IC</v>
          </cell>
          <cell r="D19032">
            <v>0.3</v>
          </cell>
          <cell r="H19032" t="str">
            <v>biomass</v>
          </cell>
        </row>
        <row r="19033">
          <cell r="C19033" t="str">
            <v>IC</v>
          </cell>
          <cell r="D19033">
            <v>0.3</v>
          </cell>
          <cell r="H19033" t="str">
            <v>biomass</v>
          </cell>
        </row>
        <row r="19034">
          <cell r="C19034" t="str">
            <v>IC</v>
          </cell>
          <cell r="D19034">
            <v>0.3</v>
          </cell>
          <cell r="H19034" t="str">
            <v>biomass</v>
          </cell>
        </row>
        <row r="19035">
          <cell r="C19035" t="str">
            <v>IC</v>
          </cell>
          <cell r="D19035">
            <v>0.3</v>
          </cell>
          <cell r="H19035" t="str">
            <v>biomass</v>
          </cell>
        </row>
        <row r="19036">
          <cell r="C19036" t="str">
            <v>IC</v>
          </cell>
          <cell r="D19036">
            <v>0.3</v>
          </cell>
          <cell r="H19036" t="str">
            <v>biomass</v>
          </cell>
        </row>
        <row r="19037">
          <cell r="C19037" t="str">
            <v>IC</v>
          </cell>
          <cell r="D19037">
            <v>0.3</v>
          </cell>
          <cell r="H19037" t="str">
            <v>biomass</v>
          </cell>
        </row>
        <row r="19038">
          <cell r="C19038" t="str">
            <v>IC</v>
          </cell>
          <cell r="D19038">
            <v>0.3</v>
          </cell>
          <cell r="H19038" t="str">
            <v>biomass</v>
          </cell>
        </row>
        <row r="19039">
          <cell r="C19039" t="str">
            <v>IC</v>
          </cell>
          <cell r="D19039">
            <v>0.3</v>
          </cell>
          <cell r="H19039" t="str">
            <v>biomass</v>
          </cell>
        </row>
        <row r="19040">
          <cell r="C19040" t="str">
            <v>IC</v>
          </cell>
          <cell r="D19040">
            <v>0.3</v>
          </cell>
          <cell r="H19040" t="str">
            <v>biomass</v>
          </cell>
        </row>
        <row r="19041">
          <cell r="C19041" t="str">
            <v>IC</v>
          </cell>
          <cell r="D19041">
            <v>0.3</v>
          </cell>
          <cell r="H19041" t="str">
            <v>biomass</v>
          </cell>
        </row>
        <row r="19042">
          <cell r="C19042" t="str">
            <v>IC</v>
          </cell>
          <cell r="D19042">
            <v>0.3</v>
          </cell>
          <cell r="H19042" t="str">
            <v>biomass</v>
          </cell>
        </row>
        <row r="19043">
          <cell r="C19043" t="str">
            <v>IC</v>
          </cell>
          <cell r="D19043">
            <v>0.3</v>
          </cell>
          <cell r="H19043" t="str">
            <v>biomass</v>
          </cell>
        </row>
        <row r="19044">
          <cell r="C19044" t="str">
            <v>IC</v>
          </cell>
          <cell r="D19044">
            <v>0.3</v>
          </cell>
          <cell r="H19044" t="str">
            <v>biomass</v>
          </cell>
        </row>
        <row r="19045">
          <cell r="C19045" t="str">
            <v>IC</v>
          </cell>
          <cell r="D19045">
            <v>0.3</v>
          </cell>
          <cell r="H19045" t="str">
            <v>biomass</v>
          </cell>
        </row>
        <row r="19046">
          <cell r="C19046" t="str">
            <v>IC</v>
          </cell>
          <cell r="D19046">
            <v>0.3</v>
          </cell>
          <cell r="H19046" t="str">
            <v>biomass</v>
          </cell>
        </row>
        <row r="19047">
          <cell r="C19047" t="str">
            <v>IC</v>
          </cell>
          <cell r="D19047">
            <v>0.3</v>
          </cell>
          <cell r="H19047" t="str">
            <v>biomass</v>
          </cell>
        </row>
        <row r="19048">
          <cell r="C19048" t="str">
            <v>IC</v>
          </cell>
          <cell r="D19048">
            <v>0.3</v>
          </cell>
          <cell r="H19048" t="str">
            <v>biomass</v>
          </cell>
        </row>
        <row r="19049">
          <cell r="C19049" t="str">
            <v>IC</v>
          </cell>
          <cell r="D19049">
            <v>0.3</v>
          </cell>
          <cell r="H19049" t="str">
            <v>biomass</v>
          </cell>
        </row>
        <row r="19050">
          <cell r="C19050" t="str">
            <v>IC</v>
          </cell>
          <cell r="D19050">
            <v>0.3</v>
          </cell>
          <cell r="H19050" t="str">
            <v>biomass</v>
          </cell>
        </row>
        <row r="19051">
          <cell r="C19051" t="str">
            <v>PV</v>
          </cell>
          <cell r="D19051">
            <v>30</v>
          </cell>
          <cell r="H19051" t="str">
            <v>solar PV</v>
          </cell>
        </row>
        <row r="19052">
          <cell r="C19052" t="str">
            <v>PV</v>
          </cell>
          <cell r="D19052">
            <v>40</v>
          </cell>
          <cell r="H19052" t="str">
            <v>solar PV</v>
          </cell>
        </row>
        <row r="19053">
          <cell r="C19053" t="str">
            <v>PV</v>
          </cell>
          <cell r="D19053">
            <v>50</v>
          </cell>
          <cell r="H19053" t="str">
            <v>solar PV</v>
          </cell>
        </row>
        <row r="19054">
          <cell r="C19054" t="str">
            <v>WT</v>
          </cell>
          <cell r="D19054">
            <v>4.5</v>
          </cell>
          <cell r="H19054" t="str">
            <v>onshore wind</v>
          </cell>
        </row>
        <row r="19055">
          <cell r="C19055" t="str">
            <v>PV</v>
          </cell>
          <cell r="D19055">
            <v>4.9000000000000004</v>
          </cell>
          <cell r="H19055" t="str">
            <v>solar PV</v>
          </cell>
        </row>
        <row r="19056">
          <cell r="C19056" t="str">
            <v>PV</v>
          </cell>
          <cell r="D19056">
            <v>20</v>
          </cell>
          <cell r="H19056" t="str">
            <v>solar PV</v>
          </cell>
        </row>
        <row r="19057">
          <cell r="C19057" t="str">
            <v>PV</v>
          </cell>
          <cell r="D19057">
            <v>50</v>
          </cell>
          <cell r="H19057" t="str">
            <v>solar PV</v>
          </cell>
        </row>
        <row r="19058">
          <cell r="C19058" t="str">
            <v>PV</v>
          </cell>
          <cell r="D19058">
            <v>1</v>
          </cell>
          <cell r="H19058" t="str">
            <v>solar PV</v>
          </cell>
        </row>
        <row r="19059">
          <cell r="C19059" t="str">
            <v>GT</v>
          </cell>
          <cell r="D19059">
            <v>1.6</v>
          </cell>
          <cell r="H19059" t="str">
            <v>biomass</v>
          </cell>
        </row>
        <row r="19060">
          <cell r="C19060" t="str">
            <v>PV</v>
          </cell>
          <cell r="D19060">
            <v>2</v>
          </cell>
          <cell r="H19060" t="str">
            <v>solar PV</v>
          </cell>
        </row>
        <row r="19061">
          <cell r="C19061" t="str">
            <v>PV</v>
          </cell>
          <cell r="D19061">
            <v>4.9000000000000004</v>
          </cell>
          <cell r="H19061" t="str">
            <v>solar PV</v>
          </cell>
        </row>
        <row r="19062">
          <cell r="C19062" t="str">
            <v>PV</v>
          </cell>
          <cell r="D19062">
            <v>5</v>
          </cell>
          <cell r="H19062" t="str">
            <v>solar PV</v>
          </cell>
        </row>
        <row r="19063">
          <cell r="C19063" t="str">
            <v>PV</v>
          </cell>
          <cell r="D19063">
            <v>2.2999999999999998</v>
          </cell>
          <cell r="H19063" t="str">
            <v>solar PV</v>
          </cell>
        </row>
        <row r="19064">
          <cell r="C19064" t="str">
            <v>PV</v>
          </cell>
          <cell r="D19064">
            <v>0.9</v>
          </cell>
          <cell r="H19064" t="str">
            <v>solar PV</v>
          </cell>
        </row>
        <row r="19065">
          <cell r="C19065" t="str">
            <v>IC</v>
          </cell>
          <cell r="D19065">
            <v>1.6</v>
          </cell>
          <cell r="H19065" t="str">
            <v>biomass</v>
          </cell>
        </row>
        <row r="19066">
          <cell r="C19066" t="str">
            <v>IC</v>
          </cell>
          <cell r="D19066">
            <v>1.6</v>
          </cell>
          <cell r="H19066" t="str">
            <v>biomass</v>
          </cell>
        </row>
        <row r="19067">
          <cell r="C19067" t="str">
            <v>IC</v>
          </cell>
          <cell r="D19067">
            <v>1.6</v>
          </cell>
          <cell r="H19067" t="str">
            <v>biomass</v>
          </cell>
        </row>
        <row r="19068">
          <cell r="C19068" t="str">
            <v>IC</v>
          </cell>
          <cell r="D19068">
            <v>1.5</v>
          </cell>
          <cell r="H19068" t="str">
            <v>biomass</v>
          </cell>
        </row>
        <row r="19069">
          <cell r="C19069" t="str">
            <v>WT</v>
          </cell>
          <cell r="D19069">
            <v>95.3</v>
          </cell>
          <cell r="H19069" t="str">
            <v>onshore wind</v>
          </cell>
        </row>
        <row r="19070">
          <cell r="C19070" t="str">
            <v>PV</v>
          </cell>
          <cell r="D19070">
            <v>4</v>
          </cell>
          <cell r="H19070" t="str">
            <v>solar PV</v>
          </cell>
        </row>
        <row r="19071">
          <cell r="C19071" t="str">
            <v>PV</v>
          </cell>
          <cell r="D19071">
            <v>1</v>
          </cell>
          <cell r="H19071" t="str">
            <v>solar PV</v>
          </cell>
        </row>
        <row r="19072">
          <cell r="C19072" t="str">
            <v>PV</v>
          </cell>
          <cell r="D19072">
            <v>1.2</v>
          </cell>
          <cell r="H19072" t="str">
            <v>solar PV</v>
          </cell>
        </row>
        <row r="19073">
          <cell r="C19073" t="str">
            <v>PV</v>
          </cell>
          <cell r="D19073">
            <v>0.7</v>
          </cell>
          <cell r="H19073" t="str">
            <v>solar PV</v>
          </cell>
        </row>
        <row r="19074">
          <cell r="C19074" t="str">
            <v>PV</v>
          </cell>
          <cell r="D19074">
            <v>0.3</v>
          </cell>
          <cell r="H19074" t="str">
            <v>solar PV</v>
          </cell>
        </row>
        <row r="19075">
          <cell r="C19075" t="str">
            <v>IC</v>
          </cell>
          <cell r="D19075">
            <v>0.4</v>
          </cell>
          <cell r="H19075" t="str">
            <v>petroleum</v>
          </cell>
        </row>
        <row r="19076">
          <cell r="C19076" t="str">
            <v>IC</v>
          </cell>
          <cell r="D19076">
            <v>0.3</v>
          </cell>
          <cell r="H19076" t="str">
            <v>petroleum</v>
          </cell>
        </row>
        <row r="19077">
          <cell r="C19077" t="str">
            <v>IC</v>
          </cell>
          <cell r="D19077">
            <v>0.2</v>
          </cell>
          <cell r="H19077" t="str">
            <v>petroleum</v>
          </cell>
        </row>
        <row r="19078">
          <cell r="C19078" t="str">
            <v>IC</v>
          </cell>
          <cell r="D19078">
            <v>0.2</v>
          </cell>
          <cell r="H19078" t="str">
            <v>petroleum</v>
          </cell>
        </row>
        <row r="19079">
          <cell r="C19079" t="str">
            <v>IC</v>
          </cell>
          <cell r="D19079">
            <v>0.1</v>
          </cell>
          <cell r="H19079" t="str">
            <v>petroleum</v>
          </cell>
        </row>
        <row r="19080">
          <cell r="C19080" t="str">
            <v>IC</v>
          </cell>
          <cell r="D19080">
            <v>0.4</v>
          </cell>
          <cell r="H19080" t="str">
            <v>petroleum</v>
          </cell>
        </row>
        <row r="19081">
          <cell r="C19081" t="str">
            <v>IC</v>
          </cell>
          <cell r="D19081">
            <v>0.2</v>
          </cell>
          <cell r="H19081" t="str">
            <v>petroleum</v>
          </cell>
        </row>
        <row r="19082">
          <cell r="C19082" t="str">
            <v>IC</v>
          </cell>
          <cell r="D19082">
            <v>0.4</v>
          </cell>
          <cell r="H19082" t="str">
            <v>petroleum</v>
          </cell>
        </row>
        <row r="19083">
          <cell r="C19083" t="str">
            <v>IC</v>
          </cell>
          <cell r="D19083">
            <v>0.2</v>
          </cell>
          <cell r="H19083" t="str">
            <v>petroleum</v>
          </cell>
        </row>
        <row r="19084">
          <cell r="C19084" t="str">
            <v>PV</v>
          </cell>
          <cell r="D19084">
            <v>2</v>
          </cell>
          <cell r="H19084" t="str">
            <v>solar PV</v>
          </cell>
        </row>
        <row r="19085">
          <cell r="C19085" t="str">
            <v>PV</v>
          </cell>
          <cell r="D19085">
            <v>20</v>
          </cell>
          <cell r="H19085" t="str">
            <v>solar PV</v>
          </cell>
        </row>
        <row r="19086">
          <cell r="C19086" t="str">
            <v>PV</v>
          </cell>
          <cell r="D19086">
            <v>30</v>
          </cell>
          <cell r="H19086" t="str">
            <v>solar PV</v>
          </cell>
        </row>
        <row r="19087">
          <cell r="C19087" t="str">
            <v>WT</v>
          </cell>
          <cell r="D19087">
            <v>1.5</v>
          </cell>
          <cell r="H19087" t="str">
            <v>onshore wind</v>
          </cell>
        </row>
        <row r="19088">
          <cell r="C19088" t="str">
            <v>WT</v>
          </cell>
          <cell r="D19088">
            <v>3</v>
          </cell>
          <cell r="H19088" t="str">
            <v>onshore wind</v>
          </cell>
        </row>
        <row r="19089">
          <cell r="C19089" t="str">
            <v>IC</v>
          </cell>
          <cell r="D19089">
            <v>18.7</v>
          </cell>
          <cell r="H19089" t="str">
            <v>natural gas peaker</v>
          </cell>
        </row>
        <row r="19090">
          <cell r="C19090" t="str">
            <v>IC</v>
          </cell>
          <cell r="D19090">
            <v>18.7</v>
          </cell>
          <cell r="H19090" t="str">
            <v>natural gas peaker</v>
          </cell>
        </row>
        <row r="19091">
          <cell r="C19091" t="str">
            <v>IC</v>
          </cell>
          <cell r="D19091">
            <v>18.7</v>
          </cell>
          <cell r="H19091" t="str">
            <v>natural gas peaker</v>
          </cell>
        </row>
        <row r="19092">
          <cell r="C19092" t="str">
            <v>GT</v>
          </cell>
          <cell r="D19092">
            <v>2</v>
          </cell>
          <cell r="H19092" t="str">
            <v>natural gas peaker</v>
          </cell>
        </row>
        <row r="19093">
          <cell r="C19093" t="str">
            <v>GT</v>
          </cell>
          <cell r="D19093">
            <v>2</v>
          </cell>
          <cell r="H19093" t="str">
            <v>natural gas peaker</v>
          </cell>
        </row>
        <row r="19094">
          <cell r="C19094" t="str">
            <v>PV</v>
          </cell>
          <cell r="D19094">
            <v>2.8</v>
          </cell>
          <cell r="H19094" t="str">
            <v>solar PV</v>
          </cell>
        </row>
        <row r="19095">
          <cell r="C19095" t="str">
            <v>PV</v>
          </cell>
          <cell r="D19095">
            <v>2</v>
          </cell>
          <cell r="H19095" t="str">
            <v>solar PV</v>
          </cell>
        </row>
        <row r="19096">
          <cell r="C19096" t="str">
            <v>PV</v>
          </cell>
          <cell r="D19096">
            <v>3</v>
          </cell>
          <cell r="H19096" t="str">
            <v>solar PV</v>
          </cell>
        </row>
        <row r="19097">
          <cell r="C19097" t="str">
            <v>WT</v>
          </cell>
          <cell r="D19097">
            <v>150</v>
          </cell>
          <cell r="H19097" t="str">
            <v>onshore wind</v>
          </cell>
        </row>
        <row r="19098">
          <cell r="C19098" t="str">
            <v>WT</v>
          </cell>
          <cell r="D19098">
            <v>150</v>
          </cell>
          <cell r="H19098" t="str">
            <v>onshore wind</v>
          </cell>
        </row>
        <row r="19099">
          <cell r="C19099" t="str">
            <v>WT</v>
          </cell>
          <cell r="D19099">
            <v>150</v>
          </cell>
          <cell r="H19099" t="str">
            <v>onshore wind</v>
          </cell>
        </row>
        <row r="19100">
          <cell r="C19100" t="str">
            <v>WT</v>
          </cell>
          <cell r="D19100">
            <v>0.7</v>
          </cell>
          <cell r="H19100" t="str">
            <v>onshore wind</v>
          </cell>
        </row>
        <row r="19101">
          <cell r="C19101" t="str">
            <v>WT</v>
          </cell>
          <cell r="D19101">
            <v>1.9</v>
          </cell>
          <cell r="H19101" t="str">
            <v>onshore wind</v>
          </cell>
        </row>
        <row r="19102">
          <cell r="C19102" t="str">
            <v>PV</v>
          </cell>
          <cell r="D19102">
            <v>9</v>
          </cell>
          <cell r="H19102" t="str">
            <v>solar PV</v>
          </cell>
        </row>
        <row r="19103">
          <cell r="C19103" t="str">
            <v>PV</v>
          </cell>
          <cell r="D19103">
            <v>5</v>
          </cell>
          <cell r="H19103" t="str">
            <v>solar PV</v>
          </cell>
        </row>
        <row r="19104">
          <cell r="C19104" t="str">
            <v>PV</v>
          </cell>
          <cell r="D19104">
            <v>3</v>
          </cell>
          <cell r="H19104" t="str">
            <v>solar PV</v>
          </cell>
        </row>
        <row r="19105">
          <cell r="C19105" t="str">
            <v>PV</v>
          </cell>
          <cell r="D19105">
            <v>20</v>
          </cell>
          <cell r="H19105" t="str">
            <v>solar PV</v>
          </cell>
        </row>
        <row r="19106">
          <cell r="C19106" t="str">
            <v>PV</v>
          </cell>
          <cell r="D19106">
            <v>1.9</v>
          </cell>
          <cell r="H19106" t="str">
            <v>solar PV</v>
          </cell>
        </row>
        <row r="19107">
          <cell r="C19107" t="str">
            <v>PV</v>
          </cell>
          <cell r="D19107">
            <v>1.5</v>
          </cell>
          <cell r="H19107" t="str">
            <v>solar PV</v>
          </cell>
        </row>
        <row r="19108">
          <cell r="C19108" t="str">
            <v>PV</v>
          </cell>
          <cell r="D19108">
            <v>1.2</v>
          </cell>
          <cell r="H19108" t="str">
            <v>solar PV</v>
          </cell>
        </row>
        <row r="19109">
          <cell r="C19109" t="str">
            <v>PV</v>
          </cell>
          <cell r="D19109">
            <v>2.7</v>
          </cell>
          <cell r="H19109" t="str">
            <v>solar PV</v>
          </cell>
        </row>
        <row r="19110">
          <cell r="C19110" t="str">
            <v>PV</v>
          </cell>
          <cell r="D19110">
            <v>2.6</v>
          </cell>
          <cell r="H19110" t="str">
            <v>solar PV</v>
          </cell>
        </row>
        <row r="19111">
          <cell r="C19111" t="str">
            <v>PV</v>
          </cell>
          <cell r="D19111">
            <v>2.6</v>
          </cell>
          <cell r="H19111" t="str">
            <v>solar PV</v>
          </cell>
        </row>
        <row r="19112">
          <cell r="C19112" t="str">
            <v>PV</v>
          </cell>
          <cell r="D19112">
            <v>14.4</v>
          </cell>
          <cell r="H19112" t="str">
            <v>solar PV</v>
          </cell>
        </row>
        <row r="19113">
          <cell r="C19113" t="str">
            <v>PV</v>
          </cell>
          <cell r="D19113">
            <v>1.2</v>
          </cell>
          <cell r="H19113" t="str">
            <v>solar PV</v>
          </cell>
        </row>
        <row r="19114">
          <cell r="C19114" t="str">
            <v>PV</v>
          </cell>
          <cell r="D19114">
            <v>2.1</v>
          </cell>
          <cell r="H19114" t="str">
            <v>solar PV</v>
          </cell>
        </row>
        <row r="19115">
          <cell r="C19115" t="str">
            <v>PV</v>
          </cell>
          <cell r="D19115">
            <v>2.4</v>
          </cell>
          <cell r="H19115" t="str">
            <v>solar PV</v>
          </cell>
        </row>
        <row r="19116">
          <cell r="C19116" t="str">
            <v>PV</v>
          </cell>
          <cell r="D19116">
            <v>1.2</v>
          </cell>
          <cell r="H19116" t="str">
            <v>solar PV</v>
          </cell>
        </row>
        <row r="19117">
          <cell r="C19117" t="str">
            <v>PV</v>
          </cell>
          <cell r="D19117">
            <v>1.3</v>
          </cell>
          <cell r="H19117" t="str">
            <v>solar PV</v>
          </cell>
        </row>
        <row r="19118">
          <cell r="C19118" t="str">
            <v>PV</v>
          </cell>
          <cell r="D19118">
            <v>3.5</v>
          </cell>
          <cell r="H19118" t="str">
            <v>solar PV</v>
          </cell>
        </row>
        <row r="19119">
          <cell r="C19119" t="str">
            <v>PV</v>
          </cell>
          <cell r="D19119">
            <v>2.2000000000000002</v>
          </cell>
          <cell r="H19119" t="str">
            <v>solar PV</v>
          </cell>
        </row>
        <row r="19120">
          <cell r="C19120" t="str">
            <v>IC</v>
          </cell>
          <cell r="D19120">
            <v>1.6</v>
          </cell>
          <cell r="H19120" t="str">
            <v>biomass</v>
          </cell>
        </row>
        <row r="19121">
          <cell r="C19121" t="str">
            <v>IC</v>
          </cell>
          <cell r="D19121">
            <v>1.6</v>
          </cell>
          <cell r="H19121" t="str">
            <v>biomass</v>
          </cell>
        </row>
        <row r="19122">
          <cell r="C19122" t="str">
            <v>GT</v>
          </cell>
          <cell r="D19122">
            <v>2.2999999999999998</v>
          </cell>
          <cell r="H19122" t="str">
            <v>biomass</v>
          </cell>
        </row>
        <row r="19123">
          <cell r="C19123" t="str">
            <v>PV</v>
          </cell>
          <cell r="D19123">
            <v>4.9000000000000004</v>
          </cell>
          <cell r="H19123" t="str">
            <v>solar PV</v>
          </cell>
        </row>
        <row r="19124">
          <cell r="C19124" t="str">
            <v>PV</v>
          </cell>
          <cell r="D19124">
            <v>4.9000000000000004</v>
          </cell>
          <cell r="H19124" t="str">
            <v>solar PV</v>
          </cell>
        </row>
        <row r="19125">
          <cell r="C19125" t="str">
            <v>PV</v>
          </cell>
          <cell r="D19125">
            <v>4.9000000000000004</v>
          </cell>
          <cell r="H19125" t="str">
            <v>solar PV</v>
          </cell>
        </row>
        <row r="19126">
          <cell r="C19126" t="str">
            <v>IC</v>
          </cell>
          <cell r="D19126">
            <v>1</v>
          </cell>
          <cell r="H19126" t="str">
            <v>biomass</v>
          </cell>
        </row>
        <row r="19127">
          <cell r="C19127" t="str">
            <v>IC</v>
          </cell>
          <cell r="D19127">
            <v>1</v>
          </cell>
          <cell r="H19127" t="str">
            <v>biomass</v>
          </cell>
        </row>
        <row r="19128">
          <cell r="C19128" t="str">
            <v>CT</v>
          </cell>
          <cell r="D19128">
            <v>256.5</v>
          </cell>
          <cell r="H19128" t="str">
            <v>natural gas nonpeaker</v>
          </cell>
        </row>
        <row r="19129">
          <cell r="C19129" t="str">
            <v>CT</v>
          </cell>
          <cell r="D19129">
            <v>256.5</v>
          </cell>
          <cell r="H19129" t="str">
            <v>natural gas nonpeaker</v>
          </cell>
        </row>
        <row r="19130">
          <cell r="C19130" t="str">
            <v>IC</v>
          </cell>
          <cell r="D19130">
            <v>1.5</v>
          </cell>
          <cell r="H19130" t="str">
            <v>petroleum</v>
          </cell>
        </row>
        <row r="19131">
          <cell r="C19131" t="str">
            <v>CA</v>
          </cell>
          <cell r="D19131">
            <v>334.6</v>
          </cell>
          <cell r="H19131" t="str">
            <v>natural gas nonpeaker</v>
          </cell>
        </row>
        <row r="19132">
          <cell r="C19132" t="str">
            <v>PV</v>
          </cell>
          <cell r="D19132">
            <v>2</v>
          </cell>
          <cell r="H19132" t="str">
            <v>solar PV</v>
          </cell>
        </row>
        <row r="19133">
          <cell r="C19133" t="str">
            <v>PV</v>
          </cell>
          <cell r="D19133">
            <v>1.5</v>
          </cell>
          <cell r="H19133" t="str">
            <v>solar PV</v>
          </cell>
        </row>
        <row r="19134">
          <cell r="C19134" t="str">
            <v>PV</v>
          </cell>
          <cell r="D19134">
            <v>4.8</v>
          </cell>
          <cell r="H19134" t="str">
            <v>solar PV</v>
          </cell>
        </row>
        <row r="19135">
          <cell r="C19135" t="str">
            <v>PV</v>
          </cell>
          <cell r="D19135">
            <v>1.5</v>
          </cell>
          <cell r="H19135" t="str">
            <v>solar PV</v>
          </cell>
        </row>
        <row r="19136">
          <cell r="C19136" t="str">
            <v>PV</v>
          </cell>
          <cell r="D19136">
            <v>1.6</v>
          </cell>
          <cell r="H19136" t="str">
            <v>solar PV</v>
          </cell>
        </row>
        <row r="19137">
          <cell r="C19137" t="str">
            <v>PV</v>
          </cell>
          <cell r="D19137">
            <v>2</v>
          </cell>
          <cell r="H19137" t="str">
            <v>solar PV</v>
          </cell>
        </row>
        <row r="19138">
          <cell r="C19138" t="str">
            <v>PV</v>
          </cell>
          <cell r="D19138">
            <v>1</v>
          </cell>
          <cell r="H19138" t="str">
            <v>solar PV</v>
          </cell>
        </row>
        <row r="19139">
          <cell r="C19139" t="str">
            <v>BA</v>
          </cell>
          <cell r="D19139">
            <v>1</v>
          </cell>
          <cell r="H19139" t="str">
            <v>other</v>
          </cell>
        </row>
        <row r="19140">
          <cell r="C19140" t="str">
            <v>CT</v>
          </cell>
          <cell r="D19140">
            <v>203.3</v>
          </cell>
          <cell r="H19140" t="str">
            <v>natural gas nonpeaker</v>
          </cell>
        </row>
        <row r="19141">
          <cell r="C19141" t="str">
            <v>CT</v>
          </cell>
          <cell r="D19141">
            <v>203.3</v>
          </cell>
          <cell r="H19141" t="str">
            <v>natural gas nonpeaker</v>
          </cell>
        </row>
        <row r="19142">
          <cell r="C19142" t="str">
            <v>CA</v>
          </cell>
          <cell r="D19142">
            <v>288</v>
          </cell>
          <cell r="H19142" t="str">
            <v>natural gas nonpeaker</v>
          </cell>
        </row>
        <row r="19143">
          <cell r="C19143" t="str">
            <v>IC</v>
          </cell>
          <cell r="D19143">
            <v>1</v>
          </cell>
          <cell r="H19143" t="str">
            <v>biomass</v>
          </cell>
        </row>
        <row r="19144">
          <cell r="C19144" t="str">
            <v>IC</v>
          </cell>
          <cell r="D19144">
            <v>1</v>
          </cell>
          <cell r="H19144" t="str">
            <v>biomass</v>
          </cell>
        </row>
        <row r="19145">
          <cell r="C19145" t="str">
            <v>IC</v>
          </cell>
          <cell r="D19145">
            <v>1</v>
          </cell>
          <cell r="H19145" t="str">
            <v>biomass</v>
          </cell>
        </row>
        <row r="19146">
          <cell r="C19146" t="str">
            <v>IC</v>
          </cell>
          <cell r="D19146">
            <v>1</v>
          </cell>
          <cell r="H19146" t="str">
            <v>biomass</v>
          </cell>
        </row>
        <row r="19147">
          <cell r="C19147" t="str">
            <v>IC</v>
          </cell>
          <cell r="D19147">
            <v>1</v>
          </cell>
          <cell r="H19147" t="str">
            <v>biomass</v>
          </cell>
        </row>
        <row r="19148">
          <cell r="C19148" t="str">
            <v>IC</v>
          </cell>
          <cell r="D19148">
            <v>1</v>
          </cell>
          <cell r="H19148" t="str">
            <v>biomass</v>
          </cell>
        </row>
        <row r="19149">
          <cell r="C19149" t="str">
            <v>PV</v>
          </cell>
          <cell r="D19149">
            <v>3</v>
          </cell>
          <cell r="H19149" t="str">
            <v>solar PV</v>
          </cell>
        </row>
        <row r="19150">
          <cell r="C19150" t="str">
            <v>WT</v>
          </cell>
          <cell r="D19150">
            <v>1.7</v>
          </cell>
          <cell r="H19150" t="str">
            <v>onshore wind</v>
          </cell>
        </row>
        <row r="19151">
          <cell r="C19151" t="str">
            <v>PV</v>
          </cell>
          <cell r="D19151">
            <v>2.6</v>
          </cell>
          <cell r="H19151" t="str">
            <v>solar PV</v>
          </cell>
        </row>
        <row r="19152">
          <cell r="C19152" t="str">
            <v>PV</v>
          </cell>
          <cell r="D19152">
            <v>47.7</v>
          </cell>
          <cell r="H19152" t="str">
            <v>solar PV</v>
          </cell>
        </row>
        <row r="19153">
          <cell r="C19153" t="str">
            <v>PV</v>
          </cell>
          <cell r="D19153">
            <v>12.6</v>
          </cell>
          <cell r="H19153" t="str">
            <v>solar PV</v>
          </cell>
        </row>
        <row r="19154">
          <cell r="C19154" t="str">
            <v>PV</v>
          </cell>
          <cell r="D19154">
            <v>4.3</v>
          </cell>
          <cell r="H19154" t="str">
            <v>solar PV</v>
          </cell>
        </row>
        <row r="19155">
          <cell r="C19155" t="str">
            <v>PV</v>
          </cell>
          <cell r="D19155">
            <v>5</v>
          </cell>
          <cell r="H19155" t="str">
            <v>solar PV</v>
          </cell>
        </row>
        <row r="19156">
          <cell r="C19156" t="str">
            <v>IC</v>
          </cell>
          <cell r="D19156">
            <v>1.3</v>
          </cell>
          <cell r="H19156" t="str">
            <v>natural gas peaker</v>
          </cell>
        </row>
        <row r="19157">
          <cell r="C19157" t="str">
            <v>IC</v>
          </cell>
          <cell r="D19157">
            <v>1.3</v>
          </cell>
          <cell r="H19157" t="str">
            <v>natural gas peaker</v>
          </cell>
        </row>
        <row r="19158">
          <cell r="C19158" t="str">
            <v>IC</v>
          </cell>
          <cell r="D19158">
            <v>1.3</v>
          </cell>
          <cell r="H19158" t="str">
            <v>natural gas peaker</v>
          </cell>
        </row>
        <row r="19159">
          <cell r="C19159" t="str">
            <v>IC</v>
          </cell>
          <cell r="D19159">
            <v>1.1000000000000001</v>
          </cell>
          <cell r="H19159" t="str">
            <v>biomass</v>
          </cell>
        </row>
        <row r="19160">
          <cell r="C19160" t="str">
            <v>IC</v>
          </cell>
          <cell r="D19160">
            <v>1.1000000000000001</v>
          </cell>
          <cell r="H19160" t="str">
            <v>biomass</v>
          </cell>
        </row>
        <row r="19161">
          <cell r="C19161" t="str">
            <v>CT</v>
          </cell>
          <cell r="D19161">
            <v>146</v>
          </cell>
          <cell r="H19161" t="str">
            <v>natural gas nonpeaker</v>
          </cell>
        </row>
        <row r="19162">
          <cell r="C19162" t="str">
            <v>CT</v>
          </cell>
          <cell r="D19162">
            <v>146</v>
          </cell>
          <cell r="H19162" t="str">
            <v>natural gas nonpeaker</v>
          </cell>
        </row>
        <row r="19163">
          <cell r="C19163" t="str">
            <v>CA</v>
          </cell>
          <cell r="D19163">
            <v>223</v>
          </cell>
          <cell r="H19163" t="str">
            <v>natural gas nonpeaker</v>
          </cell>
        </row>
        <row r="19164">
          <cell r="C19164" t="str">
            <v>IC</v>
          </cell>
          <cell r="D19164">
            <v>2.9</v>
          </cell>
          <cell r="H19164" t="str">
            <v>biomass</v>
          </cell>
        </row>
        <row r="19165">
          <cell r="C19165" t="str">
            <v>IC</v>
          </cell>
          <cell r="D19165">
            <v>2.9</v>
          </cell>
          <cell r="H19165" t="str">
            <v>biomass</v>
          </cell>
        </row>
        <row r="19166">
          <cell r="C19166" t="str">
            <v>PV</v>
          </cell>
          <cell r="D19166">
            <v>3</v>
          </cell>
          <cell r="H19166" t="str">
            <v>solar PV</v>
          </cell>
        </row>
        <row r="19167">
          <cell r="C19167" t="str">
            <v>PV</v>
          </cell>
          <cell r="D19167">
            <v>3</v>
          </cell>
          <cell r="H19167" t="str">
            <v>solar PV</v>
          </cell>
        </row>
        <row r="19168">
          <cell r="C19168" t="str">
            <v>PV</v>
          </cell>
          <cell r="D19168">
            <v>1</v>
          </cell>
          <cell r="H19168" t="str">
            <v>solar PV</v>
          </cell>
        </row>
        <row r="19169">
          <cell r="C19169" t="str">
            <v>PV</v>
          </cell>
          <cell r="D19169">
            <v>1.4</v>
          </cell>
          <cell r="H19169" t="str">
            <v>solar PV</v>
          </cell>
        </row>
        <row r="19170">
          <cell r="C19170" t="str">
            <v>PV</v>
          </cell>
          <cell r="D19170">
            <v>1.2</v>
          </cell>
          <cell r="H19170" t="str">
            <v>solar PV</v>
          </cell>
        </row>
        <row r="19171">
          <cell r="C19171" t="str">
            <v>IC</v>
          </cell>
          <cell r="D19171">
            <v>2.2000000000000002</v>
          </cell>
          <cell r="H19171" t="str">
            <v>biomass</v>
          </cell>
        </row>
        <row r="19172">
          <cell r="C19172" t="str">
            <v>IC</v>
          </cell>
          <cell r="D19172">
            <v>2.2000000000000002</v>
          </cell>
          <cell r="H19172" t="str">
            <v>biomass</v>
          </cell>
        </row>
        <row r="19173">
          <cell r="C19173" t="str">
            <v>IC</v>
          </cell>
          <cell r="D19173">
            <v>2.2000000000000002</v>
          </cell>
          <cell r="H19173" t="str">
            <v>biomass</v>
          </cell>
        </row>
        <row r="19174">
          <cell r="C19174" t="str">
            <v>IC</v>
          </cell>
          <cell r="D19174">
            <v>2.2000000000000002</v>
          </cell>
          <cell r="H19174" t="str">
            <v>biomass</v>
          </cell>
        </row>
        <row r="19175">
          <cell r="C19175" t="str">
            <v>IC</v>
          </cell>
          <cell r="D19175">
            <v>2.2000000000000002</v>
          </cell>
          <cell r="H19175" t="str">
            <v>biomass</v>
          </cell>
        </row>
        <row r="19176">
          <cell r="C19176" t="str">
            <v>IC</v>
          </cell>
          <cell r="D19176">
            <v>2.2000000000000002</v>
          </cell>
          <cell r="H19176" t="str">
            <v>biomass</v>
          </cell>
        </row>
        <row r="19177">
          <cell r="C19177" t="str">
            <v>GT</v>
          </cell>
          <cell r="D19177">
            <v>23.5</v>
          </cell>
          <cell r="H19177" t="str">
            <v>petroleum</v>
          </cell>
        </row>
        <row r="19178">
          <cell r="C19178" t="str">
            <v>GT</v>
          </cell>
          <cell r="D19178">
            <v>3.5</v>
          </cell>
          <cell r="H19178" t="str">
            <v>natural gas peaker</v>
          </cell>
        </row>
        <row r="19179">
          <cell r="C19179" t="str">
            <v>PV</v>
          </cell>
          <cell r="D19179">
            <v>5</v>
          </cell>
          <cell r="H19179" t="str">
            <v>solar PV</v>
          </cell>
        </row>
        <row r="19180">
          <cell r="C19180" t="str">
            <v>PV</v>
          </cell>
          <cell r="D19180">
            <v>4.7</v>
          </cell>
          <cell r="H19180" t="str">
            <v>solar PV</v>
          </cell>
        </row>
        <row r="19181">
          <cell r="C19181" t="str">
            <v>WT</v>
          </cell>
          <cell r="D19181">
            <v>0.1</v>
          </cell>
          <cell r="H19181" t="str">
            <v>onshore wind</v>
          </cell>
        </row>
        <row r="19182">
          <cell r="C19182" t="str">
            <v>PV</v>
          </cell>
          <cell r="D19182">
            <v>0.9</v>
          </cell>
          <cell r="H19182" t="str">
            <v>solar PV</v>
          </cell>
        </row>
        <row r="19183">
          <cell r="C19183" t="str">
            <v>FC</v>
          </cell>
          <cell r="D19183">
            <v>1</v>
          </cell>
          <cell r="H19183" t="str">
            <v>other</v>
          </cell>
        </row>
        <row r="19184">
          <cell r="C19184" t="str">
            <v>FC</v>
          </cell>
          <cell r="D19184">
            <v>1</v>
          </cell>
          <cell r="H19184" t="str">
            <v>other</v>
          </cell>
        </row>
        <row r="19185">
          <cell r="C19185" t="str">
            <v>FC</v>
          </cell>
          <cell r="D19185">
            <v>1</v>
          </cell>
          <cell r="H19185" t="str">
            <v>other</v>
          </cell>
        </row>
        <row r="19186">
          <cell r="C19186" t="str">
            <v>FC</v>
          </cell>
          <cell r="D19186">
            <v>1</v>
          </cell>
          <cell r="H19186" t="str">
            <v>other</v>
          </cell>
        </row>
        <row r="19187">
          <cell r="C19187" t="str">
            <v>FC</v>
          </cell>
          <cell r="D19187">
            <v>1</v>
          </cell>
          <cell r="H19187" t="str">
            <v>other</v>
          </cell>
        </row>
        <row r="19188">
          <cell r="C19188" t="str">
            <v>FC</v>
          </cell>
          <cell r="D19188">
            <v>1</v>
          </cell>
          <cell r="H19188" t="str">
            <v>other</v>
          </cell>
        </row>
        <row r="19189">
          <cell r="C19189" t="str">
            <v>PV</v>
          </cell>
          <cell r="D19189">
            <v>1.5</v>
          </cell>
          <cell r="H19189" t="str">
            <v>solar PV</v>
          </cell>
        </row>
        <row r="19190">
          <cell r="C19190" t="str">
            <v>IC</v>
          </cell>
          <cell r="D19190">
            <v>1.1000000000000001</v>
          </cell>
          <cell r="H19190" t="str">
            <v>biomass</v>
          </cell>
        </row>
        <row r="19191">
          <cell r="C19191" t="str">
            <v>IC</v>
          </cell>
          <cell r="D19191">
            <v>3.2</v>
          </cell>
          <cell r="H19191" t="str">
            <v>natural gas peaker</v>
          </cell>
        </row>
        <row r="19192">
          <cell r="C19192" t="str">
            <v>IC</v>
          </cell>
          <cell r="D19192">
            <v>1.8</v>
          </cell>
          <cell r="H19192" t="str">
            <v>petroleum</v>
          </cell>
        </row>
        <row r="19193">
          <cell r="C19193" t="str">
            <v>IC</v>
          </cell>
          <cell r="D19193">
            <v>1.8</v>
          </cell>
          <cell r="H19193" t="str">
            <v>petroleum</v>
          </cell>
        </row>
        <row r="19194">
          <cell r="C19194" t="str">
            <v>IC</v>
          </cell>
          <cell r="D19194">
            <v>0.7</v>
          </cell>
          <cell r="H19194" t="str">
            <v>biomass</v>
          </cell>
        </row>
        <row r="19195">
          <cell r="C19195" t="str">
            <v>IC</v>
          </cell>
          <cell r="D19195">
            <v>0.7</v>
          </cell>
          <cell r="H19195" t="str">
            <v>biomass</v>
          </cell>
        </row>
        <row r="19196">
          <cell r="C19196" t="str">
            <v>PV</v>
          </cell>
          <cell r="D19196">
            <v>10.3</v>
          </cell>
          <cell r="H19196" t="str">
            <v>solar PV</v>
          </cell>
        </row>
        <row r="19197">
          <cell r="C19197" t="str">
            <v>CT</v>
          </cell>
          <cell r="D19197">
            <v>327.8</v>
          </cell>
          <cell r="H19197" t="str">
            <v>natural gas nonpeaker</v>
          </cell>
        </row>
        <row r="19198">
          <cell r="C19198" t="str">
            <v>CT</v>
          </cell>
          <cell r="D19198">
            <v>329.3</v>
          </cell>
          <cell r="H19198" t="str">
            <v>natural gas nonpeaker</v>
          </cell>
        </row>
        <row r="19199">
          <cell r="C19199" t="str">
            <v>CA</v>
          </cell>
          <cell r="D19199">
            <v>458.3</v>
          </cell>
          <cell r="H19199" t="str">
            <v>natural gas nonpeaker</v>
          </cell>
        </row>
        <row r="19200">
          <cell r="C19200" t="str">
            <v>PV</v>
          </cell>
          <cell r="D19200">
            <v>51.8</v>
          </cell>
          <cell r="H19200" t="str">
            <v>solar PV</v>
          </cell>
        </row>
        <row r="19201">
          <cell r="C19201" t="str">
            <v>PV</v>
          </cell>
          <cell r="D19201">
            <v>41.8</v>
          </cell>
          <cell r="H19201" t="str">
            <v>solar PV</v>
          </cell>
        </row>
        <row r="19202">
          <cell r="C19202" t="str">
            <v>IC</v>
          </cell>
          <cell r="D19202">
            <v>2.8</v>
          </cell>
          <cell r="H19202" t="str">
            <v>biomass</v>
          </cell>
        </row>
        <row r="19203">
          <cell r="C19203" t="str">
            <v>IC</v>
          </cell>
          <cell r="D19203">
            <v>4</v>
          </cell>
          <cell r="H19203" t="str">
            <v>biomass</v>
          </cell>
        </row>
        <row r="19204">
          <cell r="C19204" t="str">
            <v>WT</v>
          </cell>
          <cell r="D19204">
            <v>1.7</v>
          </cell>
          <cell r="H19204" t="str">
            <v>onshore wind</v>
          </cell>
        </row>
        <row r="19205">
          <cell r="C19205" t="str">
            <v>PV</v>
          </cell>
          <cell r="D19205">
            <v>4.9000000000000004</v>
          </cell>
          <cell r="H19205" t="str">
            <v>solar PV</v>
          </cell>
        </row>
        <row r="19206">
          <cell r="C19206" t="str">
            <v>PV</v>
          </cell>
          <cell r="D19206">
            <v>4.4000000000000004</v>
          </cell>
          <cell r="H19206" t="str">
            <v>solar PV</v>
          </cell>
        </row>
        <row r="19207">
          <cell r="C19207" t="str">
            <v>PV</v>
          </cell>
          <cell r="D19207">
            <v>3</v>
          </cell>
          <cell r="H19207" t="str">
            <v>solar PV</v>
          </cell>
        </row>
        <row r="19208">
          <cell r="C19208" t="str">
            <v>PV</v>
          </cell>
          <cell r="D19208">
            <v>3</v>
          </cell>
          <cell r="H19208" t="str">
            <v>solar PV</v>
          </cell>
        </row>
        <row r="19209">
          <cell r="C19209" t="str">
            <v>PV</v>
          </cell>
          <cell r="D19209">
            <v>2</v>
          </cell>
          <cell r="H19209" t="str">
            <v>solar PV</v>
          </cell>
        </row>
        <row r="19210">
          <cell r="C19210" t="str">
            <v>PV</v>
          </cell>
          <cell r="D19210">
            <v>2.5</v>
          </cell>
          <cell r="H19210" t="str">
            <v>solar PV</v>
          </cell>
        </row>
        <row r="19211">
          <cell r="C19211" t="str">
            <v>PV</v>
          </cell>
          <cell r="D19211">
            <v>4.9000000000000004</v>
          </cell>
          <cell r="H19211" t="str">
            <v>solar PV</v>
          </cell>
        </row>
        <row r="19212">
          <cell r="C19212" t="str">
            <v>PV</v>
          </cell>
          <cell r="D19212">
            <v>5</v>
          </cell>
          <cell r="H19212" t="str">
            <v>solar PV</v>
          </cell>
        </row>
        <row r="19213">
          <cell r="C19213" t="str">
            <v>PV</v>
          </cell>
          <cell r="D19213">
            <v>103.5</v>
          </cell>
          <cell r="H19213" t="str">
            <v>solar PV</v>
          </cell>
        </row>
        <row r="19214">
          <cell r="C19214" t="str">
            <v>PV</v>
          </cell>
          <cell r="D19214">
            <v>79</v>
          </cell>
          <cell r="H19214" t="str">
            <v>solar PV</v>
          </cell>
        </row>
        <row r="19215">
          <cell r="C19215" t="str">
            <v>PV</v>
          </cell>
          <cell r="D19215">
            <v>5</v>
          </cell>
          <cell r="H19215" t="str">
            <v>solar PV</v>
          </cell>
        </row>
        <row r="19216">
          <cell r="C19216" t="str">
            <v>PV</v>
          </cell>
          <cell r="D19216">
            <v>5</v>
          </cell>
          <cell r="H19216" t="str">
            <v>solar PV</v>
          </cell>
        </row>
        <row r="19217">
          <cell r="C19217" t="str">
            <v>PV</v>
          </cell>
          <cell r="D19217">
            <v>4.9000000000000004</v>
          </cell>
          <cell r="H19217" t="str">
            <v>solar PV</v>
          </cell>
        </row>
        <row r="19218">
          <cell r="C19218" t="str">
            <v>PV</v>
          </cell>
          <cell r="D19218">
            <v>5</v>
          </cell>
          <cell r="H19218" t="str">
            <v>solar PV</v>
          </cell>
        </row>
        <row r="19219">
          <cell r="C19219" t="str">
            <v>PV</v>
          </cell>
          <cell r="D19219">
            <v>5</v>
          </cell>
          <cell r="H19219" t="str">
            <v>solar PV</v>
          </cell>
        </row>
        <row r="19220">
          <cell r="C19220" t="str">
            <v>PV</v>
          </cell>
          <cell r="D19220">
            <v>1</v>
          </cell>
          <cell r="H19220" t="str">
            <v>solar PV</v>
          </cell>
        </row>
        <row r="19221">
          <cell r="C19221" t="str">
            <v>PV</v>
          </cell>
          <cell r="D19221">
            <v>1.9</v>
          </cell>
          <cell r="H19221" t="str">
            <v>solar PV</v>
          </cell>
        </row>
        <row r="19222">
          <cell r="C19222" t="str">
            <v>HY</v>
          </cell>
          <cell r="D19222">
            <v>4.5999999999999996</v>
          </cell>
          <cell r="H19222" t="str">
            <v>hydro</v>
          </cell>
        </row>
        <row r="19223">
          <cell r="C19223" t="str">
            <v>HY</v>
          </cell>
          <cell r="D19223">
            <v>4.5999999999999996</v>
          </cell>
          <cell r="H19223" t="str">
            <v>hydro</v>
          </cell>
        </row>
        <row r="19224">
          <cell r="C19224" t="str">
            <v>WT</v>
          </cell>
          <cell r="D19224">
            <v>150</v>
          </cell>
          <cell r="H19224" t="str">
            <v>onshore wind</v>
          </cell>
        </row>
        <row r="19225">
          <cell r="C19225" t="str">
            <v>WT</v>
          </cell>
          <cell r="D19225">
            <v>50</v>
          </cell>
          <cell r="H19225" t="str">
            <v>onshore wind</v>
          </cell>
        </row>
        <row r="19226">
          <cell r="C19226" t="str">
            <v>PV</v>
          </cell>
          <cell r="D19226">
            <v>1.9</v>
          </cell>
          <cell r="H19226" t="str">
            <v>solar PV</v>
          </cell>
        </row>
        <row r="19227">
          <cell r="C19227" t="str">
            <v>PV</v>
          </cell>
          <cell r="D19227">
            <v>155</v>
          </cell>
          <cell r="H19227" t="str">
            <v>solar PV</v>
          </cell>
        </row>
        <row r="19228">
          <cell r="C19228" t="str">
            <v>PV</v>
          </cell>
          <cell r="D19228">
            <v>1</v>
          </cell>
          <cell r="H19228" t="str">
            <v>solar PV</v>
          </cell>
        </row>
        <row r="19229">
          <cell r="C19229" t="str">
            <v>PV</v>
          </cell>
          <cell r="D19229">
            <v>3.2</v>
          </cell>
          <cell r="H19229" t="str">
            <v>solar PV</v>
          </cell>
        </row>
        <row r="19230">
          <cell r="C19230" t="str">
            <v>PV</v>
          </cell>
          <cell r="D19230">
            <v>1</v>
          </cell>
          <cell r="H19230" t="str">
            <v>solar PV</v>
          </cell>
        </row>
        <row r="19231">
          <cell r="C19231" t="str">
            <v>PV</v>
          </cell>
          <cell r="D19231">
            <v>1.6</v>
          </cell>
          <cell r="H19231" t="str">
            <v>solar PV</v>
          </cell>
        </row>
        <row r="19232">
          <cell r="C19232" t="str">
            <v>PV</v>
          </cell>
          <cell r="D19232">
            <v>0.8</v>
          </cell>
          <cell r="H19232" t="str">
            <v>solar PV</v>
          </cell>
        </row>
        <row r="19233">
          <cell r="C19233" t="str">
            <v>IC</v>
          </cell>
          <cell r="D19233">
            <v>0.3</v>
          </cell>
          <cell r="H19233" t="str">
            <v>biomass</v>
          </cell>
        </row>
        <row r="19234">
          <cell r="C19234" t="str">
            <v>IC</v>
          </cell>
          <cell r="D19234">
            <v>0.3</v>
          </cell>
          <cell r="H19234" t="str">
            <v>biomass</v>
          </cell>
        </row>
        <row r="19235">
          <cell r="C19235" t="str">
            <v>IC</v>
          </cell>
          <cell r="D19235">
            <v>0.3</v>
          </cell>
          <cell r="H19235" t="str">
            <v>biomass</v>
          </cell>
        </row>
        <row r="19236">
          <cell r="C19236" t="str">
            <v>IC</v>
          </cell>
          <cell r="D19236">
            <v>0.3</v>
          </cell>
          <cell r="H19236" t="str">
            <v>biomass</v>
          </cell>
        </row>
        <row r="19237">
          <cell r="C19237" t="str">
            <v>IC</v>
          </cell>
          <cell r="D19237">
            <v>0.3</v>
          </cell>
          <cell r="H19237" t="str">
            <v>biomass</v>
          </cell>
        </row>
        <row r="19238">
          <cell r="C19238" t="str">
            <v>IC</v>
          </cell>
          <cell r="D19238">
            <v>0.3</v>
          </cell>
          <cell r="H19238" t="str">
            <v>biomass</v>
          </cell>
        </row>
        <row r="19239">
          <cell r="C19239" t="str">
            <v>IC</v>
          </cell>
          <cell r="D19239">
            <v>0.3</v>
          </cell>
          <cell r="H19239" t="str">
            <v>biomass</v>
          </cell>
        </row>
        <row r="19240">
          <cell r="C19240" t="str">
            <v>IC</v>
          </cell>
          <cell r="D19240">
            <v>0.3</v>
          </cell>
          <cell r="H19240" t="str">
            <v>biomass</v>
          </cell>
        </row>
        <row r="19241">
          <cell r="C19241" t="str">
            <v>IC</v>
          </cell>
          <cell r="D19241">
            <v>0.3</v>
          </cell>
          <cell r="H19241" t="str">
            <v>biomass</v>
          </cell>
        </row>
        <row r="19242">
          <cell r="C19242" t="str">
            <v>IC</v>
          </cell>
          <cell r="D19242">
            <v>0.3</v>
          </cell>
          <cell r="H19242" t="str">
            <v>biomass</v>
          </cell>
        </row>
        <row r="19243">
          <cell r="C19243" t="str">
            <v>IC</v>
          </cell>
          <cell r="D19243">
            <v>0.3</v>
          </cell>
          <cell r="H19243" t="str">
            <v>biomass</v>
          </cell>
        </row>
        <row r="19244">
          <cell r="C19244" t="str">
            <v>IC</v>
          </cell>
          <cell r="D19244">
            <v>0.3</v>
          </cell>
          <cell r="H19244" t="str">
            <v>biomass</v>
          </cell>
        </row>
        <row r="19245">
          <cell r="C19245" t="str">
            <v>IC</v>
          </cell>
          <cell r="D19245">
            <v>0.3</v>
          </cell>
          <cell r="H19245" t="str">
            <v>biomass</v>
          </cell>
        </row>
        <row r="19246">
          <cell r="C19246" t="str">
            <v>IC</v>
          </cell>
          <cell r="D19246">
            <v>0.3</v>
          </cell>
          <cell r="H19246" t="str">
            <v>biomass</v>
          </cell>
        </row>
        <row r="19247">
          <cell r="C19247" t="str">
            <v>IC</v>
          </cell>
          <cell r="D19247">
            <v>0.3</v>
          </cell>
          <cell r="H19247" t="str">
            <v>biomass</v>
          </cell>
        </row>
        <row r="19248">
          <cell r="C19248" t="str">
            <v>IC</v>
          </cell>
          <cell r="D19248">
            <v>0.3</v>
          </cell>
          <cell r="H19248" t="str">
            <v>biomass</v>
          </cell>
        </row>
        <row r="19249">
          <cell r="C19249" t="str">
            <v>IC</v>
          </cell>
          <cell r="D19249">
            <v>0.3</v>
          </cell>
          <cell r="H19249" t="str">
            <v>biomass</v>
          </cell>
        </row>
        <row r="19250">
          <cell r="C19250" t="str">
            <v>IC</v>
          </cell>
          <cell r="D19250">
            <v>0.3</v>
          </cell>
          <cell r="H19250" t="str">
            <v>biomass</v>
          </cell>
        </row>
        <row r="19251">
          <cell r="C19251" t="str">
            <v>IC</v>
          </cell>
          <cell r="D19251">
            <v>0.9</v>
          </cell>
          <cell r="H19251" t="str">
            <v>natural gas peaker</v>
          </cell>
        </row>
        <row r="19252">
          <cell r="C19252" t="str">
            <v>IC</v>
          </cell>
          <cell r="D19252">
            <v>0.9</v>
          </cell>
          <cell r="H19252" t="str">
            <v>natural gas peaker</v>
          </cell>
        </row>
        <row r="19253">
          <cell r="C19253" t="str">
            <v>IC</v>
          </cell>
          <cell r="D19253">
            <v>0.9</v>
          </cell>
          <cell r="H19253" t="str">
            <v>natural gas peaker</v>
          </cell>
        </row>
        <row r="19254">
          <cell r="C19254" t="str">
            <v>IC</v>
          </cell>
          <cell r="D19254">
            <v>0.9</v>
          </cell>
          <cell r="H19254" t="str">
            <v>natural gas peaker</v>
          </cell>
        </row>
        <row r="19255">
          <cell r="C19255" t="str">
            <v>PV</v>
          </cell>
          <cell r="D19255">
            <v>2</v>
          </cell>
          <cell r="H19255" t="str">
            <v>solar PV</v>
          </cell>
        </row>
        <row r="19256">
          <cell r="C19256" t="str">
            <v>PV</v>
          </cell>
          <cell r="D19256">
            <v>1.2</v>
          </cell>
          <cell r="H19256" t="str">
            <v>solar PV</v>
          </cell>
        </row>
        <row r="19257">
          <cell r="C19257" t="str">
            <v>PV</v>
          </cell>
          <cell r="D19257">
            <v>1.2</v>
          </cell>
          <cell r="H19257" t="str">
            <v>solar PV</v>
          </cell>
        </row>
        <row r="19258">
          <cell r="C19258" t="str">
            <v>PV</v>
          </cell>
          <cell r="D19258">
            <v>75</v>
          </cell>
          <cell r="H19258" t="str">
            <v>solar PV</v>
          </cell>
        </row>
        <row r="19259">
          <cell r="C19259" t="str">
            <v>PV</v>
          </cell>
          <cell r="D19259">
            <v>100</v>
          </cell>
          <cell r="H19259" t="str">
            <v>solar PV</v>
          </cell>
        </row>
        <row r="19260">
          <cell r="C19260" t="str">
            <v>PV</v>
          </cell>
          <cell r="D19260">
            <v>4.5999999999999996</v>
          </cell>
          <cell r="H19260" t="str">
            <v>solar PV</v>
          </cell>
        </row>
        <row r="19261">
          <cell r="C19261" t="str">
            <v>PV</v>
          </cell>
          <cell r="D19261">
            <v>5</v>
          </cell>
          <cell r="H19261" t="str">
            <v>solar PV</v>
          </cell>
        </row>
        <row r="19262">
          <cell r="C19262" t="str">
            <v>PV</v>
          </cell>
          <cell r="D19262">
            <v>2.5</v>
          </cell>
          <cell r="H19262" t="str">
            <v>solar PV</v>
          </cell>
        </row>
        <row r="19263">
          <cell r="C19263" t="str">
            <v>PV</v>
          </cell>
          <cell r="D19263">
            <v>5</v>
          </cell>
          <cell r="H19263" t="str">
            <v>solar PV</v>
          </cell>
        </row>
        <row r="19264">
          <cell r="C19264" t="str">
            <v>PV</v>
          </cell>
          <cell r="D19264">
            <v>5</v>
          </cell>
          <cell r="H19264" t="str">
            <v>solar PV</v>
          </cell>
        </row>
        <row r="19265">
          <cell r="C19265" t="str">
            <v>PV</v>
          </cell>
          <cell r="D19265">
            <v>1</v>
          </cell>
          <cell r="H19265" t="str">
            <v>solar PV</v>
          </cell>
        </row>
        <row r="19266">
          <cell r="C19266" t="str">
            <v>GT</v>
          </cell>
          <cell r="D19266">
            <v>15</v>
          </cell>
          <cell r="H19266" t="str">
            <v>natural gas peaker</v>
          </cell>
        </row>
        <row r="19267">
          <cell r="C19267" t="str">
            <v>PV</v>
          </cell>
          <cell r="D19267">
            <v>2.6</v>
          </cell>
          <cell r="H19267" t="str">
            <v>solar PV</v>
          </cell>
        </row>
        <row r="19268">
          <cell r="C19268" t="str">
            <v>PV</v>
          </cell>
          <cell r="D19268">
            <v>30</v>
          </cell>
          <cell r="H19268" t="str">
            <v>solar PV</v>
          </cell>
        </row>
        <row r="19269">
          <cell r="C19269" t="str">
            <v>PV</v>
          </cell>
          <cell r="D19269">
            <v>30</v>
          </cell>
          <cell r="H19269" t="str">
            <v>solar PV</v>
          </cell>
        </row>
        <row r="19270">
          <cell r="C19270" t="str">
            <v>PV</v>
          </cell>
          <cell r="D19270">
            <v>30.2</v>
          </cell>
          <cell r="H19270" t="str">
            <v>solar PV</v>
          </cell>
        </row>
        <row r="19271">
          <cell r="C19271" t="str">
            <v>PV</v>
          </cell>
          <cell r="D19271">
            <v>30</v>
          </cell>
          <cell r="H19271" t="str">
            <v>solar PV</v>
          </cell>
        </row>
        <row r="19272">
          <cell r="C19272" t="str">
            <v>PV</v>
          </cell>
          <cell r="D19272">
            <v>2.5</v>
          </cell>
          <cell r="H19272" t="str">
            <v>solar PV</v>
          </cell>
        </row>
        <row r="19273">
          <cell r="C19273" t="str">
            <v>PV</v>
          </cell>
          <cell r="D19273">
            <v>1.9</v>
          </cell>
          <cell r="H19273" t="str">
            <v>solar PV</v>
          </cell>
        </row>
        <row r="19274">
          <cell r="C19274" t="str">
            <v>PV</v>
          </cell>
          <cell r="D19274">
            <v>20</v>
          </cell>
          <cell r="H19274" t="str">
            <v>solar PV</v>
          </cell>
        </row>
        <row r="19275">
          <cell r="C19275" t="str">
            <v>PV</v>
          </cell>
          <cell r="D19275">
            <v>13</v>
          </cell>
          <cell r="H19275" t="str">
            <v>solar PV</v>
          </cell>
        </row>
        <row r="19276">
          <cell r="C19276" t="str">
            <v>PV</v>
          </cell>
          <cell r="D19276">
            <v>1.3</v>
          </cell>
          <cell r="H19276" t="str">
            <v>solar PV</v>
          </cell>
        </row>
        <row r="19277">
          <cell r="C19277" t="str">
            <v>PV</v>
          </cell>
          <cell r="D19277">
            <v>20</v>
          </cell>
          <cell r="H19277" t="str">
            <v>solar PV</v>
          </cell>
        </row>
        <row r="19278">
          <cell r="C19278" t="str">
            <v>PV</v>
          </cell>
          <cell r="D19278">
            <v>62.3</v>
          </cell>
          <cell r="H19278" t="str">
            <v>solar PV</v>
          </cell>
        </row>
        <row r="19279">
          <cell r="C19279" t="str">
            <v>PV</v>
          </cell>
          <cell r="D19279">
            <v>31.2</v>
          </cell>
          <cell r="H19279" t="str">
            <v>solar PV</v>
          </cell>
        </row>
        <row r="19280">
          <cell r="C19280" t="str">
            <v>FC</v>
          </cell>
          <cell r="D19280">
            <v>1.4</v>
          </cell>
          <cell r="H19280" t="str">
            <v>biomass</v>
          </cell>
        </row>
        <row r="19281">
          <cell r="C19281" t="str">
            <v>PV</v>
          </cell>
          <cell r="D19281">
            <v>20</v>
          </cell>
          <cell r="H19281" t="str">
            <v>solar PV</v>
          </cell>
        </row>
        <row r="19282">
          <cell r="C19282" t="str">
            <v>PV</v>
          </cell>
          <cell r="D19282">
            <v>151.1</v>
          </cell>
          <cell r="H19282" t="str">
            <v>solar PV</v>
          </cell>
        </row>
        <row r="19283">
          <cell r="C19283" t="str">
            <v>PV</v>
          </cell>
          <cell r="D19283">
            <v>2</v>
          </cell>
          <cell r="H19283" t="str">
            <v>solar PV</v>
          </cell>
        </row>
        <row r="19284">
          <cell r="C19284" t="str">
            <v>PV</v>
          </cell>
          <cell r="D19284">
            <v>2</v>
          </cell>
          <cell r="H19284" t="str">
            <v>solar PV</v>
          </cell>
        </row>
        <row r="19285">
          <cell r="C19285" t="str">
            <v>GT</v>
          </cell>
          <cell r="D19285">
            <v>96.6</v>
          </cell>
          <cell r="H19285" t="str">
            <v>natural gas peaker</v>
          </cell>
        </row>
        <row r="19286">
          <cell r="C19286" t="str">
            <v>GT</v>
          </cell>
          <cell r="D19286">
            <v>97.4</v>
          </cell>
          <cell r="H19286" t="str">
            <v>natural gas peaker</v>
          </cell>
        </row>
        <row r="19287">
          <cell r="C19287" t="str">
            <v>PV</v>
          </cell>
          <cell r="D19287">
            <v>15</v>
          </cell>
          <cell r="H19287" t="str">
            <v>solar PV</v>
          </cell>
        </row>
        <row r="19288">
          <cell r="C19288" t="str">
            <v>WT</v>
          </cell>
          <cell r="D19288">
            <v>178.2</v>
          </cell>
          <cell r="H19288" t="str">
            <v>onshore wind</v>
          </cell>
        </row>
        <row r="19289">
          <cell r="C19289" t="str">
            <v>PV</v>
          </cell>
          <cell r="D19289">
            <v>20</v>
          </cell>
          <cell r="H19289" t="str">
            <v>solar PV</v>
          </cell>
        </row>
        <row r="19290">
          <cell r="C19290" t="str">
            <v>PV</v>
          </cell>
          <cell r="D19290">
            <v>30</v>
          </cell>
          <cell r="H19290" t="str">
            <v>solar PV</v>
          </cell>
        </row>
        <row r="19291">
          <cell r="C19291" t="str">
            <v>PV</v>
          </cell>
          <cell r="D19291">
            <v>100</v>
          </cell>
          <cell r="H19291" t="str">
            <v>solar PV</v>
          </cell>
        </row>
        <row r="19292">
          <cell r="C19292" t="str">
            <v>PV</v>
          </cell>
          <cell r="D19292">
            <v>143</v>
          </cell>
          <cell r="H19292" t="str">
            <v>solar PV</v>
          </cell>
        </row>
        <row r="19293">
          <cell r="C19293" t="str">
            <v>PV</v>
          </cell>
          <cell r="D19293">
            <v>3</v>
          </cell>
          <cell r="H19293" t="str">
            <v>solar PV</v>
          </cell>
        </row>
        <row r="19294">
          <cell r="C19294" t="str">
            <v>PV</v>
          </cell>
          <cell r="D19294">
            <v>5</v>
          </cell>
          <cell r="H19294" t="str">
            <v>solar PV</v>
          </cell>
        </row>
        <row r="19295">
          <cell r="C19295" t="str">
            <v>PV</v>
          </cell>
          <cell r="D19295">
            <v>20</v>
          </cell>
          <cell r="H19295" t="str">
            <v>solar PV</v>
          </cell>
        </row>
        <row r="19296">
          <cell r="C19296" t="str">
            <v>PV</v>
          </cell>
          <cell r="D19296">
            <v>5</v>
          </cell>
          <cell r="H19296" t="str">
            <v>solar PV</v>
          </cell>
        </row>
        <row r="19297">
          <cell r="C19297" t="str">
            <v>WT</v>
          </cell>
          <cell r="D19297">
            <v>100</v>
          </cell>
          <cell r="H19297" t="str">
            <v>onshore wind</v>
          </cell>
        </row>
        <row r="19298">
          <cell r="C19298" t="str">
            <v>PV</v>
          </cell>
          <cell r="D19298">
            <v>0.4</v>
          </cell>
          <cell r="H19298" t="str">
            <v>solar PV</v>
          </cell>
        </row>
        <row r="19299">
          <cell r="C19299" t="str">
            <v>PV</v>
          </cell>
          <cell r="D19299">
            <v>0.8</v>
          </cell>
          <cell r="H19299" t="str">
            <v>solar PV</v>
          </cell>
        </row>
        <row r="19300">
          <cell r="C19300" t="str">
            <v>CS</v>
          </cell>
          <cell r="D19300">
            <v>490</v>
          </cell>
          <cell r="H19300" t="str">
            <v>natural gas nonpeaker</v>
          </cell>
        </row>
        <row r="19301">
          <cell r="C19301" t="str">
            <v>CS</v>
          </cell>
          <cell r="D19301">
            <v>490</v>
          </cell>
          <cell r="H19301" t="str">
            <v>natural gas nonpeaker</v>
          </cell>
        </row>
        <row r="19302">
          <cell r="C19302" t="str">
            <v>PV</v>
          </cell>
          <cell r="D19302">
            <v>2</v>
          </cell>
          <cell r="H19302" t="str">
            <v>solar PV</v>
          </cell>
        </row>
        <row r="19303">
          <cell r="C19303" t="str">
            <v>PV</v>
          </cell>
          <cell r="D19303">
            <v>17</v>
          </cell>
          <cell r="H19303" t="str">
            <v>solar PV</v>
          </cell>
        </row>
        <row r="19304">
          <cell r="C19304" t="str">
            <v>PV</v>
          </cell>
          <cell r="D19304">
            <v>0.8</v>
          </cell>
          <cell r="H19304" t="str">
            <v>solar PV</v>
          </cell>
        </row>
        <row r="19305">
          <cell r="C19305" t="str">
            <v>PV</v>
          </cell>
          <cell r="D19305">
            <v>5</v>
          </cell>
          <cell r="H19305" t="str">
            <v>solar PV</v>
          </cell>
        </row>
        <row r="19306">
          <cell r="C19306" t="str">
            <v>CT</v>
          </cell>
          <cell r="D19306">
            <v>324.39999999999998</v>
          </cell>
          <cell r="H19306" t="str">
            <v>natural gas nonpeaker</v>
          </cell>
        </row>
        <row r="19307">
          <cell r="C19307" t="str">
            <v>CT</v>
          </cell>
          <cell r="D19307">
            <v>324.39999999999998</v>
          </cell>
          <cell r="H19307" t="str">
            <v>natural gas nonpeaker</v>
          </cell>
        </row>
        <row r="19308">
          <cell r="C19308" t="str">
            <v>CT</v>
          </cell>
          <cell r="D19308">
            <v>324.39999999999998</v>
          </cell>
          <cell r="H19308" t="str">
            <v>natural gas nonpeaker</v>
          </cell>
        </row>
        <row r="19309">
          <cell r="C19309" t="str">
            <v>CA</v>
          </cell>
          <cell r="D19309">
            <v>611.79999999999995</v>
          </cell>
          <cell r="H19309" t="str">
            <v>natural gas nonpeaker</v>
          </cell>
        </row>
        <row r="19310">
          <cell r="C19310" t="str">
            <v>PV</v>
          </cell>
          <cell r="D19310">
            <v>5</v>
          </cell>
          <cell r="H19310" t="str">
            <v>solar PV</v>
          </cell>
        </row>
        <row r="19311">
          <cell r="C19311" t="str">
            <v>PV</v>
          </cell>
          <cell r="D19311">
            <v>20</v>
          </cell>
          <cell r="H19311" t="str">
            <v>solar PV</v>
          </cell>
        </row>
        <row r="19312">
          <cell r="C19312" t="str">
            <v>PV</v>
          </cell>
          <cell r="D19312">
            <v>1</v>
          </cell>
          <cell r="H19312" t="str">
            <v>solar PV</v>
          </cell>
        </row>
        <row r="19313">
          <cell r="C19313" t="str">
            <v>PV</v>
          </cell>
          <cell r="D19313">
            <v>5</v>
          </cell>
          <cell r="H19313" t="str">
            <v>solar PV</v>
          </cell>
        </row>
        <row r="19314">
          <cell r="C19314" t="str">
            <v>PV</v>
          </cell>
          <cell r="D19314">
            <v>15</v>
          </cell>
          <cell r="H19314" t="str">
            <v>solar PV</v>
          </cell>
        </row>
        <row r="19315">
          <cell r="C19315" t="str">
            <v>PV</v>
          </cell>
          <cell r="D19315">
            <v>5</v>
          </cell>
          <cell r="H19315" t="str">
            <v>solar PV</v>
          </cell>
        </row>
        <row r="19316">
          <cell r="C19316" t="str">
            <v>PV</v>
          </cell>
          <cell r="D19316">
            <v>0.5</v>
          </cell>
          <cell r="H19316" t="str">
            <v>solar PV</v>
          </cell>
        </row>
        <row r="19317">
          <cell r="C19317" t="str">
            <v>GT</v>
          </cell>
          <cell r="D19317">
            <v>202.6</v>
          </cell>
          <cell r="H19317" t="str">
            <v>natural gas peaker</v>
          </cell>
        </row>
        <row r="19318">
          <cell r="C19318" t="str">
            <v>GT</v>
          </cell>
          <cell r="D19318">
            <v>202.6</v>
          </cell>
          <cell r="H19318" t="str">
            <v>natural gas peaker</v>
          </cell>
        </row>
        <row r="19319">
          <cell r="C19319" t="str">
            <v>PV</v>
          </cell>
          <cell r="D19319">
            <v>4.5</v>
          </cell>
          <cell r="H19319" t="str">
            <v>solar PV</v>
          </cell>
        </row>
        <row r="19320">
          <cell r="C19320" t="str">
            <v>PV</v>
          </cell>
          <cell r="D19320">
            <v>4.9000000000000004</v>
          </cell>
          <cell r="H19320" t="str">
            <v>solar PV</v>
          </cell>
        </row>
        <row r="19321">
          <cell r="C19321" t="str">
            <v>PV</v>
          </cell>
          <cell r="D19321">
            <v>4.9000000000000004</v>
          </cell>
          <cell r="H19321" t="str">
            <v>solar PV</v>
          </cell>
        </row>
        <row r="19322">
          <cell r="C19322" t="str">
            <v>PV</v>
          </cell>
          <cell r="D19322">
            <v>4.9000000000000004</v>
          </cell>
          <cell r="H19322" t="str">
            <v>solar PV</v>
          </cell>
        </row>
        <row r="19323">
          <cell r="C19323" t="str">
            <v>IC</v>
          </cell>
          <cell r="D19323">
            <v>1</v>
          </cell>
          <cell r="H19323" t="str">
            <v>biomass</v>
          </cell>
        </row>
        <row r="19324">
          <cell r="C19324" t="str">
            <v>IC</v>
          </cell>
          <cell r="D19324">
            <v>1</v>
          </cell>
          <cell r="H19324" t="str">
            <v>biomass</v>
          </cell>
        </row>
        <row r="19325">
          <cell r="C19325" t="str">
            <v>PV</v>
          </cell>
          <cell r="D19325">
            <v>3</v>
          </cell>
          <cell r="H19325" t="str">
            <v>solar PV</v>
          </cell>
        </row>
        <row r="19326">
          <cell r="C19326" t="str">
            <v>PV</v>
          </cell>
          <cell r="D19326">
            <v>3.4</v>
          </cell>
          <cell r="H19326" t="str">
            <v>solar PV</v>
          </cell>
        </row>
        <row r="19327">
          <cell r="C19327" t="str">
            <v>PV</v>
          </cell>
          <cell r="D19327">
            <v>4.9000000000000004</v>
          </cell>
          <cell r="H19327" t="str">
            <v>solar PV</v>
          </cell>
        </row>
        <row r="19328">
          <cell r="C19328" t="str">
            <v>PV</v>
          </cell>
          <cell r="D19328">
            <v>4.9000000000000004</v>
          </cell>
          <cell r="H19328" t="str">
            <v>solar PV</v>
          </cell>
        </row>
        <row r="19329">
          <cell r="C19329" t="str">
            <v>IC</v>
          </cell>
          <cell r="D19329">
            <v>8.3000000000000007</v>
          </cell>
          <cell r="H19329" t="str">
            <v>natural gas peaker</v>
          </cell>
        </row>
        <row r="19330">
          <cell r="C19330" t="str">
            <v>IC</v>
          </cell>
          <cell r="D19330">
            <v>8.3000000000000007</v>
          </cell>
          <cell r="H19330" t="str">
            <v>natural gas peaker</v>
          </cell>
        </row>
        <row r="19331">
          <cell r="C19331" t="str">
            <v>IC</v>
          </cell>
          <cell r="D19331">
            <v>8.3000000000000007</v>
          </cell>
          <cell r="H19331" t="str">
            <v>natural gas peaker</v>
          </cell>
        </row>
        <row r="19332">
          <cell r="C19332" t="str">
            <v>IC</v>
          </cell>
          <cell r="D19332">
            <v>8.3000000000000007</v>
          </cell>
          <cell r="H19332" t="str">
            <v>natural gas peaker</v>
          </cell>
        </row>
        <row r="19333">
          <cell r="C19333" t="str">
            <v>IC</v>
          </cell>
          <cell r="D19333">
            <v>8.3000000000000007</v>
          </cell>
          <cell r="H19333" t="str">
            <v>natural gas peaker</v>
          </cell>
        </row>
        <row r="19334">
          <cell r="C19334" t="str">
            <v>IC</v>
          </cell>
          <cell r="D19334">
            <v>8.3000000000000007</v>
          </cell>
          <cell r="H19334" t="str">
            <v>natural gas peaker</v>
          </cell>
        </row>
        <row r="19335">
          <cell r="C19335" t="str">
            <v>PV</v>
          </cell>
          <cell r="D19335">
            <v>200</v>
          </cell>
          <cell r="H19335" t="str">
            <v>solar PV</v>
          </cell>
        </row>
        <row r="19336">
          <cell r="C19336" t="str">
            <v>PV</v>
          </cell>
          <cell r="D19336">
            <v>60</v>
          </cell>
          <cell r="H19336" t="str">
            <v>solar PV</v>
          </cell>
        </row>
        <row r="19337">
          <cell r="C19337" t="str">
            <v>PV</v>
          </cell>
          <cell r="D19337">
            <v>20</v>
          </cell>
          <cell r="H19337" t="str">
            <v>solar PV</v>
          </cell>
        </row>
        <row r="19338">
          <cell r="C19338" t="str">
            <v>PV</v>
          </cell>
          <cell r="D19338">
            <v>20</v>
          </cell>
          <cell r="H19338" t="str">
            <v>solar PV</v>
          </cell>
        </row>
        <row r="19339">
          <cell r="C19339" t="str">
            <v>PV</v>
          </cell>
          <cell r="D19339">
            <v>102.5</v>
          </cell>
          <cell r="H19339" t="str">
            <v>solar PV</v>
          </cell>
        </row>
        <row r="19340">
          <cell r="C19340" t="str">
            <v>PV</v>
          </cell>
          <cell r="D19340">
            <v>80</v>
          </cell>
          <cell r="H19340" t="str">
            <v>solar PV</v>
          </cell>
        </row>
        <row r="19341">
          <cell r="C19341" t="str">
            <v>PV</v>
          </cell>
          <cell r="D19341">
            <v>1.5</v>
          </cell>
          <cell r="H19341" t="str">
            <v>solar PV</v>
          </cell>
        </row>
        <row r="19342">
          <cell r="C19342" t="str">
            <v>WT</v>
          </cell>
          <cell r="D19342">
            <v>207.2</v>
          </cell>
          <cell r="H19342" t="str">
            <v>onshore wind</v>
          </cell>
        </row>
        <row r="19343">
          <cell r="C19343" t="str">
            <v>PV</v>
          </cell>
          <cell r="D19343">
            <v>80</v>
          </cell>
          <cell r="H19343" t="str">
            <v>solar PV</v>
          </cell>
        </row>
        <row r="19344">
          <cell r="C19344" t="str">
            <v>PV</v>
          </cell>
          <cell r="D19344">
            <v>50.4</v>
          </cell>
          <cell r="H19344" t="str">
            <v>solar PV</v>
          </cell>
        </row>
        <row r="19345">
          <cell r="C19345" t="str">
            <v>PV</v>
          </cell>
          <cell r="D19345">
            <v>80</v>
          </cell>
          <cell r="H19345" t="str">
            <v>solar PV</v>
          </cell>
        </row>
        <row r="19346">
          <cell r="C19346" t="str">
            <v>PV</v>
          </cell>
          <cell r="D19346">
            <v>12</v>
          </cell>
          <cell r="H19346" t="str">
            <v>solar PV</v>
          </cell>
        </row>
        <row r="19347">
          <cell r="C19347" t="str">
            <v>PV</v>
          </cell>
          <cell r="D19347">
            <v>1.4</v>
          </cell>
          <cell r="H19347" t="str">
            <v>solar PV</v>
          </cell>
        </row>
        <row r="19348">
          <cell r="C19348" t="str">
            <v>BA</v>
          </cell>
          <cell r="D19348">
            <v>5</v>
          </cell>
          <cell r="H19348" t="str">
            <v>other</v>
          </cell>
        </row>
        <row r="19349">
          <cell r="C19349" t="str">
            <v>PV</v>
          </cell>
          <cell r="D19349">
            <v>3.5</v>
          </cell>
          <cell r="H19349" t="str">
            <v>solar PV</v>
          </cell>
        </row>
        <row r="19350">
          <cell r="C19350" t="str">
            <v>PV</v>
          </cell>
          <cell r="D19350">
            <v>20</v>
          </cell>
          <cell r="H19350" t="str">
            <v>solar PV</v>
          </cell>
        </row>
        <row r="19351">
          <cell r="C19351" t="str">
            <v>IC</v>
          </cell>
          <cell r="D19351">
            <v>1.6</v>
          </cell>
          <cell r="H19351" t="str">
            <v>biomass</v>
          </cell>
        </row>
        <row r="19352">
          <cell r="C19352" t="str">
            <v>IC</v>
          </cell>
          <cell r="D19352">
            <v>1.6</v>
          </cell>
          <cell r="H19352" t="str">
            <v>biomass</v>
          </cell>
        </row>
        <row r="19353">
          <cell r="C19353" t="str">
            <v>IC</v>
          </cell>
          <cell r="D19353">
            <v>1.6</v>
          </cell>
          <cell r="H19353" t="str">
            <v>biomass</v>
          </cell>
        </row>
        <row r="19354">
          <cell r="C19354" t="str">
            <v>IC</v>
          </cell>
          <cell r="D19354">
            <v>1.6</v>
          </cell>
          <cell r="H19354" t="str">
            <v>biomass</v>
          </cell>
        </row>
        <row r="19355">
          <cell r="C19355" t="str">
            <v>IC</v>
          </cell>
          <cell r="D19355">
            <v>1.6</v>
          </cell>
          <cell r="H19355" t="str">
            <v>biomass</v>
          </cell>
        </row>
        <row r="19356">
          <cell r="C19356" t="str">
            <v>WT</v>
          </cell>
          <cell r="D19356">
            <v>28.8</v>
          </cell>
          <cell r="H19356" t="str">
            <v>onshore wind</v>
          </cell>
        </row>
        <row r="19357">
          <cell r="C19357" t="str">
            <v>PV</v>
          </cell>
          <cell r="D19357">
            <v>3.8</v>
          </cell>
          <cell r="H19357" t="str">
            <v>solar PV</v>
          </cell>
        </row>
        <row r="19358">
          <cell r="C19358" t="str">
            <v>PV</v>
          </cell>
          <cell r="D19358">
            <v>1.8</v>
          </cell>
          <cell r="H19358" t="str">
            <v>solar PV</v>
          </cell>
        </row>
        <row r="19359">
          <cell r="C19359" t="str">
            <v>PV</v>
          </cell>
          <cell r="D19359">
            <v>1.8</v>
          </cell>
          <cell r="H19359" t="str">
            <v>solar PV</v>
          </cell>
        </row>
        <row r="19360">
          <cell r="C19360" t="str">
            <v>BA</v>
          </cell>
          <cell r="D19360">
            <v>1.5</v>
          </cell>
          <cell r="H19360" t="str">
            <v>other</v>
          </cell>
        </row>
        <row r="19361">
          <cell r="C19361" t="str">
            <v>BA</v>
          </cell>
          <cell r="D19361">
            <v>31.5</v>
          </cell>
          <cell r="H19361" t="str">
            <v>other</v>
          </cell>
        </row>
        <row r="19362">
          <cell r="C19362" t="str">
            <v>PV</v>
          </cell>
          <cell r="D19362">
            <v>3</v>
          </cell>
          <cell r="H19362" t="str">
            <v>solar PV</v>
          </cell>
        </row>
        <row r="19363">
          <cell r="C19363" t="str">
            <v>BA</v>
          </cell>
          <cell r="D19363">
            <v>19.8</v>
          </cell>
          <cell r="H19363" t="str">
            <v>other</v>
          </cell>
        </row>
        <row r="19364">
          <cell r="C19364" t="str">
            <v>BA</v>
          </cell>
          <cell r="D19364">
            <v>19.8</v>
          </cell>
          <cell r="H19364" t="str">
            <v>other</v>
          </cell>
        </row>
        <row r="19365">
          <cell r="C19365" t="str">
            <v>PV</v>
          </cell>
          <cell r="D19365">
            <v>19</v>
          </cell>
          <cell r="H19365" t="str">
            <v>solar PV</v>
          </cell>
        </row>
        <row r="19366">
          <cell r="C19366" t="str">
            <v>PV</v>
          </cell>
          <cell r="D19366">
            <v>18</v>
          </cell>
          <cell r="H19366" t="str">
            <v>solar PV</v>
          </cell>
        </row>
        <row r="19367">
          <cell r="C19367" t="str">
            <v>PV</v>
          </cell>
          <cell r="D19367">
            <v>17</v>
          </cell>
          <cell r="H19367" t="str">
            <v>solar PV</v>
          </cell>
        </row>
        <row r="19368">
          <cell r="C19368" t="str">
            <v>PV</v>
          </cell>
          <cell r="D19368">
            <v>39</v>
          </cell>
          <cell r="H19368" t="str">
            <v>solar PV</v>
          </cell>
        </row>
        <row r="19369">
          <cell r="C19369" t="str">
            <v>WT</v>
          </cell>
          <cell r="D19369">
            <v>62.1</v>
          </cell>
          <cell r="H19369" t="str">
            <v>onshore wind</v>
          </cell>
        </row>
        <row r="19370">
          <cell r="C19370" t="str">
            <v>PV</v>
          </cell>
          <cell r="D19370">
            <v>12.8</v>
          </cell>
          <cell r="H19370" t="str">
            <v>solar PV</v>
          </cell>
        </row>
        <row r="19371">
          <cell r="C19371" t="str">
            <v>FC</v>
          </cell>
          <cell r="D19371">
            <v>0.8</v>
          </cell>
          <cell r="H19371" t="str">
            <v>other</v>
          </cell>
        </row>
        <row r="19372">
          <cell r="C19372" t="str">
            <v>FC</v>
          </cell>
          <cell r="D19372">
            <v>1.3</v>
          </cell>
          <cell r="H19372" t="str">
            <v>other</v>
          </cell>
        </row>
        <row r="19373">
          <cell r="C19373" t="str">
            <v>WT</v>
          </cell>
          <cell r="D19373">
            <v>208</v>
          </cell>
          <cell r="H19373" t="str">
            <v>onshore wind</v>
          </cell>
        </row>
        <row r="19374">
          <cell r="C19374" t="str">
            <v>WT</v>
          </cell>
          <cell r="D19374">
            <v>196.7</v>
          </cell>
          <cell r="H19374" t="str">
            <v>onshore wind</v>
          </cell>
        </row>
        <row r="19375">
          <cell r="C19375" t="str">
            <v>PV</v>
          </cell>
          <cell r="D19375">
            <v>4.9000000000000004</v>
          </cell>
          <cell r="H19375" t="str">
            <v>solar PV</v>
          </cell>
        </row>
        <row r="19376">
          <cell r="C19376" t="str">
            <v>WT</v>
          </cell>
          <cell r="D19376">
            <v>250</v>
          </cell>
          <cell r="H19376" t="str">
            <v>onshore wind</v>
          </cell>
        </row>
        <row r="19377">
          <cell r="C19377" t="str">
            <v>WT</v>
          </cell>
          <cell r="D19377">
            <v>150</v>
          </cell>
          <cell r="H19377" t="str">
            <v>onshore wind</v>
          </cell>
        </row>
        <row r="19378">
          <cell r="C19378" t="str">
            <v>PV</v>
          </cell>
          <cell r="D19378">
            <v>100</v>
          </cell>
          <cell r="H19378" t="str">
            <v>solar PV</v>
          </cell>
        </row>
        <row r="19379">
          <cell r="C19379" t="str">
            <v>PV</v>
          </cell>
          <cell r="D19379">
            <v>75</v>
          </cell>
          <cell r="H19379" t="str">
            <v>solar PV</v>
          </cell>
        </row>
        <row r="19380">
          <cell r="C19380" t="str">
            <v>PV</v>
          </cell>
          <cell r="D19380">
            <v>1.5</v>
          </cell>
          <cell r="H19380" t="str">
            <v>solar PV</v>
          </cell>
        </row>
        <row r="19381">
          <cell r="C19381" t="str">
            <v>PV</v>
          </cell>
          <cell r="D19381">
            <v>19.2</v>
          </cell>
          <cell r="H19381" t="str">
            <v>solar PV</v>
          </cell>
        </row>
        <row r="19382">
          <cell r="C19382" t="str">
            <v>PV</v>
          </cell>
          <cell r="D19382">
            <v>1.5</v>
          </cell>
          <cell r="H19382" t="str">
            <v>solar PV</v>
          </cell>
        </row>
        <row r="19383">
          <cell r="C19383" t="str">
            <v>PV</v>
          </cell>
          <cell r="D19383">
            <v>1.1000000000000001</v>
          </cell>
          <cell r="H19383" t="str">
            <v>solar PV</v>
          </cell>
        </row>
        <row r="19384">
          <cell r="C19384" t="str">
            <v>PV</v>
          </cell>
          <cell r="D19384">
            <v>1.1000000000000001</v>
          </cell>
          <cell r="H19384" t="str">
            <v>solar PV</v>
          </cell>
        </row>
        <row r="19385">
          <cell r="C19385" t="str">
            <v>PV</v>
          </cell>
          <cell r="D19385">
            <v>1.1000000000000001</v>
          </cell>
          <cell r="H19385" t="str">
            <v>solar PV</v>
          </cell>
        </row>
        <row r="19386">
          <cell r="C19386" t="str">
            <v>PV</v>
          </cell>
          <cell r="D19386">
            <v>1.1000000000000001</v>
          </cell>
          <cell r="H19386" t="str">
            <v>solar PV</v>
          </cell>
        </row>
        <row r="19387">
          <cell r="C19387" t="str">
            <v>PV</v>
          </cell>
          <cell r="D19387">
            <v>1.1000000000000001</v>
          </cell>
          <cell r="H19387" t="str">
            <v>solar PV</v>
          </cell>
        </row>
        <row r="19388">
          <cell r="C19388" t="str">
            <v>PV</v>
          </cell>
          <cell r="D19388">
            <v>1.1000000000000001</v>
          </cell>
          <cell r="H19388" t="str">
            <v>solar PV</v>
          </cell>
        </row>
        <row r="19389">
          <cell r="C19389" t="str">
            <v>PV</v>
          </cell>
          <cell r="D19389">
            <v>1.1000000000000001</v>
          </cell>
          <cell r="H19389" t="str">
            <v>solar PV</v>
          </cell>
        </row>
        <row r="19390">
          <cell r="C19390" t="str">
            <v>PV</v>
          </cell>
          <cell r="D19390">
            <v>1.1000000000000001</v>
          </cell>
          <cell r="H19390" t="str">
            <v>solar PV</v>
          </cell>
        </row>
        <row r="19391">
          <cell r="C19391" t="str">
            <v>PV</v>
          </cell>
          <cell r="D19391">
            <v>1.1000000000000001</v>
          </cell>
          <cell r="H19391" t="str">
            <v>solar PV</v>
          </cell>
        </row>
        <row r="19392">
          <cell r="C19392" t="str">
            <v>PV</v>
          </cell>
          <cell r="D19392">
            <v>1.1000000000000001</v>
          </cell>
          <cell r="H19392" t="str">
            <v>solar PV</v>
          </cell>
        </row>
        <row r="19393">
          <cell r="C19393" t="str">
            <v>PV</v>
          </cell>
          <cell r="D19393">
            <v>74.900000000000006</v>
          </cell>
          <cell r="H19393" t="str">
            <v>solar PV</v>
          </cell>
        </row>
        <row r="19394">
          <cell r="C19394" t="str">
            <v>BA</v>
          </cell>
          <cell r="D19394">
            <v>10</v>
          </cell>
          <cell r="H19394" t="str">
            <v>other</v>
          </cell>
        </row>
        <row r="19395">
          <cell r="C19395" t="str">
            <v>PV</v>
          </cell>
          <cell r="D19395">
            <v>157.5</v>
          </cell>
          <cell r="H19395" t="str">
            <v>solar PV</v>
          </cell>
        </row>
        <row r="19396">
          <cell r="C19396" t="str">
            <v>BA</v>
          </cell>
          <cell r="D19396">
            <v>2</v>
          </cell>
          <cell r="H19396" t="str">
            <v>other</v>
          </cell>
        </row>
        <row r="19397">
          <cell r="C19397" t="str">
            <v>PV</v>
          </cell>
          <cell r="D19397">
            <v>3</v>
          </cell>
          <cell r="H19397" t="str">
            <v>solar PV</v>
          </cell>
        </row>
        <row r="19398">
          <cell r="C19398" t="str">
            <v>PV</v>
          </cell>
          <cell r="D19398">
            <v>13.5</v>
          </cell>
          <cell r="H19398" t="str">
            <v>solar PV</v>
          </cell>
        </row>
        <row r="19399">
          <cell r="C19399" t="str">
            <v>PV</v>
          </cell>
          <cell r="D19399">
            <v>20</v>
          </cell>
          <cell r="H19399" t="str">
            <v>solar PV</v>
          </cell>
        </row>
        <row r="19400">
          <cell r="C19400" t="str">
            <v>PV</v>
          </cell>
          <cell r="D19400">
            <v>1</v>
          </cell>
          <cell r="H19400" t="str">
            <v>solar PV</v>
          </cell>
        </row>
        <row r="19401">
          <cell r="C19401" t="str">
            <v>PV</v>
          </cell>
          <cell r="D19401">
            <v>1</v>
          </cell>
          <cell r="H19401" t="str">
            <v>solar PV</v>
          </cell>
        </row>
        <row r="19402">
          <cell r="C19402" t="str">
            <v>PV</v>
          </cell>
          <cell r="D19402">
            <v>0.8</v>
          </cell>
          <cell r="H19402" t="str">
            <v>solar PV</v>
          </cell>
        </row>
        <row r="19403">
          <cell r="C19403" t="str">
            <v>PV</v>
          </cell>
          <cell r="D19403">
            <v>0.8</v>
          </cell>
          <cell r="H19403" t="str">
            <v>solar PV</v>
          </cell>
        </row>
        <row r="19404">
          <cell r="C19404" t="str">
            <v>PV</v>
          </cell>
          <cell r="D19404">
            <v>15</v>
          </cell>
          <cell r="H19404" t="str">
            <v>solar PV</v>
          </cell>
        </row>
        <row r="19405">
          <cell r="C19405" t="str">
            <v>PV</v>
          </cell>
          <cell r="D19405">
            <v>52</v>
          </cell>
          <cell r="H19405" t="str">
            <v>solar PV</v>
          </cell>
        </row>
        <row r="19406">
          <cell r="C19406" t="str">
            <v>PV</v>
          </cell>
          <cell r="D19406">
            <v>20</v>
          </cell>
          <cell r="H19406" t="str">
            <v>solar PV</v>
          </cell>
        </row>
        <row r="19407">
          <cell r="C19407" t="str">
            <v>PV</v>
          </cell>
          <cell r="D19407">
            <v>20</v>
          </cell>
          <cell r="H19407" t="str">
            <v>solar PV</v>
          </cell>
        </row>
        <row r="19408">
          <cell r="C19408" t="str">
            <v>PV</v>
          </cell>
          <cell r="D19408">
            <v>20</v>
          </cell>
          <cell r="H19408" t="str">
            <v>solar PV</v>
          </cell>
        </row>
        <row r="19409">
          <cell r="C19409" t="str">
            <v>PV</v>
          </cell>
          <cell r="D19409">
            <v>20</v>
          </cell>
          <cell r="H19409" t="str">
            <v>solar PV</v>
          </cell>
        </row>
        <row r="19410">
          <cell r="C19410" t="str">
            <v>WT</v>
          </cell>
          <cell r="D19410">
            <v>150</v>
          </cell>
          <cell r="H19410" t="str">
            <v>onshore wind</v>
          </cell>
        </row>
        <row r="19411">
          <cell r="C19411" t="str">
            <v>PV</v>
          </cell>
          <cell r="D19411">
            <v>74.900000000000006</v>
          </cell>
          <cell r="H19411" t="str">
            <v>solar PV</v>
          </cell>
        </row>
        <row r="19412">
          <cell r="C19412" t="str">
            <v>WT</v>
          </cell>
          <cell r="D19412">
            <v>3</v>
          </cell>
          <cell r="H19412" t="str">
            <v>onshore wind</v>
          </cell>
        </row>
        <row r="19413">
          <cell r="C19413" t="str">
            <v>BA</v>
          </cell>
          <cell r="D19413">
            <v>1</v>
          </cell>
          <cell r="H19413" t="str">
            <v>other</v>
          </cell>
        </row>
        <row r="19414">
          <cell r="C19414" t="str">
            <v>BA</v>
          </cell>
          <cell r="D19414">
            <v>1</v>
          </cell>
          <cell r="H19414" t="str">
            <v>other</v>
          </cell>
        </row>
        <row r="19415">
          <cell r="C19415" t="str">
            <v>PV</v>
          </cell>
          <cell r="D19415">
            <v>1</v>
          </cell>
          <cell r="H19415" t="str">
            <v>solar PV</v>
          </cell>
        </row>
        <row r="19416">
          <cell r="C19416" t="str">
            <v>PV</v>
          </cell>
          <cell r="D19416">
            <v>1</v>
          </cell>
          <cell r="H19416" t="str">
            <v>solar PV</v>
          </cell>
        </row>
        <row r="19417">
          <cell r="C19417" t="str">
            <v>PV</v>
          </cell>
          <cell r="D19417">
            <v>1.9</v>
          </cell>
          <cell r="H19417" t="str">
            <v>solar PV</v>
          </cell>
        </row>
        <row r="19418">
          <cell r="C19418" t="str">
            <v>BA</v>
          </cell>
          <cell r="D19418">
            <v>2.2000000000000002</v>
          </cell>
          <cell r="H19418" t="str">
            <v>other</v>
          </cell>
        </row>
        <row r="19419">
          <cell r="C19419" t="str">
            <v>PV</v>
          </cell>
          <cell r="D19419">
            <v>2.8</v>
          </cell>
          <cell r="H19419" t="str">
            <v>solar PV</v>
          </cell>
        </row>
        <row r="19420">
          <cell r="C19420" t="str">
            <v>PV</v>
          </cell>
          <cell r="D19420">
            <v>13</v>
          </cell>
          <cell r="H19420" t="str">
            <v>solar PV</v>
          </cell>
        </row>
        <row r="19421">
          <cell r="C19421" t="str">
            <v>PV</v>
          </cell>
          <cell r="D19421">
            <v>45.9</v>
          </cell>
          <cell r="H19421" t="str">
            <v>solar PV</v>
          </cell>
        </row>
        <row r="19422">
          <cell r="C19422" t="str">
            <v>GT</v>
          </cell>
          <cell r="D19422">
            <v>21.3</v>
          </cell>
          <cell r="H19422" t="str">
            <v>natural gas peaker</v>
          </cell>
        </row>
        <row r="19423">
          <cell r="C19423" t="str">
            <v>PV</v>
          </cell>
          <cell r="D19423">
            <v>3</v>
          </cell>
          <cell r="H19423" t="str">
            <v>solar PV</v>
          </cell>
        </row>
        <row r="19424">
          <cell r="C19424" t="str">
            <v>PV</v>
          </cell>
          <cell r="D19424">
            <v>19</v>
          </cell>
          <cell r="H19424" t="str">
            <v>solar PV</v>
          </cell>
        </row>
        <row r="19425">
          <cell r="C19425" t="str">
            <v>PV</v>
          </cell>
          <cell r="D19425">
            <v>1.1000000000000001</v>
          </cell>
          <cell r="H19425" t="str">
            <v>solar PV</v>
          </cell>
        </row>
        <row r="19426">
          <cell r="C19426" t="str">
            <v>PV</v>
          </cell>
          <cell r="D19426">
            <v>74.900000000000006</v>
          </cell>
          <cell r="H19426" t="str">
            <v>solar PV</v>
          </cell>
        </row>
        <row r="19427">
          <cell r="C19427" t="str">
            <v>PV</v>
          </cell>
          <cell r="D19427">
            <v>1</v>
          </cell>
          <cell r="H19427" t="str">
            <v>solar PV</v>
          </cell>
        </row>
        <row r="19428">
          <cell r="C19428" t="str">
            <v>PV</v>
          </cell>
          <cell r="D19428">
            <v>130</v>
          </cell>
          <cell r="H19428" t="str">
            <v>solar PV</v>
          </cell>
        </row>
        <row r="19429">
          <cell r="C19429" t="str">
            <v>PV</v>
          </cell>
          <cell r="D19429">
            <v>150</v>
          </cell>
          <cell r="H19429" t="str">
            <v>solar PV</v>
          </cell>
        </row>
        <row r="19430">
          <cell r="C19430" t="str">
            <v>PV</v>
          </cell>
          <cell r="D19430">
            <v>7.3</v>
          </cell>
          <cell r="H19430" t="str">
            <v>solar PV</v>
          </cell>
        </row>
        <row r="19431">
          <cell r="C19431" t="str">
            <v>PV</v>
          </cell>
          <cell r="D19431">
            <v>1.6</v>
          </cell>
          <cell r="H19431" t="str">
            <v>solar PV</v>
          </cell>
        </row>
        <row r="19432">
          <cell r="C19432" t="str">
            <v>PV</v>
          </cell>
          <cell r="D19432">
            <v>2.1</v>
          </cell>
          <cell r="H19432" t="str">
            <v>solar PV</v>
          </cell>
        </row>
        <row r="19433">
          <cell r="C19433" t="str">
            <v>PV</v>
          </cell>
          <cell r="D19433">
            <v>20</v>
          </cell>
          <cell r="H19433" t="str">
            <v>solar PV</v>
          </cell>
        </row>
        <row r="19434">
          <cell r="C19434" t="str">
            <v>FC</v>
          </cell>
          <cell r="D19434">
            <v>2.5</v>
          </cell>
          <cell r="H19434" t="str">
            <v>other</v>
          </cell>
        </row>
        <row r="19435">
          <cell r="C19435" t="str">
            <v>PV</v>
          </cell>
          <cell r="D19435">
            <v>40</v>
          </cell>
          <cell r="H19435" t="str">
            <v>solar PV</v>
          </cell>
        </row>
        <row r="19436">
          <cell r="C19436" t="str">
            <v>PV</v>
          </cell>
          <cell r="D19436">
            <v>202</v>
          </cell>
          <cell r="H19436" t="str">
            <v>solar PV</v>
          </cell>
        </row>
        <row r="19437">
          <cell r="C19437" t="str">
            <v>PV</v>
          </cell>
          <cell r="D19437">
            <v>24.9</v>
          </cell>
          <cell r="H19437" t="str">
            <v>solar PV</v>
          </cell>
        </row>
        <row r="19438">
          <cell r="C19438" t="str">
            <v>PV</v>
          </cell>
          <cell r="D19438">
            <v>1.5</v>
          </cell>
          <cell r="H19438" t="str">
            <v>solar PV</v>
          </cell>
        </row>
        <row r="19439">
          <cell r="C19439" t="str">
            <v>PV</v>
          </cell>
          <cell r="D19439">
            <v>1.5</v>
          </cell>
          <cell r="H19439" t="str">
            <v>solar PV</v>
          </cell>
        </row>
        <row r="19440">
          <cell r="C19440" t="str">
            <v>PV</v>
          </cell>
          <cell r="D19440">
            <v>4.5</v>
          </cell>
          <cell r="H19440" t="str">
            <v>solar PV</v>
          </cell>
        </row>
        <row r="19441">
          <cell r="C19441" t="str">
            <v>WT</v>
          </cell>
          <cell r="D19441">
            <v>85.9</v>
          </cell>
          <cell r="H19441" t="str">
            <v>onshore wind</v>
          </cell>
        </row>
        <row r="19442">
          <cell r="C19442" t="str">
            <v>PV</v>
          </cell>
          <cell r="D19442">
            <v>1.5</v>
          </cell>
          <cell r="H19442" t="str">
            <v>solar PV</v>
          </cell>
        </row>
        <row r="19443">
          <cell r="C19443" t="str">
            <v>PV</v>
          </cell>
          <cell r="D19443">
            <v>1.9</v>
          </cell>
          <cell r="H19443" t="str">
            <v>solar PV</v>
          </cell>
        </row>
        <row r="19444">
          <cell r="C19444" t="str">
            <v>PV</v>
          </cell>
          <cell r="D19444">
            <v>1.9</v>
          </cell>
          <cell r="H19444" t="str">
            <v>solar PV</v>
          </cell>
        </row>
        <row r="19445">
          <cell r="C19445" t="str">
            <v>PV</v>
          </cell>
          <cell r="D19445">
            <v>4.9000000000000004</v>
          </cell>
          <cell r="H19445" t="str">
            <v>solar PV</v>
          </cell>
        </row>
        <row r="19446">
          <cell r="C19446" t="str">
            <v>FC</v>
          </cell>
          <cell r="D19446">
            <v>2.5</v>
          </cell>
          <cell r="H19446" t="str">
            <v>other</v>
          </cell>
        </row>
        <row r="19447">
          <cell r="C19447" t="str">
            <v>PV</v>
          </cell>
          <cell r="D19447">
            <v>2.2000000000000002</v>
          </cell>
          <cell r="H19447" t="str">
            <v>solar PV</v>
          </cell>
        </row>
        <row r="19448">
          <cell r="C19448" t="str">
            <v>PV</v>
          </cell>
          <cell r="D19448">
            <v>2</v>
          </cell>
          <cell r="H19448" t="str">
            <v>solar PV</v>
          </cell>
        </row>
        <row r="19449">
          <cell r="C19449" t="str">
            <v>PV</v>
          </cell>
          <cell r="D19449">
            <v>4.8</v>
          </cell>
          <cell r="H19449" t="str">
            <v>solar PV</v>
          </cell>
        </row>
        <row r="19450">
          <cell r="C19450" t="str">
            <v>PV</v>
          </cell>
          <cell r="D19450">
            <v>2.2999999999999998</v>
          </cell>
          <cell r="H19450" t="str">
            <v>solar PV</v>
          </cell>
        </row>
        <row r="19451">
          <cell r="C19451" t="str">
            <v>PV</v>
          </cell>
          <cell r="D19451">
            <v>75</v>
          </cell>
          <cell r="H19451" t="str">
            <v>solar PV</v>
          </cell>
        </row>
        <row r="19452">
          <cell r="C19452" t="str">
            <v>WT</v>
          </cell>
          <cell r="D19452">
            <v>110</v>
          </cell>
          <cell r="H19452" t="str">
            <v>onshore wind</v>
          </cell>
        </row>
        <row r="19453">
          <cell r="C19453" t="str">
            <v>PV</v>
          </cell>
          <cell r="D19453">
            <v>1.7</v>
          </cell>
          <cell r="H19453" t="str">
            <v>solar PV</v>
          </cell>
        </row>
        <row r="19454">
          <cell r="C19454" t="str">
            <v>PV</v>
          </cell>
          <cell r="D19454">
            <v>0.5</v>
          </cell>
          <cell r="H19454" t="str">
            <v>solar PV</v>
          </cell>
        </row>
        <row r="19455">
          <cell r="C19455" t="str">
            <v>PV</v>
          </cell>
          <cell r="D19455">
            <v>0.5</v>
          </cell>
          <cell r="H19455" t="str">
            <v>solar PV</v>
          </cell>
        </row>
        <row r="19456">
          <cell r="C19456" t="str">
            <v>PV</v>
          </cell>
          <cell r="D19456">
            <v>74.900000000000006</v>
          </cell>
          <cell r="H19456" t="str">
            <v>solar PV</v>
          </cell>
        </row>
        <row r="19457">
          <cell r="C19457" t="str">
            <v>BA</v>
          </cell>
          <cell r="D19457">
            <v>4</v>
          </cell>
          <cell r="H19457" t="str">
            <v>other</v>
          </cell>
        </row>
        <row r="19458">
          <cell r="C19458" t="str">
            <v>PV</v>
          </cell>
          <cell r="D19458">
            <v>16</v>
          </cell>
          <cell r="H19458" t="str">
            <v>solar PV</v>
          </cell>
        </row>
        <row r="19459">
          <cell r="C19459" t="str">
            <v>PV</v>
          </cell>
          <cell r="D19459">
            <v>51</v>
          </cell>
          <cell r="H19459" t="str">
            <v>solar PV</v>
          </cell>
        </row>
        <row r="19460">
          <cell r="C19460" t="str">
            <v>PV</v>
          </cell>
          <cell r="D19460">
            <v>101.2</v>
          </cell>
          <cell r="H19460" t="str">
            <v>solar PV</v>
          </cell>
        </row>
        <row r="19461">
          <cell r="C19461" t="str">
            <v>PV</v>
          </cell>
          <cell r="D19461">
            <v>4.4000000000000004</v>
          </cell>
          <cell r="H19461" t="str">
            <v>solar PV</v>
          </cell>
        </row>
        <row r="19462">
          <cell r="C19462" t="str">
            <v>PV</v>
          </cell>
          <cell r="D19462">
            <v>1.6</v>
          </cell>
          <cell r="H19462" t="str">
            <v>solar PV</v>
          </cell>
        </row>
        <row r="19463">
          <cell r="C19463" t="str">
            <v>PV</v>
          </cell>
          <cell r="D19463">
            <v>60</v>
          </cell>
          <cell r="H19463" t="str">
            <v>solar PV</v>
          </cell>
        </row>
        <row r="19464">
          <cell r="C19464" t="str">
            <v>PV</v>
          </cell>
          <cell r="D19464">
            <v>20</v>
          </cell>
          <cell r="H19464" t="str">
            <v>solar PV</v>
          </cell>
        </row>
        <row r="19465">
          <cell r="C19465" t="str">
            <v>WT</v>
          </cell>
          <cell r="D19465">
            <v>198.6</v>
          </cell>
          <cell r="H19465" t="str">
            <v>onshore wind</v>
          </cell>
        </row>
        <row r="19466">
          <cell r="C19466" t="str">
            <v>PV</v>
          </cell>
          <cell r="D19466">
            <v>5.0999999999999996</v>
          </cell>
          <cell r="H19466" t="str">
            <v>solar PV</v>
          </cell>
        </row>
        <row r="19467">
          <cell r="C19467" t="str">
            <v>PV</v>
          </cell>
          <cell r="D19467">
            <v>2</v>
          </cell>
          <cell r="H19467" t="str">
            <v>solar PV</v>
          </cell>
        </row>
        <row r="19468">
          <cell r="C19468" t="str">
            <v>PV</v>
          </cell>
          <cell r="D19468">
            <v>2</v>
          </cell>
          <cell r="H19468" t="str">
            <v>solar PV</v>
          </cell>
        </row>
        <row r="19469">
          <cell r="C19469" t="str">
            <v>PV</v>
          </cell>
          <cell r="D19469">
            <v>2.2000000000000002</v>
          </cell>
          <cell r="H19469" t="str">
            <v>solar PV</v>
          </cell>
        </row>
        <row r="19470">
          <cell r="C19470" t="str">
            <v>PV</v>
          </cell>
          <cell r="D19470">
            <v>4.5999999999999996</v>
          </cell>
          <cell r="H19470" t="str">
            <v>solar PV</v>
          </cell>
        </row>
        <row r="19471">
          <cell r="C19471" t="str">
            <v>PV</v>
          </cell>
          <cell r="D19471">
            <v>4</v>
          </cell>
          <cell r="H19471" t="str">
            <v>solar PV</v>
          </cell>
        </row>
        <row r="19472">
          <cell r="C19472" t="str">
            <v>PV</v>
          </cell>
          <cell r="D19472">
            <v>15.8</v>
          </cell>
          <cell r="H19472" t="str">
            <v>solar PV</v>
          </cell>
        </row>
        <row r="19473">
          <cell r="C19473" t="str">
            <v>PV</v>
          </cell>
          <cell r="D19473">
            <v>20</v>
          </cell>
          <cell r="H19473" t="str">
            <v>solar PV</v>
          </cell>
        </row>
        <row r="19474">
          <cell r="C19474" t="str">
            <v>PV</v>
          </cell>
          <cell r="D19474">
            <v>20</v>
          </cell>
          <cell r="H19474" t="str">
            <v>solar PV</v>
          </cell>
        </row>
        <row r="19475">
          <cell r="C19475" t="str">
            <v>PV</v>
          </cell>
          <cell r="D19475">
            <v>15</v>
          </cell>
          <cell r="H19475" t="str">
            <v>solar PV</v>
          </cell>
        </row>
        <row r="19476">
          <cell r="C19476" t="str">
            <v>PV</v>
          </cell>
          <cell r="D19476">
            <v>20</v>
          </cell>
          <cell r="H19476" t="str">
            <v>solar PV</v>
          </cell>
        </row>
        <row r="19477">
          <cell r="C19477" t="str">
            <v>PV</v>
          </cell>
          <cell r="D19477">
            <v>76.5</v>
          </cell>
          <cell r="H19477" t="str">
            <v>solar PV</v>
          </cell>
        </row>
        <row r="19478">
          <cell r="C19478" t="str">
            <v>PV</v>
          </cell>
          <cell r="D19478">
            <v>1.5</v>
          </cell>
          <cell r="H19478" t="str">
            <v>solar PV</v>
          </cell>
        </row>
        <row r="19479">
          <cell r="C19479" t="str">
            <v>PV</v>
          </cell>
          <cell r="D19479">
            <v>1.5</v>
          </cell>
          <cell r="H19479" t="str">
            <v>solar PV</v>
          </cell>
        </row>
        <row r="19480">
          <cell r="C19480" t="str">
            <v>ST</v>
          </cell>
          <cell r="D19480">
            <v>10.1</v>
          </cell>
          <cell r="H19480" t="str">
            <v>biomass</v>
          </cell>
        </row>
        <row r="19481">
          <cell r="C19481" t="str">
            <v>ST</v>
          </cell>
          <cell r="D19481">
            <v>7.5</v>
          </cell>
          <cell r="H19481" t="str">
            <v>biomass</v>
          </cell>
        </row>
        <row r="19482">
          <cell r="C19482" t="str">
            <v>ST</v>
          </cell>
          <cell r="D19482">
            <v>52.3</v>
          </cell>
          <cell r="H19482" t="str">
            <v>biomass</v>
          </cell>
        </row>
        <row r="19483">
          <cell r="C19483" t="str">
            <v>PV</v>
          </cell>
          <cell r="D19483">
            <v>3.7</v>
          </cell>
          <cell r="H19483" t="str">
            <v>solar PV</v>
          </cell>
        </row>
        <row r="19484">
          <cell r="C19484" t="str">
            <v>PV</v>
          </cell>
          <cell r="D19484">
            <v>3</v>
          </cell>
          <cell r="H19484" t="str">
            <v>solar PV</v>
          </cell>
        </row>
        <row r="19485">
          <cell r="C19485" t="str">
            <v>WT</v>
          </cell>
          <cell r="D19485">
            <v>300</v>
          </cell>
          <cell r="H19485" t="str">
            <v>onshore wind</v>
          </cell>
        </row>
        <row r="19486">
          <cell r="C19486" t="str">
            <v>WT</v>
          </cell>
          <cell r="D19486">
            <v>104</v>
          </cell>
          <cell r="H19486" t="str">
            <v>onshore wind</v>
          </cell>
        </row>
        <row r="19487">
          <cell r="C19487" t="str">
            <v>PV</v>
          </cell>
          <cell r="D19487">
            <v>1.6</v>
          </cell>
          <cell r="H19487" t="str">
            <v>solar PV</v>
          </cell>
        </row>
        <row r="19488">
          <cell r="C19488" t="str">
            <v>PV</v>
          </cell>
          <cell r="D19488">
            <v>20</v>
          </cell>
          <cell r="H19488" t="str">
            <v>solar PV</v>
          </cell>
        </row>
        <row r="19489">
          <cell r="C19489" t="str">
            <v>PV</v>
          </cell>
          <cell r="D19489">
            <v>33.200000000000003</v>
          </cell>
          <cell r="H19489" t="str">
            <v>solar PV</v>
          </cell>
        </row>
        <row r="19490">
          <cell r="C19490" t="str">
            <v>PV</v>
          </cell>
          <cell r="D19490">
            <v>33.9</v>
          </cell>
          <cell r="H19490" t="str">
            <v>solar PV</v>
          </cell>
        </row>
        <row r="19491">
          <cell r="C19491" t="str">
            <v>PV</v>
          </cell>
          <cell r="D19491">
            <v>32</v>
          </cell>
          <cell r="H19491" t="str">
            <v>solar PV</v>
          </cell>
        </row>
        <row r="19492">
          <cell r="C19492" t="str">
            <v>PV</v>
          </cell>
          <cell r="D19492">
            <v>32.1</v>
          </cell>
          <cell r="H19492" t="str">
            <v>solar PV</v>
          </cell>
        </row>
        <row r="19493">
          <cell r="C19493" t="str">
            <v>PV</v>
          </cell>
          <cell r="D19493">
            <v>38.700000000000003</v>
          </cell>
          <cell r="H19493" t="str">
            <v>solar PV</v>
          </cell>
        </row>
        <row r="19494">
          <cell r="C19494" t="str">
            <v>PV</v>
          </cell>
          <cell r="D19494">
            <v>36.299999999999997</v>
          </cell>
          <cell r="H19494" t="str">
            <v>solar PV</v>
          </cell>
        </row>
        <row r="19495">
          <cell r="C19495" t="str">
            <v>PV</v>
          </cell>
          <cell r="D19495">
            <v>34.799999999999997</v>
          </cell>
          <cell r="H19495" t="str">
            <v>solar PV</v>
          </cell>
        </row>
        <row r="19496">
          <cell r="C19496" t="str">
            <v>PV</v>
          </cell>
          <cell r="D19496">
            <v>1</v>
          </cell>
          <cell r="H19496" t="str">
            <v>solar PV</v>
          </cell>
        </row>
        <row r="19497">
          <cell r="C19497" t="str">
            <v>PV</v>
          </cell>
          <cell r="D19497">
            <v>1</v>
          </cell>
          <cell r="H19497" t="str">
            <v>solar PV</v>
          </cell>
        </row>
        <row r="19498">
          <cell r="C19498" t="str">
            <v>PV</v>
          </cell>
          <cell r="D19498">
            <v>2</v>
          </cell>
          <cell r="H19498" t="str">
            <v>solar PV</v>
          </cell>
        </row>
        <row r="19499">
          <cell r="C19499" t="str">
            <v>PV</v>
          </cell>
          <cell r="D19499">
            <v>1.7</v>
          </cell>
          <cell r="H19499" t="str">
            <v>solar PV</v>
          </cell>
        </row>
        <row r="19500">
          <cell r="C19500" t="str">
            <v>ST</v>
          </cell>
          <cell r="D19500">
            <v>11.5</v>
          </cell>
          <cell r="H19500" t="str">
            <v>biomass</v>
          </cell>
        </row>
        <row r="19501">
          <cell r="C19501" t="str">
            <v>PV</v>
          </cell>
          <cell r="D19501">
            <v>1.9</v>
          </cell>
          <cell r="H19501" t="str">
            <v>solar PV</v>
          </cell>
        </row>
        <row r="19502">
          <cell r="C19502" t="str">
            <v>IC</v>
          </cell>
          <cell r="D19502">
            <v>0.8</v>
          </cell>
          <cell r="H19502" t="str">
            <v>natural gas peaker</v>
          </cell>
        </row>
        <row r="19503">
          <cell r="C19503" t="str">
            <v>IC</v>
          </cell>
          <cell r="D19503">
            <v>0.8</v>
          </cell>
          <cell r="H19503" t="str">
            <v>natural gas peaker</v>
          </cell>
        </row>
        <row r="19504">
          <cell r="C19504" t="str">
            <v>IC</v>
          </cell>
          <cell r="D19504">
            <v>0.8</v>
          </cell>
          <cell r="H19504" t="str">
            <v>natural gas peaker</v>
          </cell>
        </row>
        <row r="19505">
          <cell r="C19505" t="str">
            <v>IC</v>
          </cell>
          <cell r="D19505">
            <v>0.8</v>
          </cell>
          <cell r="H19505" t="str">
            <v>natural gas peaker</v>
          </cell>
        </row>
        <row r="19506">
          <cell r="C19506" t="str">
            <v>WT</v>
          </cell>
          <cell r="D19506">
            <v>249.7</v>
          </cell>
          <cell r="H19506" t="str">
            <v>onshore wind</v>
          </cell>
        </row>
        <row r="19507">
          <cell r="C19507" t="str">
            <v>PV</v>
          </cell>
          <cell r="D19507">
            <v>1.9</v>
          </cell>
          <cell r="H19507" t="str">
            <v>solar PV</v>
          </cell>
        </row>
        <row r="19508">
          <cell r="C19508" t="str">
            <v>PV</v>
          </cell>
          <cell r="D19508">
            <v>4.9000000000000004</v>
          </cell>
          <cell r="H19508" t="str">
            <v>solar PV</v>
          </cell>
        </row>
        <row r="19509">
          <cell r="C19509" t="str">
            <v>PV</v>
          </cell>
          <cell r="D19509">
            <v>1.9</v>
          </cell>
          <cell r="H19509" t="str">
            <v>solar PV</v>
          </cell>
        </row>
        <row r="19510">
          <cell r="C19510" t="str">
            <v>PV</v>
          </cell>
          <cell r="D19510">
            <v>4.9000000000000004</v>
          </cell>
          <cell r="H19510" t="str">
            <v>solar PV</v>
          </cell>
        </row>
        <row r="19511">
          <cell r="C19511" t="str">
            <v>FC</v>
          </cell>
          <cell r="D19511">
            <v>2.5</v>
          </cell>
          <cell r="H19511" t="str">
            <v>other</v>
          </cell>
        </row>
        <row r="19512">
          <cell r="C19512" t="str">
            <v>PV</v>
          </cell>
          <cell r="D19512">
            <v>3</v>
          </cell>
          <cell r="H19512" t="str">
            <v>solar PV</v>
          </cell>
        </row>
        <row r="19513">
          <cell r="C19513" t="str">
            <v>PV</v>
          </cell>
          <cell r="D19513">
            <v>2.2000000000000002</v>
          </cell>
          <cell r="H19513" t="str">
            <v>solar PV</v>
          </cell>
        </row>
        <row r="19514">
          <cell r="C19514" t="str">
            <v>PV</v>
          </cell>
          <cell r="D19514">
            <v>1.4</v>
          </cell>
          <cell r="H19514" t="str">
            <v>solar PV</v>
          </cell>
        </row>
        <row r="19515">
          <cell r="C19515" t="str">
            <v>PV</v>
          </cell>
          <cell r="D19515">
            <v>1.2</v>
          </cell>
          <cell r="H19515" t="str">
            <v>solar PV</v>
          </cell>
        </row>
        <row r="19516">
          <cell r="C19516" t="str">
            <v>PV</v>
          </cell>
          <cell r="D19516">
            <v>1.5</v>
          </cell>
          <cell r="H19516" t="str">
            <v>solar PV</v>
          </cell>
        </row>
        <row r="19517">
          <cell r="C19517" t="str">
            <v>PV</v>
          </cell>
          <cell r="D19517">
            <v>1</v>
          </cell>
          <cell r="H19517" t="str">
            <v>solar PV</v>
          </cell>
        </row>
        <row r="19518">
          <cell r="C19518" t="str">
            <v>PV</v>
          </cell>
          <cell r="D19518">
            <v>1</v>
          </cell>
          <cell r="H19518" t="str">
            <v>solar PV</v>
          </cell>
        </row>
        <row r="19519">
          <cell r="C19519" t="str">
            <v>PV</v>
          </cell>
          <cell r="D19519">
            <v>1</v>
          </cell>
          <cell r="H19519" t="str">
            <v>solar PV</v>
          </cell>
        </row>
        <row r="19520">
          <cell r="C19520" t="str">
            <v>PV</v>
          </cell>
          <cell r="D19520">
            <v>3</v>
          </cell>
          <cell r="H19520" t="str">
            <v>solar PV</v>
          </cell>
        </row>
        <row r="19521">
          <cell r="C19521" t="str">
            <v>HY</v>
          </cell>
          <cell r="D19521">
            <v>1.2</v>
          </cell>
          <cell r="H19521" t="str">
            <v>hydro</v>
          </cell>
        </row>
        <row r="19522">
          <cell r="C19522" t="str">
            <v>FC</v>
          </cell>
          <cell r="D19522">
            <v>1.4</v>
          </cell>
          <cell r="H19522" t="str">
            <v>other</v>
          </cell>
        </row>
        <row r="19523">
          <cell r="C19523" t="str">
            <v>PV</v>
          </cell>
          <cell r="D19523">
            <v>2.6</v>
          </cell>
          <cell r="H19523" t="str">
            <v>solar PV</v>
          </cell>
        </row>
        <row r="19524">
          <cell r="C19524" t="str">
            <v>CT</v>
          </cell>
          <cell r="D19524">
            <v>331.9</v>
          </cell>
          <cell r="H19524" t="str">
            <v>natural gas nonpeaker</v>
          </cell>
        </row>
        <row r="19525">
          <cell r="C19525" t="str">
            <v>CT</v>
          </cell>
          <cell r="D19525">
            <v>335.3</v>
          </cell>
          <cell r="H19525" t="str">
            <v>natural gas nonpeaker</v>
          </cell>
        </row>
        <row r="19526">
          <cell r="C19526" t="str">
            <v>CA</v>
          </cell>
          <cell r="D19526">
            <v>472.5</v>
          </cell>
          <cell r="H19526" t="str">
            <v>natural gas nonpeaker</v>
          </cell>
        </row>
        <row r="19527">
          <cell r="C19527" t="str">
            <v>BA</v>
          </cell>
          <cell r="D19527">
            <v>9.9</v>
          </cell>
          <cell r="H19527" t="str">
            <v>other</v>
          </cell>
        </row>
        <row r="19528">
          <cell r="C19528" t="str">
            <v>PV</v>
          </cell>
          <cell r="D19528">
            <v>180</v>
          </cell>
          <cell r="H19528" t="str">
            <v>solar PV</v>
          </cell>
        </row>
        <row r="19529">
          <cell r="C19529" t="str">
            <v>PV</v>
          </cell>
          <cell r="D19529">
            <v>3</v>
          </cell>
          <cell r="H19529" t="str">
            <v>solar PV</v>
          </cell>
        </row>
        <row r="19530">
          <cell r="C19530" t="str">
            <v>PV</v>
          </cell>
          <cell r="D19530">
            <v>49</v>
          </cell>
          <cell r="H19530" t="str">
            <v>solar PV</v>
          </cell>
        </row>
        <row r="19531">
          <cell r="C19531" t="str">
            <v>WT</v>
          </cell>
          <cell r="D19531">
            <v>1.5</v>
          </cell>
          <cell r="H19531" t="str">
            <v>onshore wind</v>
          </cell>
        </row>
        <row r="19532">
          <cell r="C19532" t="str">
            <v>PV</v>
          </cell>
          <cell r="D19532">
            <v>80</v>
          </cell>
          <cell r="H19532" t="str">
            <v>solar PV</v>
          </cell>
        </row>
        <row r="19533">
          <cell r="C19533" t="str">
            <v>WT</v>
          </cell>
          <cell r="D19533">
            <v>1.5</v>
          </cell>
          <cell r="H19533" t="str">
            <v>onshore wind</v>
          </cell>
        </row>
        <row r="19534">
          <cell r="C19534" t="str">
            <v>WT</v>
          </cell>
          <cell r="D19534">
            <v>1.5</v>
          </cell>
          <cell r="H19534" t="str">
            <v>onshore wind</v>
          </cell>
        </row>
        <row r="19535">
          <cell r="C19535" t="str">
            <v>WT</v>
          </cell>
          <cell r="D19535">
            <v>1.5</v>
          </cell>
          <cell r="H19535" t="str">
            <v>onshore wind</v>
          </cell>
        </row>
        <row r="19536">
          <cell r="C19536" t="str">
            <v>PV</v>
          </cell>
          <cell r="D19536">
            <v>1.9</v>
          </cell>
          <cell r="H19536" t="str">
            <v>solar PV</v>
          </cell>
        </row>
        <row r="19537">
          <cell r="C19537" t="str">
            <v>IC</v>
          </cell>
          <cell r="D19537">
            <v>1.4</v>
          </cell>
          <cell r="H19537" t="str">
            <v>natural gas peaker</v>
          </cell>
        </row>
        <row r="19538">
          <cell r="C19538" t="str">
            <v>IC</v>
          </cell>
          <cell r="D19538">
            <v>1.4</v>
          </cell>
          <cell r="H19538" t="str">
            <v>natural gas peaker</v>
          </cell>
        </row>
        <row r="19539">
          <cell r="C19539" t="str">
            <v>IC</v>
          </cell>
          <cell r="D19539">
            <v>1.4</v>
          </cell>
          <cell r="H19539" t="str">
            <v>natural gas peaker</v>
          </cell>
        </row>
        <row r="19540">
          <cell r="C19540" t="str">
            <v>IC</v>
          </cell>
          <cell r="D19540">
            <v>1.4</v>
          </cell>
          <cell r="H19540" t="str">
            <v>natural gas peaker</v>
          </cell>
        </row>
        <row r="19541">
          <cell r="C19541" t="str">
            <v>IC</v>
          </cell>
          <cell r="D19541">
            <v>1.4</v>
          </cell>
          <cell r="H19541" t="str">
            <v>natural gas peaker</v>
          </cell>
        </row>
        <row r="19542">
          <cell r="C19542" t="str">
            <v>PV</v>
          </cell>
          <cell r="D19542">
            <v>3.4</v>
          </cell>
          <cell r="H19542" t="str">
            <v>solar PV</v>
          </cell>
        </row>
        <row r="19543">
          <cell r="C19543" t="str">
            <v>WT</v>
          </cell>
          <cell r="D19543">
            <v>103</v>
          </cell>
          <cell r="H19543" t="str">
            <v>onshore wind</v>
          </cell>
        </row>
        <row r="19544">
          <cell r="C19544" t="str">
            <v>PV</v>
          </cell>
          <cell r="D19544">
            <v>4.9000000000000004</v>
          </cell>
          <cell r="H19544" t="str">
            <v>solar PV</v>
          </cell>
        </row>
        <row r="19545">
          <cell r="C19545" t="str">
            <v>PV</v>
          </cell>
          <cell r="D19545">
            <v>1.9</v>
          </cell>
          <cell r="H19545" t="str">
            <v>solar PV</v>
          </cell>
        </row>
        <row r="19546">
          <cell r="C19546" t="str">
            <v>PV</v>
          </cell>
          <cell r="D19546">
            <v>4.9000000000000004</v>
          </cell>
          <cell r="H19546" t="str">
            <v>solar PV</v>
          </cell>
        </row>
        <row r="19547">
          <cell r="C19547" t="str">
            <v>PV</v>
          </cell>
          <cell r="D19547">
            <v>4.9000000000000004</v>
          </cell>
          <cell r="H19547" t="str">
            <v>solar PV</v>
          </cell>
        </row>
        <row r="19548">
          <cell r="C19548" t="str">
            <v>IC</v>
          </cell>
          <cell r="D19548">
            <v>1</v>
          </cell>
          <cell r="H19548" t="str">
            <v>biomass</v>
          </cell>
        </row>
        <row r="19549">
          <cell r="C19549" t="str">
            <v>PV</v>
          </cell>
          <cell r="D19549">
            <v>1.5</v>
          </cell>
          <cell r="H19549" t="str">
            <v>solar PV</v>
          </cell>
        </row>
        <row r="19550">
          <cell r="C19550" t="str">
            <v>WT</v>
          </cell>
          <cell r="D19550">
            <v>60.8</v>
          </cell>
          <cell r="H19550" t="str">
            <v>onshore wind</v>
          </cell>
        </row>
        <row r="19551">
          <cell r="C19551" t="str">
            <v>PV</v>
          </cell>
          <cell r="D19551">
            <v>5.4</v>
          </cell>
          <cell r="H19551" t="str">
            <v>solar PV</v>
          </cell>
        </row>
        <row r="19552">
          <cell r="C19552" t="str">
            <v>WT</v>
          </cell>
          <cell r="D19552">
            <v>181.7</v>
          </cell>
          <cell r="H19552" t="str">
            <v>onshore wind</v>
          </cell>
        </row>
        <row r="19553">
          <cell r="C19553" t="str">
            <v>PV</v>
          </cell>
          <cell r="D19553">
            <v>6.5</v>
          </cell>
          <cell r="H19553" t="str">
            <v>solar PV</v>
          </cell>
        </row>
        <row r="19554">
          <cell r="C19554" t="str">
            <v>PV</v>
          </cell>
          <cell r="D19554">
            <v>6.5</v>
          </cell>
          <cell r="H19554" t="str">
            <v>solar PV</v>
          </cell>
        </row>
        <row r="19555">
          <cell r="C19555" t="str">
            <v>PV</v>
          </cell>
          <cell r="D19555">
            <v>50.8</v>
          </cell>
          <cell r="H19555" t="str">
            <v>solar PV</v>
          </cell>
        </row>
        <row r="19556">
          <cell r="C19556" t="str">
            <v>PV</v>
          </cell>
          <cell r="D19556">
            <v>2</v>
          </cell>
          <cell r="H19556" t="str">
            <v>solar PV</v>
          </cell>
        </row>
        <row r="19557">
          <cell r="C19557" t="str">
            <v>PV</v>
          </cell>
          <cell r="D19557">
            <v>1.3</v>
          </cell>
          <cell r="H19557" t="str">
            <v>solar PV</v>
          </cell>
        </row>
        <row r="19558">
          <cell r="C19558" t="str">
            <v>WT</v>
          </cell>
          <cell r="D19558">
            <v>142.6</v>
          </cell>
          <cell r="H19558" t="str">
            <v>onshore wind</v>
          </cell>
        </row>
        <row r="19559">
          <cell r="C19559" t="str">
            <v>PV</v>
          </cell>
          <cell r="D19559">
            <v>1.2</v>
          </cell>
          <cell r="H19559" t="str">
            <v>solar PV</v>
          </cell>
        </row>
        <row r="19560">
          <cell r="C19560" t="str">
            <v>PV</v>
          </cell>
          <cell r="D19560">
            <v>1</v>
          </cell>
          <cell r="H19560" t="str">
            <v>solar PV</v>
          </cell>
        </row>
        <row r="19561">
          <cell r="C19561" t="str">
            <v>PV</v>
          </cell>
          <cell r="D19561">
            <v>5</v>
          </cell>
          <cell r="H19561" t="str">
            <v>solar PV</v>
          </cell>
        </row>
        <row r="19562">
          <cell r="C19562" t="str">
            <v>PV</v>
          </cell>
          <cell r="D19562">
            <v>4.5</v>
          </cell>
          <cell r="H19562" t="str">
            <v>solar PV</v>
          </cell>
        </row>
        <row r="19563">
          <cell r="C19563" t="str">
            <v>PV</v>
          </cell>
          <cell r="D19563">
            <v>5</v>
          </cell>
          <cell r="H19563" t="str">
            <v>solar PV</v>
          </cell>
        </row>
        <row r="19564">
          <cell r="C19564" t="str">
            <v>PV</v>
          </cell>
          <cell r="D19564">
            <v>5</v>
          </cell>
          <cell r="H19564" t="str">
            <v>solar PV</v>
          </cell>
        </row>
        <row r="19565">
          <cell r="C19565" t="str">
            <v>PV</v>
          </cell>
          <cell r="D19565">
            <v>5</v>
          </cell>
          <cell r="H19565" t="str">
            <v>solar PV</v>
          </cell>
        </row>
        <row r="19566">
          <cell r="C19566" t="str">
            <v>PV</v>
          </cell>
          <cell r="D19566">
            <v>2</v>
          </cell>
          <cell r="H19566" t="str">
            <v>solar PV</v>
          </cell>
        </row>
        <row r="19567">
          <cell r="C19567" t="str">
            <v>PV</v>
          </cell>
          <cell r="D19567">
            <v>2</v>
          </cell>
          <cell r="H19567" t="str">
            <v>solar PV</v>
          </cell>
        </row>
        <row r="19568">
          <cell r="C19568" t="str">
            <v>IC</v>
          </cell>
          <cell r="D19568">
            <v>1.4</v>
          </cell>
          <cell r="H19568" t="str">
            <v>biomass</v>
          </cell>
        </row>
        <row r="19569">
          <cell r="C19569" t="str">
            <v>IC</v>
          </cell>
          <cell r="D19569">
            <v>1.4</v>
          </cell>
          <cell r="H19569" t="str">
            <v>biomass</v>
          </cell>
        </row>
        <row r="19570">
          <cell r="C19570" t="str">
            <v>PV</v>
          </cell>
          <cell r="D19570">
            <v>81</v>
          </cell>
          <cell r="H19570" t="str">
            <v>solar PV</v>
          </cell>
        </row>
        <row r="19571">
          <cell r="C19571" t="str">
            <v>PV</v>
          </cell>
          <cell r="D19571">
            <v>48</v>
          </cell>
          <cell r="H19571" t="str">
            <v>solar PV</v>
          </cell>
        </row>
        <row r="19572">
          <cell r="C19572" t="str">
            <v>PV</v>
          </cell>
          <cell r="D19572">
            <v>5</v>
          </cell>
          <cell r="H19572" t="str">
            <v>solar PV</v>
          </cell>
        </row>
        <row r="19573">
          <cell r="C19573" t="str">
            <v>PV</v>
          </cell>
          <cell r="D19573">
            <v>5</v>
          </cell>
          <cell r="H19573" t="str">
            <v>solar PV</v>
          </cell>
        </row>
        <row r="19574">
          <cell r="C19574" t="str">
            <v>PV</v>
          </cell>
          <cell r="D19574">
            <v>5</v>
          </cell>
          <cell r="H19574" t="str">
            <v>solar PV</v>
          </cell>
        </row>
        <row r="19575">
          <cell r="C19575" t="str">
            <v>PV</v>
          </cell>
          <cell r="D19575">
            <v>3</v>
          </cell>
          <cell r="H19575" t="str">
            <v>solar PV</v>
          </cell>
        </row>
        <row r="19576">
          <cell r="C19576" t="str">
            <v>PV</v>
          </cell>
          <cell r="D19576">
            <v>4</v>
          </cell>
          <cell r="H19576" t="str">
            <v>solar PV</v>
          </cell>
        </row>
        <row r="19577">
          <cell r="C19577" t="str">
            <v>PV</v>
          </cell>
          <cell r="D19577">
            <v>3.3</v>
          </cell>
          <cell r="H19577" t="str">
            <v>solar PV</v>
          </cell>
        </row>
        <row r="19578">
          <cell r="C19578" t="str">
            <v>PV</v>
          </cell>
          <cell r="D19578">
            <v>9.9</v>
          </cell>
          <cell r="H19578" t="str">
            <v>solar PV</v>
          </cell>
        </row>
        <row r="19579">
          <cell r="C19579" t="str">
            <v>PV</v>
          </cell>
          <cell r="D19579">
            <v>9.3000000000000007</v>
          </cell>
          <cell r="H19579" t="str">
            <v>solar PV</v>
          </cell>
        </row>
        <row r="19580">
          <cell r="C19580" t="str">
            <v>PV</v>
          </cell>
          <cell r="D19580">
            <v>10.5</v>
          </cell>
          <cell r="H19580" t="str">
            <v>solar PV</v>
          </cell>
        </row>
        <row r="19581">
          <cell r="C19581" t="str">
            <v>PV</v>
          </cell>
          <cell r="D19581">
            <v>9.9</v>
          </cell>
          <cell r="H19581" t="str">
            <v>solar PV</v>
          </cell>
        </row>
        <row r="19582">
          <cell r="C19582" t="str">
            <v>PV</v>
          </cell>
          <cell r="D19582">
            <v>2</v>
          </cell>
          <cell r="H19582" t="str">
            <v>solar PV</v>
          </cell>
        </row>
        <row r="19583">
          <cell r="C19583" t="str">
            <v>PV</v>
          </cell>
          <cell r="D19583">
            <v>1.9</v>
          </cell>
          <cell r="H19583" t="str">
            <v>solar PV</v>
          </cell>
        </row>
        <row r="19584">
          <cell r="C19584" t="str">
            <v>PV</v>
          </cell>
          <cell r="D19584">
            <v>1.2</v>
          </cell>
          <cell r="H19584" t="str">
            <v>solar PV</v>
          </cell>
        </row>
        <row r="19585">
          <cell r="C19585" t="str">
            <v>PV</v>
          </cell>
          <cell r="D19585">
            <v>5</v>
          </cell>
          <cell r="H19585" t="str">
            <v>solar PV</v>
          </cell>
        </row>
        <row r="19586">
          <cell r="C19586" t="str">
            <v>PV</v>
          </cell>
          <cell r="D19586">
            <v>5</v>
          </cell>
          <cell r="H19586" t="str">
            <v>solar PV</v>
          </cell>
        </row>
        <row r="19587">
          <cell r="C19587" t="str">
            <v>PV</v>
          </cell>
          <cell r="D19587">
            <v>5</v>
          </cell>
          <cell r="H19587" t="str">
            <v>solar PV</v>
          </cell>
        </row>
        <row r="19588">
          <cell r="C19588" t="str">
            <v>WT</v>
          </cell>
          <cell r="D19588">
            <v>50.4</v>
          </cell>
          <cell r="H19588" t="str">
            <v>onshore wind</v>
          </cell>
        </row>
        <row r="19589">
          <cell r="C19589" t="str">
            <v>BA</v>
          </cell>
          <cell r="D19589">
            <v>2</v>
          </cell>
          <cell r="H19589" t="str">
            <v>other</v>
          </cell>
        </row>
        <row r="19590">
          <cell r="C19590" t="str">
            <v>WT</v>
          </cell>
          <cell r="D19590">
            <v>149.30000000000001</v>
          </cell>
          <cell r="H19590" t="str">
            <v>onshore wind</v>
          </cell>
        </row>
        <row r="19591">
          <cell r="C19591" t="str">
            <v>WT</v>
          </cell>
          <cell r="D19591">
            <v>200</v>
          </cell>
          <cell r="H19591" t="str">
            <v>onshore wind</v>
          </cell>
        </row>
        <row r="19592">
          <cell r="C19592" t="str">
            <v>PV</v>
          </cell>
          <cell r="D19592">
            <v>1</v>
          </cell>
          <cell r="H19592" t="str">
            <v>solar PV</v>
          </cell>
        </row>
        <row r="19593">
          <cell r="C19593" t="str">
            <v>IC</v>
          </cell>
          <cell r="D19593">
            <v>0.8</v>
          </cell>
          <cell r="H19593" t="str">
            <v>biomass</v>
          </cell>
        </row>
        <row r="19594">
          <cell r="C19594" t="str">
            <v>IC</v>
          </cell>
          <cell r="D19594">
            <v>0.8</v>
          </cell>
          <cell r="H19594" t="str">
            <v>biomass</v>
          </cell>
        </row>
        <row r="19595">
          <cell r="C19595" t="str">
            <v>IC</v>
          </cell>
          <cell r="D19595">
            <v>0.3</v>
          </cell>
          <cell r="H19595" t="str">
            <v>biomass</v>
          </cell>
        </row>
        <row r="19596">
          <cell r="C19596" t="str">
            <v>IC</v>
          </cell>
          <cell r="D19596">
            <v>0.3</v>
          </cell>
          <cell r="H19596" t="str">
            <v>biomass</v>
          </cell>
        </row>
        <row r="19597">
          <cell r="C19597" t="str">
            <v>IC</v>
          </cell>
          <cell r="D19597">
            <v>0.3</v>
          </cell>
          <cell r="H19597" t="str">
            <v>biomass</v>
          </cell>
        </row>
        <row r="19598">
          <cell r="C19598" t="str">
            <v>IC</v>
          </cell>
          <cell r="D19598">
            <v>0.3</v>
          </cell>
          <cell r="H19598" t="str">
            <v>biomass</v>
          </cell>
        </row>
        <row r="19599">
          <cell r="C19599" t="str">
            <v>IC</v>
          </cell>
          <cell r="D19599">
            <v>0.3</v>
          </cell>
          <cell r="H19599" t="str">
            <v>biomass</v>
          </cell>
        </row>
        <row r="19600">
          <cell r="C19600" t="str">
            <v>IC</v>
          </cell>
          <cell r="D19600">
            <v>0.3</v>
          </cell>
          <cell r="H19600" t="str">
            <v>biomass</v>
          </cell>
        </row>
        <row r="19601">
          <cell r="C19601" t="str">
            <v>IC</v>
          </cell>
          <cell r="D19601">
            <v>0.3</v>
          </cell>
          <cell r="H19601" t="str">
            <v>biomass</v>
          </cell>
        </row>
        <row r="19602">
          <cell r="C19602" t="str">
            <v>IC</v>
          </cell>
          <cell r="D19602">
            <v>0.3</v>
          </cell>
          <cell r="H19602" t="str">
            <v>biomass</v>
          </cell>
        </row>
        <row r="19603">
          <cell r="C19603" t="str">
            <v>IC</v>
          </cell>
          <cell r="D19603">
            <v>0.3</v>
          </cell>
          <cell r="H19603" t="str">
            <v>biomass</v>
          </cell>
        </row>
        <row r="19604">
          <cell r="C19604" t="str">
            <v>IC</v>
          </cell>
          <cell r="D19604">
            <v>0.3</v>
          </cell>
          <cell r="H19604" t="str">
            <v>biomass</v>
          </cell>
        </row>
        <row r="19605">
          <cell r="C19605" t="str">
            <v>IC</v>
          </cell>
          <cell r="D19605">
            <v>0.3</v>
          </cell>
          <cell r="H19605" t="str">
            <v>biomass</v>
          </cell>
        </row>
        <row r="19606">
          <cell r="C19606" t="str">
            <v>IC</v>
          </cell>
          <cell r="D19606">
            <v>0.3</v>
          </cell>
          <cell r="H19606" t="str">
            <v>biomass</v>
          </cell>
        </row>
        <row r="19607">
          <cell r="C19607" t="str">
            <v>FC</v>
          </cell>
          <cell r="D19607">
            <v>1</v>
          </cell>
          <cell r="H19607" t="str">
            <v>other</v>
          </cell>
        </row>
        <row r="19608">
          <cell r="C19608" t="str">
            <v>FC</v>
          </cell>
          <cell r="D19608">
            <v>1</v>
          </cell>
          <cell r="H19608" t="str">
            <v>other</v>
          </cell>
        </row>
        <row r="19609">
          <cell r="C19609" t="str">
            <v>PV</v>
          </cell>
          <cell r="D19609">
            <v>2.5</v>
          </cell>
          <cell r="H19609" t="str">
            <v>solar PV</v>
          </cell>
        </row>
        <row r="19610">
          <cell r="C19610" t="str">
            <v>PV</v>
          </cell>
          <cell r="D19610">
            <v>10.8</v>
          </cell>
          <cell r="H19610" t="str">
            <v>solar PV</v>
          </cell>
        </row>
        <row r="19611">
          <cell r="C19611" t="str">
            <v>PV</v>
          </cell>
          <cell r="D19611">
            <v>1.4</v>
          </cell>
          <cell r="H19611" t="str">
            <v>solar PV</v>
          </cell>
        </row>
        <row r="19612">
          <cell r="C19612" t="str">
            <v>PV</v>
          </cell>
          <cell r="D19612">
            <v>1</v>
          </cell>
          <cell r="H19612" t="str">
            <v>solar PV</v>
          </cell>
        </row>
        <row r="19613">
          <cell r="C19613" t="str">
            <v>PV</v>
          </cell>
          <cell r="D19613">
            <v>1.5</v>
          </cell>
          <cell r="H19613" t="str">
            <v>solar PV</v>
          </cell>
        </row>
        <row r="19614">
          <cell r="C19614" t="str">
            <v>PV</v>
          </cell>
          <cell r="D19614">
            <v>1.8</v>
          </cell>
          <cell r="H19614" t="str">
            <v>solar PV</v>
          </cell>
        </row>
        <row r="19615">
          <cell r="C19615" t="str">
            <v>BA</v>
          </cell>
          <cell r="D19615">
            <v>2</v>
          </cell>
          <cell r="H19615" t="str">
            <v>other</v>
          </cell>
        </row>
        <row r="19616">
          <cell r="C19616" t="str">
            <v>PV</v>
          </cell>
          <cell r="D19616">
            <v>4.5</v>
          </cell>
          <cell r="H19616" t="str">
            <v>solar PV</v>
          </cell>
        </row>
        <row r="19617">
          <cell r="C19617" t="str">
            <v>PV</v>
          </cell>
          <cell r="D19617">
            <v>2</v>
          </cell>
          <cell r="H19617" t="str">
            <v>solar PV</v>
          </cell>
        </row>
        <row r="19618">
          <cell r="C19618" t="str">
            <v>PV</v>
          </cell>
          <cell r="D19618">
            <v>185</v>
          </cell>
          <cell r="H19618" t="str">
            <v>solar PV</v>
          </cell>
        </row>
        <row r="19619">
          <cell r="C19619" t="str">
            <v>IC</v>
          </cell>
          <cell r="D19619">
            <v>2</v>
          </cell>
          <cell r="H19619" t="str">
            <v>petroleum</v>
          </cell>
        </row>
        <row r="19620">
          <cell r="C19620" t="str">
            <v>IC</v>
          </cell>
          <cell r="D19620">
            <v>2</v>
          </cell>
          <cell r="H19620" t="str">
            <v>petroleum</v>
          </cell>
        </row>
        <row r="19621">
          <cell r="C19621" t="str">
            <v>IC</v>
          </cell>
          <cell r="D19621">
            <v>2</v>
          </cell>
          <cell r="H19621" t="str">
            <v>petroleum</v>
          </cell>
        </row>
        <row r="19622">
          <cell r="C19622" t="str">
            <v>IC</v>
          </cell>
          <cell r="D19622">
            <v>2</v>
          </cell>
          <cell r="H19622" t="str">
            <v>petroleum</v>
          </cell>
        </row>
        <row r="19623">
          <cell r="C19623" t="str">
            <v>IC</v>
          </cell>
          <cell r="D19623">
            <v>2</v>
          </cell>
          <cell r="H19623" t="str">
            <v>petroleum</v>
          </cell>
        </row>
        <row r="19624">
          <cell r="C19624" t="str">
            <v>IC</v>
          </cell>
          <cell r="D19624">
            <v>2</v>
          </cell>
          <cell r="H19624" t="str">
            <v>petroleum</v>
          </cell>
        </row>
        <row r="19625">
          <cell r="C19625" t="str">
            <v>PV</v>
          </cell>
          <cell r="D19625">
            <v>30</v>
          </cell>
          <cell r="H19625" t="str">
            <v>solar PV</v>
          </cell>
        </row>
        <row r="19626">
          <cell r="C19626" t="str">
            <v>PV</v>
          </cell>
          <cell r="D19626">
            <v>5.2</v>
          </cell>
          <cell r="H19626" t="str">
            <v>solar PV</v>
          </cell>
        </row>
        <row r="19627">
          <cell r="C19627" t="str">
            <v>PV</v>
          </cell>
          <cell r="D19627">
            <v>5.2</v>
          </cell>
          <cell r="H19627" t="str">
            <v>solar PV</v>
          </cell>
        </row>
        <row r="19628">
          <cell r="C19628" t="str">
            <v>PV</v>
          </cell>
          <cell r="D19628">
            <v>4.9000000000000004</v>
          </cell>
          <cell r="H19628" t="str">
            <v>solar PV</v>
          </cell>
        </row>
        <row r="19629">
          <cell r="C19629" t="str">
            <v>IC</v>
          </cell>
          <cell r="D19629">
            <v>1.2</v>
          </cell>
          <cell r="H19629" t="str">
            <v>biomass</v>
          </cell>
        </row>
        <row r="19630">
          <cell r="C19630" t="str">
            <v>IC</v>
          </cell>
          <cell r="D19630">
            <v>1.2</v>
          </cell>
          <cell r="H19630" t="str">
            <v>biomass</v>
          </cell>
        </row>
        <row r="19631">
          <cell r="C19631" t="str">
            <v>PV</v>
          </cell>
          <cell r="D19631">
            <v>10</v>
          </cell>
          <cell r="H19631" t="str">
            <v>solar PV</v>
          </cell>
        </row>
        <row r="19632">
          <cell r="C19632" t="str">
            <v>IC</v>
          </cell>
          <cell r="D19632">
            <v>0.4</v>
          </cell>
          <cell r="H19632" t="str">
            <v>petroleum</v>
          </cell>
        </row>
        <row r="19633">
          <cell r="C19633" t="str">
            <v>IC</v>
          </cell>
          <cell r="D19633">
            <v>0.3</v>
          </cell>
          <cell r="H19633" t="str">
            <v>petroleum</v>
          </cell>
        </row>
        <row r="19634">
          <cell r="C19634" t="str">
            <v>IC</v>
          </cell>
          <cell r="D19634">
            <v>0.4</v>
          </cell>
          <cell r="H19634" t="str">
            <v>petroleum</v>
          </cell>
        </row>
        <row r="19635">
          <cell r="C19635" t="str">
            <v>IC</v>
          </cell>
          <cell r="D19635">
            <v>0.5</v>
          </cell>
          <cell r="H19635" t="str">
            <v>petroleum</v>
          </cell>
        </row>
        <row r="19636">
          <cell r="C19636" t="str">
            <v>IC</v>
          </cell>
          <cell r="D19636">
            <v>0.4</v>
          </cell>
          <cell r="H19636" t="str">
            <v>petroleum</v>
          </cell>
        </row>
        <row r="19637">
          <cell r="C19637" t="str">
            <v>IC</v>
          </cell>
          <cell r="D19637">
            <v>0.2</v>
          </cell>
          <cell r="H19637" t="str">
            <v>petroleum</v>
          </cell>
        </row>
        <row r="19638">
          <cell r="C19638" t="str">
            <v>IC</v>
          </cell>
          <cell r="D19638">
            <v>0.4</v>
          </cell>
          <cell r="H19638" t="str">
            <v>petroleum</v>
          </cell>
        </row>
        <row r="19639">
          <cell r="C19639" t="str">
            <v>IC</v>
          </cell>
          <cell r="D19639">
            <v>0.5</v>
          </cell>
          <cell r="H19639" t="str">
            <v>petroleum</v>
          </cell>
        </row>
        <row r="19640">
          <cell r="C19640" t="str">
            <v>IC</v>
          </cell>
          <cell r="D19640">
            <v>0.5</v>
          </cell>
          <cell r="H19640" t="str">
            <v>petroleum</v>
          </cell>
        </row>
        <row r="19641">
          <cell r="C19641" t="str">
            <v>PV</v>
          </cell>
          <cell r="D19641">
            <v>4</v>
          </cell>
          <cell r="H19641" t="str">
            <v>solar PV</v>
          </cell>
        </row>
        <row r="19642">
          <cell r="C19642" t="str">
            <v>PV</v>
          </cell>
          <cell r="D19642">
            <v>4</v>
          </cell>
          <cell r="H19642" t="str">
            <v>solar PV</v>
          </cell>
        </row>
        <row r="19643">
          <cell r="C19643" t="str">
            <v>IC</v>
          </cell>
          <cell r="D19643">
            <v>1.2</v>
          </cell>
          <cell r="H19643" t="str">
            <v>biomass</v>
          </cell>
        </row>
        <row r="19644">
          <cell r="C19644" t="str">
            <v>IC</v>
          </cell>
          <cell r="D19644">
            <v>4.4000000000000004</v>
          </cell>
          <cell r="H19644" t="str">
            <v>petroleum</v>
          </cell>
        </row>
        <row r="19645">
          <cell r="C19645" t="str">
            <v>IC</v>
          </cell>
          <cell r="D19645">
            <v>2</v>
          </cell>
          <cell r="H19645" t="str">
            <v>petroleum</v>
          </cell>
        </row>
        <row r="19646">
          <cell r="C19646" t="str">
            <v>IC</v>
          </cell>
          <cell r="D19646">
            <v>2</v>
          </cell>
          <cell r="H19646" t="str">
            <v>petroleum</v>
          </cell>
        </row>
        <row r="19647">
          <cell r="C19647" t="str">
            <v>PV</v>
          </cell>
          <cell r="D19647">
            <v>2</v>
          </cell>
          <cell r="H19647" t="str">
            <v>solar PV</v>
          </cell>
        </row>
        <row r="19648">
          <cell r="C19648" t="str">
            <v>PV</v>
          </cell>
          <cell r="D19648">
            <v>4</v>
          </cell>
          <cell r="H19648" t="str">
            <v>solar PV</v>
          </cell>
        </row>
        <row r="19649">
          <cell r="C19649" t="str">
            <v>PV</v>
          </cell>
          <cell r="D19649">
            <v>5</v>
          </cell>
          <cell r="H19649" t="str">
            <v>solar PV</v>
          </cell>
        </row>
        <row r="19650">
          <cell r="C19650" t="str">
            <v>IC</v>
          </cell>
          <cell r="D19650">
            <v>9.6999999999999993</v>
          </cell>
          <cell r="H19650" t="str">
            <v>natural gas peaker</v>
          </cell>
        </row>
        <row r="19651">
          <cell r="C19651" t="str">
            <v>IC</v>
          </cell>
          <cell r="D19651">
            <v>9.6999999999999993</v>
          </cell>
          <cell r="H19651" t="str">
            <v>natural gas peaker</v>
          </cell>
        </row>
        <row r="19652">
          <cell r="C19652" t="str">
            <v>IC</v>
          </cell>
          <cell r="D19652">
            <v>9.6999999999999993</v>
          </cell>
          <cell r="H19652" t="str">
            <v>natural gas peaker</v>
          </cell>
        </row>
        <row r="19653">
          <cell r="C19653" t="str">
            <v>IC</v>
          </cell>
          <cell r="D19653">
            <v>9.6999999999999993</v>
          </cell>
          <cell r="H19653" t="str">
            <v>natural gas peaker</v>
          </cell>
        </row>
        <row r="19654">
          <cell r="C19654" t="str">
            <v>PV</v>
          </cell>
          <cell r="D19654">
            <v>2</v>
          </cell>
          <cell r="H19654" t="str">
            <v>solar PV</v>
          </cell>
        </row>
        <row r="19655">
          <cell r="C19655" t="str">
            <v>PV</v>
          </cell>
          <cell r="D19655">
            <v>1</v>
          </cell>
          <cell r="H19655" t="str">
            <v>solar PV</v>
          </cell>
        </row>
        <row r="19656">
          <cell r="C19656" t="str">
            <v>WT</v>
          </cell>
          <cell r="D19656">
            <v>198</v>
          </cell>
          <cell r="H19656" t="str">
            <v>onshore wind</v>
          </cell>
        </row>
        <row r="19657">
          <cell r="C19657" t="str">
            <v>PV</v>
          </cell>
          <cell r="D19657">
            <v>5</v>
          </cell>
          <cell r="H19657" t="str">
            <v>solar PV</v>
          </cell>
        </row>
        <row r="19658">
          <cell r="C19658" t="str">
            <v>PV</v>
          </cell>
          <cell r="D19658">
            <v>28.1</v>
          </cell>
          <cell r="H19658" t="str">
            <v>solar PV</v>
          </cell>
        </row>
        <row r="19659">
          <cell r="C19659" t="str">
            <v>WT</v>
          </cell>
          <cell r="D19659">
            <v>80</v>
          </cell>
          <cell r="H19659" t="str">
            <v>onshore wind</v>
          </cell>
        </row>
        <row r="19660">
          <cell r="C19660" t="str">
            <v>IC</v>
          </cell>
          <cell r="D19660">
            <v>0.2</v>
          </cell>
          <cell r="H19660" t="str">
            <v>petroleum</v>
          </cell>
        </row>
        <row r="19661">
          <cell r="C19661" t="str">
            <v>IC</v>
          </cell>
          <cell r="D19661">
            <v>0.4</v>
          </cell>
          <cell r="H19661" t="str">
            <v>petroleum</v>
          </cell>
        </row>
        <row r="19662">
          <cell r="C19662" t="str">
            <v>IC</v>
          </cell>
          <cell r="D19662">
            <v>0.4</v>
          </cell>
          <cell r="H19662" t="str">
            <v>petroleum</v>
          </cell>
        </row>
        <row r="19663">
          <cell r="C19663" t="str">
            <v>PV</v>
          </cell>
          <cell r="D19663">
            <v>100</v>
          </cell>
          <cell r="H19663" t="str">
            <v>solar PV</v>
          </cell>
        </row>
        <row r="19664">
          <cell r="C19664" t="str">
            <v>WT</v>
          </cell>
          <cell r="D19664">
            <v>73.400000000000006</v>
          </cell>
          <cell r="H19664" t="str">
            <v>onshore wind</v>
          </cell>
        </row>
        <row r="19665">
          <cell r="C19665" t="str">
            <v>IC</v>
          </cell>
          <cell r="D19665">
            <v>0.8</v>
          </cell>
          <cell r="H19665" t="str">
            <v>biomass</v>
          </cell>
        </row>
        <row r="19666">
          <cell r="C19666" t="str">
            <v>IC</v>
          </cell>
          <cell r="D19666">
            <v>0.8</v>
          </cell>
          <cell r="H19666" t="str">
            <v>biomass</v>
          </cell>
        </row>
        <row r="19667">
          <cell r="C19667" t="str">
            <v>GT</v>
          </cell>
          <cell r="D19667">
            <v>54</v>
          </cell>
          <cell r="H19667" t="str">
            <v>natural gas peaker</v>
          </cell>
        </row>
        <row r="19668">
          <cell r="C19668" t="str">
            <v>GT</v>
          </cell>
          <cell r="D19668">
            <v>54</v>
          </cell>
          <cell r="H19668" t="str">
            <v>natural gas peaker</v>
          </cell>
        </row>
        <row r="19669">
          <cell r="C19669" t="str">
            <v>GT</v>
          </cell>
          <cell r="D19669">
            <v>54</v>
          </cell>
          <cell r="H19669" t="str">
            <v>natural gas peaker</v>
          </cell>
        </row>
        <row r="19670">
          <cell r="C19670" t="str">
            <v>GT</v>
          </cell>
          <cell r="D19670">
            <v>54</v>
          </cell>
          <cell r="H19670" t="str">
            <v>natural gas peaker</v>
          </cell>
        </row>
        <row r="19671">
          <cell r="C19671" t="str">
            <v>GT</v>
          </cell>
          <cell r="D19671">
            <v>54</v>
          </cell>
          <cell r="H19671" t="str">
            <v>natural gas peaker</v>
          </cell>
        </row>
        <row r="19672">
          <cell r="C19672" t="str">
            <v>GT</v>
          </cell>
          <cell r="D19672">
            <v>54</v>
          </cell>
          <cell r="H19672" t="str">
            <v>natural gas peaker</v>
          </cell>
        </row>
        <row r="19673">
          <cell r="C19673" t="str">
            <v>PV</v>
          </cell>
          <cell r="D19673">
            <v>4.7</v>
          </cell>
          <cell r="H19673" t="str">
            <v>solar PV</v>
          </cell>
        </row>
        <row r="19674">
          <cell r="C19674" t="str">
            <v>PV</v>
          </cell>
          <cell r="D19674">
            <v>6.2</v>
          </cell>
          <cell r="H19674" t="str">
            <v>solar PV</v>
          </cell>
        </row>
        <row r="19675">
          <cell r="C19675" t="str">
            <v>PV</v>
          </cell>
          <cell r="D19675">
            <v>2.8</v>
          </cell>
          <cell r="H19675" t="str">
            <v>solar PV</v>
          </cell>
        </row>
        <row r="19676">
          <cell r="C19676" t="str">
            <v>WT</v>
          </cell>
          <cell r="D19676">
            <v>148.4</v>
          </cell>
          <cell r="H19676" t="str">
            <v>onshore wind</v>
          </cell>
        </row>
        <row r="19677">
          <cell r="C19677" t="str">
            <v>PV</v>
          </cell>
          <cell r="D19677">
            <v>2</v>
          </cell>
          <cell r="H19677" t="str">
            <v>solar PV</v>
          </cell>
        </row>
        <row r="19678">
          <cell r="C19678" t="str">
            <v>PV</v>
          </cell>
          <cell r="D19678">
            <v>2</v>
          </cell>
          <cell r="H19678" t="str">
            <v>solar PV</v>
          </cell>
        </row>
        <row r="19679">
          <cell r="C19679" t="str">
            <v>GT</v>
          </cell>
          <cell r="D19679">
            <v>3.8</v>
          </cell>
          <cell r="H19679" t="str">
            <v>natural gas peaker</v>
          </cell>
        </row>
        <row r="19680">
          <cell r="C19680" t="str">
            <v>PV</v>
          </cell>
          <cell r="D19680">
            <v>1.5</v>
          </cell>
          <cell r="H19680" t="str">
            <v>solar PV</v>
          </cell>
        </row>
        <row r="19681">
          <cell r="C19681" t="str">
            <v>PV</v>
          </cell>
          <cell r="D19681">
            <v>1.9</v>
          </cell>
          <cell r="H19681" t="str">
            <v>solar PV</v>
          </cell>
        </row>
        <row r="19682">
          <cell r="C19682" t="str">
            <v>PV</v>
          </cell>
          <cell r="D19682">
            <v>19</v>
          </cell>
          <cell r="H19682" t="str">
            <v>solar PV</v>
          </cell>
        </row>
        <row r="19683">
          <cell r="C19683" t="str">
            <v>PV</v>
          </cell>
          <cell r="D19683">
            <v>19</v>
          </cell>
          <cell r="H19683" t="str">
            <v>solar PV</v>
          </cell>
        </row>
        <row r="19684">
          <cell r="C19684" t="str">
            <v>PV</v>
          </cell>
          <cell r="D19684">
            <v>3</v>
          </cell>
          <cell r="H19684" t="str">
            <v>solar PV</v>
          </cell>
        </row>
        <row r="19685">
          <cell r="C19685" t="str">
            <v>PV</v>
          </cell>
          <cell r="D19685">
            <v>7.8</v>
          </cell>
          <cell r="H19685" t="str">
            <v>solar PV</v>
          </cell>
        </row>
        <row r="19686">
          <cell r="C19686" t="str">
            <v>PV</v>
          </cell>
          <cell r="D19686">
            <v>4.9000000000000004</v>
          </cell>
          <cell r="H19686" t="str">
            <v>solar PV</v>
          </cell>
        </row>
        <row r="19687">
          <cell r="C19687" t="str">
            <v>PV</v>
          </cell>
          <cell r="D19687">
            <v>30</v>
          </cell>
          <cell r="H19687" t="str">
            <v>solar PV</v>
          </cell>
        </row>
        <row r="19688">
          <cell r="C19688" t="str">
            <v>PV</v>
          </cell>
          <cell r="D19688">
            <v>4.9000000000000004</v>
          </cell>
          <cell r="H19688" t="str">
            <v>solar PV</v>
          </cell>
        </row>
        <row r="19689">
          <cell r="C19689" t="str">
            <v>PV</v>
          </cell>
          <cell r="D19689">
            <v>4.9000000000000004</v>
          </cell>
          <cell r="H19689" t="str">
            <v>solar PV</v>
          </cell>
        </row>
        <row r="19690">
          <cell r="C19690" t="str">
            <v>PV</v>
          </cell>
          <cell r="D19690">
            <v>10.199999999999999</v>
          </cell>
          <cell r="H19690" t="str">
            <v>solar PV</v>
          </cell>
        </row>
        <row r="19691">
          <cell r="C19691" t="str">
            <v>BA</v>
          </cell>
          <cell r="D19691">
            <v>10</v>
          </cell>
          <cell r="H19691" t="str">
            <v>other</v>
          </cell>
        </row>
        <row r="19692">
          <cell r="C19692" t="str">
            <v>BA</v>
          </cell>
          <cell r="D19692">
            <v>7</v>
          </cell>
          <cell r="H19692" t="str">
            <v>other</v>
          </cell>
        </row>
        <row r="19693">
          <cell r="C19693" t="str">
            <v>PV</v>
          </cell>
          <cell r="D19693">
            <v>3</v>
          </cell>
          <cell r="H19693" t="str">
            <v>solar PV</v>
          </cell>
        </row>
        <row r="19694">
          <cell r="C19694" t="str">
            <v>PV</v>
          </cell>
          <cell r="D19694">
            <v>5</v>
          </cell>
          <cell r="H19694" t="str">
            <v>solar PV</v>
          </cell>
        </row>
        <row r="19695">
          <cell r="C19695" t="str">
            <v>CA</v>
          </cell>
          <cell r="D19695">
            <v>327</v>
          </cell>
          <cell r="H19695" t="str">
            <v>natural gas nonpeaker</v>
          </cell>
        </row>
        <row r="19696">
          <cell r="C19696" t="str">
            <v>CT</v>
          </cell>
          <cell r="D19696">
            <v>214</v>
          </cell>
          <cell r="H19696" t="str">
            <v>natural gas nonpeaker</v>
          </cell>
        </row>
        <row r="19697">
          <cell r="C19697" t="str">
            <v>CT</v>
          </cell>
          <cell r="D19697">
            <v>214</v>
          </cell>
          <cell r="H19697" t="str">
            <v>natural gas nonpeaker</v>
          </cell>
        </row>
        <row r="19698">
          <cell r="C19698" t="str">
            <v>PV</v>
          </cell>
          <cell r="D19698">
            <v>52</v>
          </cell>
          <cell r="H19698" t="str">
            <v>solar PV</v>
          </cell>
        </row>
        <row r="19699">
          <cell r="C19699" t="str">
            <v>PV</v>
          </cell>
          <cell r="D19699">
            <v>30</v>
          </cell>
          <cell r="H19699" t="str">
            <v>solar PV</v>
          </cell>
        </row>
        <row r="19700">
          <cell r="C19700" t="str">
            <v>PV</v>
          </cell>
          <cell r="D19700">
            <v>52</v>
          </cell>
          <cell r="H19700" t="str">
            <v>solar PV</v>
          </cell>
        </row>
        <row r="19701">
          <cell r="C19701" t="str">
            <v>PV</v>
          </cell>
          <cell r="D19701">
            <v>100</v>
          </cell>
          <cell r="H19701" t="str">
            <v>solar PV</v>
          </cell>
        </row>
        <row r="19702">
          <cell r="C19702" t="str">
            <v>PV</v>
          </cell>
          <cell r="D19702">
            <v>150</v>
          </cell>
          <cell r="H19702" t="str">
            <v>solar PV</v>
          </cell>
        </row>
        <row r="19703">
          <cell r="C19703" t="str">
            <v>PV</v>
          </cell>
          <cell r="D19703">
            <v>20</v>
          </cell>
          <cell r="H19703" t="str">
            <v>solar PV</v>
          </cell>
        </row>
        <row r="19704">
          <cell r="C19704" t="str">
            <v>PV</v>
          </cell>
          <cell r="D19704">
            <v>11.4</v>
          </cell>
          <cell r="H19704" t="str">
            <v>solar PV</v>
          </cell>
        </row>
        <row r="19705">
          <cell r="C19705" t="str">
            <v>PV</v>
          </cell>
          <cell r="D19705">
            <v>4.9000000000000004</v>
          </cell>
          <cell r="H19705" t="str">
            <v>solar PV</v>
          </cell>
        </row>
        <row r="19706">
          <cell r="C19706" t="str">
            <v>PV</v>
          </cell>
          <cell r="D19706">
            <v>4.9000000000000004</v>
          </cell>
          <cell r="H19706" t="str">
            <v>solar PV</v>
          </cell>
        </row>
        <row r="19707">
          <cell r="C19707" t="str">
            <v>WT</v>
          </cell>
          <cell r="D19707">
            <v>35.799999999999997</v>
          </cell>
          <cell r="H19707" t="str">
            <v>onshore wind</v>
          </cell>
        </row>
        <row r="19708">
          <cell r="C19708" t="str">
            <v>PV</v>
          </cell>
          <cell r="D19708">
            <v>20</v>
          </cell>
          <cell r="H19708" t="str">
            <v>solar PV</v>
          </cell>
        </row>
        <row r="19709">
          <cell r="C19709" t="str">
            <v>PV</v>
          </cell>
          <cell r="D19709">
            <v>6.8</v>
          </cell>
          <cell r="H19709" t="str">
            <v>solar PV</v>
          </cell>
        </row>
        <row r="19710">
          <cell r="C19710" t="str">
            <v>WT</v>
          </cell>
          <cell r="D19710">
            <v>220.5</v>
          </cell>
          <cell r="H19710" t="str">
            <v>onshore wind</v>
          </cell>
        </row>
        <row r="19711">
          <cell r="C19711" t="str">
            <v>PV</v>
          </cell>
          <cell r="D19711">
            <v>7.6</v>
          </cell>
          <cell r="H19711" t="str">
            <v>solar PV</v>
          </cell>
        </row>
        <row r="19712">
          <cell r="C19712" t="str">
            <v>PV</v>
          </cell>
          <cell r="D19712">
            <v>8</v>
          </cell>
          <cell r="H19712" t="str">
            <v>solar PV</v>
          </cell>
        </row>
        <row r="19713">
          <cell r="C19713" t="str">
            <v>PV</v>
          </cell>
          <cell r="D19713">
            <v>1.2</v>
          </cell>
          <cell r="H19713" t="str">
            <v>solar PV</v>
          </cell>
        </row>
        <row r="19714">
          <cell r="C19714" t="str">
            <v>PV</v>
          </cell>
          <cell r="D19714">
            <v>107.9</v>
          </cell>
          <cell r="H19714" t="str">
            <v>solar PV</v>
          </cell>
        </row>
        <row r="19715">
          <cell r="C19715" t="str">
            <v>WT</v>
          </cell>
          <cell r="D19715">
            <v>61.9</v>
          </cell>
          <cell r="H19715" t="str">
            <v>onshore wind</v>
          </cell>
        </row>
        <row r="19716">
          <cell r="C19716" t="str">
            <v>WT</v>
          </cell>
          <cell r="D19716">
            <v>108.7</v>
          </cell>
          <cell r="H19716" t="str">
            <v>onshore wind</v>
          </cell>
        </row>
        <row r="19717">
          <cell r="C19717" t="str">
            <v>WT</v>
          </cell>
          <cell r="D19717">
            <v>79.7</v>
          </cell>
          <cell r="H19717" t="str">
            <v>onshore wind</v>
          </cell>
        </row>
        <row r="19718">
          <cell r="C19718" t="str">
            <v>PV</v>
          </cell>
          <cell r="D19718">
            <v>1.9</v>
          </cell>
          <cell r="H19718" t="str">
            <v>solar PV</v>
          </cell>
        </row>
        <row r="19719">
          <cell r="C19719" t="str">
            <v>IC</v>
          </cell>
          <cell r="D19719">
            <v>8.4</v>
          </cell>
          <cell r="H19719" t="str">
            <v>biomass</v>
          </cell>
        </row>
        <row r="19720">
          <cell r="C19720" t="str">
            <v>IC</v>
          </cell>
          <cell r="D19720">
            <v>8.4</v>
          </cell>
          <cell r="H19720" t="str">
            <v>biomass</v>
          </cell>
        </row>
        <row r="19721">
          <cell r="C19721" t="str">
            <v>IC</v>
          </cell>
          <cell r="D19721">
            <v>8.4</v>
          </cell>
          <cell r="H19721" t="str">
            <v>biomass</v>
          </cell>
        </row>
        <row r="19722">
          <cell r="C19722" t="str">
            <v>IC</v>
          </cell>
          <cell r="D19722">
            <v>8.4</v>
          </cell>
          <cell r="H19722" t="str">
            <v>biomass</v>
          </cell>
        </row>
        <row r="19723">
          <cell r="C19723" t="str">
            <v>IC</v>
          </cell>
          <cell r="D19723">
            <v>8.4</v>
          </cell>
          <cell r="H19723" t="str">
            <v>biomass</v>
          </cell>
        </row>
        <row r="19724">
          <cell r="C19724" t="str">
            <v>IC</v>
          </cell>
          <cell r="D19724">
            <v>8.4</v>
          </cell>
          <cell r="H19724" t="str">
            <v>biomass</v>
          </cell>
        </row>
        <row r="19725">
          <cell r="C19725" t="str">
            <v>WT</v>
          </cell>
          <cell r="D19725">
            <v>38.299999999999997</v>
          </cell>
          <cell r="H19725" t="str">
            <v>onshore wind</v>
          </cell>
        </row>
        <row r="19726">
          <cell r="C19726" t="str">
            <v>PV</v>
          </cell>
          <cell r="D19726">
            <v>6</v>
          </cell>
          <cell r="H19726" t="str">
            <v>solar PV</v>
          </cell>
        </row>
        <row r="19727">
          <cell r="C19727" t="str">
            <v>PV</v>
          </cell>
          <cell r="D19727">
            <v>9</v>
          </cell>
          <cell r="H19727" t="str">
            <v>solar PV</v>
          </cell>
        </row>
        <row r="19728">
          <cell r="C19728" t="str">
            <v>PV</v>
          </cell>
          <cell r="D19728">
            <v>10</v>
          </cell>
          <cell r="H19728" t="str">
            <v>solar PV</v>
          </cell>
        </row>
        <row r="19729">
          <cell r="C19729" t="str">
            <v>PV</v>
          </cell>
          <cell r="D19729">
            <v>4.5</v>
          </cell>
          <cell r="H19729" t="str">
            <v>solar PV</v>
          </cell>
        </row>
        <row r="19730">
          <cell r="C19730" t="str">
            <v>PV</v>
          </cell>
          <cell r="D19730">
            <v>10</v>
          </cell>
          <cell r="H19730" t="str">
            <v>solar PV</v>
          </cell>
        </row>
        <row r="19731">
          <cell r="C19731" t="str">
            <v>PV</v>
          </cell>
          <cell r="D19731">
            <v>10</v>
          </cell>
          <cell r="H19731" t="str">
            <v>solar PV</v>
          </cell>
        </row>
        <row r="19732">
          <cell r="C19732" t="str">
            <v>PV</v>
          </cell>
          <cell r="D19732">
            <v>50</v>
          </cell>
          <cell r="H19732" t="str">
            <v>solar PV</v>
          </cell>
        </row>
        <row r="19733">
          <cell r="C19733" t="str">
            <v>PV</v>
          </cell>
          <cell r="D19733">
            <v>16</v>
          </cell>
          <cell r="H19733" t="str">
            <v>solar PV</v>
          </cell>
        </row>
        <row r="19734">
          <cell r="C19734" t="str">
            <v>WT</v>
          </cell>
          <cell r="D19734">
            <v>230</v>
          </cell>
          <cell r="H19734" t="str">
            <v>onshore wind</v>
          </cell>
        </row>
        <row r="19735">
          <cell r="C19735" t="str">
            <v>WT</v>
          </cell>
          <cell r="D19735">
            <v>230</v>
          </cell>
          <cell r="H19735" t="str">
            <v>onshore wind</v>
          </cell>
        </row>
        <row r="19736">
          <cell r="C19736" t="str">
            <v>ST</v>
          </cell>
          <cell r="D19736">
            <v>49.5</v>
          </cell>
          <cell r="H19736" t="str">
            <v>biomass</v>
          </cell>
        </row>
        <row r="19737">
          <cell r="C19737" t="str">
            <v>PV</v>
          </cell>
          <cell r="D19737">
            <v>1</v>
          </cell>
          <cell r="H19737" t="str">
            <v>solar PV</v>
          </cell>
        </row>
        <row r="19738">
          <cell r="C19738" t="str">
            <v>WT</v>
          </cell>
          <cell r="D19738">
            <v>61.1</v>
          </cell>
          <cell r="H19738" t="str">
            <v>onshore wind</v>
          </cell>
        </row>
        <row r="19739">
          <cell r="C19739" t="str">
            <v>WT</v>
          </cell>
          <cell r="D19739">
            <v>119.6</v>
          </cell>
          <cell r="H19739" t="str">
            <v>onshore wind</v>
          </cell>
        </row>
        <row r="19740">
          <cell r="C19740" t="str">
            <v>WT</v>
          </cell>
          <cell r="D19740">
            <v>92.8</v>
          </cell>
          <cell r="H19740" t="str">
            <v>onshore wind</v>
          </cell>
        </row>
        <row r="19741">
          <cell r="C19741" t="str">
            <v>WT</v>
          </cell>
          <cell r="D19741">
            <v>27.6</v>
          </cell>
          <cell r="H19741" t="str">
            <v>onshore wind</v>
          </cell>
        </row>
        <row r="19742">
          <cell r="C19742" t="str">
            <v>PV</v>
          </cell>
          <cell r="D19742">
            <v>2</v>
          </cell>
          <cell r="H19742" t="str">
            <v>solar PV</v>
          </cell>
        </row>
        <row r="19743">
          <cell r="C19743" t="str">
            <v>CT</v>
          </cell>
          <cell r="D19743">
            <v>376.6</v>
          </cell>
          <cell r="H19743" t="str">
            <v>natural gas nonpeaker</v>
          </cell>
        </row>
        <row r="19744">
          <cell r="C19744" t="str">
            <v>CT</v>
          </cell>
          <cell r="D19744">
            <v>376.6</v>
          </cell>
          <cell r="H19744" t="str">
            <v>natural gas nonpeaker</v>
          </cell>
        </row>
        <row r="19745">
          <cell r="C19745" t="str">
            <v>CT</v>
          </cell>
          <cell r="D19745">
            <v>376.6</v>
          </cell>
          <cell r="H19745" t="str">
            <v>natural gas nonpeaker</v>
          </cell>
        </row>
        <row r="19746">
          <cell r="C19746" t="str">
            <v>CA</v>
          </cell>
          <cell r="D19746">
            <v>593.29999999999995</v>
          </cell>
          <cell r="H19746" t="str">
            <v>natural gas nonpeaker</v>
          </cell>
        </row>
        <row r="19747">
          <cell r="C19747" t="str">
            <v>PV</v>
          </cell>
          <cell r="D19747">
            <v>28.4</v>
          </cell>
          <cell r="H19747" t="str">
            <v>solar PV</v>
          </cell>
        </row>
        <row r="19748">
          <cell r="C19748" t="str">
            <v>PV</v>
          </cell>
          <cell r="D19748">
            <v>19.600000000000001</v>
          </cell>
          <cell r="H19748" t="str">
            <v>solar PV</v>
          </cell>
        </row>
        <row r="19749">
          <cell r="C19749" t="str">
            <v>PV</v>
          </cell>
          <cell r="D19749">
            <v>2</v>
          </cell>
          <cell r="H19749" t="str">
            <v>solar PV</v>
          </cell>
        </row>
        <row r="19750">
          <cell r="C19750" t="str">
            <v>IC</v>
          </cell>
          <cell r="D19750">
            <v>0.6</v>
          </cell>
          <cell r="H19750" t="str">
            <v>biomass</v>
          </cell>
        </row>
        <row r="19751">
          <cell r="C19751" t="str">
            <v>IC</v>
          </cell>
          <cell r="D19751">
            <v>0.7</v>
          </cell>
          <cell r="H19751" t="str">
            <v>biomass</v>
          </cell>
        </row>
        <row r="19752">
          <cell r="C19752" t="str">
            <v>IC</v>
          </cell>
          <cell r="D19752">
            <v>0.9</v>
          </cell>
          <cell r="H19752" t="str">
            <v>biomass</v>
          </cell>
        </row>
        <row r="19753">
          <cell r="C19753" t="str">
            <v>PV</v>
          </cell>
          <cell r="D19753">
            <v>1.5</v>
          </cell>
          <cell r="H19753" t="str">
            <v>solar PV</v>
          </cell>
        </row>
        <row r="19754">
          <cell r="C19754" t="str">
            <v>PV</v>
          </cell>
          <cell r="D19754">
            <v>30</v>
          </cell>
          <cell r="H19754" t="str">
            <v>solar PV</v>
          </cell>
        </row>
        <row r="19755">
          <cell r="C19755" t="str">
            <v>PV</v>
          </cell>
          <cell r="D19755">
            <v>100</v>
          </cell>
          <cell r="H19755" t="str">
            <v>solar PV</v>
          </cell>
        </row>
        <row r="19756">
          <cell r="C19756" t="str">
            <v>PV</v>
          </cell>
          <cell r="D19756">
            <v>2</v>
          </cell>
          <cell r="H19756" t="str">
            <v>solar PV</v>
          </cell>
        </row>
        <row r="19757">
          <cell r="C19757" t="str">
            <v>WT</v>
          </cell>
          <cell r="D19757">
            <v>150</v>
          </cell>
          <cell r="H19757" t="str">
            <v>onshore wind</v>
          </cell>
        </row>
        <row r="19758">
          <cell r="C19758" t="str">
            <v>WT</v>
          </cell>
          <cell r="D19758">
            <v>150</v>
          </cell>
          <cell r="H19758" t="str">
            <v>onshore wind</v>
          </cell>
        </row>
        <row r="19759">
          <cell r="C19759" t="str">
            <v>CS</v>
          </cell>
          <cell r="D19759">
            <v>465</v>
          </cell>
          <cell r="H19759" t="str">
            <v>natural gas nonpeaker</v>
          </cell>
        </row>
        <row r="19760">
          <cell r="C19760" t="str">
            <v>CS</v>
          </cell>
          <cell r="D19760">
            <v>465</v>
          </cell>
          <cell r="H19760" t="str">
            <v>natural gas nonpeaker</v>
          </cell>
        </row>
        <row r="19761">
          <cell r="C19761" t="str">
            <v>CS</v>
          </cell>
          <cell r="D19761">
            <v>465</v>
          </cell>
          <cell r="H19761" t="str">
            <v>natural gas nonpeaker</v>
          </cell>
        </row>
        <row r="19762">
          <cell r="C19762" t="str">
            <v>PV</v>
          </cell>
          <cell r="D19762">
            <v>4.3</v>
          </cell>
          <cell r="H19762" t="str">
            <v>solar PV</v>
          </cell>
        </row>
        <row r="19763">
          <cell r="C19763" t="str">
            <v>PV</v>
          </cell>
          <cell r="D19763">
            <v>5</v>
          </cell>
          <cell r="H19763" t="str">
            <v>solar PV</v>
          </cell>
        </row>
        <row r="19764">
          <cell r="C19764" t="str">
            <v>PV</v>
          </cell>
          <cell r="D19764">
            <v>5.2</v>
          </cell>
          <cell r="H19764" t="str">
            <v>solar PV</v>
          </cell>
        </row>
        <row r="19765">
          <cell r="C19765" t="str">
            <v>IC</v>
          </cell>
          <cell r="D19765">
            <v>1.6</v>
          </cell>
          <cell r="H19765" t="str">
            <v>biomass</v>
          </cell>
        </row>
        <row r="19766">
          <cell r="C19766" t="str">
            <v>PV</v>
          </cell>
          <cell r="D19766">
            <v>1.6</v>
          </cell>
          <cell r="H19766" t="str">
            <v>solar PV</v>
          </cell>
        </row>
        <row r="19767">
          <cell r="C19767" t="str">
            <v>WT</v>
          </cell>
          <cell r="D19767">
            <v>151.19999999999999</v>
          </cell>
          <cell r="H19767" t="str">
            <v>onshore wind</v>
          </cell>
        </row>
        <row r="19768">
          <cell r="C19768" t="str">
            <v>PV</v>
          </cell>
          <cell r="D19768">
            <v>5.2</v>
          </cell>
          <cell r="H19768" t="str">
            <v>solar PV</v>
          </cell>
        </row>
        <row r="19769">
          <cell r="C19769" t="str">
            <v>CT</v>
          </cell>
          <cell r="D19769">
            <v>226.3</v>
          </cell>
          <cell r="H19769" t="str">
            <v>natural gas nonpeaker</v>
          </cell>
        </row>
        <row r="19770">
          <cell r="C19770" t="str">
            <v>CT</v>
          </cell>
          <cell r="D19770">
            <v>226.3</v>
          </cell>
          <cell r="H19770" t="str">
            <v>natural gas nonpeaker</v>
          </cell>
        </row>
        <row r="19771">
          <cell r="C19771" t="str">
            <v>CT</v>
          </cell>
          <cell r="D19771">
            <v>226.3</v>
          </cell>
          <cell r="H19771" t="str">
            <v>natural gas nonpeaker</v>
          </cell>
        </row>
        <row r="19772">
          <cell r="C19772" t="str">
            <v>CA</v>
          </cell>
          <cell r="D19772">
            <v>417.6</v>
          </cell>
          <cell r="H19772" t="str">
            <v>natural gas nonpeaker</v>
          </cell>
        </row>
        <row r="19773">
          <cell r="C19773" t="str">
            <v>PV</v>
          </cell>
          <cell r="D19773">
            <v>5.2</v>
          </cell>
          <cell r="H19773" t="str">
            <v>solar PV</v>
          </cell>
        </row>
        <row r="19774">
          <cell r="C19774" t="str">
            <v>PV</v>
          </cell>
          <cell r="D19774">
            <v>5.2</v>
          </cell>
          <cell r="H19774" t="str">
            <v>solar PV</v>
          </cell>
        </row>
        <row r="19775">
          <cell r="C19775" t="str">
            <v>PV</v>
          </cell>
          <cell r="D19775">
            <v>1.4</v>
          </cell>
          <cell r="H19775" t="str">
            <v>solar PV</v>
          </cell>
        </row>
        <row r="19776">
          <cell r="C19776" t="str">
            <v>PV</v>
          </cell>
          <cell r="D19776">
            <v>100</v>
          </cell>
          <cell r="H19776" t="str">
            <v>solar PV</v>
          </cell>
        </row>
        <row r="19777">
          <cell r="C19777" t="str">
            <v>PV</v>
          </cell>
          <cell r="D19777">
            <v>7.7</v>
          </cell>
          <cell r="H19777" t="str">
            <v>solar PV</v>
          </cell>
        </row>
        <row r="19778">
          <cell r="C19778" t="str">
            <v>CT</v>
          </cell>
          <cell r="D19778">
            <v>269</v>
          </cell>
          <cell r="H19778" t="str">
            <v>natural gas nonpeaker</v>
          </cell>
        </row>
        <row r="19779">
          <cell r="C19779" t="str">
            <v>CT</v>
          </cell>
          <cell r="D19779">
            <v>263</v>
          </cell>
          <cell r="H19779" t="str">
            <v>natural gas nonpeaker</v>
          </cell>
        </row>
        <row r="19780">
          <cell r="C19780" t="str">
            <v>CA</v>
          </cell>
          <cell r="D19780">
            <v>324</v>
          </cell>
          <cell r="H19780" t="str">
            <v>natural gas nonpeaker</v>
          </cell>
        </row>
        <row r="19781">
          <cell r="C19781" t="str">
            <v>PV</v>
          </cell>
          <cell r="D19781">
            <v>5</v>
          </cell>
          <cell r="H19781" t="str">
            <v>solar PV</v>
          </cell>
        </row>
        <row r="19782">
          <cell r="C19782" t="str">
            <v>PV</v>
          </cell>
          <cell r="D19782">
            <v>65</v>
          </cell>
          <cell r="H19782" t="str">
            <v>solar PV</v>
          </cell>
        </row>
        <row r="19783">
          <cell r="C19783" t="str">
            <v>PV</v>
          </cell>
          <cell r="D19783">
            <v>20</v>
          </cell>
          <cell r="H19783" t="str">
            <v>solar PV</v>
          </cell>
        </row>
        <row r="19784">
          <cell r="C19784" t="str">
            <v>PV</v>
          </cell>
          <cell r="D19784">
            <v>54.6</v>
          </cell>
          <cell r="H19784" t="str">
            <v>solar PV</v>
          </cell>
        </row>
        <row r="19785">
          <cell r="C19785" t="str">
            <v>PV</v>
          </cell>
          <cell r="D19785">
            <v>5</v>
          </cell>
          <cell r="H19785" t="str">
            <v>solar PV</v>
          </cell>
        </row>
        <row r="19786">
          <cell r="C19786" t="str">
            <v>FC</v>
          </cell>
          <cell r="D19786">
            <v>1.4</v>
          </cell>
          <cell r="H19786" t="str">
            <v>other</v>
          </cell>
        </row>
        <row r="19787">
          <cell r="C19787" t="str">
            <v>PV</v>
          </cell>
          <cell r="D19787">
            <v>20</v>
          </cell>
          <cell r="H19787" t="str">
            <v>solar PV</v>
          </cell>
        </row>
        <row r="19788">
          <cell r="C19788" t="str">
            <v>IC</v>
          </cell>
          <cell r="D19788">
            <v>1.6</v>
          </cell>
          <cell r="H19788" t="str">
            <v>biomass</v>
          </cell>
        </row>
        <row r="19789">
          <cell r="C19789" t="str">
            <v>PV</v>
          </cell>
          <cell r="D19789">
            <v>60</v>
          </cell>
          <cell r="H19789" t="str">
            <v>solar PV</v>
          </cell>
        </row>
        <row r="19790">
          <cell r="C19790" t="str">
            <v>BA</v>
          </cell>
          <cell r="D19790">
            <v>31.5</v>
          </cell>
          <cell r="H19790" t="str">
            <v>other</v>
          </cell>
        </row>
        <row r="19791">
          <cell r="C19791" t="str">
            <v>PV</v>
          </cell>
          <cell r="D19791">
            <v>20.100000000000001</v>
          </cell>
          <cell r="H19791" t="str">
            <v>solar PV</v>
          </cell>
        </row>
        <row r="19792">
          <cell r="C19792" t="str">
            <v>FC</v>
          </cell>
          <cell r="D19792">
            <v>2.8</v>
          </cell>
          <cell r="H19792" t="str">
            <v>other</v>
          </cell>
        </row>
        <row r="19793">
          <cell r="C19793" t="str">
            <v>FC</v>
          </cell>
          <cell r="D19793">
            <v>2.8</v>
          </cell>
          <cell r="H19793" t="str">
            <v>other</v>
          </cell>
        </row>
        <row r="19794">
          <cell r="C19794" t="str">
            <v>PV</v>
          </cell>
          <cell r="D19794">
            <v>5</v>
          </cell>
          <cell r="H19794" t="str">
            <v>solar PV</v>
          </cell>
        </row>
        <row r="19795">
          <cell r="C19795" t="str">
            <v>PV</v>
          </cell>
          <cell r="D19795">
            <v>5</v>
          </cell>
          <cell r="H19795" t="str">
            <v>solar PV</v>
          </cell>
        </row>
        <row r="19796">
          <cell r="C19796" t="str">
            <v>PV</v>
          </cell>
          <cell r="D19796">
            <v>4.9000000000000004</v>
          </cell>
          <cell r="H19796" t="str">
            <v>solar PV</v>
          </cell>
        </row>
        <row r="19797">
          <cell r="C19797" t="str">
            <v>PV</v>
          </cell>
          <cell r="D19797">
            <v>4.9000000000000004</v>
          </cell>
          <cell r="H19797" t="str">
            <v>solar PV</v>
          </cell>
        </row>
        <row r="19798">
          <cell r="C19798" t="str">
            <v>PV</v>
          </cell>
          <cell r="D19798">
            <v>4.9000000000000004</v>
          </cell>
          <cell r="H19798" t="str">
            <v>solar PV</v>
          </cell>
        </row>
        <row r="19799">
          <cell r="C19799" t="str">
            <v>PV</v>
          </cell>
          <cell r="D19799">
            <v>4.9000000000000004</v>
          </cell>
          <cell r="H19799" t="str">
            <v>solar PV</v>
          </cell>
        </row>
        <row r="19800">
          <cell r="C19800" t="str">
            <v>PV</v>
          </cell>
          <cell r="D19800">
            <v>4.9000000000000004</v>
          </cell>
          <cell r="H19800" t="str">
            <v>solar PV</v>
          </cell>
        </row>
        <row r="19801">
          <cell r="C19801" t="str">
            <v>PV</v>
          </cell>
          <cell r="D19801">
            <v>5.2</v>
          </cell>
          <cell r="H19801" t="str">
            <v>solar PV</v>
          </cell>
        </row>
        <row r="19802">
          <cell r="C19802" t="str">
            <v>PV</v>
          </cell>
          <cell r="D19802">
            <v>5.2</v>
          </cell>
          <cell r="H19802" t="str">
            <v>solar PV</v>
          </cell>
        </row>
        <row r="19803">
          <cell r="C19803" t="str">
            <v>PV</v>
          </cell>
          <cell r="D19803">
            <v>5.2</v>
          </cell>
          <cell r="H19803" t="str">
            <v>solar PV</v>
          </cell>
        </row>
        <row r="19804">
          <cell r="C19804" t="str">
            <v>WT</v>
          </cell>
          <cell r="D19804">
            <v>9.1</v>
          </cell>
          <cell r="H19804" t="str">
            <v>onshore wind</v>
          </cell>
        </row>
        <row r="19805">
          <cell r="C19805" t="str">
            <v>PV</v>
          </cell>
          <cell r="D19805">
            <v>70</v>
          </cell>
          <cell r="H19805" t="str">
            <v>solar PV</v>
          </cell>
        </row>
        <row r="19806">
          <cell r="C19806" t="str">
            <v>PV</v>
          </cell>
          <cell r="D19806">
            <v>70</v>
          </cell>
          <cell r="H19806" t="str">
            <v>solar PV</v>
          </cell>
        </row>
        <row r="19807">
          <cell r="C19807" t="str">
            <v>PV</v>
          </cell>
          <cell r="D19807">
            <v>5.2</v>
          </cell>
          <cell r="H19807" t="str">
            <v>solar PV</v>
          </cell>
        </row>
        <row r="19808">
          <cell r="C19808" t="str">
            <v>PV</v>
          </cell>
          <cell r="D19808">
            <v>5.2</v>
          </cell>
          <cell r="H19808" t="str">
            <v>solar PV</v>
          </cell>
        </row>
        <row r="19809">
          <cell r="C19809" t="str">
            <v>PV</v>
          </cell>
          <cell r="D19809">
            <v>5.2</v>
          </cell>
          <cell r="H19809" t="str">
            <v>solar PV</v>
          </cell>
        </row>
        <row r="19810">
          <cell r="C19810" t="str">
            <v>PV</v>
          </cell>
          <cell r="D19810">
            <v>2.2000000000000002</v>
          </cell>
          <cell r="H19810" t="str">
            <v>solar PV</v>
          </cell>
        </row>
        <row r="19811">
          <cell r="C19811" t="str">
            <v>PV</v>
          </cell>
          <cell r="D19811">
            <v>4</v>
          </cell>
          <cell r="H19811" t="str">
            <v>solar PV</v>
          </cell>
        </row>
        <row r="19812">
          <cell r="C19812" t="str">
            <v>PV</v>
          </cell>
          <cell r="D19812">
            <v>50</v>
          </cell>
          <cell r="H19812" t="str">
            <v>solar PV</v>
          </cell>
        </row>
        <row r="19813">
          <cell r="C19813" t="str">
            <v>WT</v>
          </cell>
          <cell r="D19813">
            <v>276</v>
          </cell>
          <cell r="H19813" t="str">
            <v>onshore wind</v>
          </cell>
        </row>
        <row r="19814">
          <cell r="C19814" t="str">
            <v>PV</v>
          </cell>
          <cell r="D19814">
            <v>5.2</v>
          </cell>
          <cell r="H19814" t="str">
            <v>solar PV</v>
          </cell>
        </row>
        <row r="19815">
          <cell r="C19815" t="str">
            <v>PV</v>
          </cell>
          <cell r="D19815">
            <v>4.9000000000000004</v>
          </cell>
          <cell r="H19815" t="str">
            <v>solar PV</v>
          </cell>
        </row>
        <row r="19816">
          <cell r="C19816" t="str">
            <v>PV</v>
          </cell>
          <cell r="D19816">
            <v>4.9000000000000004</v>
          </cell>
          <cell r="H19816" t="str">
            <v>solar PV</v>
          </cell>
        </row>
        <row r="19817">
          <cell r="C19817" t="str">
            <v>HY</v>
          </cell>
          <cell r="D19817">
            <v>6</v>
          </cell>
          <cell r="H19817" t="str">
            <v>hydro</v>
          </cell>
        </row>
        <row r="19818">
          <cell r="C19818" t="str">
            <v>BT</v>
          </cell>
          <cell r="D19818">
            <v>16.2</v>
          </cell>
          <cell r="H19818" t="str">
            <v>geothermal</v>
          </cell>
        </row>
        <row r="19819">
          <cell r="C19819" t="str">
            <v>ST</v>
          </cell>
          <cell r="D19819">
            <v>8.4</v>
          </cell>
          <cell r="H19819" t="str">
            <v>other</v>
          </cell>
        </row>
        <row r="19820">
          <cell r="C19820" t="str">
            <v>PV</v>
          </cell>
          <cell r="D19820">
            <v>8</v>
          </cell>
          <cell r="H19820" t="str">
            <v>solar PV</v>
          </cell>
        </row>
        <row r="19821">
          <cell r="C19821" t="str">
            <v>PV</v>
          </cell>
          <cell r="D19821">
            <v>1.6</v>
          </cell>
          <cell r="H19821" t="str">
            <v>solar PV</v>
          </cell>
        </row>
        <row r="19822">
          <cell r="C19822" t="str">
            <v>PV</v>
          </cell>
          <cell r="D19822">
            <v>1.7</v>
          </cell>
          <cell r="H19822" t="str">
            <v>solar PV</v>
          </cell>
        </row>
        <row r="19823">
          <cell r="C19823" t="str">
            <v>PV</v>
          </cell>
          <cell r="D19823">
            <v>2</v>
          </cell>
          <cell r="H19823" t="str">
            <v>solar PV</v>
          </cell>
        </row>
        <row r="19824">
          <cell r="C19824" t="str">
            <v>PV</v>
          </cell>
          <cell r="D19824">
            <v>4.0999999999999996</v>
          </cell>
          <cell r="H19824" t="str">
            <v>solar PV</v>
          </cell>
        </row>
        <row r="19825">
          <cell r="C19825" t="str">
            <v>PV</v>
          </cell>
          <cell r="D19825">
            <v>2</v>
          </cell>
          <cell r="H19825" t="str">
            <v>solar PV</v>
          </cell>
        </row>
        <row r="19826">
          <cell r="C19826" t="str">
            <v>PV</v>
          </cell>
          <cell r="D19826">
            <v>2.2000000000000002</v>
          </cell>
          <cell r="H19826" t="str">
            <v>solar PV</v>
          </cell>
        </row>
        <row r="19827">
          <cell r="C19827" t="str">
            <v>PV</v>
          </cell>
          <cell r="D19827">
            <v>3.7</v>
          </cell>
          <cell r="H19827" t="str">
            <v>solar PV</v>
          </cell>
        </row>
        <row r="19828">
          <cell r="C19828" t="str">
            <v>PV</v>
          </cell>
          <cell r="D19828">
            <v>2</v>
          </cell>
          <cell r="H19828" t="str">
            <v>solar PV</v>
          </cell>
        </row>
        <row r="19829">
          <cell r="C19829" t="str">
            <v>PV</v>
          </cell>
          <cell r="D19829">
            <v>80</v>
          </cell>
          <cell r="H19829" t="str">
            <v>solar PV</v>
          </cell>
        </row>
        <row r="19830">
          <cell r="C19830" t="str">
            <v>PV</v>
          </cell>
          <cell r="D19830">
            <v>17</v>
          </cell>
          <cell r="H19830" t="str">
            <v>solar PV</v>
          </cell>
        </row>
        <row r="19831">
          <cell r="C19831" t="str">
            <v>PV</v>
          </cell>
          <cell r="D19831">
            <v>118.5</v>
          </cell>
          <cell r="H19831" t="str">
            <v>solar PV</v>
          </cell>
        </row>
        <row r="19832">
          <cell r="C19832" t="str">
            <v>PV</v>
          </cell>
          <cell r="D19832">
            <v>2.6</v>
          </cell>
          <cell r="H19832" t="str">
            <v>solar PV</v>
          </cell>
        </row>
        <row r="19833">
          <cell r="C19833" t="str">
            <v>PV</v>
          </cell>
          <cell r="D19833">
            <v>3.4</v>
          </cell>
          <cell r="H19833" t="str">
            <v>solar PV</v>
          </cell>
        </row>
        <row r="19834">
          <cell r="C19834" t="str">
            <v>PV</v>
          </cell>
          <cell r="D19834">
            <v>5</v>
          </cell>
          <cell r="H19834" t="str">
            <v>solar PV</v>
          </cell>
        </row>
        <row r="19835">
          <cell r="C19835" t="str">
            <v>BA</v>
          </cell>
          <cell r="D19835">
            <v>5</v>
          </cell>
          <cell r="H19835" t="str">
            <v>other</v>
          </cell>
        </row>
        <row r="19836">
          <cell r="C19836" t="str">
            <v>PV</v>
          </cell>
          <cell r="D19836">
            <v>2</v>
          </cell>
          <cell r="H19836" t="str">
            <v>solar PV</v>
          </cell>
        </row>
        <row r="19837">
          <cell r="C19837" t="str">
            <v>PV</v>
          </cell>
          <cell r="D19837">
            <v>2</v>
          </cell>
          <cell r="H19837" t="str">
            <v>solar PV</v>
          </cell>
        </row>
        <row r="19838">
          <cell r="C19838" t="str">
            <v>BA</v>
          </cell>
          <cell r="D19838">
            <v>2</v>
          </cell>
          <cell r="H19838" t="str">
            <v>other</v>
          </cell>
        </row>
        <row r="19839">
          <cell r="C19839" t="str">
            <v>PV</v>
          </cell>
          <cell r="D19839">
            <v>40</v>
          </cell>
          <cell r="H19839" t="str">
            <v>solar PV</v>
          </cell>
        </row>
        <row r="19840">
          <cell r="C19840" t="str">
            <v>PV</v>
          </cell>
          <cell r="D19840">
            <v>1</v>
          </cell>
          <cell r="H19840" t="str">
            <v>solar PV</v>
          </cell>
        </row>
        <row r="19841">
          <cell r="C19841" t="str">
            <v>PV</v>
          </cell>
          <cell r="D19841">
            <v>1.2</v>
          </cell>
          <cell r="H19841" t="str">
            <v>solar PV</v>
          </cell>
        </row>
        <row r="19842">
          <cell r="C19842" t="str">
            <v>PV</v>
          </cell>
          <cell r="D19842">
            <v>1</v>
          </cell>
          <cell r="H19842" t="str">
            <v>solar PV</v>
          </cell>
        </row>
        <row r="19843">
          <cell r="C19843" t="str">
            <v>PV</v>
          </cell>
          <cell r="D19843">
            <v>50</v>
          </cell>
          <cell r="H19843" t="str">
            <v>solar PV</v>
          </cell>
        </row>
        <row r="19844">
          <cell r="C19844" t="str">
            <v>PV</v>
          </cell>
          <cell r="D19844">
            <v>1.1000000000000001</v>
          </cell>
          <cell r="H19844" t="str">
            <v>solar PV</v>
          </cell>
        </row>
        <row r="19845">
          <cell r="C19845" t="str">
            <v>PV</v>
          </cell>
          <cell r="D19845">
            <v>1</v>
          </cell>
          <cell r="H19845" t="str">
            <v>solar PV</v>
          </cell>
        </row>
        <row r="19846">
          <cell r="C19846" t="str">
            <v>PV</v>
          </cell>
          <cell r="D19846">
            <v>3.9</v>
          </cell>
          <cell r="H19846" t="str">
            <v>solar PV</v>
          </cell>
        </row>
        <row r="19847">
          <cell r="C19847" t="str">
            <v>PV</v>
          </cell>
          <cell r="D19847">
            <v>2</v>
          </cell>
          <cell r="H19847" t="str">
            <v>solar PV</v>
          </cell>
        </row>
        <row r="19848">
          <cell r="C19848" t="str">
            <v>PV</v>
          </cell>
          <cell r="D19848">
            <v>2.6</v>
          </cell>
          <cell r="H19848" t="str">
            <v>solar PV</v>
          </cell>
        </row>
        <row r="19849">
          <cell r="C19849" t="str">
            <v>PV</v>
          </cell>
          <cell r="D19849">
            <v>1.9</v>
          </cell>
          <cell r="H19849" t="str">
            <v>solar PV</v>
          </cell>
        </row>
        <row r="19850">
          <cell r="C19850" t="str">
            <v>PV</v>
          </cell>
          <cell r="D19850">
            <v>1.9</v>
          </cell>
          <cell r="H19850" t="str">
            <v>solar PV</v>
          </cell>
        </row>
        <row r="19851">
          <cell r="C19851" t="str">
            <v>OT</v>
          </cell>
          <cell r="D19851">
            <v>7.1</v>
          </cell>
          <cell r="H19851" t="str">
            <v>biomass</v>
          </cell>
        </row>
        <row r="19852">
          <cell r="C19852" t="str">
            <v>PV</v>
          </cell>
          <cell r="D19852">
            <v>2.8</v>
          </cell>
          <cell r="H19852" t="str">
            <v>solar PV</v>
          </cell>
        </row>
        <row r="19853">
          <cell r="C19853" t="str">
            <v>GT</v>
          </cell>
          <cell r="D19853">
            <v>45</v>
          </cell>
          <cell r="H19853" t="str">
            <v>natural gas peaker</v>
          </cell>
        </row>
        <row r="19854">
          <cell r="C19854" t="str">
            <v>GT</v>
          </cell>
          <cell r="D19854">
            <v>45</v>
          </cell>
          <cell r="H19854" t="str">
            <v>natural gas peaker</v>
          </cell>
        </row>
        <row r="19855">
          <cell r="C19855" t="str">
            <v>GT</v>
          </cell>
          <cell r="D19855">
            <v>45</v>
          </cell>
          <cell r="H19855" t="str">
            <v>natural gas peaker</v>
          </cell>
        </row>
        <row r="19856">
          <cell r="C19856" t="str">
            <v>GT</v>
          </cell>
          <cell r="D19856">
            <v>45</v>
          </cell>
          <cell r="H19856" t="str">
            <v>natural gas peaker</v>
          </cell>
        </row>
        <row r="19857">
          <cell r="C19857" t="str">
            <v>PV</v>
          </cell>
          <cell r="D19857">
            <v>1.6</v>
          </cell>
          <cell r="H19857" t="str">
            <v>solar PV</v>
          </cell>
        </row>
        <row r="19858">
          <cell r="C19858" t="str">
            <v>PV</v>
          </cell>
          <cell r="D19858">
            <v>2</v>
          </cell>
          <cell r="H19858" t="str">
            <v>solar PV</v>
          </cell>
        </row>
        <row r="19859">
          <cell r="C19859" t="str">
            <v>PV</v>
          </cell>
          <cell r="D19859">
            <v>1.6</v>
          </cell>
          <cell r="H19859" t="str">
            <v>solar PV</v>
          </cell>
        </row>
        <row r="19860">
          <cell r="C19860" t="str">
            <v>CT</v>
          </cell>
          <cell r="D19860">
            <v>286.60000000000002</v>
          </cell>
          <cell r="H19860" t="str">
            <v>natural gas nonpeaker</v>
          </cell>
        </row>
        <row r="19861">
          <cell r="C19861" t="str">
            <v>CT</v>
          </cell>
          <cell r="D19861">
            <v>286.60000000000002</v>
          </cell>
          <cell r="H19861" t="str">
            <v>natural gas nonpeaker</v>
          </cell>
        </row>
        <row r="19862">
          <cell r="C19862" t="str">
            <v>CA</v>
          </cell>
          <cell r="D19862">
            <v>370.8</v>
          </cell>
          <cell r="H19862" t="str">
            <v>natural gas nonpeaker</v>
          </cell>
        </row>
        <row r="19863">
          <cell r="C19863" t="str">
            <v>PV</v>
          </cell>
          <cell r="D19863">
            <v>1.5</v>
          </cell>
          <cell r="H19863" t="str">
            <v>solar PV</v>
          </cell>
        </row>
        <row r="19864">
          <cell r="C19864" t="str">
            <v>PV</v>
          </cell>
          <cell r="D19864">
            <v>40</v>
          </cell>
          <cell r="H19864" t="str">
            <v>solar PV</v>
          </cell>
        </row>
        <row r="19865">
          <cell r="C19865" t="str">
            <v>GT</v>
          </cell>
          <cell r="D19865">
            <v>117</v>
          </cell>
          <cell r="H19865" t="str">
            <v>natural gas peaker</v>
          </cell>
        </row>
        <row r="19866">
          <cell r="C19866" t="str">
            <v>PV</v>
          </cell>
          <cell r="D19866">
            <v>18</v>
          </cell>
          <cell r="H19866" t="str">
            <v>solar PV</v>
          </cell>
        </row>
        <row r="19867">
          <cell r="C19867" t="str">
            <v>WT</v>
          </cell>
          <cell r="D19867">
            <v>100.8</v>
          </cell>
          <cell r="H19867" t="str">
            <v>onshore wind</v>
          </cell>
        </row>
        <row r="19868">
          <cell r="C19868" t="str">
            <v>WT</v>
          </cell>
          <cell r="D19868">
            <v>194.3</v>
          </cell>
          <cell r="H19868" t="str">
            <v>onshore wind</v>
          </cell>
        </row>
        <row r="19869">
          <cell r="C19869" t="str">
            <v>PV</v>
          </cell>
          <cell r="D19869">
            <v>1</v>
          </cell>
          <cell r="H19869" t="str">
            <v>solar PV</v>
          </cell>
        </row>
        <row r="19870">
          <cell r="C19870" t="str">
            <v>PV</v>
          </cell>
          <cell r="D19870">
            <v>1.3</v>
          </cell>
          <cell r="H19870" t="str">
            <v>solar PV</v>
          </cell>
        </row>
        <row r="19871">
          <cell r="C19871" t="str">
            <v>PV</v>
          </cell>
          <cell r="D19871">
            <v>20</v>
          </cell>
          <cell r="H19871" t="str">
            <v>solar PV</v>
          </cell>
        </row>
        <row r="19872">
          <cell r="C19872" t="str">
            <v>PV</v>
          </cell>
          <cell r="D19872">
            <v>20</v>
          </cell>
          <cell r="H19872" t="str">
            <v>solar PV</v>
          </cell>
        </row>
        <row r="19873">
          <cell r="C19873" t="str">
            <v>PV</v>
          </cell>
          <cell r="D19873">
            <v>1.2</v>
          </cell>
          <cell r="H19873" t="str">
            <v>solar PV</v>
          </cell>
        </row>
        <row r="19874">
          <cell r="C19874" t="str">
            <v>PV</v>
          </cell>
          <cell r="D19874">
            <v>1.7</v>
          </cell>
          <cell r="H19874" t="str">
            <v>solar PV</v>
          </cell>
        </row>
        <row r="19875">
          <cell r="C19875" t="str">
            <v>PV</v>
          </cell>
          <cell r="D19875">
            <v>1</v>
          </cell>
          <cell r="H19875" t="str">
            <v>solar PV</v>
          </cell>
        </row>
        <row r="19876">
          <cell r="C19876" t="str">
            <v>PV</v>
          </cell>
          <cell r="D19876">
            <v>2.1</v>
          </cell>
          <cell r="H19876" t="str">
            <v>solar PV</v>
          </cell>
        </row>
        <row r="19877">
          <cell r="C19877" t="str">
            <v>PV</v>
          </cell>
          <cell r="D19877">
            <v>20</v>
          </cell>
          <cell r="H19877" t="str">
            <v>solar PV</v>
          </cell>
        </row>
        <row r="19878">
          <cell r="C19878" t="str">
            <v>PV</v>
          </cell>
          <cell r="D19878">
            <v>4.9000000000000004</v>
          </cell>
          <cell r="H19878" t="str">
            <v>solar PV</v>
          </cell>
        </row>
        <row r="19879">
          <cell r="C19879" t="str">
            <v>PV</v>
          </cell>
          <cell r="D19879">
            <v>20</v>
          </cell>
          <cell r="H19879" t="str">
            <v>solar PV</v>
          </cell>
        </row>
        <row r="19880">
          <cell r="C19880" t="str">
            <v>WT</v>
          </cell>
          <cell r="D19880">
            <v>25</v>
          </cell>
          <cell r="H19880" t="str">
            <v>onshore wind</v>
          </cell>
        </row>
        <row r="19881">
          <cell r="C19881" t="str">
            <v>PV</v>
          </cell>
          <cell r="D19881">
            <v>5</v>
          </cell>
          <cell r="H19881" t="str">
            <v>solar PV</v>
          </cell>
        </row>
        <row r="19882">
          <cell r="C19882" t="str">
            <v>PV</v>
          </cell>
          <cell r="D19882">
            <v>3.5</v>
          </cell>
          <cell r="H19882" t="str">
            <v>solar PV</v>
          </cell>
        </row>
        <row r="19883">
          <cell r="C19883" t="str">
            <v>PV</v>
          </cell>
          <cell r="D19883">
            <v>4</v>
          </cell>
          <cell r="H19883" t="str">
            <v>solar PV</v>
          </cell>
        </row>
        <row r="19884">
          <cell r="C19884" t="str">
            <v>PV</v>
          </cell>
          <cell r="D19884">
            <v>20</v>
          </cell>
          <cell r="H19884" t="str">
            <v>solar PV</v>
          </cell>
        </row>
        <row r="19885">
          <cell r="C19885" t="str">
            <v>BA</v>
          </cell>
          <cell r="D19885">
            <v>1.5</v>
          </cell>
          <cell r="H19885" t="str">
            <v>other</v>
          </cell>
        </row>
        <row r="19886">
          <cell r="C19886" t="str">
            <v>PV</v>
          </cell>
          <cell r="D19886">
            <v>90</v>
          </cell>
          <cell r="H19886" t="str">
            <v>solar PV</v>
          </cell>
        </row>
        <row r="19887">
          <cell r="C19887" t="str">
            <v>PV</v>
          </cell>
          <cell r="D19887">
            <v>2</v>
          </cell>
          <cell r="H19887" t="str">
            <v>solar PV</v>
          </cell>
        </row>
        <row r="19888">
          <cell r="C19888" t="str">
            <v>PV</v>
          </cell>
          <cell r="D19888">
            <v>2.5</v>
          </cell>
          <cell r="H19888" t="str">
            <v>solar PV</v>
          </cell>
        </row>
        <row r="19889">
          <cell r="C19889" t="str">
            <v>PV</v>
          </cell>
          <cell r="D19889">
            <v>3.2</v>
          </cell>
          <cell r="H19889" t="str">
            <v>solar PV</v>
          </cell>
        </row>
        <row r="19890">
          <cell r="C19890" t="str">
            <v>PV</v>
          </cell>
          <cell r="D19890">
            <v>1.3</v>
          </cell>
          <cell r="H19890" t="str">
            <v>solar PV</v>
          </cell>
        </row>
        <row r="19891">
          <cell r="C19891" t="str">
            <v>PV</v>
          </cell>
          <cell r="D19891">
            <v>1.5</v>
          </cell>
          <cell r="H19891" t="str">
            <v>solar PV</v>
          </cell>
        </row>
        <row r="19892">
          <cell r="C19892" t="str">
            <v>PV</v>
          </cell>
          <cell r="D19892">
            <v>2</v>
          </cell>
          <cell r="H19892" t="str">
            <v>solar PV</v>
          </cell>
        </row>
        <row r="19893">
          <cell r="C19893" t="str">
            <v>PV</v>
          </cell>
          <cell r="D19893">
            <v>2</v>
          </cell>
          <cell r="H19893" t="str">
            <v>solar PV</v>
          </cell>
        </row>
        <row r="19894">
          <cell r="C19894" t="str">
            <v>PV</v>
          </cell>
          <cell r="D19894">
            <v>1.7</v>
          </cell>
          <cell r="H19894" t="str">
            <v>solar PV</v>
          </cell>
        </row>
        <row r="19895">
          <cell r="C19895" t="str">
            <v>PV</v>
          </cell>
          <cell r="D19895">
            <v>0.9</v>
          </cell>
          <cell r="H19895" t="str">
            <v>solar PV</v>
          </cell>
        </row>
        <row r="19896">
          <cell r="C19896" t="str">
            <v>PV</v>
          </cell>
          <cell r="D19896">
            <v>0.9</v>
          </cell>
          <cell r="H19896" t="str">
            <v>solar PV</v>
          </cell>
        </row>
        <row r="19897">
          <cell r="C19897" t="str">
            <v>WT</v>
          </cell>
          <cell r="D19897">
            <v>125</v>
          </cell>
          <cell r="H19897" t="str">
            <v>onshore wind</v>
          </cell>
        </row>
        <row r="19898">
          <cell r="C19898" t="str">
            <v>WT</v>
          </cell>
          <cell r="D19898">
            <v>200.1</v>
          </cell>
          <cell r="H19898" t="str">
            <v>onshore wind</v>
          </cell>
        </row>
        <row r="19899">
          <cell r="C19899" t="str">
            <v>WT</v>
          </cell>
          <cell r="D19899">
            <v>200</v>
          </cell>
          <cell r="H19899" t="str">
            <v>onshore wind</v>
          </cell>
        </row>
        <row r="19900">
          <cell r="C19900" t="str">
            <v>BA</v>
          </cell>
          <cell r="D19900">
            <v>4</v>
          </cell>
          <cell r="H19900" t="str">
            <v>other</v>
          </cell>
        </row>
        <row r="19901">
          <cell r="C19901" t="str">
            <v>PV</v>
          </cell>
          <cell r="D19901">
            <v>2</v>
          </cell>
          <cell r="H19901" t="str">
            <v>solar PV</v>
          </cell>
        </row>
        <row r="19902">
          <cell r="C19902" t="str">
            <v>PV</v>
          </cell>
          <cell r="D19902">
            <v>2</v>
          </cell>
          <cell r="H19902" t="str">
            <v>solar PV</v>
          </cell>
        </row>
        <row r="19903">
          <cell r="C19903" t="str">
            <v>PV</v>
          </cell>
          <cell r="D19903">
            <v>2.2999999999999998</v>
          </cell>
          <cell r="H19903" t="str">
            <v>solar PV</v>
          </cell>
        </row>
        <row r="19904">
          <cell r="C19904" t="str">
            <v>PV</v>
          </cell>
          <cell r="D19904">
            <v>16.2</v>
          </cell>
          <cell r="H19904" t="str">
            <v>solar PV</v>
          </cell>
        </row>
        <row r="19905">
          <cell r="C19905" t="str">
            <v>PV</v>
          </cell>
          <cell r="D19905">
            <v>10</v>
          </cell>
          <cell r="H19905" t="str">
            <v>solar PV</v>
          </cell>
        </row>
        <row r="19906">
          <cell r="C19906" t="str">
            <v>PV</v>
          </cell>
          <cell r="D19906">
            <v>1</v>
          </cell>
          <cell r="H19906" t="str">
            <v>solar PV</v>
          </cell>
        </row>
        <row r="19907">
          <cell r="C19907" t="str">
            <v>PV</v>
          </cell>
          <cell r="D19907">
            <v>1</v>
          </cell>
          <cell r="H19907" t="str">
            <v>solar PV</v>
          </cell>
        </row>
        <row r="19908">
          <cell r="C19908" t="str">
            <v>PV</v>
          </cell>
          <cell r="D19908">
            <v>1.6</v>
          </cell>
          <cell r="H19908" t="str">
            <v>solar PV</v>
          </cell>
        </row>
        <row r="19909">
          <cell r="C19909" t="str">
            <v>PV</v>
          </cell>
          <cell r="D19909">
            <v>1</v>
          </cell>
          <cell r="H19909" t="str">
            <v>solar PV</v>
          </cell>
        </row>
        <row r="19910">
          <cell r="C19910" t="str">
            <v>PV</v>
          </cell>
          <cell r="D19910">
            <v>3</v>
          </cell>
          <cell r="H19910" t="str">
            <v>solar PV</v>
          </cell>
        </row>
        <row r="19911">
          <cell r="C19911" t="str">
            <v>HY</v>
          </cell>
          <cell r="D19911">
            <v>6</v>
          </cell>
          <cell r="H19911" t="str">
            <v>hydro</v>
          </cell>
        </row>
        <row r="19912">
          <cell r="C19912" t="str">
            <v>BA</v>
          </cell>
          <cell r="D19912">
            <v>2</v>
          </cell>
          <cell r="H19912" t="str">
            <v>other</v>
          </cell>
        </row>
        <row r="19913">
          <cell r="C19913" t="str">
            <v>PV</v>
          </cell>
          <cell r="D19913">
            <v>2</v>
          </cell>
          <cell r="H19913" t="str">
            <v>solar PV</v>
          </cell>
        </row>
        <row r="19914">
          <cell r="C19914" t="str">
            <v>PV</v>
          </cell>
          <cell r="D19914">
            <v>10</v>
          </cell>
          <cell r="H19914" t="str">
            <v>solar PV</v>
          </cell>
        </row>
        <row r="19915">
          <cell r="C19915" t="str">
            <v>PV</v>
          </cell>
          <cell r="D19915">
            <v>6</v>
          </cell>
          <cell r="H19915" t="str">
            <v>solar PV</v>
          </cell>
        </row>
        <row r="19916">
          <cell r="C19916" t="str">
            <v>PV</v>
          </cell>
          <cell r="D19916">
            <v>4</v>
          </cell>
          <cell r="H19916" t="str">
            <v>solar PV</v>
          </cell>
        </row>
        <row r="19917">
          <cell r="C19917" t="str">
            <v>PV</v>
          </cell>
          <cell r="D19917">
            <v>6.5</v>
          </cell>
          <cell r="H19917" t="str">
            <v>solar PV</v>
          </cell>
        </row>
        <row r="19918">
          <cell r="C19918" t="str">
            <v>PV</v>
          </cell>
          <cell r="D19918">
            <v>6.5</v>
          </cell>
          <cell r="H19918" t="str">
            <v>solar PV</v>
          </cell>
        </row>
        <row r="19919">
          <cell r="C19919" t="str">
            <v>PV</v>
          </cell>
          <cell r="D19919">
            <v>5.5</v>
          </cell>
          <cell r="H19919" t="str">
            <v>solar PV</v>
          </cell>
        </row>
        <row r="19920">
          <cell r="C19920" t="str">
            <v>PV</v>
          </cell>
          <cell r="D19920">
            <v>4.5</v>
          </cell>
          <cell r="H19920" t="str">
            <v>solar PV</v>
          </cell>
        </row>
        <row r="19921">
          <cell r="C19921" t="str">
            <v>PV</v>
          </cell>
          <cell r="D19921">
            <v>4.5</v>
          </cell>
          <cell r="H19921" t="str">
            <v>solar PV</v>
          </cell>
        </row>
        <row r="19922">
          <cell r="C19922" t="str">
            <v>PV</v>
          </cell>
          <cell r="D19922">
            <v>7.5</v>
          </cell>
          <cell r="H19922" t="str">
            <v>solar PV</v>
          </cell>
        </row>
        <row r="19923">
          <cell r="C19923" t="str">
            <v>PV</v>
          </cell>
          <cell r="D19923">
            <v>3.5</v>
          </cell>
          <cell r="H19923" t="str">
            <v>solar PV</v>
          </cell>
        </row>
        <row r="19924">
          <cell r="C19924" t="str">
            <v>PV</v>
          </cell>
          <cell r="D19924">
            <v>3.5</v>
          </cell>
          <cell r="H19924" t="str">
            <v>solar PV</v>
          </cell>
        </row>
        <row r="19925">
          <cell r="C19925" t="str">
            <v>PV</v>
          </cell>
          <cell r="D19925">
            <v>10</v>
          </cell>
          <cell r="H19925" t="str">
            <v>solar PV</v>
          </cell>
        </row>
        <row r="19926">
          <cell r="C19926" t="str">
            <v>PV</v>
          </cell>
          <cell r="D19926">
            <v>4</v>
          </cell>
          <cell r="H19926" t="str">
            <v>solar PV</v>
          </cell>
        </row>
        <row r="19927">
          <cell r="C19927" t="str">
            <v>PV</v>
          </cell>
          <cell r="D19927">
            <v>10</v>
          </cell>
          <cell r="H19927" t="str">
            <v>solar PV</v>
          </cell>
        </row>
        <row r="19928">
          <cell r="C19928" t="str">
            <v>PV</v>
          </cell>
          <cell r="D19928">
            <v>5.5</v>
          </cell>
          <cell r="H19928" t="str">
            <v>solar PV</v>
          </cell>
        </row>
        <row r="19929">
          <cell r="C19929" t="str">
            <v>PV</v>
          </cell>
          <cell r="D19929">
            <v>8.5</v>
          </cell>
          <cell r="H19929" t="str">
            <v>solar PV</v>
          </cell>
        </row>
        <row r="19930">
          <cell r="C19930" t="str">
            <v>PV</v>
          </cell>
          <cell r="D19930">
            <v>6.8</v>
          </cell>
          <cell r="H19930" t="str">
            <v>solar PV</v>
          </cell>
        </row>
        <row r="19931">
          <cell r="C19931" t="str">
            <v>GT</v>
          </cell>
          <cell r="D19931">
            <v>5.2</v>
          </cell>
          <cell r="H19931" t="str">
            <v>natural gas peaker</v>
          </cell>
        </row>
        <row r="19932">
          <cell r="C19932" t="str">
            <v>PV</v>
          </cell>
          <cell r="D19932">
            <v>2.2000000000000002</v>
          </cell>
          <cell r="H19932" t="str">
            <v>solar PV</v>
          </cell>
        </row>
        <row r="19933">
          <cell r="C19933" t="str">
            <v>PV</v>
          </cell>
          <cell r="D19933">
            <v>5</v>
          </cell>
          <cell r="H19933" t="str">
            <v>solar PV</v>
          </cell>
        </row>
        <row r="19934">
          <cell r="C19934" t="str">
            <v>PV</v>
          </cell>
          <cell r="D19934">
            <v>71</v>
          </cell>
          <cell r="H19934" t="str">
            <v>solar PV</v>
          </cell>
        </row>
        <row r="19935">
          <cell r="C19935" t="str">
            <v>PV</v>
          </cell>
          <cell r="D19935">
            <v>35</v>
          </cell>
          <cell r="H19935" t="str">
            <v>solar PV</v>
          </cell>
        </row>
        <row r="19936">
          <cell r="C19936" t="str">
            <v>WT</v>
          </cell>
          <cell r="D19936">
            <v>1.9</v>
          </cell>
          <cell r="H19936" t="str">
            <v>onshore wind</v>
          </cell>
        </row>
        <row r="19937">
          <cell r="C19937" t="str">
            <v>PV</v>
          </cell>
          <cell r="D19937">
            <v>1.3</v>
          </cell>
          <cell r="H19937" t="str">
            <v>solar PV</v>
          </cell>
        </row>
        <row r="19938">
          <cell r="C19938" t="str">
            <v>PV</v>
          </cell>
          <cell r="D19938">
            <v>1</v>
          </cell>
          <cell r="H19938" t="str">
            <v>solar PV</v>
          </cell>
        </row>
        <row r="19939">
          <cell r="C19939" t="str">
            <v>WT</v>
          </cell>
          <cell r="D19939">
            <v>147</v>
          </cell>
          <cell r="H19939" t="str">
            <v>onshore wind</v>
          </cell>
        </row>
        <row r="19940">
          <cell r="C19940" t="str">
            <v>BA</v>
          </cell>
          <cell r="D19940">
            <v>11</v>
          </cell>
          <cell r="H19940" t="str">
            <v>other</v>
          </cell>
        </row>
        <row r="19941">
          <cell r="C19941" t="str">
            <v>PV</v>
          </cell>
          <cell r="D19941">
            <v>15</v>
          </cell>
          <cell r="H19941" t="str">
            <v>solar PV</v>
          </cell>
        </row>
        <row r="19942">
          <cell r="C19942" t="str">
            <v>PV</v>
          </cell>
          <cell r="D19942">
            <v>1.9</v>
          </cell>
          <cell r="H19942" t="str">
            <v>solar PV</v>
          </cell>
        </row>
        <row r="19943">
          <cell r="C19943" t="str">
            <v>PV</v>
          </cell>
          <cell r="D19943">
            <v>9.9</v>
          </cell>
          <cell r="H19943" t="str">
            <v>solar PV</v>
          </cell>
        </row>
        <row r="19944">
          <cell r="C19944" t="str">
            <v>PV</v>
          </cell>
          <cell r="D19944">
            <v>4.9000000000000004</v>
          </cell>
          <cell r="H19944" t="str">
            <v>solar PV</v>
          </cell>
        </row>
        <row r="19945">
          <cell r="C19945" t="str">
            <v>ST</v>
          </cell>
          <cell r="D19945">
            <v>58</v>
          </cell>
          <cell r="H19945" t="str">
            <v>biomass</v>
          </cell>
        </row>
        <row r="19946">
          <cell r="C19946" t="str">
            <v>WT</v>
          </cell>
          <cell r="D19946">
            <v>90</v>
          </cell>
          <cell r="H19946" t="str">
            <v>onshore wind</v>
          </cell>
        </row>
        <row r="19947">
          <cell r="C19947" t="str">
            <v>PV</v>
          </cell>
          <cell r="D19947">
            <v>50</v>
          </cell>
          <cell r="H19947" t="str">
            <v>solar PV</v>
          </cell>
        </row>
        <row r="19948">
          <cell r="C19948" t="str">
            <v>PV</v>
          </cell>
          <cell r="D19948">
            <v>5</v>
          </cell>
          <cell r="H19948" t="str">
            <v>solar PV</v>
          </cell>
        </row>
        <row r="19949">
          <cell r="C19949" t="str">
            <v>PV</v>
          </cell>
          <cell r="D19949">
            <v>52.5</v>
          </cell>
          <cell r="H19949" t="str">
            <v>solar PV</v>
          </cell>
        </row>
        <row r="19950">
          <cell r="C19950" t="str">
            <v>PV</v>
          </cell>
          <cell r="D19950">
            <v>16</v>
          </cell>
          <cell r="H19950" t="str">
            <v>solar PV</v>
          </cell>
        </row>
        <row r="19951">
          <cell r="C19951" t="str">
            <v>PV</v>
          </cell>
          <cell r="D19951">
            <v>8</v>
          </cell>
          <cell r="H19951" t="str">
            <v>solar PV</v>
          </cell>
        </row>
        <row r="19952">
          <cell r="C19952" t="str">
            <v>PV</v>
          </cell>
          <cell r="D19952">
            <v>20</v>
          </cell>
          <cell r="H19952" t="str">
            <v>solar PV</v>
          </cell>
        </row>
        <row r="19953">
          <cell r="C19953" t="str">
            <v>IC</v>
          </cell>
          <cell r="D19953">
            <v>16.7</v>
          </cell>
          <cell r="H19953" t="str">
            <v>natural gas peaker</v>
          </cell>
        </row>
        <row r="19954">
          <cell r="C19954" t="str">
            <v>IC</v>
          </cell>
          <cell r="D19954">
            <v>16.7</v>
          </cell>
          <cell r="H19954" t="str">
            <v>natural gas peaker</v>
          </cell>
        </row>
        <row r="19955">
          <cell r="C19955" t="str">
            <v>IC</v>
          </cell>
          <cell r="D19955">
            <v>16.7</v>
          </cell>
          <cell r="H19955" t="str">
            <v>natural gas peaker</v>
          </cell>
        </row>
        <row r="19956">
          <cell r="C19956" t="str">
            <v>PV</v>
          </cell>
          <cell r="D19956">
            <v>53</v>
          </cell>
          <cell r="H19956" t="str">
            <v>solar PV</v>
          </cell>
        </row>
        <row r="19957">
          <cell r="C19957" t="str">
            <v>BA</v>
          </cell>
          <cell r="D19957">
            <v>1</v>
          </cell>
          <cell r="H19957" t="str">
            <v>other</v>
          </cell>
        </row>
        <row r="19958">
          <cell r="C19958" t="str">
            <v>BA</v>
          </cell>
          <cell r="D19958">
            <v>1</v>
          </cell>
          <cell r="H19958" t="str">
            <v>other</v>
          </cell>
        </row>
        <row r="19959">
          <cell r="C19959" t="str">
            <v>PV</v>
          </cell>
          <cell r="D19959">
            <v>4.9000000000000004</v>
          </cell>
          <cell r="H19959" t="str">
            <v>solar PV</v>
          </cell>
        </row>
        <row r="19960">
          <cell r="C19960" t="str">
            <v>FW</v>
          </cell>
          <cell r="D19960">
            <v>2</v>
          </cell>
          <cell r="H19960" t="str">
            <v>other</v>
          </cell>
        </row>
        <row r="19961">
          <cell r="C19961" t="str">
            <v>IC</v>
          </cell>
          <cell r="D19961">
            <v>9.3000000000000007</v>
          </cell>
          <cell r="H19961" t="str">
            <v>natural gas peaker</v>
          </cell>
        </row>
        <row r="19962">
          <cell r="C19962" t="str">
            <v>IC</v>
          </cell>
          <cell r="D19962">
            <v>9.3000000000000007</v>
          </cell>
          <cell r="H19962" t="str">
            <v>natural gas peaker</v>
          </cell>
        </row>
        <row r="19963">
          <cell r="C19963" t="str">
            <v>IC</v>
          </cell>
          <cell r="D19963">
            <v>9.3000000000000007</v>
          </cell>
          <cell r="H19963" t="str">
            <v>natural gas peaker</v>
          </cell>
        </row>
        <row r="19964">
          <cell r="C19964" t="str">
            <v>IC</v>
          </cell>
          <cell r="D19964">
            <v>9.3000000000000007</v>
          </cell>
          <cell r="H19964" t="str">
            <v>natural gas peaker</v>
          </cell>
        </row>
        <row r="19965">
          <cell r="C19965" t="str">
            <v>IC</v>
          </cell>
          <cell r="D19965">
            <v>9.3000000000000007</v>
          </cell>
          <cell r="H19965" t="str">
            <v>natural gas peaker</v>
          </cell>
        </row>
        <row r="19966">
          <cell r="C19966" t="str">
            <v>BA</v>
          </cell>
          <cell r="D19966">
            <v>0.5</v>
          </cell>
          <cell r="H19966" t="str">
            <v>other</v>
          </cell>
        </row>
        <row r="19967">
          <cell r="C19967" t="str">
            <v>BA</v>
          </cell>
          <cell r="D19967">
            <v>1</v>
          </cell>
          <cell r="H19967" t="str">
            <v>other</v>
          </cell>
        </row>
        <row r="19968">
          <cell r="C19968" t="str">
            <v>BA</v>
          </cell>
          <cell r="D19968">
            <v>0.5</v>
          </cell>
          <cell r="H19968" t="str">
            <v>other</v>
          </cell>
        </row>
        <row r="19969">
          <cell r="C19969" t="str">
            <v>BA</v>
          </cell>
          <cell r="D19969">
            <v>1</v>
          </cell>
          <cell r="H19969" t="str">
            <v>other</v>
          </cell>
        </row>
        <row r="19970">
          <cell r="C19970" t="str">
            <v>BA</v>
          </cell>
          <cell r="D19970">
            <v>1</v>
          </cell>
          <cell r="H19970" t="str">
            <v>other</v>
          </cell>
        </row>
        <row r="19971">
          <cell r="C19971" t="str">
            <v>BA</v>
          </cell>
          <cell r="D19971">
            <v>1</v>
          </cell>
          <cell r="H19971" t="str">
            <v>other</v>
          </cell>
        </row>
        <row r="19972">
          <cell r="C19972" t="str">
            <v>BA</v>
          </cell>
          <cell r="D19972">
            <v>1</v>
          </cell>
          <cell r="H19972" t="str">
            <v>other</v>
          </cell>
        </row>
        <row r="19973">
          <cell r="C19973" t="str">
            <v>BA</v>
          </cell>
          <cell r="D19973">
            <v>7.5</v>
          </cell>
          <cell r="H19973" t="str">
            <v>other</v>
          </cell>
        </row>
        <row r="19974">
          <cell r="C19974" t="str">
            <v>BA</v>
          </cell>
          <cell r="D19974">
            <v>30</v>
          </cell>
          <cell r="H19974" t="str">
            <v>other</v>
          </cell>
        </row>
        <row r="19975">
          <cell r="C19975" t="str">
            <v>IC</v>
          </cell>
          <cell r="D19975">
            <v>1.4</v>
          </cell>
          <cell r="H19975" t="str">
            <v>biomass</v>
          </cell>
        </row>
        <row r="19976">
          <cell r="C19976" t="str">
            <v>PV</v>
          </cell>
          <cell r="D19976">
            <v>2.1</v>
          </cell>
          <cell r="H19976" t="str">
            <v>solar PV</v>
          </cell>
        </row>
        <row r="19977">
          <cell r="C19977" t="str">
            <v>WT</v>
          </cell>
          <cell r="D19977">
            <v>225</v>
          </cell>
          <cell r="H19977" t="str">
            <v>onshore wind</v>
          </cell>
        </row>
        <row r="19978">
          <cell r="C19978" t="str">
            <v>PV</v>
          </cell>
          <cell r="D19978">
            <v>5</v>
          </cell>
          <cell r="H19978" t="str">
            <v>solar PV</v>
          </cell>
        </row>
        <row r="19979">
          <cell r="C19979" t="str">
            <v>PV</v>
          </cell>
          <cell r="D19979">
            <v>5</v>
          </cell>
          <cell r="H19979" t="str">
            <v>solar PV</v>
          </cell>
        </row>
        <row r="19980">
          <cell r="C19980" t="str">
            <v>PV</v>
          </cell>
          <cell r="D19980">
            <v>5</v>
          </cell>
          <cell r="H19980" t="str">
            <v>solar PV</v>
          </cell>
        </row>
        <row r="19981">
          <cell r="C19981" t="str">
            <v>PV</v>
          </cell>
          <cell r="D19981">
            <v>5</v>
          </cell>
          <cell r="H19981" t="str">
            <v>solar PV</v>
          </cell>
        </row>
        <row r="19982">
          <cell r="C19982" t="str">
            <v>PV</v>
          </cell>
          <cell r="D19982">
            <v>5</v>
          </cell>
          <cell r="H19982" t="str">
            <v>solar PV</v>
          </cell>
        </row>
        <row r="19983">
          <cell r="C19983" t="str">
            <v>PV</v>
          </cell>
          <cell r="D19983">
            <v>5</v>
          </cell>
          <cell r="H19983" t="str">
            <v>solar PV</v>
          </cell>
        </row>
        <row r="19984">
          <cell r="C19984" t="str">
            <v>PV</v>
          </cell>
          <cell r="D19984">
            <v>150</v>
          </cell>
          <cell r="H19984" t="str">
            <v>solar PV</v>
          </cell>
        </row>
        <row r="19985">
          <cell r="C19985" t="str">
            <v>PV</v>
          </cell>
          <cell r="D19985">
            <v>20</v>
          </cell>
          <cell r="H19985" t="str">
            <v>solar PV</v>
          </cell>
        </row>
        <row r="19986">
          <cell r="C19986" t="str">
            <v>PV</v>
          </cell>
          <cell r="D19986">
            <v>79.2</v>
          </cell>
          <cell r="H19986" t="str">
            <v>solar PV</v>
          </cell>
        </row>
        <row r="19987">
          <cell r="C19987" t="str">
            <v>PV</v>
          </cell>
          <cell r="D19987">
            <v>7</v>
          </cell>
          <cell r="H19987" t="str">
            <v>solar PV</v>
          </cell>
        </row>
        <row r="19988">
          <cell r="C19988" t="str">
            <v>PV</v>
          </cell>
          <cell r="D19988">
            <v>1</v>
          </cell>
          <cell r="H19988" t="str">
            <v>solar PV</v>
          </cell>
        </row>
        <row r="19989">
          <cell r="C19989" t="str">
            <v>PV</v>
          </cell>
          <cell r="D19989">
            <v>2.5</v>
          </cell>
          <cell r="H19989" t="str">
            <v>solar PV</v>
          </cell>
        </row>
        <row r="19990">
          <cell r="C19990" t="str">
            <v>WT</v>
          </cell>
          <cell r="D19990">
            <v>184</v>
          </cell>
          <cell r="H19990" t="str">
            <v>onshore wind</v>
          </cell>
        </row>
        <row r="19991">
          <cell r="C19991" t="str">
            <v>CT</v>
          </cell>
          <cell r="D19991">
            <v>342</v>
          </cell>
          <cell r="H19991" t="str">
            <v>natural gas nonpeaker</v>
          </cell>
        </row>
        <row r="19992">
          <cell r="C19992" t="str">
            <v>CT</v>
          </cell>
          <cell r="D19992">
            <v>342</v>
          </cell>
          <cell r="H19992" t="str">
            <v>natural gas nonpeaker</v>
          </cell>
        </row>
        <row r="19993">
          <cell r="C19993" t="str">
            <v>CA</v>
          </cell>
          <cell r="D19993">
            <v>416</v>
          </cell>
          <cell r="H19993" t="str">
            <v>natural gas nonpeaker</v>
          </cell>
        </row>
        <row r="19994">
          <cell r="C19994" t="str">
            <v>PV</v>
          </cell>
          <cell r="D19994">
            <v>54</v>
          </cell>
          <cell r="H19994" t="str">
            <v>solar PV</v>
          </cell>
        </row>
        <row r="19995">
          <cell r="C19995" t="str">
            <v>PV</v>
          </cell>
          <cell r="D19995">
            <v>54</v>
          </cell>
          <cell r="H19995" t="str">
            <v>solar PV</v>
          </cell>
        </row>
        <row r="19996">
          <cell r="C19996" t="str">
            <v>WT</v>
          </cell>
          <cell r="D19996">
            <v>249.9</v>
          </cell>
          <cell r="H19996" t="str">
            <v>onshore wind</v>
          </cell>
        </row>
        <row r="19997">
          <cell r="C19997" t="str">
            <v>FC</v>
          </cell>
          <cell r="D19997">
            <v>2.2000000000000002</v>
          </cell>
          <cell r="H19997" t="str">
            <v>other</v>
          </cell>
        </row>
        <row r="19998">
          <cell r="C19998" t="str">
            <v>WT</v>
          </cell>
          <cell r="D19998">
            <v>131.1</v>
          </cell>
          <cell r="H19998" t="str">
            <v>onshore wind</v>
          </cell>
        </row>
        <row r="19999">
          <cell r="C19999" t="str">
            <v>PV</v>
          </cell>
          <cell r="D19999">
            <v>5</v>
          </cell>
          <cell r="H19999" t="str">
            <v>solar PV</v>
          </cell>
        </row>
        <row r="20000">
          <cell r="C20000" t="str">
            <v>PV</v>
          </cell>
          <cell r="D20000">
            <v>5</v>
          </cell>
          <cell r="H20000" t="str">
            <v>solar PV</v>
          </cell>
        </row>
        <row r="20001">
          <cell r="C20001" t="str">
            <v>PV</v>
          </cell>
          <cell r="D20001">
            <v>5</v>
          </cell>
          <cell r="H20001" t="str">
            <v>solar PV</v>
          </cell>
        </row>
        <row r="20002">
          <cell r="C20002" t="str">
            <v>PV</v>
          </cell>
          <cell r="D20002">
            <v>5.3</v>
          </cell>
          <cell r="H20002" t="str">
            <v>solar PV</v>
          </cell>
        </row>
        <row r="20003">
          <cell r="C20003" t="str">
            <v>PV</v>
          </cell>
          <cell r="D20003">
            <v>5</v>
          </cell>
          <cell r="H20003" t="str">
            <v>solar PV</v>
          </cell>
        </row>
        <row r="20004">
          <cell r="C20004" t="str">
            <v>PV</v>
          </cell>
          <cell r="D20004">
            <v>5</v>
          </cell>
          <cell r="H20004" t="str">
            <v>solar PV</v>
          </cell>
        </row>
        <row r="20005">
          <cell r="C20005" t="str">
            <v>PV</v>
          </cell>
          <cell r="D20005">
            <v>4.4000000000000004</v>
          </cell>
          <cell r="H20005" t="str">
            <v>solar PV</v>
          </cell>
        </row>
        <row r="20006">
          <cell r="C20006" t="str">
            <v>PV</v>
          </cell>
          <cell r="D20006">
            <v>10</v>
          </cell>
          <cell r="H20006" t="str">
            <v>solar PV</v>
          </cell>
        </row>
        <row r="20007">
          <cell r="C20007" t="str">
            <v>PV</v>
          </cell>
          <cell r="D20007">
            <v>1.5</v>
          </cell>
          <cell r="H20007" t="str">
            <v>solar PV</v>
          </cell>
        </row>
        <row r="20008">
          <cell r="C20008" t="str">
            <v>BA</v>
          </cell>
          <cell r="D20008">
            <v>0.8</v>
          </cell>
          <cell r="H20008" t="str">
            <v>other</v>
          </cell>
        </row>
        <row r="20009">
          <cell r="C20009" t="str">
            <v>PV</v>
          </cell>
          <cell r="D20009">
            <v>3.5</v>
          </cell>
          <cell r="H20009" t="str">
            <v>solar PV</v>
          </cell>
        </row>
        <row r="20010">
          <cell r="C20010" t="str">
            <v>PV</v>
          </cell>
          <cell r="D20010">
            <v>1</v>
          </cell>
          <cell r="H20010" t="str">
            <v>solar PV</v>
          </cell>
        </row>
        <row r="20011">
          <cell r="C20011" t="str">
            <v>BA</v>
          </cell>
          <cell r="D20011">
            <v>0.8</v>
          </cell>
          <cell r="H20011" t="str">
            <v>other</v>
          </cell>
        </row>
        <row r="20012">
          <cell r="C20012" t="str">
            <v>PV</v>
          </cell>
          <cell r="D20012">
            <v>3.5</v>
          </cell>
          <cell r="H20012" t="str">
            <v>solar PV</v>
          </cell>
        </row>
        <row r="20013">
          <cell r="C20013" t="str">
            <v>OT</v>
          </cell>
          <cell r="D20013">
            <v>41.3</v>
          </cell>
          <cell r="H20013" t="str">
            <v>other</v>
          </cell>
        </row>
        <row r="20014">
          <cell r="C20014" t="str">
            <v>PV</v>
          </cell>
          <cell r="D20014">
            <v>60</v>
          </cell>
          <cell r="H20014" t="str">
            <v>solar PV</v>
          </cell>
        </row>
        <row r="20015">
          <cell r="C20015" t="str">
            <v>PV</v>
          </cell>
          <cell r="D20015">
            <v>4</v>
          </cell>
          <cell r="H20015" t="str">
            <v>solar PV</v>
          </cell>
        </row>
        <row r="20016">
          <cell r="C20016" t="str">
            <v>PV</v>
          </cell>
          <cell r="D20016">
            <v>2</v>
          </cell>
          <cell r="H20016" t="str">
            <v>solar PV</v>
          </cell>
        </row>
        <row r="20017">
          <cell r="C20017" t="str">
            <v>PV</v>
          </cell>
          <cell r="D20017">
            <v>1</v>
          </cell>
          <cell r="H20017" t="str">
            <v>solar PV</v>
          </cell>
        </row>
        <row r="20018">
          <cell r="C20018" t="str">
            <v>PV</v>
          </cell>
          <cell r="D20018">
            <v>3</v>
          </cell>
          <cell r="H20018" t="str">
            <v>solar PV</v>
          </cell>
        </row>
        <row r="20019">
          <cell r="C20019" t="str">
            <v>PV</v>
          </cell>
          <cell r="D20019">
            <v>8</v>
          </cell>
          <cell r="H20019" t="str">
            <v>solar PV</v>
          </cell>
        </row>
        <row r="20020">
          <cell r="C20020" t="str">
            <v>BA</v>
          </cell>
          <cell r="D20020">
            <v>2</v>
          </cell>
          <cell r="H20020" t="str">
            <v>other</v>
          </cell>
        </row>
        <row r="20021">
          <cell r="C20021" t="str">
            <v>BA</v>
          </cell>
          <cell r="D20021">
            <v>2</v>
          </cell>
          <cell r="H20021" t="str">
            <v>other</v>
          </cell>
        </row>
        <row r="20022">
          <cell r="C20022" t="str">
            <v>WT</v>
          </cell>
          <cell r="D20022">
            <v>600</v>
          </cell>
          <cell r="H20022" t="str">
            <v>onshore wind</v>
          </cell>
        </row>
        <row r="20023">
          <cell r="C20023" t="str">
            <v>WT</v>
          </cell>
          <cell r="D20023">
            <v>208.3</v>
          </cell>
          <cell r="H20023" t="str">
            <v>onshore wind</v>
          </cell>
        </row>
        <row r="20024">
          <cell r="C20024" t="str">
            <v>PV</v>
          </cell>
          <cell r="D20024">
            <v>6.5</v>
          </cell>
          <cell r="H20024" t="str">
            <v>solar PV</v>
          </cell>
        </row>
        <row r="20025">
          <cell r="C20025" t="str">
            <v>PV</v>
          </cell>
          <cell r="D20025">
            <v>20</v>
          </cell>
          <cell r="H20025" t="str">
            <v>solar PV</v>
          </cell>
        </row>
        <row r="20026">
          <cell r="C20026" t="str">
            <v>PV</v>
          </cell>
          <cell r="D20026">
            <v>50.2</v>
          </cell>
          <cell r="H20026" t="str">
            <v>solar PV</v>
          </cell>
        </row>
        <row r="20027">
          <cell r="C20027" t="str">
            <v>PV</v>
          </cell>
          <cell r="D20027">
            <v>50.2</v>
          </cell>
          <cell r="H20027" t="str">
            <v>solar PV</v>
          </cell>
        </row>
        <row r="20028">
          <cell r="C20028" t="str">
            <v>PV</v>
          </cell>
          <cell r="D20028">
            <v>1.2</v>
          </cell>
          <cell r="H20028" t="str">
            <v>solar PV</v>
          </cell>
        </row>
        <row r="20029">
          <cell r="C20029" t="str">
            <v>PV</v>
          </cell>
          <cell r="D20029">
            <v>2</v>
          </cell>
          <cell r="H20029" t="str">
            <v>solar PV</v>
          </cell>
        </row>
        <row r="20030">
          <cell r="C20030" t="str">
            <v>PV</v>
          </cell>
          <cell r="D20030">
            <v>7</v>
          </cell>
          <cell r="H20030" t="str">
            <v>solar PV</v>
          </cell>
        </row>
        <row r="20031">
          <cell r="C20031" t="str">
            <v>PV</v>
          </cell>
          <cell r="D20031">
            <v>3.9</v>
          </cell>
          <cell r="H20031" t="str">
            <v>solar PV</v>
          </cell>
        </row>
        <row r="20032">
          <cell r="C20032" t="str">
            <v>PV</v>
          </cell>
          <cell r="D20032">
            <v>2</v>
          </cell>
          <cell r="H20032" t="str">
            <v>solar PV</v>
          </cell>
        </row>
        <row r="20033">
          <cell r="C20033" t="str">
            <v>PV</v>
          </cell>
          <cell r="D20033">
            <v>5</v>
          </cell>
          <cell r="H20033" t="str">
            <v>solar PV</v>
          </cell>
        </row>
        <row r="20034">
          <cell r="C20034" t="str">
            <v>PV</v>
          </cell>
          <cell r="D20034">
            <v>6.8</v>
          </cell>
          <cell r="H20034" t="str">
            <v>solar PV</v>
          </cell>
        </row>
        <row r="20035">
          <cell r="C20035" t="str">
            <v>PV</v>
          </cell>
          <cell r="D20035">
            <v>5</v>
          </cell>
          <cell r="H20035" t="str">
            <v>solar PV</v>
          </cell>
        </row>
        <row r="20036">
          <cell r="C20036" t="str">
            <v>PV</v>
          </cell>
          <cell r="D20036">
            <v>20</v>
          </cell>
          <cell r="H20036" t="str">
            <v>solar PV</v>
          </cell>
        </row>
        <row r="20037">
          <cell r="C20037" t="str">
            <v>PV</v>
          </cell>
          <cell r="D20037">
            <v>16</v>
          </cell>
          <cell r="H20037" t="str">
            <v>solar PV</v>
          </cell>
        </row>
        <row r="20038">
          <cell r="C20038" t="str">
            <v>WT</v>
          </cell>
          <cell r="D20038">
            <v>100</v>
          </cell>
          <cell r="H20038" t="str">
            <v>onshore wind</v>
          </cell>
        </row>
        <row r="20039">
          <cell r="C20039" t="str">
            <v>WT</v>
          </cell>
          <cell r="D20039">
            <v>100</v>
          </cell>
          <cell r="H20039" t="str">
            <v>onshore wind</v>
          </cell>
        </row>
        <row r="20040">
          <cell r="C20040" t="str">
            <v>PV</v>
          </cell>
          <cell r="D20040">
            <v>1.5</v>
          </cell>
          <cell r="H20040" t="str">
            <v>solar PV</v>
          </cell>
        </row>
        <row r="20041">
          <cell r="C20041" t="str">
            <v>PV</v>
          </cell>
          <cell r="D20041">
            <v>1.4</v>
          </cell>
          <cell r="H20041" t="str">
            <v>solar PV</v>
          </cell>
        </row>
        <row r="20042">
          <cell r="C20042" t="str">
            <v>WT</v>
          </cell>
          <cell r="D20042">
            <v>200</v>
          </cell>
          <cell r="H20042" t="str">
            <v>onshore wind</v>
          </cell>
        </row>
        <row r="20043">
          <cell r="C20043" t="str">
            <v>IC</v>
          </cell>
          <cell r="D20043">
            <v>9.3000000000000007</v>
          </cell>
          <cell r="H20043" t="str">
            <v>natural gas peaker</v>
          </cell>
        </row>
        <row r="20044">
          <cell r="C20044" t="str">
            <v>IC</v>
          </cell>
          <cell r="D20044">
            <v>9.3000000000000007</v>
          </cell>
          <cell r="H20044" t="str">
            <v>natural gas peaker</v>
          </cell>
        </row>
        <row r="20045">
          <cell r="C20045" t="str">
            <v>IC</v>
          </cell>
          <cell r="D20045">
            <v>9.3000000000000007</v>
          </cell>
          <cell r="H20045" t="str">
            <v>natural gas peaker</v>
          </cell>
        </row>
        <row r="20046">
          <cell r="C20046" t="str">
            <v>IC</v>
          </cell>
          <cell r="D20046">
            <v>9.3000000000000007</v>
          </cell>
          <cell r="H20046" t="str">
            <v>natural gas peaker</v>
          </cell>
        </row>
        <row r="20047">
          <cell r="C20047" t="str">
            <v>IC</v>
          </cell>
          <cell r="D20047">
            <v>9.3000000000000007</v>
          </cell>
          <cell r="H20047" t="str">
            <v>natural gas peaker</v>
          </cell>
        </row>
        <row r="20048">
          <cell r="C20048" t="str">
            <v>PV</v>
          </cell>
          <cell r="D20048">
            <v>5</v>
          </cell>
          <cell r="H20048" t="str">
            <v>solar PV</v>
          </cell>
        </row>
        <row r="20049">
          <cell r="C20049" t="str">
            <v>PV</v>
          </cell>
          <cell r="D20049">
            <v>2.2999999999999998</v>
          </cell>
          <cell r="H20049" t="str">
            <v>solar PV</v>
          </cell>
        </row>
        <row r="20050">
          <cell r="C20050" t="str">
            <v>PV</v>
          </cell>
          <cell r="D20050">
            <v>1</v>
          </cell>
          <cell r="H20050" t="str">
            <v>solar PV</v>
          </cell>
        </row>
        <row r="20051">
          <cell r="C20051" t="str">
            <v>WT</v>
          </cell>
          <cell r="D20051">
            <v>300</v>
          </cell>
          <cell r="H20051" t="str">
            <v>onshore wind</v>
          </cell>
        </row>
        <row r="20052">
          <cell r="C20052" t="str">
            <v>BA</v>
          </cell>
          <cell r="D20052">
            <v>19.8</v>
          </cell>
          <cell r="H20052" t="str">
            <v>other</v>
          </cell>
        </row>
        <row r="20053">
          <cell r="C20053" t="str">
            <v>WT</v>
          </cell>
          <cell r="D20053">
            <v>174</v>
          </cell>
          <cell r="H20053" t="str">
            <v>onshore wind</v>
          </cell>
        </row>
        <row r="20054">
          <cell r="C20054" t="str">
            <v>PV</v>
          </cell>
          <cell r="D20054">
            <v>69.5</v>
          </cell>
          <cell r="H20054" t="str">
            <v>solar PV</v>
          </cell>
        </row>
        <row r="20055">
          <cell r="C20055" t="str">
            <v>PV</v>
          </cell>
          <cell r="D20055">
            <v>10</v>
          </cell>
          <cell r="H20055" t="str">
            <v>solar PV</v>
          </cell>
        </row>
        <row r="20056">
          <cell r="C20056" t="str">
            <v>BA</v>
          </cell>
          <cell r="D20056">
            <v>6</v>
          </cell>
          <cell r="H20056" t="str">
            <v>other</v>
          </cell>
        </row>
        <row r="20057">
          <cell r="C20057" t="str">
            <v>BA</v>
          </cell>
          <cell r="D20057">
            <v>10</v>
          </cell>
          <cell r="H20057" t="str">
            <v>other</v>
          </cell>
        </row>
        <row r="20058">
          <cell r="C20058" t="str">
            <v>BA</v>
          </cell>
          <cell r="D20058">
            <v>10</v>
          </cell>
          <cell r="H20058" t="str">
            <v>other</v>
          </cell>
        </row>
        <row r="20059">
          <cell r="C20059" t="str">
            <v>PV</v>
          </cell>
          <cell r="D20059">
            <v>2</v>
          </cell>
          <cell r="H20059" t="str">
            <v>solar PV</v>
          </cell>
        </row>
        <row r="20060">
          <cell r="C20060" t="str">
            <v>PV</v>
          </cell>
          <cell r="D20060">
            <v>2</v>
          </cell>
          <cell r="H20060" t="str">
            <v>solar PV</v>
          </cell>
        </row>
        <row r="20061">
          <cell r="C20061" t="str">
            <v>PV</v>
          </cell>
          <cell r="D20061">
            <v>2</v>
          </cell>
          <cell r="H20061" t="str">
            <v>solar PV</v>
          </cell>
        </row>
        <row r="20062">
          <cell r="C20062" t="str">
            <v>PV</v>
          </cell>
          <cell r="D20062">
            <v>2</v>
          </cell>
          <cell r="H20062" t="str">
            <v>solar PV</v>
          </cell>
        </row>
        <row r="20063">
          <cell r="C20063" t="str">
            <v>PV</v>
          </cell>
          <cell r="D20063">
            <v>2</v>
          </cell>
          <cell r="H20063" t="str">
            <v>solar PV</v>
          </cell>
        </row>
        <row r="20064">
          <cell r="C20064" t="str">
            <v>PV</v>
          </cell>
          <cell r="D20064">
            <v>2</v>
          </cell>
          <cell r="H20064" t="str">
            <v>solar PV</v>
          </cell>
        </row>
        <row r="20065">
          <cell r="C20065" t="str">
            <v>PV</v>
          </cell>
          <cell r="D20065">
            <v>2</v>
          </cell>
          <cell r="H20065" t="str">
            <v>solar PV</v>
          </cell>
        </row>
        <row r="20066">
          <cell r="C20066" t="str">
            <v>PV</v>
          </cell>
          <cell r="D20066">
            <v>2</v>
          </cell>
          <cell r="H20066" t="str">
            <v>solar PV</v>
          </cell>
        </row>
        <row r="20067">
          <cell r="C20067" t="str">
            <v>WT</v>
          </cell>
          <cell r="D20067">
            <v>195.8</v>
          </cell>
          <cell r="H20067" t="str">
            <v>onshore wind</v>
          </cell>
        </row>
        <row r="20068">
          <cell r="C20068" t="str">
            <v>PV</v>
          </cell>
          <cell r="D20068">
            <v>7.9</v>
          </cell>
          <cell r="H20068" t="str">
            <v>solar PV</v>
          </cell>
        </row>
        <row r="20069">
          <cell r="C20069" t="str">
            <v>PV</v>
          </cell>
          <cell r="D20069">
            <v>2</v>
          </cell>
          <cell r="H20069" t="str">
            <v>solar PV</v>
          </cell>
        </row>
        <row r="20070">
          <cell r="C20070" t="str">
            <v>PV</v>
          </cell>
          <cell r="D20070">
            <v>18.5</v>
          </cell>
          <cell r="H20070" t="str">
            <v>solar PV</v>
          </cell>
        </row>
        <row r="20071">
          <cell r="C20071" t="str">
            <v>PV</v>
          </cell>
          <cell r="D20071">
            <v>1.5</v>
          </cell>
          <cell r="H20071" t="str">
            <v>solar PV</v>
          </cell>
        </row>
        <row r="20072">
          <cell r="C20072" t="str">
            <v>PV</v>
          </cell>
          <cell r="D20072">
            <v>10.6</v>
          </cell>
          <cell r="H20072" t="str">
            <v>solar PV</v>
          </cell>
        </row>
        <row r="20073">
          <cell r="C20073" t="str">
            <v>PV</v>
          </cell>
          <cell r="D20073">
            <v>7.4</v>
          </cell>
          <cell r="H20073" t="str">
            <v>solar PV</v>
          </cell>
        </row>
        <row r="20074">
          <cell r="C20074" t="str">
            <v>PV</v>
          </cell>
          <cell r="D20074">
            <v>12</v>
          </cell>
          <cell r="H20074" t="str">
            <v>solar PV</v>
          </cell>
        </row>
        <row r="20075">
          <cell r="C20075" t="str">
            <v>PV</v>
          </cell>
          <cell r="D20075">
            <v>50</v>
          </cell>
          <cell r="H20075" t="str">
            <v>solar PV</v>
          </cell>
        </row>
        <row r="20076">
          <cell r="C20076" t="str">
            <v>FC</v>
          </cell>
          <cell r="D20076">
            <v>3.7</v>
          </cell>
          <cell r="H20076" t="str">
            <v>other</v>
          </cell>
        </row>
        <row r="20077">
          <cell r="C20077" t="str">
            <v>PV</v>
          </cell>
          <cell r="D20077">
            <v>1</v>
          </cell>
          <cell r="H20077" t="str">
            <v>solar PV</v>
          </cell>
        </row>
        <row r="20078">
          <cell r="C20078" t="str">
            <v>PV</v>
          </cell>
          <cell r="D20078">
            <v>1</v>
          </cell>
          <cell r="H20078" t="str">
            <v>solar PV</v>
          </cell>
        </row>
        <row r="20079">
          <cell r="C20079" t="str">
            <v>PV</v>
          </cell>
          <cell r="D20079">
            <v>0.1</v>
          </cell>
          <cell r="H20079" t="str">
            <v>solar PV</v>
          </cell>
        </row>
        <row r="20080">
          <cell r="C20080" t="str">
            <v>PV</v>
          </cell>
          <cell r="D20080">
            <v>0.2</v>
          </cell>
          <cell r="H20080" t="str">
            <v>solar PV</v>
          </cell>
        </row>
        <row r="20081">
          <cell r="C20081" t="str">
            <v>PV</v>
          </cell>
          <cell r="D20081">
            <v>0.2</v>
          </cell>
          <cell r="H20081" t="str">
            <v>solar PV</v>
          </cell>
        </row>
        <row r="20082">
          <cell r="C20082" t="str">
            <v>PV</v>
          </cell>
          <cell r="D20082">
            <v>1</v>
          </cell>
          <cell r="H20082" t="str">
            <v>solar PV</v>
          </cell>
        </row>
        <row r="20083">
          <cell r="C20083" t="str">
            <v>WT</v>
          </cell>
          <cell r="D20083">
            <v>200</v>
          </cell>
          <cell r="H20083" t="str">
            <v>onshore wind</v>
          </cell>
        </row>
        <row r="20084">
          <cell r="C20084" t="str">
            <v>WT</v>
          </cell>
          <cell r="D20084">
            <v>200</v>
          </cell>
          <cell r="H20084" t="str">
            <v>onshore wind</v>
          </cell>
        </row>
        <row r="20085">
          <cell r="C20085" t="str">
            <v>WT</v>
          </cell>
          <cell r="D20085">
            <v>280.60000000000002</v>
          </cell>
          <cell r="H20085" t="str">
            <v>onshore wind</v>
          </cell>
        </row>
        <row r="20086">
          <cell r="C20086" t="str">
            <v>BA</v>
          </cell>
          <cell r="D20086">
            <v>30</v>
          </cell>
          <cell r="H20086" t="str">
            <v>other</v>
          </cell>
        </row>
        <row r="20087">
          <cell r="C20087" t="str">
            <v>PV</v>
          </cell>
          <cell r="D20087">
            <v>5</v>
          </cell>
          <cell r="H20087" t="str">
            <v>solar PV</v>
          </cell>
        </row>
        <row r="20088">
          <cell r="C20088" t="str">
            <v>PV</v>
          </cell>
          <cell r="D20088">
            <v>1</v>
          </cell>
          <cell r="H20088" t="str">
            <v>solar PV</v>
          </cell>
        </row>
        <row r="20089">
          <cell r="C20089" t="str">
            <v>PV</v>
          </cell>
          <cell r="D20089">
            <v>1</v>
          </cell>
          <cell r="H20089" t="str">
            <v>solar PV</v>
          </cell>
        </row>
        <row r="20090">
          <cell r="C20090" t="str">
            <v>PV</v>
          </cell>
          <cell r="D20090">
            <v>1</v>
          </cell>
          <cell r="H20090" t="str">
            <v>solar PV</v>
          </cell>
        </row>
        <row r="20091">
          <cell r="C20091" t="str">
            <v>PV</v>
          </cell>
          <cell r="D20091">
            <v>1</v>
          </cell>
          <cell r="H20091" t="str">
            <v>solar PV</v>
          </cell>
        </row>
        <row r="20092">
          <cell r="C20092" t="str">
            <v>PV</v>
          </cell>
          <cell r="D20092">
            <v>1</v>
          </cell>
          <cell r="H20092" t="str">
            <v>solar PV</v>
          </cell>
        </row>
        <row r="20093">
          <cell r="C20093" t="str">
            <v>PV</v>
          </cell>
          <cell r="D20093">
            <v>1</v>
          </cell>
          <cell r="H20093" t="str">
            <v>solar PV</v>
          </cell>
        </row>
        <row r="20094">
          <cell r="C20094" t="str">
            <v>PV</v>
          </cell>
          <cell r="D20094">
            <v>1</v>
          </cell>
          <cell r="H20094" t="str">
            <v>solar PV</v>
          </cell>
        </row>
        <row r="20095">
          <cell r="C20095" t="str">
            <v>PV</v>
          </cell>
          <cell r="D20095">
            <v>1</v>
          </cell>
          <cell r="H20095" t="str">
            <v>solar PV</v>
          </cell>
        </row>
        <row r="20096">
          <cell r="C20096" t="str">
            <v>IC</v>
          </cell>
          <cell r="D20096">
            <v>1.6</v>
          </cell>
          <cell r="H20096" t="str">
            <v>biomass</v>
          </cell>
        </row>
        <row r="20097">
          <cell r="C20097" t="str">
            <v>IC</v>
          </cell>
          <cell r="D20097">
            <v>1.6</v>
          </cell>
          <cell r="H20097" t="str">
            <v>biomass</v>
          </cell>
        </row>
        <row r="20098">
          <cell r="C20098" t="str">
            <v>WT</v>
          </cell>
          <cell r="D20098">
            <v>1</v>
          </cell>
          <cell r="H20098" t="str">
            <v>onshore wind</v>
          </cell>
        </row>
        <row r="20099">
          <cell r="C20099" t="str">
            <v>IC</v>
          </cell>
          <cell r="D20099">
            <v>1.4</v>
          </cell>
          <cell r="H20099" t="str">
            <v>biomass</v>
          </cell>
        </row>
        <row r="20100">
          <cell r="C20100" t="str">
            <v>IC</v>
          </cell>
          <cell r="D20100">
            <v>1.4</v>
          </cell>
          <cell r="H20100" t="str">
            <v>biomass</v>
          </cell>
        </row>
        <row r="20101">
          <cell r="C20101" t="str">
            <v>IC</v>
          </cell>
          <cell r="D20101">
            <v>1.4</v>
          </cell>
          <cell r="H20101" t="str">
            <v>biomass</v>
          </cell>
        </row>
        <row r="20102">
          <cell r="C20102" t="str">
            <v>IC</v>
          </cell>
          <cell r="D20102">
            <v>1.4</v>
          </cell>
          <cell r="H20102" t="str">
            <v>biomass</v>
          </cell>
        </row>
        <row r="20103">
          <cell r="C20103" t="str">
            <v>IC</v>
          </cell>
          <cell r="D20103">
            <v>1.4</v>
          </cell>
          <cell r="H20103" t="str">
            <v>biomass</v>
          </cell>
        </row>
        <row r="20104">
          <cell r="C20104" t="str">
            <v>IC</v>
          </cell>
          <cell r="D20104">
            <v>1.4</v>
          </cell>
          <cell r="H20104" t="str">
            <v>biomass</v>
          </cell>
        </row>
        <row r="20105">
          <cell r="C20105" t="str">
            <v>PV</v>
          </cell>
          <cell r="D20105">
            <v>17.399999999999999</v>
          </cell>
          <cell r="H20105" t="str">
            <v>solar PV</v>
          </cell>
        </row>
        <row r="20106">
          <cell r="C20106" t="str">
            <v>IC</v>
          </cell>
          <cell r="D20106">
            <v>1</v>
          </cell>
          <cell r="H20106" t="str">
            <v>biomass</v>
          </cell>
        </row>
        <row r="20107">
          <cell r="C20107" t="str">
            <v>IC</v>
          </cell>
          <cell r="D20107">
            <v>1</v>
          </cell>
          <cell r="H20107" t="str">
            <v>biomass</v>
          </cell>
        </row>
        <row r="20108">
          <cell r="C20108" t="str">
            <v>PV</v>
          </cell>
          <cell r="D20108">
            <v>2.8</v>
          </cell>
          <cell r="H20108" t="str">
            <v>solar PV</v>
          </cell>
        </row>
        <row r="20109">
          <cell r="C20109" t="str">
            <v>PV</v>
          </cell>
          <cell r="D20109">
            <v>2.8</v>
          </cell>
          <cell r="H20109" t="str">
            <v>solar PV</v>
          </cell>
        </row>
        <row r="20110">
          <cell r="C20110" t="str">
            <v>PV</v>
          </cell>
          <cell r="D20110">
            <v>2.8</v>
          </cell>
          <cell r="H20110" t="str">
            <v>solar PV</v>
          </cell>
        </row>
        <row r="20111">
          <cell r="C20111" t="str">
            <v>PV</v>
          </cell>
          <cell r="D20111">
            <v>2.8</v>
          </cell>
          <cell r="H20111" t="str">
            <v>solar PV</v>
          </cell>
        </row>
        <row r="20112">
          <cell r="C20112" t="str">
            <v>PV</v>
          </cell>
          <cell r="D20112">
            <v>1.4</v>
          </cell>
          <cell r="H20112" t="str">
            <v>solar PV</v>
          </cell>
        </row>
        <row r="20113">
          <cell r="C20113" t="str">
            <v>PV</v>
          </cell>
          <cell r="D20113">
            <v>3</v>
          </cell>
          <cell r="H20113" t="str">
            <v>solar PV</v>
          </cell>
        </row>
        <row r="20114">
          <cell r="C20114" t="str">
            <v>PV</v>
          </cell>
          <cell r="D20114">
            <v>2</v>
          </cell>
          <cell r="H20114" t="str">
            <v>solar PV</v>
          </cell>
        </row>
        <row r="20115">
          <cell r="C20115" t="str">
            <v>PV</v>
          </cell>
          <cell r="D20115">
            <v>0.9</v>
          </cell>
          <cell r="H20115" t="str">
            <v>solar PV</v>
          </cell>
        </row>
        <row r="20116">
          <cell r="C20116" t="str">
            <v>PV</v>
          </cell>
          <cell r="D20116">
            <v>0.9</v>
          </cell>
          <cell r="H20116" t="str">
            <v>solar PV</v>
          </cell>
        </row>
        <row r="20117">
          <cell r="C20117" t="str">
            <v>PV</v>
          </cell>
          <cell r="D20117">
            <v>0.9</v>
          </cell>
          <cell r="H20117" t="str">
            <v>solar PV</v>
          </cell>
        </row>
        <row r="20118">
          <cell r="C20118" t="str">
            <v>PV</v>
          </cell>
          <cell r="D20118">
            <v>0.9</v>
          </cell>
          <cell r="H20118" t="str">
            <v>solar PV</v>
          </cell>
        </row>
        <row r="20119">
          <cell r="C20119" t="str">
            <v>PV</v>
          </cell>
          <cell r="D20119">
            <v>0.9</v>
          </cell>
          <cell r="H20119" t="str">
            <v>solar PV</v>
          </cell>
        </row>
        <row r="20120">
          <cell r="C20120" t="str">
            <v>PV</v>
          </cell>
          <cell r="D20120">
            <v>0.9</v>
          </cell>
          <cell r="H20120" t="str">
            <v>solar PV</v>
          </cell>
        </row>
        <row r="20121">
          <cell r="C20121" t="str">
            <v>PV</v>
          </cell>
          <cell r="D20121">
            <v>0.9</v>
          </cell>
          <cell r="H20121" t="str">
            <v>solar PV</v>
          </cell>
        </row>
        <row r="20122">
          <cell r="C20122" t="str">
            <v>PV</v>
          </cell>
          <cell r="D20122">
            <v>0.9</v>
          </cell>
          <cell r="H20122" t="str">
            <v>solar PV</v>
          </cell>
        </row>
        <row r="20123">
          <cell r="C20123" t="str">
            <v>PV</v>
          </cell>
          <cell r="D20123">
            <v>0.9</v>
          </cell>
          <cell r="H20123" t="str">
            <v>solar PV</v>
          </cell>
        </row>
        <row r="20124">
          <cell r="C20124" t="str">
            <v>PV</v>
          </cell>
          <cell r="D20124">
            <v>0.9</v>
          </cell>
          <cell r="H20124" t="str">
            <v>solar PV</v>
          </cell>
        </row>
        <row r="20125">
          <cell r="C20125" t="str">
            <v>PV</v>
          </cell>
          <cell r="D20125">
            <v>0.9</v>
          </cell>
          <cell r="H20125" t="str">
            <v>solar PV</v>
          </cell>
        </row>
        <row r="20126">
          <cell r="C20126" t="str">
            <v>PV</v>
          </cell>
          <cell r="D20126">
            <v>0.9</v>
          </cell>
          <cell r="H20126" t="str">
            <v>solar PV</v>
          </cell>
        </row>
        <row r="20127">
          <cell r="C20127" t="str">
            <v>PV</v>
          </cell>
          <cell r="D20127">
            <v>0.9</v>
          </cell>
          <cell r="H20127" t="str">
            <v>solar PV</v>
          </cell>
        </row>
        <row r="20128">
          <cell r="C20128" t="str">
            <v>PV</v>
          </cell>
          <cell r="D20128">
            <v>0.9</v>
          </cell>
          <cell r="H20128" t="str">
            <v>solar PV</v>
          </cell>
        </row>
        <row r="20129">
          <cell r="C20129" t="str">
            <v>PV</v>
          </cell>
          <cell r="D20129">
            <v>0.9</v>
          </cell>
          <cell r="H20129" t="str">
            <v>solar PV</v>
          </cell>
        </row>
        <row r="20130">
          <cell r="C20130" t="str">
            <v>PV</v>
          </cell>
          <cell r="D20130">
            <v>0.9</v>
          </cell>
          <cell r="H20130" t="str">
            <v>solar PV</v>
          </cell>
        </row>
        <row r="20131">
          <cell r="C20131" t="str">
            <v>PV</v>
          </cell>
          <cell r="D20131">
            <v>0.9</v>
          </cell>
          <cell r="H20131" t="str">
            <v>solar PV</v>
          </cell>
        </row>
        <row r="20132">
          <cell r="C20132" t="str">
            <v>PV</v>
          </cell>
          <cell r="D20132">
            <v>0.9</v>
          </cell>
          <cell r="H20132" t="str">
            <v>solar PV</v>
          </cell>
        </row>
        <row r="20133">
          <cell r="C20133" t="str">
            <v>PV</v>
          </cell>
          <cell r="D20133">
            <v>0.9</v>
          </cell>
          <cell r="H20133" t="str">
            <v>solar PV</v>
          </cell>
        </row>
        <row r="20134">
          <cell r="C20134" t="str">
            <v>PV</v>
          </cell>
          <cell r="D20134">
            <v>0.9</v>
          </cell>
          <cell r="H20134" t="str">
            <v>solar PV</v>
          </cell>
        </row>
        <row r="20135">
          <cell r="C20135" t="str">
            <v>PV</v>
          </cell>
          <cell r="D20135">
            <v>0.9</v>
          </cell>
          <cell r="H20135" t="str">
            <v>solar PV</v>
          </cell>
        </row>
        <row r="20136">
          <cell r="C20136" t="str">
            <v>PV</v>
          </cell>
          <cell r="D20136">
            <v>0.9</v>
          </cell>
          <cell r="H20136" t="str">
            <v>solar PV</v>
          </cell>
        </row>
        <row r="20137">
          <cell r="C20137" t="str">
            <v>PV</v>
          </cell>
          <cell r="D20137">
            <v>0.9</v>
          </cell>
          <cell r="H20137" t="str">
            <v>solar PV</v>
          </cell>
        </row>
        <row r="20138">
          <cell r="C20138" t="str">
            <v>PV</v>
          </cell>
          <cell r="D20138">
            <v>0.9</v>
          </cell>
          <cell r="H20138" t="str">
            <v>solar PV</v>
          </cell>
        </row>
        <row r="20139">
          <cell r="C20139" t="str">
            <v>PV</v>
          </cell>
          <cell r="D20139">
            <v>0.9</v>
          </cell>
          <cell r="H20139" t="str">
            <v>solar PV</v>
          </cell>
        </row>
        <row r="20140">
          <cell r="C20140" t="str">
            <v>PV</v>
          </cell>
          <cell r="D20140">
            <v>0.9</v>
          </cell>
          <cell r="H20140" t="str">
            <v>solar PV</v>
          </cell>
        </row>
        <row r="20141">
          <cell r="C20141" t="str">
            <v>PV</v>
          </cell>
          <cell r="D20141">
            <v>0.9</v>
          </cell>
          <cell r="H20141" t="str">
            <v>solar PV</v>
          </cell>
        </row>
        <row r="20142">
          <cell r="C20142" t="str">
            <v>PV</v>
          </cell>
          <cell r="D20142">
            <v>0.9</v>
          </cell>
          <cell r="H20142" t="str">
            <v>solar PV</v>
          </cell>
        </row>
        <row r="20143">
          <cell r="C20143" t="str">
            <v>PV</v>
          </cell>
          <cell r="D20143">
            <v>0.9</v>
          </cell>
          <cell r="H20143" t="str">
            <v>solar PV</v>
          </cell>
        </row>
        <row r="20144">
          <cell r="C20144" t="str">
            <v>PV</v>
          </cell>
          <cell r="D20144">
            <v>0.9</v>
          </cell>
          <cell r="H20144" t="str">
            <v>solar PV</v>
          </cell>
        </row>
        <row r="20145">
          <cell r="C20145" t="str">
            <v>PV</v>
          </cell>
          <cell r="D20145">
            <v>0.9</v>
          </cell>
          <cell r="H20145" t="str">
            <v>solar PV</v>
          </cell>
        </row>
        <row r="20146">
          <cell r="C20146" t="str">
            <v>PV</v>
          </cell>
          <cell r="D20146">
            <v>0.9</v>
          </cell>
          <cell r="H20146" t="str">
            <v>solar PV</v>
          </cell>
        </row>
        <row r="20147">
          <cell r="C20147" t="str">
            <v>PV</v>
          </cell>
          <cell r="D20147">
            <v>1.5</v>
          </cell>
          <cell r="H20147" t="str">
            <v>solar PV</v>
          </cell>
        </row>
        <row r="20148">
          <cell r="C20148" t="str">
            <v>IC</v>
          </cell>
          <cell r="D20148">
            <v>1</v>
          </cell>
          <cell r="H20148" t="str">
            <v>biomass</v>
          </cell>
        </row>
        <row r="20149">
          <cell r="C20149" t="str">
            <v>IC</v>
          </cell>
          <cell r="D20149">
            <v>1</v>
          </cell>
          <cell r="H20149" t="str">
            <v>biomass</v>
          </cell>
        </row>
        <row r="20150">
          <cell r="C20150" t="str">
            <v>IC</v>
          </cell>
          <cell r="D20150">
            <v>1</v>
          </cell>
          <cell r="H20150" t="str">
            <v>biomass</v>
          </cell>
        </row>
        <row r="20151">
          <cell r="C20151" t="str">
            <v>PV</v>
          </cell>
          <cell r="D20151">
            <v>1.7</v>
          </cell>
          <cell r="H20151" t="str">
            <v>solar PV</v>
          </cell>
        </row>
        <row r="20152">
          <cell r="C20152" t="str">
            <v>PV</v>
          </cell>
          <cell r="D20152">
            <v>1.5</v>
          </cell>
          <cell r="H20152" t="str">
            <v>solar PV</v>
          </cell>
        </row>
        <row r="20153">
          <cell r="C20153" t="str">
            <v>PV</v>
          </cell>
          <cell r="D20153">
            <v>1.8</v>
          </cell>
          <cell r="H20153" t="str">
            <v>solar PV</v>
          </cell>
        </row>
        <row r="20154">
          <cell r="C20154" t="str">
            <v>PV</v>
          </cell>
          <cell r="D20154">
            <v>1.5</v>
          </cell>
          <cell r="H20154" t="str">
            <v>solar PV</v>
          </cell>
        </row>
        <row r="20155">
          <cell r="C20155" t="str">
            <v>PV</v>
          </cell>
          <cell r="D20155">
            <v>1.8</v>
          </cell>
          <cell r="H20155" t="str">
            <v>solar PV</v>
          </cell>
        </row>
        <row r="20156">
          <cell r="C20156" t="str">
            <v>PV</v>
          </cell>
          <cell r="D20156">
            <v>4.5</v>
          </cell>
          <cell r="H20156" t="str">
            <v>solar PV</v>
          </cell>
        </row>
        <row r="20157">
          <cell r="C20157" t="str">
            <v>PV</v>
          </cell>
          <cell r="D20157">
            <v>7</v>
          </cell>
          <cell r="H20157" t="str">
            <v>solar PV</v>
          </cell>
        </row>
        <row r="20158">
          <cell r="C20158" t="str">
            <v>PV</v>
          </cell>
          <cell r="D20158">
            <v>7.5</v>
          </cell>
          <cell r="H20158" t="str">
            <v>solar PV</v>
          </cell>
        </row>
        <row r="20159">
          <cell r="C20159" t="str">
            <v>PV</v>
          </cell>
          <cell r="D20159">
            <v>2</v>
          </cell>
          <cell r="H20159" t="str">
            <v>solar PV</v>
          </cell>
        </row>
        <row r="20160">
          <cell r="C20160" t="str">
            <v>PV</v>
          </cell>
          <cell r="D20160">
            <v>1</v>
          </cell>
          <cell r="H20160" t="str">
            <v>solar PV</v>
          </cell>
        </row>
        <row r="20161">
          <cell r="C20161" t="str">
            <v>PV</v>
          </cell>
          <cell r="D20161">
            <v>1</v>
          </cell>
          <cell r="H20161" t="str">
            <v>solar PV</v>
          </cell>
        </row>
        <row r="20162">
          <cell r="C20162" t="str">
            <v>PV</v>
          </cell>
          <cell r="D20162">
            <v>8.1999999999999993</v>
          </cell>
          <cell r="H20162" t="str">
            <v>solar PV</v>
          </cell>
        </row>
        <row r="20163">
          <cell r="C20163" t="str">
            <v>PV</v>
          </cell>
          <cell r="D20163">
            <v>1.5</v>
          </cell>
          <cell r="H20163" t="str">
            <v>solar PV</v>
          </cell>
        </row>
        <row r="20164">
          <cell r="C20164" t="str">
            <v>PV</v>
          </cell>
          <cell r="D20164">
            <v>6.8</v>
          </cell>
          <cell r="H20164" t="str">
            <v>solar PV</v>
          </cell>
        </row>
        <row r="20165">
          <cell r="C20165" t="str">
            <v>PV</v>
          </cell>
          <cell r="D20165">
            <v>13.6</v>
          </cell>
          <cell r="H20165" t="str">
            <v>solar PV</v>
          </cell>
        </row>
        <row r="20166">
          <cell r="C20166" t="str">
            <v>PV</v>
          </cell>
          <cell r="D20166">
            <v>2</v>
          </cell>
          <cell r="H20166" t="str">
            <v>solar PV</v>
          </cell>
        </row>
        <row r="20167">
          <cell r="C20167" t="str">
            <v>PV</v>
          </cell>
          <cell r="D20167">
            <v>6</v>
          </cell>
          <cell r="H20167" t="str">
            <v>solar PV</v>
          </cell>
        </row>
        <row r="20168">
          <cell r="C20168" t="str">
            <v>PV</v>
          </cell>
          <cell r="D20168">
            <v>2</v>
          </cell>
          <cell r="H20168" t="str">
            <v>solar PV</v>
          </cell>
        </row>
        <row r="20169">
          <cell r="C20169" t="str">
            <v>PV</v>
          </cell>
          <cell r="D20169">
            <v>4.5</v>
          </cell>
          <cell r="H20169" t="str">
            <v>solar PV</v>
          </cell>
        </row>
        <row r="20170">
          <cell r="C20170" t="str">
            <v>PV</v>
          </cell>
          <cell r="D20170">
            <v>2</v>
          </cell>
          <cell r="H20170" t="str">
            <v>solar PV</v>
          </cell>
        </row>
        <row r="20171">
          <cell r="C20171" t="str">
            <v>PV</v>
          </cell>
          <cell r="D20171">
            <v>19.7</v>
          </cell>
          <cell r="H20171" t="str">
            <v>solar PV</v>
          </cell>
        </row>
        <row r="20172">
          <cell r="C20172" t="str">
            <v>GT</v>
          </cell>
          <cell r="D20172">
            <v>4.7</v>
          </cell>
          <cell r="H20172" t="str">
            <v>natural gas peaker</v>
          </cell>
        </row>
        <row r="20173">
          <cell r="C20173" t="str">
            <v>WT</v>
          </cell>
          <cell r="D20173">
            <v>160</v>
          </cell>
          <cell r="H20173" t="str">
            <v>onshore wind</v>
          </cell>
        </row>
        <row r="20174">
          <cell r="C20174" t="str">
            <v>PV</v>
          </cell>
          <cell r="D20174">
            <v>2.9</v>
          </cell>
          <cell r="H20174" t="str">
            <v>solar PV</v>
          </cell>
        </row>
        <row r="20175">
          <cell r="C20175" t="str">
            <v>PV</v>
          </cell>
          <cell r="D20175">
            <v>1.9</v>
          </cell>
          <cell r="H20175" t="str">
            <v>solar PV</v>
          </cell>
        </row>
        <row r="20176">
          <cell r="C20176" t="str">
            <v>PV</v>
          </cell>
          <cell r="D20176">
            <v>3</v>
          </cell>
          <cell r="H20176" t="str">
            <v>solar PV</v>
          </cell>
        </row>
        <row r="20177">
          <cell r="C20177" t="str">
            <v>PV</v>
          </cell>
          <cell r="D20177">
            <v>3.1</v>
          </cell>
          <cell r="H20177" t="str">
            <v>solar PV</v>
          </cell>
        </row>
        <row r="20178">
          <cell r="C20178" t="str">
            <v>PV</v>
          </cell>
          <cell r="D20178">
            <v>20</v>
          </cell>
          <cell r="H20178" t="str">
            <v>solar PV</v>
          </cell>
        </row>
        <row r="20179">
          <cell r="C20179" t="str">
            <v>IC</v>
          </cell>
          <cell r="D20179">
            <v>2</v>
          </cell>
          <cell r="H20179" t="str">
            <v>petroleum</v>
          </cell>
        </row>
        <row r="20180">
          <cell r="C20180" t="str">
            <v>IC</v>
          </cell>
          <cell r="D20180">
            <v>2</v>
          </cell>
          <cell r="H20180" t="str">
            <v>petroleum</v>
          </cell>
        </row>
        <row r="20181">
          <cell r="C20181" t="str">
            <v>IC</v>
          </cell>
          <cell r="D20181">
            <v>2</v>
          </cell>
          <cell r="H20181" t="str">
            <v>petroleum</v>
          </cell>
        </row>
        <row r="20182">
          <cell r="C20182" t="str">
            <v>IC</v>
          </cell>
          <cell r="D20182">
            <v>2</v>
          </cell>
          <cell r="H20182" t="str">
            <v>petroleum</v>
          </cell>
        </row>
        <row r="20183">
          <cell r="C20183" t="str">
            <v>IC</v>
          </cell>
          <cell r="D20183">
            <v>2</v>
          </cell>
          <cell r="H20183" t="str">
            <v>petroleum</v>
          </cell>
        </row>
        <row r="20184">
          <cell r="C20184" t="str">
            <v>IC</v>
          </cell>
          <cell r="D20184">
            <v>2</v>
          </cell>
          <cell r="H20184" t="str">
            <v>petroleum</v>
          </cell>
        </row>
        <row r="20185">
          <cell r="C20185" t="str">
            <v>PV</v>
          </cell>
          <cell r="D20185">
            <v>2.2999999999999998</v>
          </cell>
          <cell r="H20185" t="str">
            <v>solar PV</v>
          </cell>
        </row>
        <row r="20186">
          <cell r="C20186" t="str">
            <v>PV</v>
          </cell>
          <cell r="D20186">
            <v>1</v>
          </cell>
          <cell r="H20186" t="str">
            <v>solar PV</v>
          </cell>
        </row>
        <row r="20187">
          <cell r="C20187" t="str">
            <v>PV</v>
          </cell>
          <cell r="D20187">
            <v>1.3</v>
          </cell>
          <cell r="H20187" t="str">
            <v>solar PV</v>
          </cell>
        </row>
        <row r="20188">
          <cell r="C20188" t="str">
            <v>PV</v>
          </cell>
          <cell r="D20188">
            <v>8.3000000000000007</v>
          </cell>
          <cell r="H20188" t="str">
            <v>solar PV</v>
          </cell>
        </row>
        <row r="20189">
          <cell r="C20189" t="str">
            <v>PV</v>
          </cell>
          <cell r="D20189">
            <v>3</v>
          </cell>
          <cell r="H20189" t="str">
            <v>solar PV</v>
          </cell>
        </row>
        <row r="20190">
          <cell r="C20190" t="str">
            <v>PV</v>
          </cell>
          <cell r="D20190">
            <v>0.5</v>
          </cell>
          <cell r="H20190" t="str">
            <v>solar PV</v>
          </cell>
        </row>
        <row r="20191">
          <cell r="C20191" t="str">
            <v>PV</v>
          </cell>
          <cell r="D20191">
            <v>1</v>
          </cell>
          <cell r="H20191" t="str">
            <v>solar PV</v>
          </cell>
        </row>
        <row r="20192">
          <cell r="C20192" t="str">
            <v>PV</v>
          </cell>
          <cell r="D20192">
            <v>1</v>
          </cell>
          <cell r="H20192" t="str">
            <v>solar PV</v>
          </cell>
        </row>
        <row r="20193">
          <cell r="C20193" t="str">
            <v>PV</v>
          </cell>
          <cell r="D20193">
            <v>1.5</v>
          </cell>
          <cell r="H20193" t="str">
            <v>solar PV</v>
          </cell>
        </row>
        <row r="20194">
          <cell r="C20194" t="str">
            <v>BA</v>
          </cell>
          <cell r="D20194">
            <v>2</v>
          </cell>
          <cell r="H20194" t="str">
            <v>other</v>
          </cell>
        </row>
        <row r="20195">
          <cell r="C20195" t="str">
            <v>PV</v>
          </cell>
          <cell r="D20195">
            <v>5</v>
          </cell>
          <cell r="H20195" t="str">
            <v>solar PV</v>
          </cell>
        </row>
        <row r="20196">
          <cell r="C20196" t="str">
            <v>PV</v>
          </cell>
          <cell r="D20196">
            <v>6.2</v>
          </cell>
          <cell r="H20196" t="str">
            <v>solar PV</v>
          </cell>
        </row>
        <row r="20197">
          <cell r="C20197" t="str">
            <v>PV</v>
          </cell>
          <cell r="D20197">
            <v>3</v>
          </cell>
          <cell r="H20197" t="str">
            <v>solar PV</v>
          </cell>
        </row>
        <row r="20198">
          <cell r="C20198" t="str">
            <v>PV</v>
          </cell>
          <cell r="D20198">
            <v>12.8</v>
          </cell>
          <cell r="H20198" t="str">
            <v>solar PV</v>
          </cell>
        </row>
        <row r="20199">
          <cell r="C20199" t="str">
            <v>PV</v>
          </cell>
          <cell r="D20199">
            <v>1</v>
          </cell>
          <cell r="H20199" t="str">
            <v>solar PV</v>
          </cell>
        </row>
        <row r="20200">
          <cell r="C20200" t="str">
            <v>PV</v>
          </cell>
          <cell r="D20200">
            <v>2</v>
          </cell>
          <cell r="H20200" t="str">
            <v>solar PV</v>
          </cell>
        </row>
        <row r="20201">
          <cell r="C20201" t="str">
            <v>CT</v>
          </cell>
          <cell r="D20201">
            <v>146</v>
          </cell>
          <cell r="H20201" t="str">
            <v>natural gas nonpeaker</v>
          </cell>
        </row>
        <row r="20202">
          <cell r="C20202" t="str">
            <v>CT</v>
          </cell>
          <cell r="D20202">
            <v>146</v>
          </cell>
          <cell r="H20202" t="str">
            <v>natural gas nonpeaker</v>
          </cell>
        </row>
        <row r="20203">
          <cell r="C20203" t="str">
            <v>CA</v>
          </cell>
          <cell r="D20203">
            <v>223</v>
          </cell>
          <cell r="H20203" t="str">
            <v>natural gas nonpeaker</v>
          </cell>
        </row>
        <row r="20204">
          <cell r="C20204" t="str">
            <v>PV</v>
          </cell>
          <cell r="D20204">
            <v>1.5</v>
          </cell>
          <cell r="H20204" t="str">
            <v>solar PV</v>
          </cell>
        </row>
        <row r="20205">
          <cell r="C20205" t="str">
            <v>PV</v>
          </cell>
          <cell r="D20205">
            <v>1.3</v>
          </cell>
          <cell r="H20205" t="str">
            <v>solar PV</v>
          </cell>
        </row>
        <row r="20206">
          <cell r="C20206" t="str">
            <v>PV</v>
          </cell>
          <cell r="D20206">
            <v>1.8</v>
          </cell>
          <cell r="H20206" t="str">
            <v>solar PV</v>
          </cell>
        </row>
        <row r="20207">
          <cell r="C20207" t="str">
            <v>PV</v>
          </cell>
          <cell r="D20207">
            <v>1.3</v>
          </cell>
          <cell r="H20207" t="str">
            <v>solar PV</v>
          </cell>
        </row>
        <row r="20208">
          <cell r="C20208" t="str">
            <v>PV</v>
          </cell>
          <cell r="D20208">
            <v>15.4</v>
          </cell>
          <cell r="H20208" t="str">
            <v>solar PV</v>
          </cell>
        </row>
        <row r="20209">
          <cell r="C20209" t="str">
            <v>PV</v>
          </cell>
          <cell r="D20209">
            <v>6</v>
          </cell>
          <cell r="H20209" t="str">
            <v>solar PV</v>
          </cell>
        </row>
        <row r="20210">
          <cell r="C20210" t="str">
            <v>PV</v>
          </cell>
          <cell r="D20210">
            <v>1.1000000000000001</v>
          </cell>
          <cell r="H20210" t="str">
            <v>solar PV</v>
          </cell>
        </row>
        <row r="20211">
          <cell r="C20211" t="str">
            <v>PV</v>
          </cell>
          <cell r="D20211">
            <v>5</v>
          </cell>
          <cell r="H20211" t="str">
            <v>solar PV</v>
          </cell>
        </row>
        <row r="20212">
          <cell r="C20212" t="str">
            <v>PV</v>
          </cell>
          <cell r="D20212">
            <v>5</v>
          </cell>
          <cell r="H20212" t="str">
            <v>solar PV</v>
          </cell>
        </row>
        <row r="20213">
          <cell r="C20213" t="str">
            <v>PV</v>
          </cell>
          <cell r="D20213">
            <v>1</v>
          </cell>
          <cell r="H20213" t="str">
            <v>solar PV</v>
          </cell>
        </row>
        <row r="20214">
          <cell r="C20214" t="str">
            <v>PV</v>
          </cell>
          <cell r="D20214">
            <v>3.1</v>
          </cell>
          <cell r="H20214" t="str">
            <v>solar PV</v>
          </cell>
        </row>
        <row r="20215">
          <cell r="C20215" t="str">
            <v>PV</v>
          </cell>
          <cell r="D20215">
            <v>5</v>
          </cell>
          <cell r="H20215" t="str">
            <v>solar PV</v>
          </cell>
        </row>
        <row r="20216">
          <cell r="C20216" t="str">
            <v>PV</v>
          </cell>
          <cell r="D20216">
            <v>5</v>
          </cell>
          <cell r="H20216" t="str">
            <v>solar PV</v>
          </cell>
        </row>
        <row r="20217">
          <cell r="C20217" t="str">
            <v>PV</v>
          </cell>
          <cell r="D20217">
            <v>7.3</v>
          </cell>
          <cell r="H20217" t="str">
            <v>solar PV</v>
          </cell>
        </row>
        <row r="20218">
          <cell r="C20218" t="str">
            <v>BT</v>
          </cell>
          <cell r="D20218">
            <v>24.4</v>
          </cell>
          <cell r="H20218" t="str">
            <v>geothermal</v>
          </cell>
        </row>
        <row r="20219">
          <cell r="C20219" t="str">
            <v>PV</v>
          </cell>
          <cell r="D20219">
            <v>15</v>
          </cell>
          <cell r="H20219" t="str">
            <v>solar PV</v>
          </cell>
        </row>
        <row r="20220">
          <cell r="C20220" t="str">
            <v>PV</v>
          </cell>
          <cell r="D20220">
            <v>8.8000000000000007</v>
          </cell>
          <cell r="H20220" t="str">
            <v>solar PV</v>
          </cell>
        </row>
        <row r="20221">
          <cell r="C20221" t="str">
            <v>PV</v>
          </cell>
          <cell r="D20221">
            <v>30</v>
          </cell>
          <cell r="H20221" t="str">
            <v>solar PV</v>
          </cell>
        </row>
        <row r="20222">
          <cell r="C20222" t="str">
            <v>PV</v>
          </cell>
          <cell r="D20222">
            <v>3</v>
          </cell>
          <cell r="H20222" t="str">
            <v>solar PV</v>
          </cell>
        </row>
        <row r="20223">
          <cell r="C20223" t="str">
            <v>PV</v>
          </cell>
          <cell r="D20223">
            <v>2</v>
          </cell>
          <cell r="H20223" t="str">
            <v>solar PV</v>
          </cell>
        </row>
        <row r="20224">
          <cell r="C20224" t="str">
            <v>GT</v>
          </cell>
          <cell r="D20224">
            <v>3.3</v>
          </cell>
          <cell r="H20224" t="str">
            <v>biomass</v>
          </cell>
        </row>
        <row r="20225">
          <cell r="C20225" t="str">
            <v>GT</v>
          </cell>
          <cell r="D20225">
            <v>3.3</v>
          </cell>
          <cell r="H20225" t="str">
            <v>biomass</v>
          </cell>
        </row>
        <row r="20226">
          <cell r="C20226" t="str">
            <v>PV</v>
          </cell>
          <cell r="D20226">
            <v>3.9</v>
          </cell>
          <cell r="H20226" t="str">
            <v>solar PV</v>
          </cell>
        </row>
        <row r="20227">
          <cell r="C20227" t="str">
            <v>PV</v>
          </cell>
          <cell r="D20227">
            <v>4.9000000000000004</v>
          </cell>
          <cell r="H20227" t="str">
            <v>solar PV</v>
          </cell>
        </row>
        <row r="20228">
          <cell r="C20228" t="str">
            <v>IC</v>
          </cell>
          <cell r="D20228">
            <v>3.2</v>
          </cell>
          <cell r="H20228" t="str">
            <v>natural gas peaker</v>
          </cell>
        </row>
        <row r="20229">
          <cell r="C20229" t="str">
            <v>PV</v>
          </cell>
          <cell r="D20229">
            <v>1.6</v>
          </cell>
          <cell r="H20229" t="str">
            <v>solar PV</v>
          </cell>
        </row>
        <row r="20230">
          <cell r="C20230" t="str">
            <v>PV</v>
          </cell>
          <cell r="D20230">
            <v>4.5</v>
          </cell>
          <cell r="H20230" t="str">
            <v>solar PV</v>
          </cell>
        </row>
        <row r="20231">
          <cell r="C20231" t="str">
            <v>PV</v>
          </cell>
          <cell r="D20231">
            <v>2</v>
          </cell>
          <cell r="H20231" t="str">
            <v>solar PV</v>
          </cell>
        </row>
        <row r="20232">
          <cell r="C20232" t="str">
            <v>PV</v>
          </cell>
          <cell r="D20232">
            <v>1.5</v>
          </cell>
          <cell r="H20232" t="str">
            <v>solar PV</v>
          </cell>
        </row>
        <row r="20233">
          <cell r="C20233" t="str">
            <v>PV</v>
          </cell>
          <cell r="D20233">
            <v>1.4</v>
          </cell>
          <cell r="H20233" t="str">
            <v>solar PV</v>
          </cell>
        </row>
        <row r="20234">
          <cell r="C20234" t="str">
            <v>PV</v>
          </cell>
          <cell r="D20234">
            <v>1</v>
          </cell>
          <cell r="H20234" t="str">
            <v>solar PV</v>
          </cell>
        </row>
        <row r="20235">
          <cell r="C20235" t="str">
            <v>PV</v>
          </cell>
          <cell r="D20235">
            <v>1.2</v>
          </cell>
          <cell r="H20235" t="str">
            <v>solar PV</v>
          </cell>
        </row>
        <row r="20236">
          <cell r="C20236" t="str">
            <v>PV</v>
          </cell>
          <cell r="D20236">
            <v>7.4</v>
          </cell>
          <cell r="H20236" t="str">
            <v>solar PV</v>
          </cell>
        </row>
        <row r="20237">
          <cell r="C20237" t="str">
            <v>PV</v>
          </cell>
          <cell r="D20237">
            <v>1.7</v>
          </cell>
          <cell r="H20237" t="str">
            <v>solar PV</v>
          </cell>
        </row>
        <row r="20238">
          <cell r="C20238" t="str">
            <v>PV</v>
          </cell>
          <cell r="D20238">
            <v>6</v>
          </cell>
          <cell r="H20238" t="str">
            <v>solar PV</v>
          </cell>
        </row>
        <row r="20239">
          <cell r="C20239" t="str">
            <v>PV</v>
          </cell>
          <cell r="D20239">
            <v>1</v>
          </cell>
          <cell r="H20239" t="str">
            <v>solar PV</v>
          </cell>
        </row>
        <row r="20240">
          <cell r="C20240" t="str">
            <v>PV</v>
          </cell>
          <cell r="D20240">
            <v>2.1</v>
          </cell>
          <cell r="H20240" t="str">
            <v>solar PV</v>
          </cell>
        </row>
        <row r="20241">
          <cell r="C20241" t="str">
            <v>PV</v>
          </cell>
          <cell r="D20241">
            <v>1</v>
          </cell>
          <cell r="H20241" t="str">
            <v>solar PV</v>
          </cell>
        </row>
        <row r="20242">
          <cell r="C20242" t="str">
            <v>BA</v>
          </cell>
          <cell r="D20242">
            <v>0.5</v>
          </cell>
          <cell r="H20242" t="str">
            <v>other</v>
          </cell>
        </row>
        <row r="20243">
          <cell r="C20243" t="str">
            <v>BA</v>
          </cell>
          <cell r="D20243">
            <v>0.5</v>
          </cell>
          <cell r="H20243" t="str">
            <v>other</v>
          </cell>
        </row>
        <row r="20244">
          <cell r="C20244" t="str">
            <v>PV</v>
          </cell>
          <cell r="D20244">
            <v>1.7</v>
          </cell>
          <cell r="H20244" t="str">
            <v>solar PV</v>
          </cell>
        </row>
        <row r="20245">
          <cell r="C20245" t="str">
            <v>PV</v>
          </cell>
          <cell r="D20245">
            <v>1.7</v>
          </cell>
          <cell r="H20245" t="str">
            <v>solar PV</v>
          </cell>
        </row>
        <row r="20246">
          <cell r="C20246" t="str">
            <v>PV</v>
          </cell>
          <cell r="D20246">
            <v>1.6</v>
          </cell>
          <cell r="H20246" t="str">
            <v>solar PV</v>
          </cell>
        </row>
        <row r="20247">
          <cell r="C20247" t="str">
            <v>PV</v>
          </cell>
          <cell r="D20247">
            <v>2</v>
          </cell>
          <cell r="H20247" t="str">
            <v>solar PV</v>
          </cell>
        </row>
        <row r="20248">
          <cell r="C20248" t="str">
            <v>PV</v>
          </cell>
          <cell r="D20248">
            <v>2</v>
          </cell>
          <cell r="H20248" t="str">
            <v>solar PV</v>
          </cell>
        </row>
        <row r="20249">
          <cell r="C20249" t="str">
            <v>PV</v>
          </cell>
          <cell r="D20249">
            <v>2</v>
          </cell>
          <cell r="H20249" t="str">
            <v>solar PV</v>
          </cell>
        </row>
        <row r="20250">
          <cell r="C20250" t="str">
            <v>PV</v>
          </cell>
          <cell r="D20250">
            <v>1.4</v>
          </cell>
          <cell r="H20250" t="str">
            <v>solar PV</v>
          </cell>
        </row>
        <row r="20251">
          <cell r="C20251" t="str">
            <v>PV</v>
          </cell>
          <cell r="D20251">
            <v>1.3</v>
          </cell>
          <cell r="H20251" t="str">
            <v>solar PV</v>
          </cell>
        </row>
        <row r="20252">
          <cell r="C20252" t="str">
            <v>PV</v>
          </cell>
          <cell r="D20252">
            <v>2.8</v>
          </cell>
          <cell r="H20252" t="str">
            <v>solar PV</v>
          </cell>
        </row>
        <row r="20253">
          <cell r="C20253" t="str">
            <v>PV</v>
          </cell>
          <cell r="D20253">
            <v>1.4</v>
          </cell>
          <cell r="H20253" t="str">
            <v>solar PV</v>
          </cell>
        </row>
        <row r="20254">
          <cell r="C20254" t="str">
            <v>PV</v>
          </cell>
          <cell r="D20254">
            <v>2.2999999999999998</v>
          </cell>
          <cell r="H20254" t="str">
            <v>solar PV</v>
          </cell>
        </row>
        <row r="20255">
          <cell r="C20255" t="str">
            <v>PV</v>
          </cell>
          <cell r="D20255">
            <v>1</v>
          </cell>
          <cell r="H20255" t="str">
            <v>solar PV</v>
          </cell>
        </row>
        <row r="20256">
          <cell r="C20256" t="str">
            <v>PV</v>
          </cell>
          <cell r="D20256">
            <v>74.8</v>
          </cell>
          <cell r="H20256" t="str">
            <v>solar PV</v>
          </cell>
        </row>
        <row r="20257">
          <cell r="C20257" t="str">
            <v>PV</v>
          </cell>
          <cell r="D20257">
            <v>5</v>
          </cell>
          <cell r="H20257" t="str">
            <v>solar PV</v>
          </cell>
        </row>
        <row r="20258">
          <cell r="C20258" t="str">
            <v>IC</v>
          </cell>
          <cell r="D20258">
            <v>3.2</v>
          </cell>
          <cell r="H20258" t="str">
            <v>biomass</v>
          </cell>
        </row>
        <row r="20259">
          <cell r="C20259" t="str">
            <v>PV</v>
          </cell>
          <cell r="D20259">
            <v>5</v>
          </cell>
          <cell r="H20259" t="str">
            <v>solar PV</v>
          </cell>
        </row>
        <row r="20260">
          <cell r="C20260" t="str">
            <v>PV</v>
          </cell>
          <cell r="D20260">
            <v>5</v>
          </cell>
          <cell r="H20260" t="str">
            <v>solar PV</v>
          </cell>
        </row>
        <row r="20261">
          <cell r="C20261" t="str">
            <v>PV</v>
          </cell>
          <cell r="D20261">
            <v>5</v>
          </cell>
          <cell r="H20261" t="str">
            <v>solar PV</v>
          </cell>
        </row>
        <row r="20262">
          <cell r="C20262" t="str">
            <v>PV</v>
          </cell>
          <cell r="D20262">
            <v>3.9</v>
          </cell>
          <cell r="H20262" t="str">
            <v>solar PV</v>
          </cell>
        </row>
        <row r="20263">
          <cell r="C20263" t="str">
            <v>PV</v>
          </cell>
          <cell r="D20263">
            <v>5</v>
          </cell>
          <cell r="H20263" t="str">
            <v>solar PV</v>
          </cell>
        </row>
        <row r="20264">
          <cell r="C20264" t="str">
            <v>PV</v>
          </cell>
          <cell r="D20264">
            <v>5</v>
          </cell>
          <cell r="H20264" t="str">
            <v>solar PV</v>
          </cell>
        </row>
        <row r="20265">
          <cell r="C20265" t="str">
            <v>PV</v>
          </cell>
          <cell r="D20265">
            <v>3</v>
          </cell>
          <cell r="H20265" t="str">
            <v>solar PV</v>
          </cell>
        </row>
        <row r="20266">
          <cell r="C20266" t="str">
            <v>PV</v>
          </cell>
          <cell r="D20266">
            <v>2.5</v>
          </cell>
          <cell r="H20266" t="str">
            <v>solar PV</v>
          </cell>
        </row>
        <row r="20267">
          <cell r="C20267" t="str">
            <v>PV</v>
          </cell>
          <cell r="D20267">
            <v>1.6</v>
          </cell>
          <cell r="H20267" t="str">
            <v>solar PV</v>
          </cell>
        </row>
        <row r="20268">
          <cell r="C20268" t="str">
            <v>PV</v>
          </cell>
          <cell r="D20268">
            <v>1.2</v>
          </cell>
          <cell r="H20268" t="str">
            <v>solar PV</v>
          </cell>
        </row>
        <row r="20269">
          <cell r="C20269" t="str">
            <v>PV</v>
          </cell>
          <cell r="D20269">
            <v>1.7</v>
          </cell>
          <cell r="H20269" t="str">
            <v>solar PV</v>
          </cell>
        </row>
        <row r="20270">
          <cell r="C20270" t="str">
            <v>PV</v>
          </cell>
          <cell r="D20270">
            <v>0.5</v>
          </cell>
          <cell r="H20270" t="str">
            <v>solar PV</v>
          </cell>
        </row>
        <row r="20271">
          <cell r="C20271" t="str">
            <v>PV</v>
          </cell>
          <cell r="D20271">
            <v>0.6</v>
          </cell>
          <cell r="H20271" t="str">
            <v>solar PV</v>
          </cell>
        </row>
        <row r="20272">
          <cell r="C20272" t="str">
            <v>PV</v>
          </cell>
          <cell r="D20272">
            <v>0.2</v>
          </cell>
          <cell r="H20272" t="str">
            <v>solar PV</v>
          </cell>
        </row>
        <row r="20273">
          <cell r="C20273" t="str">
            <v>PV</v>
          </cell>
          <cell r="D20273">
            <v>1</v>
          </cell>
          <cell r="H20273" t="str">
            <v>solar PV</v>
          </cell>
        </row>
        <row r="20274">
          <cell r="C20274" t="str">
            <v>PV</v>
          </cell>
          <cell r="D20274">
            <v>0.4</v>
          </cell>
          <cell r="H20274" t="str">
            <v>solar PV</v>
          </cell>
        </row>
        <row r="20275">
          <cell r="C20275" t="str">
            <v>PV</v>
          </cell>
          <cell r="D20275">
            <v>3.8</v>
          </cell>
          <cell r="H20275" t="str">
            <v>solar PV</v>
          </cell>
        </row>
        <row r="20276">
          <cell r="C20276" t="str">
            <v>PV</v>
          </cell>
          <cell r="D20276">
            <v>2.2999999999999998</v>
          </cell>
          <cell r="H20276" t="str">
            <v>solar PV</v>
          </cell>
        </row>
        <row r="20277">
          <cell r="C20277" t="str">
            <v>PV</v>
          </cell>
          <cell r="D20277">
            <v>1.1000000000000001</v>
          </cell>
          <cell r="H20277" t="str">
            <v>solar PV</v>
          </cell>
        </row>
        <row r="20278">
          <cell r="C20278" t="str">
            <v>PV</v>
          </cell>
          <cell r="D20278">
            <v>1.2</v>
          </cell>
          <cell r="H20278" t="str">
            <v>solar PV</v>
          </cell>
        </row>
        <row r="20279">
          <cell r="C20279" t="str">
            <v>PV</v>
          </cell>
          <cell r="D20279">
            <v>2.2000000000000002</v>
          </cell>
          <cell r="H20279" t="str">
            <v>solar PV</v>
          </cell>
        </row>
        <row r="20280">
          <cell r="C20280" t="str">
            <v>PV</v>
          </cell>
          <cell r="D20280">
            <v>1.7</v>
          </cell>
          <cell r="H20280" t="str">
            <v>solar PV</v>
          </cell>
        </row>
        <row r="20281">
          <cell r="C20281" t="str">
            <v>PV</v>
          </cell>
          <cell r="D20281">
            <v>1.9</v>
          </cell>
          <cell r="H20281" t="str">
            <v>solar PV</v>
          </cell>
        </row>
        <row r="20282">
          <cell r="C20282" t="str">
            <v>PV</v>
          </cell>
          <cell r="D20282">
            <v>1.9</v>
          </cell>
          <cell r="H20282" t="str">
            <v>solar PV</v>
          </cell>
        </row>
        <row r="20283">
          <cell r="C20283" t="str">
            <v>PV</v>
          </cell>
          <cell r="D20283">
            <v>3.1</v>
          </cell>
          <cell r="H20283" t="str">
            <v>solar PV</v>
          </cell>
        </row>
        <row r="20284">
          <cell r="C20284" t="str">
            <v>PV</v>
          </cell>
          <cell r="D20284">
            <v>3.5</v>
          </cell>
          <cell r="H20284" t="str">
            <v>solar PV</v>
          </cell>
        </row>
        <row r="20285">
          <cell r="C20285" t="str">
            <v>PV</v>
          </cell>
          <cell r="D20285">
            <v>2.9</v>
          </cell>
          <cell r="H20285" t="str">
            <v>solar PV</v>
          </cell>
        </row>
        <row r="20286">
          <cell r="C20286" t="str">
            <v>WT</v>
          </cell>
          <cell r="D20286">
            <v>163</v>
          </cell>
          <cell r="H20286" t="str">
            <v>onshore wind</v>
          </cell>
        </row>
        <row r="20287">
          <cell r="C20287" t="str">
            <v>PV</v>
          </cell>
          <cell r="D20287">
            <v>1</v>
          </cell>
          <cell r="H20287" t="str">
            <v>solar PV</v>
          </cell>
        </row>
        <row r="20288">
          <cell r="C20288" t="str">
            <v>PV</v>
          </cell>
          <cell r="D20288">
            <v>2</v>
          </cell>
          <cell r="H20288" t="str">
            <v>solar PV</v>
          </cell>
        </row>
        <row r="20289">
          <cell r="C20289" t="str">
            <v>PV</v>
          </cell>
          <cell r="D20289">
            <v>1</v>
          </cell>
          <cell r="H20289" t="str">
            <v>solar PV</v>
          </cell>
        </row>
        <row r="20290">
          <cell r="C20290" t="str">
            <v>PV</v>
          </cell>
          <cell r="D20290">
            <v>2.7</v>
          </cell>
          <cell r="H20290" t="str">
            <v>solar PV</v>
          </cell>
        </row>
        <row r="20291">
          <cell r="C20291" t="str">
            <v>PV</v>
          </cell>
          <cell r="D20291">
            <v>8.5</v>
          </cell>
          <cell r="H20291" t="str">
            <v>solar PV</v>
          </cell>
        </row>
        <row r="20292">
          <cell r="C20292" t="str">
            <v>PV</v>
          </cell>
          <cell r="D20292">
            <v>5.4</v>
          </cell>
          <cell r="H20292" t="str">
            <v>solar PV</v>
          </cell>
        </row>
        <row r="20293">
          <cell r="C20293" t="str">
            <v>WT</v>
          </cell>
          <cell r="D20293">
            <v>4</v>
          </cell>
          <cell r="H20293" t="str">
            <v>onshore wind</v>
          </cell>
        </row>
        <row r="20294">
          <cell r="C20294" t="str">
            <v>PV</v>
          </cell>
          <cell r="D20294">
            <v>2</v>
          </cell>
          <cell r="H20294" t="str">
            <v>solar PV</v>
          </cell>
        </row>
        <row r="20295">
          <cell r="C20295" t="str">
            <v>PV</v>
          </cell>
          <cell r="D20295">
            <v>3.3</v>
          </cell>
          <cell r="H20295" t="str">
            <v>solar PV</v>
          </cell>
        </row>
        <row r="20296">
          <cell r="C20296" t="str">
            <v>HY</v>
          </cell>
          <cell r="D20296">
            <v>1.1000000000000001</v>
          </cell>
          <cell r="H20296" t="str">
            <v>hydro</v>
          </cell>
        </row>
        <row r="20297">
          <cell r="C20297" t="str">
            <v>PV</v>
          </cell>
          <cell r="D20297">
            <v>9.5</v>
          </cell>
          <cell r="H20297" t="str">
            <v>solar PV</v>
          </cell>
        </row>
        <row r="20298">
          <cell r="C20298" t="str">
            <v>WT</v>
          </cell>
          <cell r="D20298">
            <v>168</v>
          </cell>
          <cell r="H20298" t="str">
            <v>onshore wind</v>
          </cell>
        </row>
        <row r="20299">
          <cell r="C20299" t="str">
            <v>PV</v>
          </cell>
          <cell r="D20299">
            <v>5</v>
          </cell>
          <cell r="H20299" t="str">
            <v>solar PV</v>
          </cell>
        </row>
        <row r="20300">
          <cell r="C20300" t="str">
            <v>PV</v>
          </cell>
          <cell r="D20300">
            <v>4.7</v>
          </cell>
          <cell r="H20300" t="str">
            <v>solar PV</v>
          </cell>
        </row>
        <row r="20301">
          <cell r="C20301" t="str">
            <v>PV</v>
          </cell>
          <cell r="D20301">
            <v>1.8</v>
          </cell>
          <cell r="H20301" t="str">
            <v>solar PV</v>
          </cell>
        </row>
        <row r="20302">
          <cell r="C20302" t="str">
            <v>PV</v>
          </cell>
          <cell r="D20302">
            <v>5</v>
          </cell>
          <cell r="H20302" t="str">
            <v>solar PV</v>
          </cell>
        </row>
        <row r="20303">
          <cell r="C20303" t="str">
            <v>PV</v>
          </cell>
          <cell r="D20303">
            <v>1.9</v>
          </cell>
          <cell r="H20303" t="str">
            <v>solar PV</v>
          </cell>
        </row>
        <row r="20304">
          <cell r="C20304" t="str">
            <v>PV</v>
          </cell>
          <cell r="D20304">
            <v>1.7</v>
          </cell>
          <cell r="H20304" t="str">
            <v>solar PV</v>
          </cell>
        </row>
        <row r="20305">
          <cell r="C20305" t="str">
            <v>PV</v>
          </cell>
          <cell r="D20305">
            <v>1</v>
          </cell>
          <cell r="H20305" t="str">
            <v>solar PV</v>
          </cell>
        </row>
        <row r="20306">
          <cell r="C20306" t="str">
            <v>PV</v>
          </cell>
          <cell r="D20306">
            <v>1</v>
          </cell>
          <cell r="H20306" t="str">
            <v>solar PV</v>
          </cell>
        </row>
        <row r="20307">
          <cell r="C20307" t="str">
            <v>PV</v>
          </cell>
          <cell r="D20307">
            <v>1</v>
          </cell>
          <cell r="H20307" t="str">
            <v>solar PV</v>
          </cell>
        </row>
        <row r="20308">
          <cell r="C20308" t="str">
            <v>PV</v>
          </cell>
          <cell r="D20308">
            <v>5</v>
          </cell>
          <cell r="H20308" t="str">
            <v>solar PV</v>
          </cell>
        </row>
        <row r="20309">
          <cell r="C20309" t="str">
            <v>WT</v>
          </cell>
          <cell r="D20309">
            <v>41.6</v>
          </cell>
          <cell r="H20309" t="str">
            <v>onshore wind</v>
          </cell>
        </row>
        <row r="20310">
          <cell r="C20310" t="str">
            <v>WT</v>
          </cell>
          <cell r="D20310">
            <v>74.5</v>
          </cell>
          <cell r="H20310" t="str">
            <v>onshore wind</v>
          </cell>
        </row>
        <row r="20311">
          <cell r="C20311" t="str">
            <v>WT</v>
          </cell>
          <cell r="D20311">
            <v>32.9</v>
          </cell>
          <cell r="H20311" t="str">
            <v>onshore wind</v>
          </cell>
        </row>
        <row r="20312">
          <cell r="C20312" t="str">
            <v>PV</v>
          </cell>
          <cell r="D20312">
            <v>50</v>
          </cell>
          <cell r="H20312" t="str">
            <v>solar PV</v>
          </cell>
        </row>
        <row r="20313">
          <cell r="C20313" t="str">
            <v>PV</v>
          </cell>
          <cell r="D20313">
            <v>20</v>
          </cell>
          <cell r="H20313" t="str">
            <v>solar PV</v>
          </cell>
        </row>
        <row r="20314">
          <cell r="C20314" t="str">
            <v>PV</v>
          </cell>
          <cell r="D20314">
            <v>1</v>
          </cell>
          <cell r="H20314" t="str">
            <v>solar PV</v>
          </cell>
        </row>
        <row r="20315">
          <cell r="C20315" t="str">
            <v>PV</v>
          </cell>
          <cell r="D20315">
            <v>1</v>
          </cell>
          <cell r="H20315" t="str">
            <v>solar PV</v>
          </cell>
        </row>
        <row r="20316">
          <cell r="C20316" t="str">
            <v>PV</v>
          </cell>
          <cell r="D20316">
            <v>1</v>
          </cell>
          <cell r="H20316" t="str">
            <v>solar PV</v>
          </cell>
        </row>
        <row r="20317">
          <cell r="C20317" t="str">
            <v>PV</v>
          </cell>
          <cell r="D20317">
            <v>2.2000000000000002</v>
          </cell>
          <cell r="H20317" t="str">
            <v>solar PV</v>
          </cell>
        </row>
        <row r="20318">
          <cell r="C20318" t="str">
            <v>PV</v>
          </cell>
          <cell r="D20318">
            <v>1.1000000000000001</v>
          </cell>
          <cell r="H20318" t="str">
            <v>solar PV</v>
          </cell>
        </row>
        <row r="20319">
          <cell r="C20319" t="str">
            <v>PV</v>
          </cell>
          <cell r="D20319">
            <v>1</v>
          </cell>
          <cell r="H20319" t="str">
            <v>solar PV</v>
          </cell>
        </row>
        <row r="20320">
          <cell r="C20320" t="str">
            <v>PV</v>
          </cell>
          <cell r="D20320">
            <v>1</v>
          </cell>
          <cell r="H20320" t="str">
            <v>solar PV</v>
          </cell>
        </row>
        <row r="20321">
          <cell r="C20321" t="str">
            <v>PV</v>
          </cell>
          <cell r="D20321">
            <v>2</v>
          </cell>
          <cell r="H20321" t="str">
            <v>solar PV</v>
          </cell>
        </row>
        <row r="20322">
          <cell r="C20322" t="str">
            <v>PV</v>
          </cell>
          <cell r="D20322">
            <v>1.5</v>
          </cell>
          <cell r="H20322" t="str">
            <v>solar PV</v>
          </cell>
        </row>
        <row r="20323">
          <cell r="C20323" t="str">
            <v>WT</v>
          </cell>
          <cell r="D20323">
            <v>250</v>
          </cell>
          <cell r="H20323" t="str">
            <v>onshore wind</v>
          </cell>
        </row>
        <row r="20324">
          <cell r="C20324" t="str">
            <v>WT</v>
          </cell>
          <cell r="D20324">
            <v>253</v>
          </cell>
          <cell r="H20324" t="str">
            <v>onshore wind</v>
          </cell>
        </row>
        <row r="20325">
          <cell r="C20325" t="str">
            <v>CA</v>
          </cell>
          <cell r="D20325">
            <v>337.8</v>
          </cell>
          <cell r="H20325" t="str">
            <v>natural gas nonpeaker</v>
          </cell>
        </row>
        <row r="20326">
          <cell r="C20326" t="str">
            <v>CA</v>
          </cell>
          <cell r="D20326">
            <v>337.2</v>
          </cell>
          <cell r="H20326" t="str">
            <v>natural gas nonpeaker</v>
          </cell>
        </row>
        <row r="20327">
          <cell r="C20327" t="str">
            <v>CT</v>
          </cell>
          <cell r="D20327" t="str">
            <v xml:space="preserve"> </v>
          </cell>
          <cell r="H20327" t="str">
            <v>natural gas nonpeaker</v>
          </cell>
        </row>
        <row r="20328">
          <cell r="C20328" t="str">
            <v>CT</v>
          </cell>
          <cell r="D20328" t="str">
            <v xml:space="preserve"> </v>
          </cell>
          <cell r="H20328" t="str">
            <v>natural gas nonpeaker</v>
          </cell>
        </row>
        <row r="20329">
          <cell r="C20329" t="str">
            <v>PV</v>
          </cell>
          <cell r="D20329">
            <v>2</v>
          </cell>
          <cell r="H20329" t="str">
            <v>solar PV</v>
          </cell>
        </row>
        <row r="20330">
          <cell r="C20330" t="str">
            <v>WT</v>
          </cell>
          <cell r="D20330">
            <v>99.3</v>
          </cell>
          <cell r="H20330" t="str">
            <v>onshore wind</v>
          </cell>
        </row>
        <row r="20331">
          <cell r="C20331" t="str">
            <v>BA</v>
          </cell>
          <cell r="D20331">
            <v>3.1</v>
          </cell>
          <cell r="H20331" t="str">
            <v>other</v>
          </cell>
        </row>
        <row r="20332">
          <cell r="C20332" t="str">
            <v>PV</v>
          </cell>
          <cell r="D20332">
            <v>4.5</v>
          </cell>
          <cell r="H20332" t="str">
            <v>solar PV</v>
          </cell>
        </row>
        <row r="20333">
          <cell r="C20333" t="str">
            <v>PV</v>
          </cell>
          <cell r="D20333">
            <v>2.4</v>
          </cell>
          <cell r="H20333" t="str">
            <v>solar PV</v>
          </cell>
        </row>
        <row r="20334">
          <cell r="C20334" t="str">
            <v>PV</v>
          </cell>
          <cell r="D20334">
            <v>1</v>
          </cell>
          <cell r="H20334" t="str">
            <v>solar PV</v>
          </cell>
        </row>
        <row r="20335">
          <cell r="C20335" t="str">
            <v>WT</v>
          </cell>
          <cell r="D20335">
            <v>1.7</v>
          </cell>
          <cell r="H20335" t="str">
            <v>onshore wind</v>
          </cell>
        </row>
        <row r="20336">
          <cell r="C20336" t="str">
            <v>PV</v>
          </cell>
          <cell r="D20336">
            <v>2.2999999999999998</v>
          </cell>
          <cell r="H20336" t="str">
            <v>solar PV</v>
          </cell>
        </row>
        <row r="20337">
          <cell r="C20337" t="str">
            <v>PV</v>
          </cell>
          <cell r="D20337">
            <v>1.7</v>
          </cell>
          <cell r="H20337" t="str">
            <v>solar PV</v>
          </cell>
        </row>
        <row r="20338">
          <cell r="C20338" t="str">
            <v>PV</v>
          </cell>
          <cell r="D20338">
            <v>1</v>
          </cell>
          <cell r="H20338" t="str">
            <v>solar PV</v>
          </cell>
        </row>
        <row r="20339">
          <cell r="C20339" t="str">
            <v>PV</v>
          </cell>
          <cell r="D20339">
            <v>2.2999999999999998</v>
          </cell>
          <cell r="H20339" t="str">
            <v>solar PV</v>
          </cell>
        </row>
        <row r="20340">
          <cell r="C20340" t="str">
            <v>PV</v>
          </cell>
          <cell r="D20340">
            <v>20</v>
          </cell>
          <cell r="H20340" t="str">
            <v>solar PV</v>
          </cell>
        </row>
        <row r="20341">
          <cell r="C20341" t="str">
            <v>PV</v>
          </cell>
          <cell r="D20341">
            <v>20</v>
          </cell>
          <cell r="H20341" t="str">
            <v>solar PV</v>
          </cell>
        </row>
        <row r="20342">
          <cell r="C20342" t="str">
            <v>PV</v>
          </cell>
          <cell r="D20342">
            <v>19.8</v>
          </cell>
          <cell r="H20342" t="str">
            <v>solar PV</v>
          </cell>
        </row>
        <row r="20343">
          <cell r="C20343" t="str">
            <v>IC</v>
          </cell>
          <cell r="D20343">
            <v>1</v>
          </cell>
          <cell r="H20343" t="str">
            <v>biomass</v>
          </cell>
        </row>
        <row r="20344">
          <cell r="C20344" t="str">
            <v>PV</v>
          </cell>
          <cell r="D20344">
            <v>1.3</v>
          </cell>
          <cell r="H20344" t="str">
            <v>solar PV</v>
          </cell>
        </row>
        <row r="20345">
          <cell r="C20345" t="str">
            <v>PV</v>
          </cell>
          <cell r="D20345">
            <v>2</v>
          </cell>
          <cell r="H20345" t="str">
            <v>solar PV</v>
          </cell>
        </row>
        <row r="20346">
          <cell r="C20346" t="str">
            <v>PV</v>
          </cell>
          <cell r="D20346">
            <v>2</v>
          </cell>
          <cell r="H20346" t="str">
            <v>solar PV</v>
          </cell>
        </row>
        <row r="20347">
          <cell r="C20347" t="str">
            <v>PV</v>
          </cell>
          <cell r="D20347">
            <v>2</v>
          </cell>
          <cell r="H20347" t="str">
            <v>solar PV</v>
          </cell>
        </row>
        <row r="20348">
          <cell r="C20348" t="str">
            <v>PV</v>
          </cell>
          <cell r="D20348">
            <v>2.8</v>
          </cell>
          <cell r="H20348" t="str">
            <v>solar PV</v>
          </cell>
        </row>
        <row r="20349">
          <cell r="C20349" t="str">
            <v>PV</v>
          </cell>
          <cell r="D20349">
            <v>1</v>
          </cell>
          <cell r="H20349" t="str">
            <v>solar PV</v>
          </cell>
        </row>
        <row r="20350">
          <cell r="C20350" t="str">
            <v>CT</v>
          </cell>
          <cell r="D20350">
            <v>250</v>
          </cell>
          <cell r="H20350" t="str">
            <v>natural gas nonpeaker</v>
          </cell>
        </row>
        <row r="20351">
          <cell r="C20351" t="str">
            <v>CT</v>
          </cell>
          <cell r="D20351">
            <v>250</v>
          </cell>
          <cell r="H20351" t="str">
            <v>natural gas nonpeaker</v>
          </cell>
        </row>
        <row r="20352">
          <cell r="C20352" t="str">
            <v>CA</v>
          </cell>
          <cell r="D20352">
            <v>500</v>
          </cell>
          <cell r="H20352" t="str">
            <v>natural gas nonpeaker</v>
          </cell>
        </row>
        <row r="20353">
          <cell r="C20353" t="str">
            <v>PV</v>
          </cell>
          <cell r="D20353">
            <v>4.9000000000000004</v>
          </cell>
          <cell r="H20353" t="str">
            <v>solar PV</v>
          </cell>
        </row>
        <row r="20354">
          <cell r="C20354" t="str">
            <v>PV</v>
          </cell>
          <cell r="D20354">
            <v>4.0999999999999996</v>
          </cell>
          <cell r="H20354" t="str">
            <v>solar PV</v>
          </cell>
        </row>
        <row r="20355">
          <cell r="C20355" t="str">
            <v>WT</v>
          </cell>
          <cell r="D20355">
            <v>1.7</v>
          </cell>
          <cell r="H20355" t="str">
            <v>onshore wind</v>
          </cell>
        </row>
        <row r="20356">
          <cell r="C20356" t="str">
            <v>WT</v>
          </cell>
          <cell r="D20356">
            <v>6.8</v>
          </cell>
          <cell r="H20356" t="str">
            <v>onshore wind</v>
          </cell>
        </row>
        <row r="20357">
          <cell r="C20357" t="str">
            <v>IC</v>
          </cell>
          <cell r="D20357">
            <v>2</v>
          </cell>
          <cell r="H20357" t="str">
            <v>natural gas peaker</v>
          </cell>
        </row>
        <row r="20358">
          <cell r="C20358" t="str">
            <v>IC</v>
          </cell>
          <cell r="D20358">
            <v>2</v>
          </cell>
          <cell r="H20358" t="str">
            <v>natural gas peaker</v>
          </cell>
        </row>
        <row r="20359">
          <cell r="C20359" t="str">
            <v>PV</v>
          </cell>
          <cell r="D20359">
            <v>1</v>
          </cell>
          <cell r="H20359" t="str">
            <v>solar PV</v>
          </cell>
        </row>
        <row r="20360">
          <cell r="C20360" t="str">
            <v>PV</v>
          </cell>
          <cell r="D20360">
            <v>2.5</v>
          </cell>
          <cell r="H20360" t="str">
            <v>solar PV</v>
          </cell>
        </row>
        <row r="20361">
          <cell r="C20361" t="str">
            <v>PV</v>
          </cell>
          <cell r="D20361">
            <v>0.9</v>
          </cell>
          <cell r="H20361" t="str">
            <v>solar PV</v>
          </cell>
        </row>
        <row r="20362">
          <cell r="C20362" t="str">
            <v>PV</v>
          </cell>
          <cell r="D20362">
            <v>0.9</v>
          </cell>
          <cell r="H20362" t="str">
            <v>solar PV</v>
          </cell>
        </row>
        <row r="20363">
          <cell r="C20363" t="str">
            <v>PV</v>
          </cell>
          <cell r="D20363">
            <v>0.9</v>
          </cell>
          <cell r="H20363" t="str">
            <v>solar PV</v>
          </cell>
        </row>
        <row r="20364">
          <cell r="C20364" t="str">
            <v>PV</v>
          </cell>
          <cell r="D20364">
            <v>0.9</v>
          </cell>
          <cell r="H20364" t="str">
            <v>solar PV</v>
          </cell>
        </row>
        <row r="20365">
          <cell r="C20365" t="str">
            <v>PV</v>
          </cell>
          <cell r="D20365">
            <v>0.9</v>
          </cell>
          <cell r="H20365" t="str">
            <v>solar PV</v>
          </cell>
        </row>
        <row r="20366">
          <cell r="C20366" t="str">
            <v>PV</v>
          </cell>
          <cell r="D20366">
            <v>0.9</v>
          </cell>
          <cell r="H20366" t="str">
            <v>solar PV</v>
          </cell>
        </row>
        <row r="20367">
          <cell r="C20367" t="str">
            <v>PV</v>
          </cell>
          <cell r="D20367">
            <v>0.9</v>
          </cell>
          <cell r="H20367" t="str">
            <v>solar PV</v>
          </cell>
        </row>
        <row r="20368">
          <cell r="C20368" t="str">
            <v>PV</v>
          </cell>
          <cell r="D20368">
            <v>0.9</v>
          </cell>
          <cell r="H20368" t="str">
            <v>solar PV</v>
          </cell>
        </row>
        <row r="20369">
          <cell r="C20369" t="str">
            <v>PV</v>
          </cell>
          <cell r="D20369">
            <v>0.9</v>
          </cell>
          <cell r="H20369" t="str">
            <v>solar PV</v>
          </cell>
        </row>
        <row r="20370">
          <cell r="C20370" t="str">
            <v>PV</v>
          </cell>
          <cell r="D20370">
            <v>0.9</v>
          </cell>
          <cell r="H20370" t="str">
            <v>solar PV</v>
          </cell>
        </row>
        <row r="20371">
          <cell r="C20371" t="str">
            <v>PV</v>
          </cell>
          <cell r="D20371">
            <v>0.9</v>
          </cell>
          <cell r="H20371" t="str">
            <v>solar PV</v>
          </cell>
        </row>
        <row r="20372">
          <cell r="C20372" t="str">
            <v>PV</v>
          </cell>
          <cell r="D20372">
            <v>0.9</v>
          </cell>
          <cell r="H20372" t="str">
            <v>solar PV</v>
          </cell>
        </row>
        <row r="20373">
          <cell r="C20373" t="str">
            <v>PV</v>
          </cell>
          <cell r="D20373">
            <v>0.9</v>
          </cell>
          <cell r="H20373" t="str">
            <v>solar PV</v>
          </cell>
        </row>
        <row r="20374">
          <cell r="C20374" t="str">
            <v>PV</v>
          </cell>
          <cell r="D20374">
            <v>0.9</v>
          </cell>
          <cell r="H20374" t="str">
            <v>solar PV</v>
          </cell>
        </row>
        <row r="20375">
          <cell r="C20375" t="str">
            <v>PV</v>
          </cell>
          <cell r="D20375">
            <v>0.9</v>
          </cell>
          <cell r="H20375" t="str">
            <v>solar PV</v>
          </cell>
        </row>
        <row r="20376">
          <cell r="C20376" t="str">
            <v>PV</v>
          </cell>
          <cell r="D20376">
            <v>0.9</v>
          </cell>
          <cell r="H20376" t="str">
            <v>solar PV</v>
          </cell>
        </row>
        <row r="20377">
          <cell r="C20377" t="str">
            <v>PV</v>
          </cell>
          <cell r="D20377">
            <v>0.9</v>
          </cell>
          <cell r="H20377" t="str">
            <v>solar PV</v>
          </cell>
        </row>
        <row r="20378">
          <cell r="C20378" t="str">
            <v>PV</v>
          </cell>
          <cell r="D20378">
            <v>0.9</v>
          </cell>
          <cell r="H20378" t="str">
            <v>solar PV</v>
          </cell>
        </row>
        <row r="20379">
          <cell r="C20379" t="str">
            <v>PV</v>
          </cell>
          <cell r="D20379">
            <v>0.9</v>
          </cell>
          <cell r="H20379" t="str">
            <v>solar PV</v>
          </cell>
        </row>
        <row r="20380">
          <cell r="C20380" t="str">
            <v>PV</v>
          </cell>
          <cell r="D20380">
            <v>0.9</v>
          </cell>
          <cell r="H20380" t="str">
            <v>solar PV</v>
          </cell>
        </row>
        <row r="20381">
          <cell r="C20381" t="str">
            <v>PV</v>
          </cell>
          <cell r="D20381">
            <v>0.9</v>
          </cell>
          <cell r="H20381" t="str">
            <v>solar PV</v>
          </cell>
        </row>
        <row r="20382">
          <cell r="C20382" t="str">
            <v>PV</v>
          </cell>
          <cell r="D20382">
            <v>0.9</v>
          </cell>
          <cell r="H20382" t="str">
            <v>solar PV</v>
          </cell>
        </row>
        <row r="20383">
          <cell r="C20383" t="str">
            <v>PV</v>
          </cell>
          <cell r="D20383">
            <v>0.9</v>
          </cell>
          <cell r="H20383" t="str">
            <v>solar PV</v>
          </cell>
        </row>
        <row r="20384">
          <cell r="C20384" t="str">
            <v>PV</v>
          </cell>
          <cell r="D20384">
            <v>0.9</v>
          </cell>
          <cell r="H20384" t="str">
            <v>solar PV</v>
          </cell>
        </row>
        <row r="20385">
          <cell r="C20385" t="str">
            <v>PV</v>
          </cell>
          <cell r="D20385">
            <v>10.5</v>
          </cell>
          <cell r="H20385" t="str">
            <v>solar PV</v>
          </cell>
        </row>
        <row r="20386">
          <cell r="C20386" t="str">
            <v>PV</v>
          </cell>
          <cell r="D20386">
            <v>20</v>
          </cell>
          <cell r="H20386" t="str">
            <v>solar PV</v>
          </cell>
        </row>
        <row r="20387">
          <cell r="C20387" t="str">
            <v>PV</v>
          </cell>
          <cell r="D20387">
            <v>3.4</v>
          </cell>
          <cell r="H20387" t="str">
            <v>solar PV</v>
          </cell>
        </row>
        <row r="20388">
          <cell r="C20388" t="str">
            <v>PV</v>
          </cell>
          <cell r="D20388">
            <v>1</v>
          </cell>
          <cell r="H20388" t="str">
            <v>solar PV</v>
          </cell>
        </row>
        <row r="20389">
          <cell r="C20389" t="str">
            <v>PV</v>
          </cell>
          <cell r="D20389">
            <v>1.3</v>
          </cell>
          <cell r="H20389" t="str">
            <v>solar PV</v>
          </cell>
        </row>
        <row r="20390">
          <cell r="C20390" t="str">
            <v>PV</v>
          </cell>
          <cell r="D20390">
            <v>1.3</v>
          </cell>
          <cell r="H20390" t="str">
            <v>solar PV</v>
          </cell>
        </row>
        <row r="20391">
          <cell r="C20391" t="str">
            <v>PV</v>
          </cell>
          <cell r="D20391">
            <v>1</v>
          </cell>
          <cell r="H20391" t="str">
            <v>solar PV</v>
          </cell>
        </row>
        <row r="20392">
          <cell r="C20392" t="str">
            <v>PV</v>
          </cell>
          <cell r="D20392">
            <v>1</v>
          </cell>
          <cell r="H20392" t="str">
            <v>solar PV</v>
          </cell>
        </row>
        <row r="20393">
          <cell r="C20393" t="str">
            <v>PV</v>
          </cell>
          <cell r="D20393">
            <v>1</v>
          </cell>
          <cell r="H20393" t="str">
            <v>solar PV</v>
          </cell>
        </row>
        <row r="20394">
          <cell r="C20394" t="str">
            <v>PV</v>
          </cell>
          <cell r="D20394">
            <v>1</v>
          </cell>
          <cell r="H20394" t="str">
            <v>solar PV</v>
          </cell>
        </row>
        <row r="20395">
          <cell r="C20395" t="str">
            <v>PV</v>
          </cell>
          <cell r="D20395">
            <v>1</v>
          </cell>
          <cell r="H20395" t="str">
            <v>solar PV</v>
          </cell>
        </row>
        <row r="20396">
          <cell r="C20396" t="str">
            <v>PV</v>
          </cell>
          <cell r="D20396">
            <v>1</v>
          </cell>
          <cell r="H20396" t="str">
            <v>solar PV</v>
          </cell>
        </row>
        <row r="20397">
          <cell r="C20397" t="str">
            <v>PV</v>
          </cell>
          <cell r="D20397">
            <v>1</v>
          </cell>
          <cell r="H20397" t="str">
            <v>solar PV</v>
          </cell>
        </row>
        <row r="20398">
          <cell r="C20398" t="str">
            <v>BA</v>
          </cell>
          <cell r="D20398">
            <v>3.9</v>
          </cell>
          <cell r="H20398" t="str">
            <v>other</v>
          </cell>
        </row>
        <row r="20399">
          <cell r="C20399" t="str">
            <v>GT</v>
          </cell>
          <cell r="D20399">
            <v>10</v>
          </cell>
          <cell r="H20399" t="str">
            <v>biomass</v>
          </cell>
        </row>
        <row r="20400">
          <cell r="C20400" t="str">
            <v>GT</v>
          </cell>
          <cell r="D20400">
            <v>10</v>
          </cell>
          <cell r="H20400" t="str">
            <v>biomass</v>
          </cell>
        </row>
        <row r="20401">
          <cell r="C20401" t="str">
            <v>GT</v>
          </cell>
          <cell r="D20401">
            <v>2</v>
          </cell>
          <cell r="H20401" t="str">
            <v>biomass</v>
          </cell>
        </row>
        <row r="20402">
          <cell r="C20402" t="str">
            <v>PV</v>
          </cell>
          <cell r="D20402">
            <v>5</v>
          </cell>
          <cell r="H20402" t="str">
            <v>solar PV</v>
          </cell>
        </row>
        <row r="20403">
          <cell r="C20403" t="str">
            <v>PV</v>
          </cell>
          <cell r="D20403">
            <v>1</v>
          </cell>
          <cell r="H20403" t="str">
            <v>solar PV</v>
          </cell>
        </row>
        <row r="20404">
          <cell r="C20404" t="str">
            <v>PV</v>
          </cell>
          <cell r="D20404">
            <v>1</v>
          </cell>
          <cell r="H20404" t="str">
            <v>solar PV</v>
          </cell>
        </row>
        <row r="20405">
          <cell r="C20405" t="str">
            <v>PV</v>
          </cell>
          <cell r="D20405">
            <v>1</v>
          </cell>
          <cell r="H20405" t="str">
            <v>solar PV</v>
          </cell>
        </row>
        <row r="20406">
          <cell r="C20406" t="str">
            <v>PV</v>
          </cell>
          <cell r="D20406">
            <v>20</v>
          </cell>
          <cell r="H20406" t="str">
            <v>solar PV</v>
          </cell>
        </row>
        <row r="20407">
          <cell r="C20407" t="str">
            <v>PV</v>
          </cell>
          <cell r="D20407">
            <v>4.9000000000000004</v>
          </cell>
          <cell r="H20407" t="str">
            <v>solar PV</v>
          </cell>
        </row>
        <row r="20408">
          <cell r="C20408" t="str">
            <v>PV</v>
          </cell>
          <cell r="D20408">
            <v>4.9000000000000004</v>
          </cell>
          <cell r="H20408" t="str">
            <v>solar PV</v>
          </cell>
        </row>
        <row r="20409">
          <cell r="C20409" t="str">
            <v>PV</v>
          </cell>
          <cell r="D20409">
            <v>2</v>
          </cell>
          <cell r="H20409" t="str">
            <v>solar PV</v>
          </cell>
        </row>
        <row r="20410">
          <cell r="C20410" t="str">
            <v>PV</v>
          </cell>
          <cell r="D20410">
            <v>20</v>
          </cell>
          <cell r="H20410" t="str">
            <v>solar PV</v>
          </cell>
        </row>
        <row r="20411">
          <cell r="C20411" t="str">
            <v>PV</v>
          </cell>
          <cell r="D20411">
            <v>1</v>
          </cell>
          <cell r="H20411" t="str">
            <v>solar PV</v>
          </cell>
        </row>
        <row r="20412">
          <cell r="C20412" t="str">
            <v>PV</v>
          </cell>
          <cell r="D20412">
            <v>1</v>
          </cell>
          <cell r="H20412" t="str">
            <v>solar PV</v>
          </cell>
        </row>
        <row r="20413">
          <cell r="C20413" t="str">
            <v>PV</v>
          </cell>
          <cell r="D20413">
            <v>1</v>
          </cell>
          <cell r="H20413" t="str">
            <v>solar PV</v>
          </cell>
        </row>
        <row r="20414">
          <cell r="C20414" t="str">
            <v>BA</v>
          </cell>
          <cell r="D20414">
            <v>2</v>
          </cell>
          <cell r="H20414" t="str">
            <v>other</v>
          </cell>
        </row>
        <row r="20415">
          <cell r="C20415" t="str">
            <v>PV</v>
          </cell>
          <cell r="D20415">
            <v>20</v>
          </cell>
          <cell r="H20415" t="str">
            <v>solar PV</v>
          </cell>
        </row>
        <row r="20416">
          <cell r="C20416" t="str">
            <v>PV</v>
          </cell>
          <cell r="D20416">
            <v>9.9</v>
          </cell>
          <cell r="H20416" t="str">
            <v>solar PV</v>
          </cell>
        </row>
        <row r="20417">
          <cell r="C20417" t="str">
            <v>PV</v>
          </cell>
          <cell r="D20417">
            <v>1</v>
          </cell>
          <cell r="H20417" t="str">
            <v>solar PV</v>
          </cell>
        </row>
        <row r="20418">
          <cell r="C20418" t="str">
            <v>PV</v>
          </cell>
          <cell r="D20418">
            <v>1.9</v>
          </cell>
          <cell r="H20418" t="str">
            <v>solar PV</v>
          </cell>
        </row>
        <row r="20419">
          <cell r="C20419" t="str">
            <v>PV</v>
          </cell>
          <cell r="D20419">
            <v>5</v>
          </cell>
          <cell r="H20419" t="str">
            <v>solar PV</v>
          </cell>
        </row>
        <row r="20420">
          <cell r="C20420" t="str">
            <v>PV</v>
          </cell>
          <cell r="D20420">
            <v>20</v>
          </cell>
          <cell r="H20420" t="str">
            <v>solar PV</v>
          </cell>
        </row>
        <row r="20421">
          <cell r="C20421" t="str">
            <v>PV</v>
          </cell>
          <cell r="D20421">
            <v>5</v>
          </cell>
          <cell r="H20421" t="str">
            <v>solar PV</v>
          </cell>
        </row>
        <row r="20422">
          <cell r="C20422" t="str">
            <v>WT</v>
          </cell>
          <cell r="D20422">
            <v>100.5</v>
          </cell>
          <cell r="H20422" t="str">
            <v>onshore wind</v>
          </cell>
        </row>
        <row r="20423">
          <cell r="C20423" t="str">
            <v>PV</v>
          </cell>
          <cell r="D20423">
            <v>1.9</v>
          </cell>
          <cell r="H20423" t="str">
            <v>solar PV</v>
          </cell>
        </row>
        <row r="20424">
          <cell r="C20424" t="str">
            <v>PV</v>
          </cell>
          <cell r="D20424">
            <v>2</v>
          </cell>
          <cell r="H20424" t="str">
            <v>solar PV</v>
          </cell>
        </row>
        <row r="20425">
          <cell r="C20425" t="str">
            <v>PV</v>
          </cell>
          <cell r="D20425">
            <v>2.5</v>
          </cell>
          <cell r="H20425" t="str">
            <v>solar PV</v>
          </cell>
        </row>
        <row r="20426">
          <cell r="C20426" t="str">
            <v>WT</v>
          </cell>
          <cell r="D20426">
            <v>300</v>
          </cell>
          <cell r="H20426" t="str">
            <v>onshore wind</v>
          </cell>
        </row>
        <row r="20427">
          <cell r="C20427" t="str">
            <v>PV</v>
          </cell>
          <cell r="D20427">
            <v>50</v>
          </cell>
          <cell r="H20427" t="str">
            <v>solar PV</v>
          </cell>
        </row>
        <row r="20428">
          <cell r="C20428" t="str">
            <v>PV</v>
          </cell>
          <cell r="D20428">
            <v>7.9</v>
          </cell>
          <cell r="H20428" t="str">
            <v>solar PV</v>
          </cell>
        </row>
        <row r="20429">
          <cell r="C20429" t="str">
            <v>WT</v>
          </cell>
          <cell r="D20429">
            <v>29.9</v>
          </cell>
          <cell r="H20429" t="str">
            <v>onshore wind</v>
          </cell>
        </row>
        <row r="20430">
          <cell r="C20430" t="str">
            <v>PV</v>
          </cell>
          <cell r="D20430">
            <v>2</v>
          </cell>
          <cell r="H20430" t="str">
            <v>solar PV</v>
          </cell>
        </row>
        <row r="20431">
          <cell r="C20431" t="str">
            <v>PV</v>
          </cell>
          <cell r="D20431">
            <v>10</v>
          </cell>
          <cell r="H20431" t="str">
            <v>solar PV</v>
          </cell>
        </row>
        <row r="20432">
          <cell r="C20432" t="str">
            <v>PV</v>
          </cell>
          <cell r="D20432">
            <v>5</v>
          </cell>
          <cell r="H20432" t="str">
            <v>solar PV</v>
          </cell>
        </row>
        <row r="20433">
          <cell r="C20433" t="str">
            <v>PV</v>
          </cell>
          <cell r="D20433">
            <v>3.7</v>
          </cell>
          <cell r="H20433" t="str">
            <v>solar PV</v>
          </cell>
        </row>
        <row r="20434">
          <cell r="C20434" t="str">
            <v>BA</v>
          </cell>
          <cell r="D20434">
            <v>10</v>
          </cell>
          <cell r="H20434" t="str">
            <v>other</v>
          </cell>
        </row>
        <row r="20435">
          <cell r="C20435" t="str">
            <v>PV</v>
          </cell>
          <cell r="D20435">
            <v>2</v>
          </cell>
          <cell r="H20435" t="str">
            <v>solar PV</v>
          </cell>
        </row>
        <row r="20436">
          <cell r="C20436" t="str">
            <v>PV</v>
          </cell>
          <cell r="D20436">
            <v>10</v>
          </cell>
          <cell r="H20436" t="str">
            <v>solar PV</v>
          </cell>
        </row>
        <row r="20437">
          <cell r="C20437" t="str">
            <v>HY</v>
          </cell>
          <cell r="D20437">
            <v>0.6</v>
          </cell>
          <cell r="H20437" t="str">
            <v>hydro</v>
          </cell>
        </row>
        <row r="20438">
          <cell r="C20438" t="str">
            <v>HY</v>
          </cell>
          <cell r="D20438">
            <v>1.4</v>
          </cell>
          <cell r="H20438" t="str">
            <v>hydro</v>
          </cell>
        </row>
        <row r="20439">
          <cell r="C20439" t="str">
            <v>WT</v>
          </cell>
          <cell r="D20439">
            <v>150</v>
          </cell>
          <cell r="H20439" t="str">
            <v>onshore wind</v>
          </cell>
        </row>
        <row r="20440">
          <cell r="C20440" t="str">
            <v>WT</v>
          </cell>
          <cell r="D20440">
            <v>1.5</v>
          </cell>
          <cell r="H20440" t="str">
            <v>onshore wind</v>
          </cell>
        </row>
        <row r="20441">
          <cell r="C20441" t="str">
            <v>PV</v>
          </cell>
          <cell r="D20441">
            <v>2</v>
          </cell>
          <cell r="H20441" t="str">
            <v>solar PV</v>
          </cell>
        </row>
        <row r="20442">
          <cell r="C20442" t="str">
            <v>WT</v>
          </cell>
          <cell r="D20442">
            <v>1.5</v>
          </cell>
          <cell r="H20442" t="str">
            <v>onshore wind</v>
          </cell>
        </row>
        <row r="20443">
          <cell r="C20443" t="str">
            <v>WT</v>
          </cell>
          <cell r="D20443">
            <v>1.5</v>
          </cell>
          <cell r="H20443" t="str">
            <v>onshore wind</v>
          </cell>
        </row>
        <row r="20444">
          <cell r="C20444" t="str">
            <v>WT</v>
          </cell>
          <cell r="D20444">
            <v>1.5</v>
          </cell>
          <cell r="H20444" t="str">
            <v>onshore wind</v>
          </cell>
        </row>
        <row r="20445">
          <cell r="C20445" t="str">
            <v>WT</v>
          </cell>
          <cell r="D20445">
            <v>1.5</v>
          </cell>
          <cell r="H20445" t="str">
            <v>onshore wind</v>
          </cell>
        </row>
        <row r="20446">
          <cell r="C20446" t="str">
            <v>PV</v>
          </cell>
          <cell r="D20446">
            <v>7</v>
          </cell>
          <cell r="H20446" t="str">
            <v>solar PV</v>
          </cell>
        </row>
        <row r="20447">
          <cell r="C20447" t="str">
            <v>PV</v>
          </cell>
          <cell r="D20447">
            <v>4</v>
          </cell>
          <cell r="H20447" t="str">
            <v>solar PV</v>
          </cell>
        </row>
        <row r="20448">
          <cell r="C20448" t="str">
            <v>PV</v>
          </cell>
          <cell r="D20448">
            <v>5</v>
          </cell>
          <cell r="H20448" t="str">
            <v>solar PV</v>
          </cell>
        </row>
        <row r="20449">
          <cell r="C20449" t="str">
            <v>PV</v>
          </cell>
          <cell r="D20449">
            <v>2</v>
          </cell>
          <cell r="H20449" t="str">
            <v>solar PV</v>
          </cell>
        </row>
        <row r="20450">
          <cell r="C20450" t="str">
            <v>PV</v>
          </cell>
          <cell r="D20450">
            <v>1.9</v>
          </cell>
          <cell r="H20450" t="str">
            <v>solar PV</v>
          </cell>
        </row>
        <row r="20451">
          <cell r="C20451" t="str">
            <v>IC</v>
          </cell>
          <cell r="D20451">
            <v>0.8</v>
          </cell>
          <cell r="H20451" t="str">
            <v>biomass</v>
          </cell>
        </row>
        <row r="20452">
          <cell r="C20452" t="str">
            <v>IC</v>
          </cell>
          <cell r="D20452">
            <v>0.8</v>
          </cell>
          <cell r="H20452" t="str">
            <v>biomass</v>
          </cell>
        </row>
        <row r="20453">
          <cell r="C20453" t="str">
            <v>IC</v>
          </cell>
          <cell r="D20453">
            <v>0.8</v>
          </cell>
          <cell r="H20453" t="str">
            <v>biomass</v>
          </cell>
        </row>
        <row r="20454">
          <cell r="C20454" t="str">
            <v>IC</v>
          </cell>
          <cell r="D20454">
            <v>0.8</v>
          </cell>
          <cell r="H20454" t="str">
            <v>biomass</v>
          </cell>
        </row>
        <row r="20455">
          <cell r="C20455" t="str">
            <v>IC</v>
          </cell>
          <cell r="D20455">
            <v>0.8</v>
          </cell>
          <cell r="H20455" t="str">
            <v>biomass</v>
          </cell>
        </row>
        <row r="20456">
          <cell r="C20456" t="str">
            <v>IC</v>
          </cell>
          <cell r="D20456">
            <v>0.8</v>
          </cell>
          <cell r="H20456" t="str">
            <v>biomass</v>
          </cell>
        </row>
        <row r="20457">
          <cell r="C20457" t="str">
            <v>IC</v>
          </cell>
          <cell r="D20457">
            <v>0.8</v>
          </cell>
          <cell r="H20457" t="str">
            <v>biomass</v>
          </cell>
        </row>
        <row r="20458">
          <cell r="C20458" t="str">
            <v>IC</v>
          </cell>
          <cell r="D20458">
            <v>0.8</v>
          </cell>
          <cell r="H20458" t="str">
            <v>biomass</v>
          </cell>
        </row>
        <row r="20459">
          <cell r="C20459" t="str">
            <v>PV</v>
          </cell>
          <cell r="D20459">
            <v>10.5</v>
          </cell>
          <cell r="H20459" t="str">
            <v>solar PV</v>
          </cell>
        </row>
        <row r="20460">
          <cell r="C20460" t="str">
            <v>PV</v>
          </cell>
          <cell r="D20460">
            <v>2</v>
          </cell>
          <cell r="H20460" t="str">
            <v>solar PV</v>
          </cell>
        </row>
        <row r="20461">
          <cell r="C20461" t="str">
            <v>PV</v>
          </cell>
          <cell r="D20461">
            <v>2</v>
          </cell>
          <cell r="H20461" t="str">
            <v>solar PV</v>
          </cell>
        </row>
        <row r="20462">
          <cell r="C20462" t="str">
            <v>PV</v>
          </cell>
          <cell r="D20462">
            <v>1.9</v>
          </cell>
          <cell r="H20462" t="str">
            <v>solar PV</v>
          </cell>
        </row>
        <row r="20463">
          <cell r="C20463" t="str">
            <v>PV</v>
          </cell>
          <cell r="D20463">
            <v>1</v>
          </cell>
          <cell r="H20463" t="str">
            <v>solar PV</v>
          </cell>
        </row>
        <row r="20464">
          <cell r="C20464" t="str">
            <v>PV</v>
          </cell>
          <cell r="D20464">
            <v>4.9000000000000004</v>
          </cell>
          <cell r="H20464" t="str">
            <v>solar PV</v>
          </cell>
        </row>
        <row r="20465">
          <cell r="C20465" t="str">
            <v>PV</v>
          </cell>
          <cell r="D20465">
            <v>74.900000000000006</v>
          </cell>
          <cell r="H20465" t="str">
            <v>solar PV</v>
          </cell>
        </row>
        <row r="20466">
          <cell r="C20466" t="str">
            <v>PV</v>
          </cell>
          <cell r="D20466">
            <v>74.900000000000006</v>
          </cell>
          <cell r="H20466" t="str">
            <v>solar PV</v>
          </cell>
        </row>
        <row r="20467">
          <cell r="C20467" t="str">
            <v>PV</v>
          </cell>
          <cell r="D20467">
            <v>74.900000000000006</v>
          </cell>
          <cell r="H20467" t="str">
            <v>solar PV</v>
          </cell>
        </row>
        <row r="20468">
          <cell r="C20468" t="str">
            <v>PV</v>
          </cell>
          <cell r="D20468">
            <v>6.8</v>
          </cell>
          <cell r="H20468" t="str">
            <v>solar PV</v>
          </cell>
        </row>
        <row r="20469">
          <cell r="C20469" t="str">
            <v>PV</v>
          </cell>
          <cell r="D20469">
            <v>74.900000000000006</v>
          </cell>
          <cell r="H20469" t="str">
            <v>solar PV</v>
          </cell>
        </row>
        <row r="20470">
          <cell r="C20470" t="str">
            <v>IC</v>
          </cell>
          <cell r="D20470">
            <v>1</v>
          </cell>
          <cell r="H20470" t="str">
            <v>petroleum</v>
          </cell>
        </row>
        <row r="20471">
          <cell r="C20471" t="str">
            <v>IC</v>
          </cell>
          <cell r="D20471">
            <v>2</v>
          </cell>
          <cell r="H20471" t="str">
            <v>petroleum</v>
          </cell>
        </row>
        <row r="20472">
          <cell r="C20472" t="str">
            <v>IC</v>
          </cell>
          <cell r="D20472">
            <v>2</v>
          </cell>
          <cell r="H20472" t="str">
            <v>petroleum</v>
          </cell>
        </row>
        <row r="20473">
          <cell r="C20473" t="str">
            <v>IC</v>
          </cell>
          <cell r="D20473">
            <v>0.1</v>
          </cell>
          <cell r="H20473" t="str">
            <v>petroleum</v>
          </cell>
        </row>
        <row r="20474">
          <cell r="C20474" t="str">
            <v>IC</v>
          </cell>
          <cell r="D20474">
            <v>2</v>
          </cell>
          <cell r="H20474" t="str">
            <v>petroleum</v>
          </cell>
        </row>
        <row r="20475">
          <cell r="C20475" t="str">
            <v>IC</v>
          </cell>
          <cell r="D20475">
            <v>1.4</v>
          </cell>
          <cell r="H20475" t="str">
            <v>petroleum</v>
          </cell>
        </row>
        <row r="20476">
          <cell r="C20476" t="str">
            <v>IC</v>
          </cell>
          <cell r="D20476">
            <v>1.4</v>
          </cell>
          <cell r="H20476" t="str">
            <v>petroleum</v>
          </cell>
        </row>
        <row r="20477">
          <cell r="C20477" t="str">
            <v>IC</v>
          </cell>
          <cell r="D20477">
            <v>1.5</v>
          </cell>
          <cell r="H20477" t="str">
            <v>petroleum</v>
          </cell>
        </row>
        <row r="20478">
          <cell r="C20478" t="str">
            <v>IC</v>
          </cell>
          <cell r="D20478">
            <v>1.5</v>
          </cell>
          <cell r="H20478" t="str">
            <v>petroleum</v>
          </cell>
        </row>
        <row r="20479">
          <cell r="C20479" t="str">
            <v>GT</v>
          </cell>
          <cell r="D20479">
            <v>3.6</v>
          </cell>
          <cell r="H20479" t="str">
            <v>natural gas peaker</v>
          </cell>
        </row>
        <row r="20480">
          <cell r="C20480" t="str">
            <v>PV</v>
          </cell>
          <cell r="D20480">
            <v>74.900000000000006</v>
          </cell>
          <cell r="H20480" t="str">
            <v>solar PV</v>
          </cell>
        </row>
        <row r="20481">
          <cell r="C20481" t="str">
            <v>PV</v>
          </cell>
          <cell r="D20481">
            <v>2</v>
          </cell>
          <cell r="H20481" t="str">
            <v>solar PV</v>
          </cell>
        </row>
        <row r="20482">
          <cell r="C20482" t="str">
            <v>PV</v>
          </cell>
          <cell r="D20482">
            <v>5</v>
          </cell>
          <cell r="H20482" t="str">
            <v>solar PV</v>
          </cell>
        </row>
        <row r="20483">
          <cell r="C20483" t="str">
            <v>CS</v>
          </cell>
          <cell r="D20483">
            <v>485</v>
          </cell>
          <cell r="H20483" t="str">
            <v>natural gas nonpeaker</v>
          </cell>
        </row>
        <row r="20484">
          <cell r="C20484" t="str">
            <v>WT</v>
          </cell>
          <cell r="D20484">
            <v>30</v>
          </cell>
          <cell r="H20484" t="str">
            <v>onshore wind</v>
          </cell>
        </row>
        <row r="20485">
          <cell r="C20485" t="str">
            <v>WT</v>
          </cell>
          <cell r="D20485">
            <v>75</v>
          </cell>
          <cell r="H20485" t="str">
            <v>onshore wind</v>
          </cell>
        </row>
        <row r="20486">
          <cell r="C20486" t="str">
            <v>PV</v>
          </cell>
          <cell r="D20486">
            <v>1.6</v>
          </cell>
          <cell r="H20486" t="str">
            <v>solar PV</v>
          </cell>
        </row>
        <row r="20487">
          <cell r="C20487" t="str">
            <v>PV</v>
          </cell>
          <cell r="D20487">
            <v>2</v>
          </cell>
          <cell r="H20487" t="str">
            <v>solar PV</v>
          </cell>
        </row>
        <row r="20488">
          <cell r="C20488" t="str">
            <v>WT</v>
          </cell>
          <cell r="D20488">
            <v>98</v>
          </cell>
          <cell r="H20488" t="str">
            <v>onshore wind</v>
          </cell>
        </row>
        <row r="20489">
          <cell r="C20489" t="str">
            <v>PV</v>
          </cell>
          <cell r="D20489">
            <v>56</v>
          </cell>
          <cell r="H20489" t="str">
            <v>solar PV</v>
          </cell>
        </row>
        <row r="20490">
          <cell r="C20490" t="str">
            <v>PV</v>
          </cell>
          <cell r="D20490">
            <v>74.900000000000006</v>
          </cell>
          <cell r="H20490" t="str">
            <v>solar PV</v>
          </cell>
        </row>
        <row r="20491">
          <cell r="C20491" t="str">
            <v>PV</v>
          </cell>
          <cell r="D20491">
            <v>74.900000000000006</v>
          </cell>
          <cell r="H20491" t="str">
            <v>solar PV</v>
          </cell>
        </row>
        <row r="20492">
          <cell r="C20492" t="str">
            <v>PV</v>
          </cell>
          <cell r="D20492">
            <v>74.900000000000006</v>
          </cell>
          <cell r="H20492" t="str">
            <v>solar PV</v>
          </cell>
        </row>
        <row r="20493">
          <cell r="C20493" t="str">
            <v>PV</v>
          </cell>
          <cell r="D20493">
            <v>2.8</v>
          </cell>
          <cell r="H20493" t="str">
            <v>solar PV</v>
          </cell>
        </row>
        <row r="20494">
          <cell r="C20494" t="str">
            <v>PV</v>
          </cell>
          <cell r="D20494">
            <v>8.1</v>
          </cell>
          <cell r="H20494" t="str">
            <v>solar PV</v>
          </cell>
        </row>
        <row r="20495">
          <cell r="C20495" t="str">
            <v>PV</v>
          </cell>
          <cell r="D20495">
            <v>2.5</v>
          </cell>
          <cell r="H20495" t="str">
            <v>solar PV</v>
          </cell>
        </row>
        <row r="20496">
          <cell r="C20496" t="str">
            <v>WT</v>
          </cell>
          <cell r="D20496">
            <v>1.7</v>
          </cell>
          <cell r="H20496" t="str">
            <v>onshore wind</v>
          </cell>
        </row>
        <row r="20497">
          <cell r="C20497" t="str">
            <v>PV</v>
          </cell>
          <cell r="D20497">
            <v>1</v>
          </cell>
          <cell r="H20497" t="str">
            <v>solar PV</v>
          </cell>
        </row>
        <row r="20498">
          <cell r="C20498" t="str">
            <v>PV</v>
          </cell>
          <cell r="D20498">
            <v>1</v>
          </cell>
          <cell r="H20498" t="str">
            <v>solar PV</v>
          </cell>
        </row>
        <row r="20499">
          <cell r="C20499" t="str">
            <v>PV</v>
          </cell>
          <cell r="D20499">
            <v>1</v>
          </cell>
          <cell r="H20499" t="str">
            <v>solar PV</v>
          </cell>
        </row>
        <row r="20500">
          <cell r="C20500" t="str">
            <v>PV</v>
          </cell>
          <cell r="D20500">
            <v>5</v>
          </cell>
          <cell r="H20500" t="str">
            <v>solar PV</v>
          </cell>
        </row>
        <row r="20501">
          <cell r="C20501" t="str">
            <v>PV</v>
          </cell>
          <cell r="D20501">
            <v>3.5</v>
          </cell>
          <cell r="H20501" t="str">
            <v>solar PV</v>
          </cell>
        </row>
        <row r="20502">
          <cell r="C20502" t="str">
            <v>WT</v>
          </cell>
          <cell r="D20502">
            <v>1.9</v>
          </cell>
          <cell r="H20502" t="str">
            <v>onshore wind</v>
          </cell>
        </row>
        <row r="20503">
          <cell r="C20503" t="str">
            <v>WT</v>
          </cell>
          <cell r="D20503">
            <v>1.9</v>
          </cell>
          <cell r="H20503" t="str">
            <v>onshore wind</v>
          </cell>
        </row>
        <row r="20504">
          <cell r="C20504" t="str">
            <v>PV</v>
          </cell>
          <cell r="D20504">
            <v>20</v>
          </cell>
          <cell r="H20504" t="str">
            <v>solar PV</v>
          </cell>
        </row>
        <row r="20505">
          <cell r="C20505" t="str">
            <v>BA</v>
          </cell>
          <cell r="D20505">
            <v>20</v>
          </cell>
          <cell r="H20505" t="str">
            <v>other</v>
          </cell>
        </row>
        <row r="20506">
          <cell r="C20506" t="str">
            <v>PV</v>
          </cell>
          <cell r="D20506">
            <v>3</v>
          </cell>
          <cell r="H20506" t="str">
            <v>solar PV</v>
          </cell>
        </row>
        <row r="20507">
          <cell r="C20507" t="str">
            <v>WT</v>
          </cell>
          <cell r="D20507">
            <v>66</v>
          </cell>
          <cell r="H20507" t="str">
            <v>onshore wind</v>
          </cell>
        </row>
        <row r="20508">
          <cell r="C20508" t="str">
            <v>PV</v>
          </cell>
          <cell r="D20508">
            <v>5</v>
          </cell>
          <cell r="H20508" t="str">
            <v>solar PV</v>
          </cell>
        </row>
        <row r="20509">
          <cell r="C20509" t="str">
            <v>PV</v>
          </cell>
          <cell r="D20509">
            <v>8.6</v>
          </cell>
          <cell r="H20509" t="str">
            <v>solar PV</v>
          </cell>
        </row>
        <row r="20510">
          <cell r="C20510" t="str">
            <v>PV</v>
          </cell>
          <cell r="D20510">
            <v>8.6</v>
          </cell>
          <cell r="H20510" t="str">
            <v>solar PV</v>
          </cell>
        </row>
        <row r="20511">
          <cell r="C20511" t="str">
            <v>WT</v>
          </cell>
          <cell r="D20511">
            <v>102</v>
          </cell>
          <cell r="H20511" t="str">
            <v>onshore wind</v>
          </cell>
        </row>
        <row r="20512">
          <cell r="C20512" t="str">
            <v>WT</v>
          </cell>
          <cell r="D20512">
            <v>398.8</v>
          </cell>
          <cell r="H20512" t="str">
            <v>onshore wind</v>
          </cell>
        </row>
        <row r="20513">
          <cell r="C20513" t="str">
            <v>WT</v>
          </cell>
          <cell r="D20513">
            <v>170</v>
          </cell>
          <cell r="H20513" t="str">
            <v>onshore wind</v>
          </cell>
        </row>
        <row r="20514">
          <cell r="C20514" t="str">
            <v>WT</v>
          </cell>
          <cell r="D20514">
            <v>170</v>
          </cell>
          <cell r="H20514" t="str">
            <v>onshore wind</v>
          </cell>
        </row>
        <row r="20515">
          <cell r="C20515" t="str">
            <v>IC</v>
          </cell>
          <cell r="D20515">
            <v>9.3000000000000007</v>
          </cell>
          <cell r="H20515" t="str">
            <v>natural gas peaker</v>
          </cell>
        </row>
        <row r="20516">
          <cell r="C20516" t="str">
            <v>IC</v>
          </cell>
          <cell r="D20516">
            <v>9.3000000000000007</v>
          </cell>
          <cell r="H20516" t="str">
            <v>natural gas peaker</v>
          </cell>
        </row>
        <row r="20517">
          <cell r="C20517" t="str">
            <v>PV</v>
          </cell>
          <cell r="D20517">
            <v>50</v>
          </cell>
          <cell r="H20517" t="str">
            <v>solar PV</v>
          </cell>
        </row>
        <row r="20518">
          <cell r="C20518" t="str">
            <v>PV</v>
          </cell>
          <cell r="D20518">
            <v>5</v>
          </cell>
          <cell r="H20518" t="str">
            <v>solar PV</v>
          </cell>
        </row>
        <row r="20519">
          <cell r="C20519" t="str">
            <v>PV</v>
          </cell>
          <cell r="D20519">
            <v>5</v>
          </cell>
          <cell r="H20519" t="str">
            <v>solar PV</v>
          </cell>
        </row>
        <row r="20520">
          <cell r="C20520" t="str">
            <v>PV</v>
          </cell>
          <cell r="D20520">
            <v>5</v>
          </cell>
          <cell r="H20520" t="str">
            <v>solar PV</v>
          </cell>
        </row>
        <row r="20521">
          <cell r="C20521" t="str">
            <v>PV</v>
          </cell>
          <cell r="D20521">
            <v>5</v>
          </cell>
          <cell r="H20521" t="str">
            <v>solar PV</v>
          </cell>
        </row>
        <row r="20522">
          <cell r="C20522" t="str">
            <v>PV</v>
          </cell>
          <cell r="D20522">
            <v>5</v>
          </cell>
          <cell r="H20522" t="str">
            <v>solar PV</v>
          </cell>
        </row>
        <row r="20523">
          <cell r="C20523" t="str">
            <v>PV</v>
          </cell>
          <cell r="D20523">
            <v>5</v>
          </cell>
          <cell r="H20523" t="str">
            <v>solar PV</v>
          </cell>
        </row>
        <row r="20524">
          <cell r="C20524" t="str">
            <v>PV</v>
          </cell>
          <cell r="D20524">
            <v>5</v>
          </cell>
          <cell r="H20524" t="str">
            <v>solar PV</v>
          </cell>
        </row>
        <row r="20525">
          <cell r="C20525" t="str">
            <v>PV</v>
          </cell>
          <cell r="D20525">
            <v>3</v>
          </cell>
          <cell r="H20525" t="str">
            <v>solar PV</v>
          </cell>
        </row>
        <row r="20526">
          <cell r="C20526" t="str">
            <v>PV</v>
          </cell>
          <cell r="D20526">
            <v>5</v>
          </cell>
          <cell r="H20526" t="str">
            <v>solar PV</v>
          </cell>
        </row>
        <row r="20527">
          <cell r="C20527" t="str">
            <v>PV</v>
          </cell>
          <cell r="D20527">
            <v>5</v>
          </cell>
          <cell r="H20527" t="str">
            <v>solar PV</v>
          </cell>
        </row>
        <row r="20528">
          <cell r="C20528" t="str">
            <v>PV</v>
          </cell>
          <cell r="D20528">
            <v>5</v>
          </cell>
          <cell r="H20528" t="str">
            <v>solar PV</v>
          </cell>
        </row>
        <row r="20529">
          <cell r="C20529" t="str">
            <v>PV</v>
          </cell>
          <cell r="D20529">
            <v>2</v>
          </cell>
          <cell r="H20529" t="str">
            <v>solar PV</v>
          </cell>
        </row>
        <row r="20530">
          <cell r="C20530" t="str">
            <v>PV</v>
          </cell>
          <cell r="D20530">
            <v>3.9</v>
          </cell>
          <cell r="H20530" t="str">
            <v>solar PV</v>
          </cell>
        </row>
        <row r="20531">
          <cell r="C20531" t="str">
            <v>PV</v>
          </cell>
          <cell r="D20531">
            <v>2.9</v>
          </cell>
          <cell r="H20531" t="str">
            <v>solar PV</v>
          </cell>
        </row>
        <row r="20532">
          <cell r="C20532" t="str">
            <v>PV</v>
          </cell>
          <cell r="D20532">
            <v>2.9</v>
          </cell>
          <cell r="H20532" t="str">
            <v>solar PV</v>
          </cell>
        </row>
        <row r="20533">
          <cell r="C20533" t="str">
            <v>PV</v>
          </cell>
          <cell r="D20533">
            <v>1.3</v>
          </cell>
          <cell r="H20533" t="str">
            <v>solar PV</v>
          </cell>
        </row>
        <row r="20534">
          <cell r="C20534" t="str">
            <v>WT</v>
          </cell>
          <cell r="D20534">
            <v>161.30000000000001</v>
          </cell>
          <cell r="H20534" t="str">
            <v>onshore wind</v>
          </cell>
        </row>
        <row r="20535">
          <cell r="C20535" t="str">
            <v>BA</v>
          </cell>
          <cell r="D20535">
            <v>2</v>
          </cell>
          <cell r="H20535" t="str">
            <v>other</v>
          </cell>
        </row>
        <row r="20536">
          <cell r="C20536" t="str">
            <v>PV</v>
          </cell>
          <cell r="D20536">
            <v>1</v>
          </cell>
          <cell r="H20536" t="str">
            <v>solar PV</v>
          </cell>
        </row>
        <row r="20537">
          <cell r="C20537" t="str">
            <v>PV</v>
          </cell>
          <cell r="D20537">
            <v>1</v>
          </cell>
          <cell r="H20537" t="str">
            <v>solar PV</v>
          </cell>
        </row>
        <row r="20538">
          <cell r="C20538" t="str">
            <v>PV</v>
          </cell>
          <cell r="D20538">
            <v>5.3</v>
          </cell>
          <cell r="H20538" t="str">
            <v>solar PV</v>
          </cell>
        </row>
        <row r="20539">
          <cell r="C20539" t="str">
            <v>PV</v>
          </cell>
          <cell r="D20539">
            <v>1</v>
          </cell>
          <cell r="H20539" t="str">
            <v>solar PV</v>
          </cell>
        </row>
        <row r="20540">
          <cell r="C20540" t="str">
            <v>PV</v>
          </cell>
          <cell r="D20540">
            <v>3</v>
          </cell>
          <cell r="H20540" t="str">
            <v>solar PV</v>
          </cell>
        </row>
        <row r="20541">
          <cell r="C20541" t="str">
            <v>PV</v>
          </cell>
          <cell r="D20541">
            <v>3</v>
          </cell>
          <cell r="H20541" t="str">
            <v>solar PV</v>
          </cell>
        </row>
        <row r="20542">
          <cell r="C20542" t="str">
            <v>PV</v>
          </cell>
          <cell r="D20542">
            <v>3</v>
          </cell>
          <cell r="H20542" t="str">
            <v>solar PV</v>
          </cell>
        </row>
        <row r="20543">
          <cell r="C20543" t="str">
            <v>PV</v>
          </cell>
          <cell r="D20543">
            <v>5</v>
          </cell>
          <cell r="H20543" t="str">
            <v>solar PV</v>
          </cell>
        </row>
        <row r="20544">
          <cell r="C20544" t="str">
            <v>PV</v>
          </cell>
          <cell r="D20544">
            <v>1</v>
          </cell>
          <cell r="H20544" t="str">
            <v>solar PV</v>
          </cell>
        </row>
        <row r="20545">
          <cell r="C20545" t="str">
            <v>PV</v>
          </cell>
          <cell r="D20545">
            <v>3</v>
          </cell>
          <cell r="H20545" t="str">
            <v>solar PV</v>
          </cell>
        </row>
        <row r="20546">
          <cell r="C20546" t="str">
            <v>PV</v>
          </cell>
          <cell r="D20546">
            <v>3</v>
          </cell>
          <cell r="H20546" t="str">
            <v>solar PV</v>
          </cell>
        </row>
        <row r="20547">
          <cell r="C20547" t="str">
            <v>PV</v>
          </cell>
          <cell r="D20547">
            <v>3.8</v>
          </cell>
          <cell r="H20547" t="str">
            <v>solar PV</v>
          </cell>
        </row>
        <row r="20548">
          <cell r="C20548" t="str">
            <v>PV</v>
          </cell>
          <cell r="D20548">
            <v>5</v>
          </cell>
          <cell r="H20548" t="str">
            <v>solar PV</v>
          </cell>
        </row>
        <row r="20549">
          <cell r="C20549" t="str">
            <v>PV</v>
          </cell>
          <cell r="D20549">
            <v>3</v>
          </cell>
          <cell r="H20549" t="str">
            <v>solar PV</v>
          </cell>
        </row>
        <row r="20550">
          <cell r="C20550" t="str">
            <v>PV</v>
          </cell>
          <cell r="D20550">
            <v>5</v>
          </cell>
          <cell r="H20550" t="str">
            <v>solar PV</v>
          </cell>
        </row>
        <row r="20551">
          <cell r="C20551" t="str">
            <v>PV</v>
          </cell>
          <cell r="D20551">
            <v>2.5</v>
          </cell>
          <cell r="H20551" t="str">
            <v>solar PV</v>
          </cell>
        </row>
        <row r="20552">
          <cell r="C20552" t="str">
            <v>PV</v>
          </cell>
          <cell r="D20552">
            <v>3</v>
          </cell>
          <cell r="H20552" t="str">
            <v>solar PV</v>
          </cell>
        </row>
        <row r="20553">
          <cell r="C20553" t="str">
            <v>PV</v>
          </cell>
          <cell r="D20553">
            <v>1</v>
          </cell>
          <cell r="H20553" t="str">
            <v>solar PV</v>
          </cell>
        </row>
        <row r="20554">
          <cell r="C20554" t="str">
            <v>PV</v>
          </cell>
          <cell r="D20554">
            <v>1</v>
          </cell>
          <cell r="H20554" t="str">
            <v>solar PV</v>
          </cell>
        </row>
        <row r="20555">
          <cell r="C20555" t="str">
            <v>PV</v>
          </cell>
          <cell r="D20555">
            <v>1</v>
          </cell>
          <cell r="H20555" t="str">
            <v>solar PV</v>
          </cell>
        </row>
        <row r="20556">
          <cell r="C20556" t="str">
            <v>PV</v>
          </cell>
          <cell r="D20556">
            <v>1</v>
          </cell>
          <cell r="H20556" t="str">
            <v>solar PV</v>
          </cell>
        </row>
        <row r="20557">
          <cell r="C20557" t="str">
            <v>PV</v>
          </cell>
          <cell r="D20557">
            <v>1.8</v>
          </cell>
          <cell r="H20557" t="str">
            <v>solar PV</v>
          </cell>
        </row>
        <row r="20558">
          <cell r="C20558" t="str">
            <v>PV</v>
          </cell>
          <cell r="D20558">
            <v>3</v>
          </cell>
          <cell r="H20558" t="str">
            <v>solar PV</v>
          </cell>
        </row>
        <row r="20559">
          <cell r="C20559" t="str">
            <v>PV</v>
          </cell>
          <cell r="D20559">
            <v>3.4</v>
          </cell>
          <cell r="H20559" t="str">
            <v>solar PV</v>
          </cell>
        </row>
        <row r="20560">
          <cell r="C20560" t="str">
            <v>PV</v>
          </cell>
          <cell r="D20560">
            <v>1</v>
          </cell>
          <cell r="H20560" t="str">
            <v>solar PV</v>
          </cell>
        </row>
        <row r="20561">
          <cell r="C20561" t="str">
            <v>PV</v>
          </cell>
          <cell r="D20561">
            <v>1</v>
          </cell>
          <cell r="H20561" t="str">
            <v>solar PV</v>
          </cell>
        </row>
        <row r="20562">
          <cell r="C20562" t="str">
            <v>PV</v>
          </cell>
          <cell r="D20562">
            <v>1</v>
          </cell>
          <cell r="H20562" t="str">
            <v>solar PV</v>
          </cell>
        </row>
        <row r="20563">
          <cell r="C20563" t="str">
            <v>PV</v>
          </cell>
          <cell r="D20563">
            <v>1</v>
          </cell>
          <cell r="H20563" t="str">
            <v>solar PV</v>
          </cell>
        </row>
        <row r="20564">
          <cell r="C20564" t="str">
            <v>IC</v>
          </cell>
          <cell r="D20564">
            <v>1.5</v>
          </cell>
          <cell r="H20564" t="str">
            <v>biomass</v>
          </cell>
        </row>
        <row r="20565">
          <cell r="C20565" t="str">
            <v>IC</v>
          </cell>
          <cell r="D20565">
            <v>1.5</v>
          </cell>
          <cell r="H20565" t="str">
            <v>biomass</v>
          </cell>
        </row>
        <row r="20566">
          <cell r="C20566" t="str">
            <v>IC</v>
          </cell>
          <cell r="D20566">
            <v>1.5</v>
          </cell>
          <cell r="H20566" t="str">
            <v>biomass</v>
          </cell>
        </row>
        <row r="20567">
          <cell r="C20567" t="str">
            <v>PV</v>
          </cell>
          <cell r="D20567">
            <v>5.2</v>
          </cell>
          <cell r="H20567" t="str">
            <v>solar PV</v>
          </cell>
        </row>
        <row r="20568">
          <cell r="C20568" t="str">
            <v>FC</v>
          </cell>
          <cell r="D20568">
            <v>1.3</v>
          </cell>
          <cell r="H20568" t="str">
            <v>other</v>
          </cell>
        </row>
        <row r="20569">
          <cell r="C20569" t="str">
            <v>FC</v>
          </cell>
          <cell r="D20569">
            <v>1.3</v>
          </cell>
          <cell r="H20569" t="str">
            <v>other</v>
          </cell>
        </row>
        <row r="20570">
          <cell r="C20570" t="str">
            <v>WT</v>
          </cell>
          <cell r="D20570">
            <v>25</v>
          </cell>
          <cell r="H20570" t="str">
            <v>onshore wind</v>
          </cell>
        </row>
        <row r="20571">
          <cell r="C20571" t="str">
            <v>PV</v>
          </cell>
          <cell r="D20571">
            <v>5</v>
          </cell>
          <cell r="H20571" t="str">
            <v>solar PV</v>
          </cell>
        </row>
        <row r="20572">
          <cell r="C20572" t="str">
            <v>PV</v>
          </cell>
          <cell r="D20572">
            <v>5</v>
          </cell>
          <cell r="H20572" t="str">
            <v>solar PV</v>
          </cell>
        </row>
        <row r="20573">
          <cell r="C20573" t="str">
            <v>PV</v>
          </cell>
          <cell r="D20573">
            <v>5</v>
          </cell>
          <cell r="H20573" t="str">
            <v>solar PV</v>
          </cell>
        </row>
        <row r="20574">
          <cell r="C20574" t="str">
            <v>PV</v>
          </cell>
          <cell r="D20574">
            <v>1.4</v>
          </cell>
          <cell r="H20574" t="str">
            <v>solar PV</v>
          </cell>
        </row>
        <row r="20575">
          <cell r="C20575" t="str">
            <v>PV</v>
          </cell>
          <cell r="D20575">
            <v>1.5</v>
          </cell>
          <cell r="H20575" t="str">
            <v>solar PV</v>
          </cell>
        </row>
        <row r="20576">
          <cell r="C20576" t="str">
            <v>PV</v>
          </cell>
          <cell r="D20576">
            <v>1</v>
          </cell>
          <cell r="H20576" t="str">
            <v>solar PV</v>
          </cell>
        </row>
        <row r="20577">
          <cell r="C20577" t="str">
            <v>PV</v>
          </cell>
          <cell r="D20577">
            <v>1</v>
          </cell>
          <cell r="H20577" t="str">
            <v>solar PV</v>
          </cell>
        </row>
        <row r="20578">
          <cell r="C20578" t="str">
            <v>PV</v>
          </cell>
          <cell r="D20578">
            <v>1.9</v>
          </cell>
          <cell r="H20578" t="str">
            <v>solar PV</v>
          </cell>
        </row>
        <row r="20579">
          <cell r="C20579" t="str">
            <v>HY</v>
          </cell>
          <cell r="D20579">
            <v>11.3</v>
          </cell>
          <cell r="H20579" t="str">
            <v>hydro</v>
          </cell>
        </row>
        <row r="20580">
          <cell r="C20580" t="str">
            <v>HY</v>
          </cell>
          <cell r="D20580">
            <v>11.3</v>
          </cell>
          <cell r="H20580" t="str">
            <v>hydro</v>
          </cell>
        </row>
        <row r="20581">
          <cell r="C20581" t="str">
            <v>PV</v>
          </cell>
          <cell r="D20581">
            <v>27.6</v>
          </cell>
          <cell r="H20581" t="str">
            <v>solar PV</v>
          </cell>
        </row>
        <row r="20582">
          <cell r="C20582" t="str">
            <v>PV</v>
          </cell>
          <cell r="D20582">
            <v>1</v>
          </cell>
          <cell r="H20582" t="str">
            <v>solar PV</v>
          </cell>
        </row>
        <row r="20583">
          <cell r="C20583" t="str">
            <v>PV</v>
          </cell>
          <cell r="D20583">
            <v>0.9</v>
          </cell>
          <cell r="H20583" t="str">
            <v>solar PV</v>
          </cell>
        </row>
        <row r="20584">
          <cell r="C20584" t="str">
            <v>PV</v>
          </cell>
          <cell r="D20584">
            <v>0.9</v>
          </cell>
          <cell r="H20584" t="str">
            <v>solar PV</v>
          </cell>
        </row>
        <row r="20585">
          <cell r="C20585" t="str">
            <v>PV</v>
          </cell>
          <cell r="D20585">
            <v>0.9</v>
          </cell>
          <cell r="H20585" t="str">
            <v>solar PV</v>
          </cell>
        </row>
        <row r="20586">
          <cell r="C20586" t="str">
            <v>PV</v>
          </cell>
          <cell r="D20586">
            <v>0.9</v>
          </cell>
          <cell r="H20586" t="str">
            <v>solar PV</v>
          </cell>
        </row>
        <row r="20587">
          <cell r="C20587" t="str">
            <v>PV</v>
          </cell>
          <cell r="D20587">
            <v>0.9</v>
          </cell>
          <cell r="H20587" t="str">
            <v>solar PV</v>
          </cell>
        </row>
        <row r="20588">
          <cell r="C20588" t="str">
            <v>PV</v>
          </cell>
          <cell r="D20588">
            <v>0.9</v>
          </cell>
          <cell r="H20588" t="str">
            <v>solar PV</v>
          </cell>
        </row>
        <row r="20589">
          <cell r="C20589" t="str">
            <v>PV</v>
          </cell>
          <cell r="D20589">
            <v>0.9</v>
          </cell>
          <cell r="H20589" t="str">
            <v>solar PV</v>
          </cell>
        </row>
        <row r="20590">
          <cell r="C20590" t="str">
            <v>PV</v>
          </cell>
          <cell r="D20590">
            <v>0.9</v>
          </cell>
          <cell r="H20590" t="str">
            <v>solar PV</v>
          </cell>
        </row>
        <row r="20591">
          <cell r="C20591" t="str">
            <v>PV</v>
          </cell>
          <cell r="D20591">
            <v>0.9</v>
          </cell>
          <cell r="H20591" t="str">
            <v>solar PV</v>
          </cell>
        </row>
        <row r="20592">
          <cell r="C20592" t="str">
            <v>PV</v>
          </cell>
          <cell r="D20592">
            <v>0.9</v>
          </cell>
          <cell r="H20592" t="str">
            <v>solar PV</v>
          </cell>
        </row>
        <row r="20593">
          <cell r="C20593" t="str">
            <v>PV</v>
          </cell>
          <cell r="D20593">
            <v>0.9</v>
          </cell>
          <cell r="H20593" t="str">
            <v>solar PV</v>
          </cell>
        </row>
        <row r="20594">
          <cell r="C20594" t="str">
            <v>PV</v>
          </cell>
          <cell r="D20594">
            <v>0.9</v>
          </cell>
          <cell r="H20594" t="str">
            <v>solar PV</v>
          </cell>
        </row>
        <row r="20595">
          <cell r="C20595" t="str">
            <v>PV</v>
          </cell>
          <cell r="D20595">
            <v>0.9</v>
          </cell>
          <cell r="H20595" t="str">
            <v>solar PV</v>
          </cell>
        </row>
        <row r="20596">
          <cell r="C20596" t="str">
            <v>PV</v>
          </cell>
          <cell r="D20596">
            <v>0.9</v>
          </cell>
          <cell r="H20596" t="str">
            <v>solar PV</v>
          </cell>
        </row>
        <row r="20597">
          <cell r="C20597" t="str">
            <v>PV</v>
          </cell>
          <cell r="D20597">
            <v>0.9</v>
          </cell>
          <cell r="H20597" t="str">
            <v>solar PV</v>
          </cell>
        </row>
        <row r="20598">
          <cell r="C20598" t="str">
            <v>PV</v>
          </cell>
          <cell r="D20598">
            <v>0.9</v>
          </cell>
          <cell r="H20598" t="str">
            <v>solar PV</v>
          </cell>
        </row>
        <row r="20599">
          <cell r="C20599" t="str">
            <v>PV</v>
          </cell>
          <cell r="D20599">
            <v>0.9</v>
          </cell>
          <cell r="H20599" t="str">
            <v>solar PV</v>
          </cell>
        </row>
        <row r="20600">
          <cell r="C20600" t="str">
            <v>PV</v>
          </cell>
          <cell r="D20600">
            <v>0.9</v>
          </cell>
          <cell r="H20600" t="str">
            <v>solar PV</v>
          </cell>
        </row>
        <row r="20601">
          <cell r="C20601" t="str">
            <v>PV</v>
          </cell>
          <cell r="D20601">
            <v>0.9</v>
          </cell>
          <cell r="H20601" t="str">
            <v>solar PV</v>
          </cell>
        </row>
        <row r="20602">
          <cell r="C20602" t="str">
            <v>PV</v>
          </cell>
          <cell r="D20602">
            <v>0.9</v>
          </cell>
          <cell r="H20602" t="str">
            <v>solar PV</v>
          </cell>
        </row>
        <row r="20603">
          <cell r="C20603" t="str">
            <v>PV</v>
          </cell>
          <cell r="D20603">
            <v>0.9</v>
          </cell>
          <cell r="H20603" t="str">
            <v>solar PV</v>
          </cell>
        </row>
        <row r="20604">
          <cell r="C20604" t="str">
            <v>PV</v>
          </cell>
          <cell r="D20604">
            <v>0.9</v>
          </cell>
          <cell r="H20604" t="str">
            <v>solar PV</v>
          </cell>
        </row>
        <row r="20605">
          <cell r="C20605" t="str">
            <v>PV</v>
          </cell>
          <cell r="D20605">
            <v>0.9</v>
          </cell>
          <cell r="H20605" t="str">
            <v>solar PV</v>
          </cell>
        </row>
        <row r="20606">
          <cell r="C20606" t="str">
            <v>PV</v>
          </cell>
          <cell r="D20606">
            <v>0.9</v>
          </cell>
          <cell r="H20606" t="str">
            <v>solar PV</v>
          </cell>
        </row>
        <row r="20607">
          <cell r="C20607" t="str">
            <v>PV</v>
          </cell>
          <cell r="D20607">
            <v>0.9</v>
          </cell>
          <cell r="H20607" t="str">
            <v>solar PV</v>
          </cell>
        </row>
        <row r="20608">
          <cell r="C20608" t="str">
            <v>PV</v>
          </cell>
          <cell r="D20608">
            <v>0.9</v>
          </cell>
          <cell r="H20608" t="str">
            <v>solar PV</v>
          </cell>
        </row>
        <row r="20609">
          <cell r="C20609" t="str">
            <v>PV</v>
          </cell>
          <cell r="D20609">
            <v>0.9</v>
          </cell>
          <cell r="H20609" t="str">
            <v>solar PV</v>
          </cell>
        </row>
        <row r="20610">
          <cell r="C20610" t="str">
            <v>PV</v>
          </cell>
          <cell r="D20610">
            <v>0.9</v>
          </cell>
          <cell r="H20610" t="str">
            <v>solar PV</v>
          </cell>
        </row>
        <row r="20611">
          <cell r="C20611" t="str">
            <v>PV</v>
          </cell>
          <cell r="D20611">
            <v>0.9</v>
          </cell>
          <cell r="H20611" t="str">
            <v>solar PV</v>
          </cell>
        </row>
        <row r="20612">
          <cell r="C20612" t="str">
            <v>PV</v>
          </cell>
          <cell r="D20612">
            <v>0.9</v>
          </cell>
          <cell r="H20612" t="str">
            <v>solar PV</v>
          </cell>
        </row>
        <row r="20613">
          <cell r="C20613" t="str">
            <v>PV</v>
          </cell>
          <cell r="D20613">
            <v>0.9</v>
          </cell>
          <cell r="H20613" t="str">
            <v>solar PV</v>
          </cell>
        </row>
        <row r="20614">
          <cell r="C20614" t="str">
            <v>PV</v>
          </cell>
          <cell r="D20614">
            <v>0.9</v>
          </cell>
          <cell r="H20614" t="str">
            <v>solar PV</v>
          </cell>
        </row>
        <row r="20615">
          <cell r="C20615" t="str">
            <v>PV</v>
          </cell>
          <cell r="D20615">
            <v>0.9</v>
          </cell>
          <cell r="H20615" t="str">
            <v>solar PV</v>
          </cell>
        </row>
        <row r="20616">
          <cell r="C20616" t="str">
            <v>PV</v>
          </cell>
          <cell r="D20616">
            <v>0.9</v>
          </cell>
          <cell r="H20616" t="str">
            <v>solar PV</v>
          </cell>
        </row>
        <row r="20617">
          <cell r="C20617" t="str">
            <v>PV</v>
          </cell>
          <cell r="D20617">
            <v>0.9</v>
          </cell>
          <cell r="H20617" t="str">
            <v>solar PV</v>
          </cell>
        </row>
        <row r="20618">
          <cell r="C20618" t="str">
            <v>PV</v>
          </cell>
          <cell r="D20618">
            <v>0.9</v>
          </cell>
          <cell r="H20618" t="str">
            <v>solar PV</v>
          </cell>
        </row>
        <row r="20619">
          <cell r="C20619" t="str">
            <v>PV</v>
          </cell>
          <cell r="D20619">
            <v>1</v>
          </cell>
          <cell r="H20619" t="str">
            <v>solar PV</v>
          </cell>
        </row>
        <row r="20620">
          <cell r="C20620" t="str">
            <v>IC</v>
          </cell>
          <cell r="D20620">
            <v>2</v>
          </cell>
          <cell r="H20620" t="str">
            <v>natural gas peaker</v>
          </cell>
        </row>
        <row r="20621">
          <cell r="C20621" t="str">
            <v>PV</v>
          </cell>
          <cell r="D20621">
            <v>1</v>
          </cell>
          <cell r="H20621" t="str">
            <v>solar PV</v>
          </cell>
        </row>
        <row r="20622">
          <cell r="C20622" t="str">
            <v>HY</v>
          </cell>
          <cell r="D20622">
            <v>2.8</v>
          </cell>
          <cell r="H20622" t="str">
            <v>hydro</v>
          </cell>
        </row>
        <row r="20623">
          <cell r="C20623" t="str">
            <v>HY</v>
          </cell>
          <cell r="D20623">
            <v>4.5</v>
          </cell>
          <cell r="H20623" t="str">
            <v>hydro</v>
          </cell>
        </row>
        <row r="20624">
          <cell r="C20624" t="str">
            <v>HY</v>
          </cell>
          <cell r="D20624">
            <v>2.4</v>
          </cell>
          <cell r="H20624" t="str">
            <v>hydro</v>
          </cell>
        </row>
        <row r="20625">
          <cell r="C20625" t="str">
            <v>PV</v>
          </cell>
          <cell r="D20625">
            <v>2</v>
          </cell>
          <cell r="H20625" t="str">
            <v>solar PV</v>
          </cell>
        </row>
        <row r="20626">
          <cell r="C20626" t="str">
            <v>PV</v>
          </cell>
          <cell r="D20626">
            <v>1</v>
          </cell>
          <cell r="H20626" t="str">
            <v>solar PV</v>
          </cell>
        </row>
        <row r="20627">
          <cell r="C20627" t="str">
            <v>PV</v>
          </cell>
          <cell r="D20627">
            <v>5</v>
          </cell>
          <cell r="H20627" t="str">
            <v>solar PV</v>
          </cell>
        </row>
        <row r="20628">
          <cell r="C20628" t="str">
            <v>PV</v>
          </cell>
          <cell r="D20628">
            <v>2</v>
          </cell>
          <cell r="H20628" t="str">
            <v>solar PV</v>
          </cell>
        </row>
        <row r="20629">
          <cell r="C20629" t="str">
            <v>PV</v>
          </cell>
          <cell r="D20629">
            <v>5</v>
          </cell>
          <cell r="H20629" t="str">
            <v>solar PV</v>
          </cell>
        </row>
        <row r="20630">
          <cell r="C20630" t="str">
            <v>BA</v>
          </cell>
          <cell r="D20630">
            <v>10</v>
          </cell>
          <cell r="H20630" t="str">
            <v>other</v>
          </cell>
        </row>
        <row r="20631">
          <cell r="C20631" t="str">
            <v>PV</v>
          </cell>
          <cell r="D20631">
            <v>1.5</v>
          </cell>
          <cell r="H20631" t="str">
            <v>solar PV</v>
          </cell>
        </row>
        <row r="20632">
          <cell r="C20632" t="str">
            <v>PV</v>
          </cell>
          <cell r="D20632">
            <v>1.2</v>
          </cell>
          <cell r="H20632" t="str">
            <v>solar PV</v>
          </cell>
        </row>
        <row r="20633">
          <cell r="C20633" t="str">
            <v>PV</v>
          </cell>
          <cell r="D20633">
            <v>10</v>
          </cell>
          <cell r="H20633" t="str">
            <v>solar PV</v>
          </cell>
        </row>
        <row r="20634">
          <cell r="C20634" t="str">
            <v>PV</v>
          </cell>
          <cell r="D20634">
            <v>252.3</v>
          </cell>
          <cell r="H20634" t="str">
            <v>solar PV</v>
          </cell>
        </row>
        <row r="20635">
          <cell r="C20635" t="str">
            <v>PV</v>
          </cell>
          <cell r="D20635">
            <v>5</v>
          </cell>
          <cell r="H20635" t="str">
            <v>solar PV</v>
          </cell>
        </row>
        <row r="20636">
          <cell r="C20636" t="str">
            <v>PV</v>
          </cell>
          <cell r="D20636">
            <v>1.5</v>
          </cell>
          <cell r="H20636" t="str">
            <v>solar PV</v>
          </cell>
        </row>
        <row r="20637">
          <cell r="C20637" t="str">
            <v>PV</v>
          </cell>
          <cell r="D20637">
            <v>1.2</v>
          </cell>
          <cell r="H20637" t="str">
            <v>solar PV</v>
          </cell>
        </row>
        <row r="20638">
          <cell r="C20638" t="str">
            <v>HY</v>
          </cell>
          <cell r="D20638">
            <v>1.5</v>
          </cell>
          <cell r="H20638" t="str">
            <v>hydro</v>
          </cell>
        </row>
        <row r="20639">
          <cell r="C20639" t="str">
            <v>HY</v>
          </cell>
          <cell r="D20639">
            <v>1.5</v>
          </cell>
          <cell r="H20639" t="str">
            <v>hydro</v>
          </cell>
        </row>
        <row r="20640">
          <cell r="C20640" t="str">
            <v>HY</v>
          </cell>
          <cell r="D20640">
            <v>1.5</v>
          </cell>
          <cell r="H20640" t="str">
            <v>hydro</v>
          </cell>
        </row>
        <row r="20641">
          <cell r="C20641" t="str">
            <v>HY</v>
          </cell>
          <cell r="D20641">
            <v>1.5</v>
          </cell>
          <cell r="H20641" t="str">
            <v>hydro</v>
          </cell>
        </row>
        <row r="20642">
          <cell r="C20642" t="str">
            <v>PV</v>
          </cell>
          <cell r="D20642">
            <v>3.5</v>
          </cell>
          <cell r="H20642" t="str">
            <v>solar PV</v>
          </cell>
        </row>
        <row r="20643">
          <cell r="C20643" t="str">
            <v>PV</v>
          </cell>
          <cell r="D20643">
            <v>3.5</v>
          </cell>
          <cell r="H20643" t="str">
            <v>solar PV</v>
          </cell>
        </row>
        <row r="20644">
          <cell r="C20644" t="str">
            <v>PV</v>
          </cell>
          <cell r="D20644">
            <v>2</v>
          </cell>
          <cell r="H20644" t="str">
            <v>solar PV</v>
          </cell>
        </row>
        <row r="20645">
          <cell r="C20645" t="str">
            <v>PV</v>
          </cell>
          <cell r="D20645">
            <v>1.1000000000000001</v>
          </cell>
          <cell r="H20645" t="str">
            <v>solar PV</v>
          </cell>
        </row>
        <row r="20646">
          <cell r="C20646" t="str">
            <v>WT</v>
          </cell>
          <cell r="D20646">
            <v>200</v>
          </cell>
          <cell r="H20646" t="str">
            <v>onshore wind</v>
          </cell>
        </row>
        <row r="20647">
          <cell r="C20647" t="str">
            <v>ST</v>
          </cell>
          <cell r="D20647">
            <v>58</v>
          </cell>
          <cell r="H20647" t="str">
            <v>biomass</v>
          </cell>
        </row>
        <row r="20648">
          <cell r="C20648" t="str">
            <v>PV</v>
          </cell>
          <cell r="D20648">
            <v>3</v>
          </cell>
          <cell r="H20648" t="str">
            <v>solar PV</v>
          </cell>
        </row>
        <row r="20649">
          <cell r="C20649" t="str">
            <v>PV</v>
          </cell>
          <cell r="D20649">
            <v>3</v>
          </cell>
          <cell r="H20649" t="str">
            <v>solar PV</v>
          </cell>
        </row>
        <row r="20650">
          <cell r="C20650" t="str">
            <v>HY</v>
          </cell>
          <cell r="D20650">
            <v>1.2</v>
          </cell>
          <cell r="H20650" t="str">
            <v>hydro</v>
          </cell>
        </row>
        <row r="20651">
          <cell r="C20651" t="str">
            <v>PV</v>
          </cell>
          <cell r="D20651">
            <v>5</v>
          </cell>
          <cell r="H20651" t="str">
            <v>solar PV</v>
          </cell>
        </row>
        <row r="20652">
          <cell r="C20652" t="str">
            <v>PV</v>
          </cell>
          <cell r="D20652">
            <v>5</v>
          </cell>
          <cell r="H20652" t="str">
            <v>solar PV</v>
          </cell>
        </row>
        <row r="20653">
          <cell r="C20653" t="str">
            <v>PV</v>
          </cell>
          <cell r="D20653">
            <v>5</v>
          </cell>
          <cell r="H20653" t="str">
            <v>solar PV</v>
          </cell>
        </row>
        <row r="20654">
          <cell r="C20654" t="str">
            <v>WT</v>
          </cell>
          <cell r="D20654">
            <v>99.1</v>
          </cell>
          <cell r="H20654" t="str">
            <v>onshore wind</v>
          </cell>
        </row>
        <row r="20655">
          <cell r="C20655" t="str">
            <v>WT</v>
          </cell>
          <cell r="D20655">
            <v>46</v>
          </cell>
          <cell r="H20655" t="str">
            <v>onshore wind</v>
          </cell>
        </row>
        <row r="20656">
          <cell r="C20656" t="str">
            <v>PV</v>
          </cell>
          <cell r="D20656">
            <v>2.5</v>
          </cell>
          <cell r="H20656" t="str">
            <v>solar PV</v>
          </cell>
        </row>
        <row r="20657">
          <cell r="C20657" t="str">
            <v>PV</v>
          </cell>
          <cell r="D20657">
            <v>1.8</v>
          </cell>
          <cell r="H20657" t="str">
            <v>solar PV</v>
          </cell>
        </row>
        <row r="20658">
          <cell r="C20658" t="str">
            <v>PV</v>
          </cell>
          <cell r="D20658">
            <v>2</v>
          </cell>
          <cell r="H20658" t="str">
            <v>solar PV</v>
          </cell>
        </row>
        <row r="20659">
          <cell r="C20659" t="str">
            <v>IC</v>
          </cell>
          <cell r="D20659">
            <v>2.5</v>
          </cell>
          <cell r="H20659" t="str">
            <v>petroleum</v>
          </cell>
        </row>
        <row r="20660">
          <cell r="C20660" t="str">
            <v>IC</v>
          </cell>
          <cell r="D20660">
            <v>2.5</v>
          </cell>
          <cell r="H20660" t="str">
            <v>petroleum</v>
          </cell>
        </row>
        <row r="20661">
          <cell r="C20661" t="str">
            <v>GT</v>
          </cell>
          <cell r="D20661">
            <v>7.7</v>
          </cell>
          <cell r="H20661" t="str">
            <v>natural gas peaker</v>
          </cell>
        </row>
        <row r="20662">
          <cell r="C20662" t="str">
            <v>IC</v>
          </cell>
          <cell r="D20662">
            <v>1.5</v>
          </cell>
          <cell r="H20662" t="str">
            <v>petroleum</v>
          </cell>
        </row>
        <row r="20663">
          <cell r="C20663" t="str">
            <v>IC</v>
          </cell>
          <cell r="D20663">
            <v>1.5</v>
          </cell>
          <cell r="H20663" t="str">
            <v>petroleum</v>
          </cell>
        </row>
        <row r="20664">
          <cell r="C20664" t="str">
            <v>IC</v>
          </cell>
          <cell r="D20664">
            <v>1.5</v>
          </cell>
          <cell r="H20664" t="str">
            <v>petroleum</v>
          </cell>
        </row>
        <row r="20665">
          <cell r="C20665" t="str">
            <v>IC</v>
          </cell>
          <cell r="D20665">
            <v>1.4</v>
          </cell>
          <cell r="H20665" t="str">
            <v>petroleum</v>
          </cell>
        </row>
        <row r="20666">
          <cell r="C20666" t="str">
            <v>IC</v>
          </cell>
          <cell r="D20666">
            <v>1.4</v>
          </cell>
          <cell r="H20666" t="str">
            <v>petroleum</v>
          </cell>
        </row>
        <row r="20667">
          <cell r="C20667" t="str">
            <v>IC</v>
          </cell>
          <cell r="D20667">
            <v>1.4</v>
          </cell>
          <cell r="H20667" t="str">
            <v>petroleum</v>
          </cell>
        </row>
        <row r="20668">
          <cell r="C20668" t="str">
            <v>IC</v>
          </cell>
          <cell r="D20668">
            <v>1.5</v>
          </cell>
          <cell r="H20668" t="str">
            <v>petroleum</v>
          </cell>
        </row>
        <row r="20669">
          <cell r="C20669" t="str">
            <v>GT</v>
          </cell>
          <cell r="D20669">
            <v>50</v>
          </cell>
          <cell r="H20669" t="str">
            <v>natural gas peaker</v>
          </cell>
        </row>
        <row r="20670">
          <cell r="C20670" t="str">
            <v>GT</v>
          </cell>
          <cell r="D20670">
            <v>50</v>
          </cell>
          <cell r="H20670" t="str">
            <v>natural gas peaker</v>
          </cell>
        </row>
        <row r="20671">
          <cell r="C20671" t="str">
            <v>PV</v>
          </cell>
          <cell r="D20671">
            <v>4.3</v>
          </cell>
          <cell r="H20671" t="str">
            <v>solar PV</v>
          </cell>
        </row>
        <row r="20672">
          <cell r="C20672" t="str">
            <v>PV</v>
          </cell>
          <cell r="D20672">
            <v>2.2000000000000002</v>
          </cell>
          <cell r="H20672" t="str">
            <v>solar PV</v>
          </cell>
        </row>
        <row r="20673">
          <cell r="C20673" t="str">
            <v>PV</v>
          </cell>
          <cell r="D20673">
            <v>4.7</v>
          </cell>
          <cell r="H20673" t="str">
            <v>solar PV</v>
          </cell>
        </row>
        <row r="20674">
          <cell r="C20674" t="str">
            <v>PV</v>
          </cell>
          <cell r="D20674">
            <v>4.8</v>
          </cell>
          <cell r="H20674" t="str">
            <v>solar PV</v>
          </cell>
        </row>
        <row r="20675">
          <cell r="C20675" t="str">
            <v>PV</v>
          </cell>
          <cell r="D20675">
            <v>4.0999999999999996</v>
          </cell>
          <cell r="H20675" t="str">
            <v>solar PV</v>
          </cell>
        </row>
        <row r="20676">
          <cell r="C20676" t="str">
            <v>PV</v>
          </cell>
          <cell r="D20676">
            <v>0.5</v>
          </cell>
          <cell r="H20676" t="str">
            <v>solar PV</v>
          </cell>
        </row>
        <row r="20677">
          <cell r="C20677" t="str">
            <v>PV</v>
          </cell>
          <cell r="D20677">
            <v>0.5</v>
          </cell>
          <cell r="H20677" t="str">
            <v>solar PV</v>
          </cell>
        </row>
        <row r="20678">
          <cell r="C20678" t="str">
            <v>PV</v>
          </cell>
          <cell r="D20678">
            <v>2.9</v>
          </cell>
          <cell r="H20678" t="str">
            <v>solar PV</v>
          </cell>
        </row>
        <row r="20679">
          <cell r="C20679" t="str">
            <v>PV</v>
          </cell>
          <cell r="D20679">
            <v>10.7</v>
          </cell>
          <cell r="H20679" t="str">
            <v>solar PV</v>
          </cell>
        </row>
        <row r="20680">
          <cell r="C20680" t="str">
            <v>PV</v>
          </cell>
          <cell r="D20680">
            <v>4.9000000000000004</v>
          </cell>
          <cell r="H20680" t="str">
            <v>solar PV</v>
          </cell>
        </row>
        <row r="20681">
          <cell r="C20681" t="str">
            <v>PV</v>
          </cell>
          <cell r="D20681">
            <v>4.9000000000000004</v>
          </cell>
          <cell r="H20681" t="str">
            <v>solar PV</v>
          </cell>
        </row>
        <row r="20682">
          <cell r="C20682" t="str">
            <v>PV</v>
          </cell>
          <cell r="D20682">
            <v>4.9000000000000004</v>
          </cell>
          <cell r="H20682" t="str">
            <v>solar PV</v>
          </cell>
        </row>
        <row r="20683">
          <cell r="C20683" t="str">
            <v>PV</v>
          </cell>
          <cell r="D20683">
            <v>1.9</v>
          </cell>
          <cell r="H20683" t="str">
            <v>solar PV</v>
          </cell>
        </row>
        <row r="20684">
          <cell r="C20684" t="str">
            <v>PV</v>
          </cell>
          <cell r="D20684">
            <v>1.9</v>
          </cell>
          <cell r="H20684" t="str">
            <v>solar PV</v>
          </cell>
        </row>
        <row r="20685">
          <cell r="C20685" t="str">
            <v>PV</v>
          </cell>
          <cell r="D20685">
            <v>1.9</v>
          </cell>
          <cell r="H20685" t="str">
            <v>solar PV</v>
          </cell>
        </row>
        <row r="20686">
          <cell r="C20686" t="str">
            <v>WT</v>
          </cell>
          <cell r="D20686">
            <v>154.5</v>
          </cell>
          <cell r="H20686" t="str">
            <v>onshore wind</v>
          </cell>
        </row>
        <row r="20687">
          <cell r="C20687" t="str">
            <v>PV</v>
          </cell>
          <cell r="D20687">
            <v>81</v>
          </cell>
          <cell r="H20687" t="str">
            <v>solar PV</v>
          </cell>
        </row>
        <row r="20688">
          <cell r="C20688" t="str">
            <v>IC</v>
          </cell>
          <cell r="D20688">
            <v>4.4000000000000004</v>
          </cell>
          <cell r="H20688" t="str">
            <v>natural gas peaker</v>
          </cell>
        </row>
        <row r="20689">
          <cell r="C20689" t="str">
            <v>IC</v>
          </cell>
          <cell r="D20689">
            <v>4.4000000000000004</v>
          </cell>
          <cell r="H20689" t="str">
            <v>natural gas peaker</v>
          </cell>
        </row>
        <row r="20690">
          <cell r="C20690" t="str">
            <v>IC</v>
          </cell>
          <cell r="D20690">
            <v>4.4000000000000004</v>
          </cell>
          <cell r="H20690" t="str">
            <v>natural gas peaker</v>
          </cell>
        </row>
        <row r="20691">
          <cell r="C20691" t="str">
            <v>IC</v>
          </cell>
          <cell r="D20691">
            <v>4.4000000000000004</v>
          </cell>
          <cell r="H20691" t="str">
            <v>natural gas peaker</v>
          </cell>
        </row>
        <row r="20692">
          <cell r="C20692" t="str">
            <v>IC</v>
          </cell>
          <cell r="D20692">
            <v>4.4000000000000004</v>
          </cell>
          <cell r="H20692" t="str">
            <v>natural gas peaker</v>
          </cell>
        </row>
        <row r="20693">
          <cell r="C20693" t="str">
            <v>PV</v>
          </cell>
          <cell r="D20693">
            <v>105</v>
          </cell>
          <cell r="H20693" t="str">
            <v>solar PV</v>
          </cell>
        </row>
        <row r="20694">
          <cell r="C20694" t="str">
            <v>PV</v>
          </cell>
          <cell r="D20694">
            <v>20</v>
          </cell>
          <cell r="H20694" t="str">
            <v>solar PV</v>
          </cell>
        </row>
        <row r="20695">
          <cell r="C20695" t="str">
            <v>IC</v>
          </cell>
          <cell r="D20695">
            <v>2</v>
          </cell>
          <cell r="H20695" t="str">
            <v>petroleum</v>
          </cell>
        </row>
        <row r="20696">
          <cell r="C20696" t="str">
            <v>PV</v>
          </cell>
          <cell r="D20696">
            <v>27.3</v>
          </cell>
          <cell r="H20696" t="str">
            <v>solar PV</v>
          </cell>
        </row>
        <row r="20697">
          <cell r="C20697" t="str">
            <v>PV</v>
          </cell>
          <cell r="D20697">
            <v>28</v>
          </cell>
          <cell r="H20697" t="str">
            <v>solar PV</v>
          </cell>
        </row>
        <row r="20698">
          <cell r="C20698" t="str">
            <v>WT</v>
          </cell>
          <cell r="D20698">
            <v>297.8</v>
          </cell>
          <cell r="H20698" t="str">
            <v>onshore wind</v>
          </cell>
        </row>
        <row r="20699">
          <cell r="C20699" t="str">
            <v>WT</v>
          </cell>
          <cell r="D20699">
            <v>299.3</v>
          </cell>
          <cell r="H20699" t="str">
            <v>onshore wind</v>
          </cell>
        </row>
        <row r="20700">
          <cell r="C20700" t="str">
            <v>PV</v>
          </cell>
          <cell r="D20700">
            <v>1.5</v>
          </cell>
          <cell r="H20700" t="str">
            <v>solar PV</v>
          </cell>
        </row>
        <row r="20701">
          <cell r="C20701" t="str">
            <v>PV</v>
          </cell>
          <cell r="D20701">
            <v>55</v>
          </cell>
          <cell r="H20701" t="str">
            <v>solar PV</v>
          </cell>
        </row>
        <row r="20702">
          <cell r="C20702" t="str">
            <v>PV</v>
          </cell>
          <cell r="D20702">
            <v>3.3</v>
          </cell>
          <cell r="H20702" t="str">
            <v>solar PV</v>
          </cell>
        </row>
        <row r="20703">
          <cell r="C20703" t="str">
            <v>PV</v>
          </cell>
          <cell r="D20703">
            <v>3.8</v>
          </cell>
          <cell r="H20703" t="str">
            <v>solar PV</v>
          </cell>
        </row>
        <row r="20704">
          <cell r="C20704" t="str">
            <v>PV</v>
          </cell>
          <cell r="D20704">
            <v>9</v>
          </cell>
          <cell r="H20704" t="str">
            <v>solar PV</v>
          </cell>
        </row>
        <row r="20705">
          <cell r="C20705" t="str">
            <v>PV</v>
          </cell>
          <cell r="D20705">
            <v>9</v>
          </cell>
          <cell r="H20705" t="str">
            <v>solar PV</v>
          </cell>
        </row>
        <row r="20706">
          <cell r="C20706" t="str">
            <v>PV</v>
          </cell>
          <cell r="D20706">
            <v>9.5</v>
          </cell>
          <cell r="H20706" t="str">
            <v>solar PV</v>
          </cell>
        </row>
        <row r="20707">
          <cell r="C20707" t="str">
            <v>PV</v>
          </cell>
          <cell r="D20707">
            <v>9.6999999999999993</v>
          </cell>
          <cell r="H20707" t="str">
            <v>solar PV</v>
          </cell>
        </row>
        <row r="20708">
          <cell r="C20708" t="str">
            <v>PV</v>
          </cell>
          <cell r="D20708">
            <v>9.1999999999999993</v>
          </cell>
          <cell r="H20708" t="str">
            <v>solar PV</v>
          </cell>
        </row>
        <row r="20709">
          <cell r="C20709" t="str">
            <v>PV</v>
          </cell>
          <cell r="D20709">
            <v>10</v>
          </cell>
          <cell r="H20709" t="str">
            <v>solar PV</v>
          </cell>
        </row>
        <row r="20710">
          <cell r="C20710" t="str">
            <v>GT</v>
          </cell>
          <cell r="D20710">
            <v>6.2</v>
          </cell>
          <cell r="H20710" t="str">
            <v>natural gas peaker</v>
          </cell>
        </row>
        <row r="20711">
          <cell r="C20711" t="str">
            <v>PV</v>
          </cell>
          <cell r="D20711">
            <v>4.8</v>
          </cell>
          <cell r="H20711" t="str">
            <v>solar PV</v>
          </cell>
        </row>
        <row r="20712">
          <cell r="C20712" t="str">
            <v>PV</v>
          </cell>
          <cell r="D20712">
            <v>2</v>
          </cell>
          <cell r="H20712" t="str">
            <v>solar PV</v>
          </cell>
        </row>
        <row r="20713">
          <cell r="C20713" t="str">
            <v>PV</v>
          </cell>
          <cell r="D20713">
            <v>4.8</v>
          </cell>
          <cell r="H20713" t="str">
            <v>solar PV</v>
          </cell>
        </row>
        <row r="20714">
          <cell r="C20714" t="str">
            <v>PV</v>
          </cell>
          <cell r="D20714">
            <v>5</v>
          </cell>
          <cell r="H20714" t="str">
            <v>solar PV</v>
          </cell>
        </row>
        <row r="20715">
          <cell r="C20715" t="str">
            <v>PV</v>
          </cell>
          <cell r="D20715">
            <v>2</v>
          </cell>
          <cell r="H20715" t="str">
            <v>solar PV</v>
          </cell>
        </row>
        <row r="20716">
          <cell r="C20716" t="str">
            <v>PV</v>
          </cell>
          <cell r="D20716">
            <v>3</v>
          </cell>
          <cell r="H20716" t="str">
            <v>solar PV</v>
          </cell>
        </row>
        <row r="20717">
          <cell r="C20717" t="str">
            <v>PV</v>
          </cell>
          <cell r="D20717">
            <v>3</v>
          </cell>
          <cell r="H20717" t="str">
            <v>solar PV</v>
          </cell>
        </row>
        <row r="20718">
          <cell r="C20718" t="str">
            <v>PV</v>
          </cell>
          <cell r="D20718">
            <v>8.6</v>
          </cell>
          <cell r="H20718" t="str">
            <v>solar PV</v>
          </cell>
        </row>
        <row r="20719">
          <cell r="C20719" t="str">
            <v>PV</v>
          </cell>
          <cell r="D20719">
            <v>1.9</v>
          </cell>
          <cell r="H20719" t="str">
            <v>solar PV</v>
          </cell>
        </row>
        <row r="20720">
          <cell r="C20720" t="str">
            <v>PV</v>
          </cell>
          <cell r="D20720">
            <v>4</v>
          </cell>
          <cell r="H20720" t="str">
            <v>solar PV</v>
          </cell>
        </row>
        <row r="20721">
          <cell r="C20721" t="str">
            <v>PV</v>
          </cell>
          <cell r="D20721">
            <v>1.5</v>
          </cell>
          <cell r="H20721" t="str">
            <v>solar PV</v>
          </cell>
        </row>
        <row r="20722">
          <cell r="C20722" t="str">
            <v>PV</v>
          </cell>
          <cell r="D20722">
            <v>2</v>
          </cell>
          <cell r="H20722" t="str">
            <v>solar PV</v>
          </cell>
        </row>
        <row r="20723">
          <cell r="C20723" t="str">
            <v>PV</v>
          </cell>
          <cell r="D20723">
            <v>1</v>
          </cell>
          <cell r="H20723" t="str">
            <v>solar PV</v>
          </cell>
        </row>
        <row r="20724">
          <cell r="C20724" t="str">
            <v>PV</v>
          </cell>
          <cell r="D20724">
            <v>1.9</v>
          </cell>
          <cell r="H20724" t="str">
            <v>solar PV</v>
          </cell>
        </row>
        <row r="20725">
          <cell r="C20725" t="str">
            <v>WT</v>
          </cell>
          <cell r="D20725">
            <v>119.7</v>
          </cell>
          <cell r="H20725" t="str">
            <v>onshore wind</v>
          </cell>
        </row>
        <row r="20726">
          <cell r="C20726" t="str">
            <v>PV</v>
          </cell>
          <cell r="D20726">
            <v>2.5</v>
          </cell>
          <cell r="H20726" t="str">
            <v>solar PV</v>
          </cell>
        </row>
        <row r="20727">
          <cell r="C20727" t="str">
            <v>PV</v>
          </cell>
          <cell r="D20727">
            <v>2</v>
          </cell>
          <cell r="H20727" t="str">
            <v>solar PV</v>
          </cell>
        </row>
        <row r="20728">
          <cell r="C20728" t="str">
            <v>PV</v>
          </cell>
          <cell r="D20728">
            <v>1.1000000000000001</v>
          </cell>
          <cell r="H20728" t="str">
            <v>solar PV</v>
          </cell>
        </row>
        <row r="20729">
          <cell r="C20729" t="str">
            <v>PV</v>
          </cell>
          <cell r="D20729">
            <v>2.7</v>
          </cell>
          <cell r="H20729" t="str">
            <v>solar PV</v>
          </cell>
        </row>
        <row r="20730">
          <cell r="C20730" t="str">
            <v>PV</v>
          </cell>
          <cell r="D20730">
            <v>2</v>
          </cell>
          <cell r="H20730" t="str">
            <v>solar PV</v>
          </cell>
        </row>
        <row r="20731">
          <cell r="C20731" t="str">
            <v>PV</v>
          </cell>
          <cell r="D20731">
            <v>2</v>
          </cell>
          <cell r="H20731" t="str">
            <v>solar PV</v>
          </cell>
        </row>
        <row r="20732">
          <cell r="C20732" t="str">
            <v>PV</v>
          </cell>
          <cell r="D20732">
            <v>1</v>
          </cell>
          <cell r="H20732" t="str">
            <v>solar PV</v>
          </cell>
        </row>
        <row r="20733">
          <cell r="C20733" t="str">
            <v>PV</v>
          </cell>
          <cell r="D20733">
            <v>3.5</v>
          </cell>
          <cell r="H20733" t="str">
            <v>solar PV</v>
          </cell>
        </row>
        <row r="20734">
          <cell r="C20734" t="str">
            <v>PV</v>
          </cell>
          <cell r="D20734">
            <v>4.7</v>
          </cell>
          <cell r="H20734" t="str">
            <v>solar PV</v>
          </cell>
        </row>
        <row r="20735">
          <cell r="C20735" t="str">
            <v>PV</v>
          </cell>
          <cell r="D20735">
            <v>2.5</v>
          </cell>
          <cell r="H20735" t="str">
            <v>solar PV</v>
          </cell>
        </row>
        <row r="20736">
          <cell r="C20736" t="str">
            <v>PV</v>
          </cell>
          <cell r="D20736">
            <v>1.1000000000000001</v>
          </cell>
          <cell r="H20736" t="str">
            <v>solar PV</v>
          </cell>
        </row>
        <row r="20737">
          <cell r="C20737" t="str">
            <v>PV</v>
          </cell>
          <cell r="D20737">
            <v>3.4</v>
          </cell>
          <cell r="H20737" t="str">
            <v>solar PV</v>
          </cell>
        </row>
        <row r="20738">
          <cell r="C20738" t="str">
            <v>PV</v>
          </cell>
          <cell r="D20738">
            <v>8.1999999999999993</v>
          </cell>
          <cell r="H20738" t="str">
            <v>solar PV</v>
          </cell>
        </row>
        <row r="20739">
          <cell r="C20739" t="str">
            <v>PV</v>
          </cell>
          <cell r="D20739">
            <v>6.8</v>
          </cell>
          <cell r="H20739" t="str">
            <v>solar PV</v>
          </cell>
        </row>
        <row r="20740">
          <cell r="C20740" t="str">
            <v>PV</v>
          </cell>
          <cell r="D20740">
            <v>4.0999999999999996</v>
          </cell>
          <cell r="H20740" t="str">
            <v>solar PV</v>
          </cell>
        </row>
        <row r="20741">
          <cell r="C20741" t="str">
            <v>PV</v>
          </cell>
          <cell r="D20741">
            <v>5.4</v>
          </cell>
          <cell r="H20741" t="str">
            <v>solar PV</v>
          </cell>
        </row>
        <row r="20742">
          <cell r="C20742" t="str">
            <v>PV</v>
          </cell>
          <cell r="D20742">
            <v>0.9</v>
          </cell>
          <cell r="H20742" t="str">
            <v>solar PV</v>
          </cell>
        </row>
        <row r="20743">
          <cell r="C20743" t="str">
            <v>PV</v>
          </cell>
          <cell r="D20743">
            <v>0.9</v>
          </cell>
          <cell r="H20743" t="str">
            <v>solar PV</v>
          </cell>
        </row>
        <row r="20744">
          <cell r="C20744" t="str">
            <v>PV</v>
          </cell>
          <cell r="D20744">
            <v>0.9</v>
          </cell>
          <cell r="H20744" t="str">
            <v>solar PV</v>
          </cell>
        </row>
        <row r="20745">
          <cell r="C20745" t="str">
            <v>PV</v>
          </cell>
          <cell r="D20745">
            <v>0.9</v>
          </cell>
          <cell r="H20745" t="str">
            <v>solar PV</v>
          </cell>
        </row>
        <row r="20746">
          <cell r="C20746" t="str">
            <v>PV</v>
          </cell>
          <cell r="D20746">
            <v>0.9</v>
          </cell>
          <cell r="H20746" t="str">
            <v>solar PV</v>
          </cell>
        </row>
        <row r="20747">
          <cell r="C20747" t="str">
            <v>WT</v>
          </cell>
          <cell r="D20747">
            <v>66</v>
          </cell>
          <cell r="H20747" t="str">
            <v>onshore wind</v>
          </cell>
        </row>
        <row r="20748">
          <cell r="C20748" t="str">
            <v>PV</v>
          </cell>
          <cell r="D20748">
            <v>2</v>
          </cell>
          <cell r="H20748" t="str">
            <v>solar PV</v>
          </cell>
        </row>
        <row r="20749">
          <cell r="C20749" t="str">
            <v>PV</v>
          </cell>
          <cell r="D20749">
            <v>2</v>
          </cell>
          <cell r="H20749" t="str">
            <v>solar PV</v>
          </cell>
        </row>
        <row r="20750">
          <cell r="C20750" t="str">
            <v>BA</v>
          </cell>
          <cell r="D20750">
            <v>1</v>
          </cell>
          <cell r="H20750" t="str">
            <v>other</v>
          </cell>
        </row>
        <row r="20751">
          <cell r="C20751" t="str">
            <v>PV</v>
          </cell>
          <cell r="D20751">
            <v>3</v>
          </cell>
          <cell r="H20751" t="str">
            <v>solar PV</v>
          </cell>
        </row>
        <row r="20752">
          <cell r="C20752" t="str">
            <v>PV</v>
          </cell>
          <cell r="D20752">
            <v>3</v>
          </cell>
          <cell r="H20752" t="str">
            <v>solar PV</v>
          </cell>
        </row>
        <row r="20753">
          <cell r="C20753" t="str">
            <v>PV</v>
          </cell>
          <cell r="D20753">
            <v>3</v>
          </cell>
          <cell r="H20753" t="str">
            <v>solar PV</v>
          </cell>
        </row>
        <row r="20754">
          <cell r="C20754" t="str">
            <v>PV</v>
          </cell>
          <cell r="D20754">
            <v>2.2000000000000002</v>
          </cell>
          <cell r="H20754" t="str">
            <v>solar PV</v>
          </cell>
        </row>
        <row r="20755">
          <cell r="C20755" t="str">
            <v>PV</v>
          </cell>
          <cell r="D20755">
            <v>3</v>
          </cell>
          <cell r="H20755" t="str">
            <v>solar PV</v>
          </cell>
        </row>
        <row r="20756">
          <cell r="C20756" t="str">
            <v>PV</v>
          </cell>
          <cell r="D20756">
            <v>2.2000000000000002</v>
          </cell>
          <cell r="H20756" t="str">
            <v>solar PV</v>
          </cell>
        </row>
        <row r="20757">
          <cell r="C20757" t="str">
            <v>PV</v>
          </cell>
          <cell r="D20757">
            <v>2.7</v>
          </cell>
          <cell r="H20757" t="str">
            <v>solar PV</v>
          </cell>
        </row>
        <row r="20758">
          <cell r="C20758" t="str">
            <v>PV</v>
          </cell>
          <cell r="D20758">
            <v>11.9</v>
          </cell>
          <cell r="H20758" t="str">
            <v>solar PV</v>
          </cell>
        </row>
        <row r="20759">
          <cell r="C20759" t="str">
            <v>WT</v>
          </cell>
          <cell r="D20759">
            <v>307.10000000000002</v>
          </cell>
          <cell r="H20759" t="str">
            <v>onshore wind</v>
          </cell>
        </row>
        <row r="20760">
          <cell r="C20760" t="str">
            <v>PV</v>
          </cell>
          <cell r="D20760">
            <v>10</v>
          </cell>
          <cell r="H20760" t="str">
            <v>solar PV</v>
          </cell>
        </row>
        <row r="20761">
          <cell r="C20761" t="str">
            <v>PV</v>
          </cell>
          <cell r="D20761">
            <v>2</v>
          </cell>
          <cell r="H20761" t="str">
            <v>solar PV</v>
          </cell>
        </row>
        <row r="20762">
          <cell r="C20762" t="str">
            <v>PV</v>
          </cell>
          <cell r="D20762">
            <v>2.2999999999999998</v>
          </cell>
          <cell r="H20762" t="str">
            <v>solar PV</v>
          </cell>
        </row>
        <row r="20763">
          <cell r="C20763" t="str">
            <v>PV</v>
          </cell>
          <cell r="D20763">
            <v>2.2000000000000002</v>
          </cell>
          <cell r="H20763" t="str">
            <v>solar PV</v>
          </cell>
        </row>
        <row r="20764">
          <cell r="C20764" t="str">
            <v>PV</v>
          </cell>
          <cell r="D20764">
            <v>2.5</v>
          </cell>
          <cell r="H20764" t="str">
            <v>solar PV</v>
          </cell>
        </row>
        <row r="20765">
          <cell r="C20765" t="str">
            <v>PV</v>
          </cell>
          <cell r="D20765">
            <v>2</v>
          </cell>
          <cell r="H20765" t="str">
            <v>solar PV</v>
          </cell>
        </row>
        <row r="20766">
          <cell r="C20766" t="str">
            <v>PV</v>
          </cell>
          <cell r="D20766">
            <v>5</v>
          </cell>
          <cell r="H20766" t="str">
            <v>solar PV</v>
          </cell>
        </row>
        <row r="20767">
          <cell r="C20767" t="str">
            <v>PV</v>
          </cell>
          <cell r="D20767">
            <v>2.5</v>
          </cell>
          <cell r="H20767" t="str">
            <v>solar PV</v>
          </cell>
        </row>
        <row r="20768">
          <cell r="C20768" t="str">
            <v>HY</v>
          </cell>
          <cell r="D20768">
            <v>1.3</v>
          </cell>
          <cell r="H20768" t="str">
            <v>hydro</v>
          </cell>
        </row>
        <row r="20769">
          <cell r="C20769" t="str">
            <v>WT</v>
          </cell>
          <cell r="D20769">
            <v>1.5</v>
          </cell>
          <cell r="H20769" t="str">
            <v>onshore wind</v>
          </cell>
        </row>
        <row r="20770">
          <cell r="C20770" t="str">
            <v>WT</v>
          </cell>
          <cell r="D20770">
            <v>1.5</v>
          </cell>
          <cell r="H20770" t="str">
            <v>onshore wind</v>
          </cell>
        </row>
        <row r="20771">
          <cell r="C20771" t="str">
            <v>WT</v>
          </cell>
          <cell r="D20771">
            <v>200</v>
          </cell>
          <cell r="H20771" t="str">
            <v>onshore wind</v>
          </cell>
        </row>
        <row r="20772">
          <cell r="C20772" t="str">
            <v>PV</v>
          </cell>
          <cell r="D20772">
            <v>1.1000000000000001</v>
          </cell>
          <cell r="H20772" t="str">
            <v>solar PV</v>
          </cell>
        </row>
        <row r="20773">
          <cell r="C20773" t="str">
            <v>PV</v>
          </cell>
          <cell r="D20773">
            <v>2.9</v>
          </cell>
          <cell r="H20773" t="str">
            <v>solar PV</v>
          </cell>
        </row>
        <row r="20774">
          <cell r="C20774" t="str">
            <v>PV</v>
          </cell>
          <cell r="D20774">
            <v>1.9</v>
          </cell>
          <cell r="H20774" t="str">
            <v>solar PV</v>
          </cell>
        </row>
        <row r="20775">
          <cell r="C20775" t="str">
            <v>BA</v>
          </cell>
          <cell r="D20775">
            <v>2</v>
          </cell>
          <cell r="H20775" t="str">
            <v>other</v>
          </cell>
        </row>
        <row r="20776">
          <cell r="C20776" t="str">
            <v>PV</v>
          </cell>
          <cell r="D20776">
            <v>1</v>
          </cell>
          <cell r="H20776" t="str">
            <v>solar PV</v>
          </cell>
        </row>
        <row r="20777">
          <cell r="C20777" t="str">
            <v>PV</v>
          </cell>
          <cell r="D20777">
            <v>1</v>
          </cell>
          <cell r="H20777" t="str">
            <v>solar PV</v>
          </cell>
        </row>
        <row r="20778">
          <cell r="C20778" t="str">
            <v>PV</v>
          </cell>
          <cell r="D20778">
            <v>1</v>
          </cell>
          <cell r="H20778" t="str">
            <v>solar PV</v>
          </cell>
        </row>
        <row r="20779">
          <cell r="C20779" t="str">
            <v>PV</v>
          </cell>
          <cell r="D20779">
            <v>1</v>
          </cell>
          <cell r="H20779" t="str">
            <v>solar PV</v>
          </cell>
        </row>
        <row r="20780">
          <cell r="C20780" t="str">
            <v>PV</v>
          </cell>
          <cell r="D20780">
            <v>1</v>
          </cell>
          <cell r="H20780" t="str">
            <v>solar PV</v>
          </cell>
        </row>
        <row r="20781">
          <cell r="C20781" t="str">
            <v>PV</v>
          </cell>
          <cell r="D20781">
            <v>1.4</v>
          </cell>
          <cell r="H20781" t="str">
            <v>solar PV</v>
          </cell>
        </row>
        <row r="20782">
          <cell r="C20782" t="str">
            <v>PV</v>
          </cell>
          <cell r="D20782">
            <v>182</v>
          </cell>
          <cell r="H20782" t="str">
            <v>solar PV</v>
          </cell>
        </row>
        <row r="20783">
          <cell r="C20783" t="str">
            <v>PV</v>
          </cell>
          <cell r="D20783">
            <v>92</v>
          </cell>
          <cell r="H20783" t="str">
            <v>solar PV</v>
          </cell>
        </row>
        <row r="20784">
          <cell r="C20784" t="str">
            <v>PV</v>
          </cell>
          <cell r="D20784">
            <v>5</v>
          </cell>
          <cell r="H20784" t="str">
            <v>solar PV</v>
          </cell>
        </row>
        <row r="20785">
          <cell r="C20785" t="str">
            <v>PV</v>
          </cell>
          <cell r="D20785">
            <v>2.4</v>
          </cell>
          <cell r="H20785" t="str">
            <v>solar PV</v>
          </cell>
        </row>
        <row r="20786">
          <cell r="C20786" t="str">
            <v>PV</v>
          </cell>
          <cell r="D20786">
            <v>2.9</v>
          </cell>
          <cell r="H20786" t="str">
            <v>solar PV</v>
          </cell>
        </row>
        <row r="20787">
          <cell r="C20787" t="str">
            <v>PV</v>
          </cell>
          <cell r="D20787">
            <v>10</v>
          </cell>
          <cell r="H20787" t="str">
            <v>solar PV</v>
          </cell>
        </row>
        <row r="20788">
          <cell r="C20788" t="str">
            <v>PV</v>
          </cell>
          <cell r="D20788">
            <v>20</v>
          </cell>
          <cell r="H20788" t="str">
            <v>solar PV</v>
          </cell>
        </row>
        <row r="20789">
          <cell r="C20789" t="str">
            <v>PV</v>
          </cell>
          <cell r="D20789">
            <v>1.8</v>
          </cell>
          <cell r="H20789" t="str">
            <v>solar PV</v>
          </cell>
        </row>
        <row r="20790">
          <cell r="C20790" t="str">
            <v>PV</v>
          </cell>
          <cell r="D20790">
            <v>2.5</v>
          </cell>
          <cell r="H20790" t="str">
            <v>solar PV</v>
          </cell>
        </row>
        <row r="20791">
          <cell r="C20791" t="str">
            <v>IC</v>
          </cell>
          <cell r="D20791">
            <v>1</v>
          </cell>
          <cell r="H20791" t="str">
            <v>petroleum</v>
          </cell>
        </row>
        <row r="20792">
          <cell r="C20792" t="str">
            <v>IC</v>
          </cell>
          <cell r="D20792">
            <v>1</v>
          </cell>
          <cell r="H20792" t="str">
            <v>petroleum</v>
          </cell>
        </row>
        <row r="20793">
          <cell r="C20793" t="str">
            <v>IC</v>
          </cell>
          <cell r="D20793">
            <v>1</v>
          </cell>
          <cell r="H20793" t="str">
            <v>petroleum</v>
          </cell>
        </row>
        <row r="20794">
          <cell r="C20794" t="str">
            <v>IC</v>
          </cell>
          <cell r="D20794">
            <v>0.8</v>
          </cell>
          <cell r="H20794" t="str">
            <v>petroleum</v>
          </cell>
        </row>
        <row r="20795">
          <cell r="C20795" t="str">
            <v>IC</v>
          </cell>
          <cell r="D20795">
            <v>0.8</v>
          </cell>
          <cell r="H20795" t="str">
            <v>petroleum</v>
          </cell>
        </row>
        <row r="20796">
          <cell r="C20796" t="str">
            <v>IC</v>
          </cell>
          <cell r="D20796">
            <v>1</v>
          </cell>
          <cell r="H20796" t="str">
            <v>natural gas peaker</v>
          </cell>
        </row>
        <row r="20797">
          <cell r="C20797" t="str">
            <v>PV</v>
          </cell>
          <cell r="D20797">
            <v>1</v>
          </cell>
          <cell r="H20797" t="str">
            <v>solar PV</v>
          </cell>
        </row>
        <row r="20798">
          <cell r="C20798" t="str">
            <v>PV</v>
          </cell>
          <cell r="D20798">
            <v>1</v>
          </cell>
          <cell r="H20798" t="str">
            <v>solar PV</v>
          </cell>
        </row>
        <row r="20799">
          <cell r="C20799" t="str">
            <v>PV</v>
          </cell>
          <cell r="D20799">
            <v>1</v>
          </cell>
          <cell r="H20799" t="str">
            <v>solar PV</v>
          </cell>
        </row>
        <row r="20800">
          <cell r="C20800" t="str">
            <v>PV</v>
          </cell>
          <cell r="D20800">
            <v>1</v>
          </cell>
          <cell r="H20800" t="str">
            <v>solar PV</v>
          </cell>
        </row>
        <row r="20801">
          <cell r="C20801" t="str">
            <v>PV</v>
          </cell>
          <cell r="D20801">
            <v>1</v>
          </cell>
          <cell r="H20801" t="str">
            <v>solar PV</v>
          </cell>
        </row>
        <row r="20802">
          <cell r="C20802" t="str">
            <v>PV</v>
          </cell>
          <cell r="D20802">
            <v>1</v>
          </cell>
          <cell r="H20802" t="str">
            <v>solar PV</v>
          </cell>
        </row>
        <row r="20803">
          <cell r="C20803" t="str">
            <v>PV</v>
          </cell>
          <cell r="D20803">
            <v>1</v>
          </cell>
          <cell r="H20803" t="str">
            <v>solar PV</v>
          </cell>
        </row>
        <row r="20804">
          <cell r="C20804" t="str">
            <v>PV</v>
          </cell>
          <cell r="D20804">
            <v>1</v>
          </cell>
          <cell r="H20804" t="str">
            <v>solar PV</v>
          </cell>
        </row>
        <row r="20805">
          <cell r="C20805" t="str">
            <v>PV</v>
          </cell>
          <cell r="D20805">
            <v>1</v>
          </cell>
          <cell r="H20805" t="str">
            <v>solar PV</v>
          </cell>
        </row>
        <row r="20806">
          <cell r="C20806" t="str">
            <v>PV</v>
          </cell>
          <cell r="D20806">
            <v>1</v>
          </cell>
          <cell r="H20806" t="str">
            <v>solar PV</v>
          </cell>
        </row>
        <row r="20807">
          <cell r="C20807" t="str">
            <v>PV</v>
          </cell>
          <cell r="D20807">
            <v>1</v>
          </cell>
          <cell r="H20807" t="str">
            <v>solar PV</v>
          </cell>
        </row>
        <row r="20808">
          <cell r="C20808" t="str">
            <v>PV</v>
          </cell>
          <cell r="D20808">
            <v>1</v>
          </cell>
          <cell r="H20808" t="str">
            <v>solar PV</v>
          </cell>
        </row>
        <row r="20809">
          <cell r="C20809" t="str">
            <v>PV</v>
          </cell>
          <cell r="D20809">
            <v>1</v>
          </cell>
          <cell r="H20809" t="str">
            <v>solar PV</v>
          </cell>
        </row>
        <row r="20810">
          <cell r="C20810" t="str">
            <v>PV</v>
          </cell>
          <cell r="D20810">
            <v>1</v>
          </cell>
          <cell r="H20810" t="str">
            <v>solar PV</v>
          </cell>
        </row>
        <row r="20811">
          <cell r="C20811" t="str">
            <v>PV</v>
          </cell>
          <cell r="D20811">
            <v>1</v>
          </cell>
          <cell r="H20811" t="str">
            <v>solar PV</v>
          </cell>
        </row>
        <row r="20812">
          <cell r="C20812" t="str">
            <v>PV</v>
          </cell>
          <cell r="D20812">
            <v>1</v>
          </cell>
          <cell r="H20812" t="str">
            <v>solar PV</v>
          </cell>
        </row>
        <row r="20813">
          <cell r="C20813" t="str">
            <v>PV</v>
          </cell>
          <cell r="D20813">
            <v>1</v>
          </cell>
          <cell r="H20813" t="str">
            <v>solar PV</v>
          </cell>
        </row>
        <row r="20814">
          <cell r="C20814" t="str">
            <v>PV</v>
          </cell>
          <cell r="D20814">
            <v>1</v>
          </cell>
          <cell r="H20814" t="str">
            <v>solar PV</v>
          </cell>
        </row>
        <row r="20815">
          <cell r="C20815" t="str">
            <v>PV</v>
          </cell>
          <cell r="D20815">
            <v>1</v>
          </cell>
          <cell r="H20815" t="str">
            <v>solar PV</v>
          </cell>
        </row>
        <row r="20816">
          <cell r="C20816" t="str">
            <v>PV</v>
          </cell>
          <cell r="D20816">
            <v>1</v>
          </cell>
          <cell r="H20816" t="str">
            <v>solar PV</v>
          </cell>
        </row>
        <row r="20817">
          <cell r="C20817" t="str">
            <v>PV</v>
          </cell>
          <cell r="D20817">
            <v>1</v>
          </cell>
          <cell r="H20817" t="str">
            <v>solar PV</v>
          </cell>
        </row>
        <row r="20818">
          <cell r="C20818" t="str">
            <v>PV</v>
          </cell>
          <cell r="D20818">
            <v>1</v>
          </cell>
          <cell r="H20818" t="str">
            <v>solar PV</v>
          </cell>
        </row>
        <row r="20819">
          <cell r="C20819" t="str">
            <v>PV</v>
          </cell>
          <cell r="D20819">
            <v>1</v>
          </cell>
          <cell r="H20819" t="str">
            <v>solar PV</v>
          </cell>
        </row>
        <row r="20820">
          <cell r="C20820" t="str">
            <v>PV</v>
          </cell>
          <cell r="D20820">
            <v>1</v>
          </cell>
          <cell r="H20820" t="str">
            <v>solar PV</v>
          </cell>
        </row>
        <row r="20821">
          <cell r="C20821" t="str">
            <v>PV</v>
          </cell>
          <cell r="D20821">
            <v>1</v>
          </cell>
          <cell r="H20821" t="str">
            <v>solar PV</v>
          </cell>
        </row>
        <row r="20822">
          <cell r="C20822" t="str">
            <v>PV</v>
          </cell>
          <cell r="D20822">
            <v>1</v>
          </cell>
          <cell r="H20822" t="str">
            <v>solar PV</v>
          </cell>
        </row>
        <row r="20823">
          <cell r="C20823" t="str">
            <v>PV</v>
          </cell>
          <cell r="D20823">
            <v>1</v>
          </cell>
          <cell r="H20823" t="str">
            <v>solar PV</v>
          </cell>
        </row>
        <row r="20824">
          <cell r="C20824" t="str">
            <v>PV</v>
          </cell>
          <cell r="D20824">
            <v>1</v>
          </cell>
          <cell r="H20824" t="str">
            <v>solar PV</v>
          </cell>
        </row>
        <row r="20825">
          <cell r="C20825" t="str">
            <v>IC</v>
          </cell>
          <cell r="D20825">
            <v>2.1</v>
          </cell>
          <cell r="H20825" t="str">
            <v>biomass</v>
          </cell>
        </row>
        <row r="20826">
          <cell r="C20826" t="str">
            <v>IC</v>
          </cell>
          <cell r="D20826">
            <v>2.1</v>
          </cell>
          <cell r="H20826" t="str">
            <v>biomass</v>
          </cell>
        </row>
        <row r="20827">
          <cell r="C20827" t="str">
            <v>IC</v>
          </cell>
          <cell r="D20827">
            <v>2.1</v>
          </cell>
          <cell r="H20827" t="str">
            <v>biomass</v>
          </cell>
        </row>
        <row r="20828">
          <cell r="C20828" t="str">
            <v>IC</v>
          </cell>
          <cell r="D20828">
            <v>2.1</v>
          </cell>
          <cell r="H20828" t="str">
            <v>biomass</v>
          </cell>
        </row>
        <row r="20829">
          <cell r="C20829" t="str">
            <v>IC</v>
          </cell>
          <cell r="D20829">
            <v>2.1</v>
          </cell>
          <cell r="H20829" t="str">
            <v>biomass</v>
          </cell>
        </row>
        <row r="20830">
          <cell r="C20830" t="str">
            <v>IC</v>
          </cell>
          <cell r="D20830">
            <v>2.1</v>
          </cell>
          <cell r="H20830" t="str">
            <v>biomass</v>
          </cell>
        </row>
        <row r="20831">
          <cell r="C20831" t="str">
            <v>IC</v>
          </cell>
          <cell r="D20831">
            <v>2.1</v>
          </cell>
          <cell r="H20831" t="str">
            <v>biomass</v>
          </cell>
        </row>
        <row r="20832">
          <cell r="C20832" t="str">
            <v>IC</v>
          </cell>
          <cell r="D20832">
            <v>2.1</v>
          </cell>
          <cell r="H20832" t="str">
            <v>biomass</v>
          </cell>
        </row>
        <row r="20833">
          <cell r="C20833" t="str">
            <v>IC</v>
          </cell>
          <cell r="D20833">
            <v>2.1</v>
          </cell>
          <cell r="H20833" t="str">
            <v>biomass</v>
          </cell>
        </row>
        <row r="20834">
          <cell r="C20834" t="str">
            <v>IC</v>
          </cell>
          <cell r="D20834">
            <v>2.1</v>
          </cell>
          <cell r="H20834" t="str">
            <v>biomass</v>
          </cell>
        </row>
        <row r="20835">
          <cell r="C20835" t="str">
            <v>IC</v>
          </cell>
          <cell r="D20835">
            <v>2.1</v>
          </cell>
          <cell r="H20835" t="str">
            <v>biomass</v>
          </cell>
        </row>
        <row r="20836">
          <cell r="C20836" t="str">
            <v>PV</v>
          </cell>
          <cell r="D20836">
            <v>7.1</v>
          </cell>
          <cell r="H20836" t="str">
            <v>solar PV</v>
          </cell>
        </row>
        <row r="20837">
          <cell r="C20837" t="str">
            <v>PV</v>
          </cell>
          <cell r="D20837">
            <v>1.2</v>
          </cell>
          <cell r="H20837" t="str">
            <v>solar PV</v>
          </cell>
        </row>
        <row r="20838">
          <cell r="C20838" t="str">
            <v>IC</v>
          </cell>
          <cell r="D20838">
            <v>18.8</v>
          </cell>
          <cell r="H20838" t="str">
            <v>natural gas peaker</v>
          </cell>
        </row>
        <row r="20839">
          <cell r="C20839" t="str">
            <v>IC</v>
          </cell>
          <cell r="D20839">
            <v>18.7</v>
          </cell>
          <cell r="H20839" t="str">
            <v>natural gas peaker</v>
          </cell>
        </row>
        <row r="20840">
          <cell r="C20840" t="str">
            <v>IC</v>
          </cell>
          <cell r="D20840">
            <v>18.7</v>
          </cell>
          <cell r="H20840" t="str">
            <v>natural gas peaker</v>
          </cell>
        </row>
        <row r="20841">
          <cell r="C20841" t="str">
            <v>IC</v>
          </cell>
          <cell r="D20841">
            <v>18.7</v>
          </cell>
          <cell r="H20841" t="str">
            <v>natural gas peaker</v>
          </cell>
        </row>
        <row r="20842">
          <cell r="C20842" t="str">
            <v>IC</v>
          </cell>
          <cell r="D20842">
            <v>18.8</v>
          </cell>
          <cell r="H20842" t="str">
            <v>natural gas peaker</v>
          </cell>
        </row>
        <row r="20843">
          <cell r="C20843" t="str">
            <v>IC</v>
          </cell>
          <cell r="D20843">
            <v>18.7</v>
          </cell>
          <cell r="H20843" t="str">
            <v>natural gas peaker</v>
          </cell>
        </row>
        <row r="20844">
          <cell r="C20844" t="str">
            <v>IC</v>
          </cell>
          <cell r="D20844">
            <v>18.7</v>
          </cell>
          <cell r="H20844" t="str">
            <v>natural gas peaker</v>
          </cell>
        </row>
        <row r="20845">
          <cell r="C20845" t="str">
            <v>IC</v>
          </cell>
          <cell r="D20845">
            <v>18.8</v>
          </cell>
          <cell r="H20845" t="str">
            <v>natural gas peaker</v>
          </cell>
        </row>
        <row r="20846">
          <cell r="C20846" t="str">
            <v>IC</v>
          </cell>
          <cell r="D20846">
            <v>18.8</v>
          </cell>
          <cell r="H20846" t="str">
            <v>natural gas peaker</v>
          </cell>
        </row>
        <row r="20847">
          <cell r="C20847" t="str">
            <v>IC</v>
          </cell>
          <cell r="D20847">
            <v>18.8</v>
          </cell>
          <cell r="H20847" t="str">
            <v>natural gas peaker</v>
          </cell>
        </row>
        <row r="20848">
          <cell r="C20848" t="str">
            <v>PV</v>
          </cell>
          <cell r="D20848">
            <v>1.5</v>
          </cell>
          <cell r="H20848" t="str">
            <v>solar PV</v>
          </cell>
        </row>
        <row r="20849">
          <cell r="C20849" t="str">
            <v>PV</v>
          </cell>
          <cell r="D20849">
            <v>2</v>
          </cell>
          <cell r="H20849" t="str">
            <v>solar PV</v>
          </cell>
        </row>
        <row r="20850">
          <cell r="C20850" t="str">
            <v>PV</v>
          </cell>
          <cell r="D20850">
            <v>1.8</v>
          </cell>
          <cell r="H20850" t="str">
            <v>solar PV</v>
          </cell>
        </row>
        <row r="20851">
          <cell r="C20851" t="str">
            <v>WT</v>
          </cell>
          <cell r="D20851">
            <v>350.3</v>
          </cell>
          <cell r="H20851" t="str">
            <v>onshore wind</v>
          </cell>
        </row>
        <row r="20852">
          <cell r="C20852" t="str">
            <v>PV</v>
          </cell>
          <cell r="D20852">
            <v>5</v>
          </cell>
          <cell r="H20852" t="str">
            <v>solar PV</v>
          </cell>
        </row>
        <row r="20853">
          <cell r="C20853" t="str">
            <v>PV</v>
          </cell>
          <cell r="D20853">
            <v>5</v>
          </cell>
          <cell r="H20853" t="str">
            <v>solar PV</v>
          </cell>
        </row>
        <row r="20854">
          <cell r="C20854" t="str">
            <v>PV</v>
          </cell>
          <cell r="D20854">
            <v>5</v>
          </cell>
          <cell r="H20854" t="str">
            <v>solar PV</v>
          </cell>
        </row>
        <row r="20855">
          <cell r="C20855" t="str">
            <v>PV</v>
          </cell>
          <cell r="D20855">
            <v>20</v>
          </cell>
          <cell r="H20855" t="str">
            <v>solar PV</v>
          </cell>
        </row>
        <row r="20856">
          <cell r="C20856" t="str">
            <v>WT</v>
          </cell>
          <cell r="D20856">
            <v>89.7</v>
          </cell>
          <cell r="H20856" t="str">
            <v>onshore wind</v>
          </cell>
        </row>
        <row r="20857">
          <cell r="C20857" t="str">
            <v>PV</v>
          </cell>
          <cell r="D20857">
            <v>1</v>
          </cell>
          <cell r="H20857" t="str">
            <v>solar PV</v>
          </cell>
        </row>
        <row r="20858">
          <cell r="C20858" t="str">
            <v>PV</v>
          </cell>
          <cell r="D20858">
            <v>5.3</v>
          </cell>
          <cell r="H20858" t="str">
            <v>solar PV</v>
          </cell>
        </row>
        <row r="20859">
          <cell r="C20859" t="str">
            <v>PV</v>
          </cell>
          <cell r="D20859">
            <v>5</v>
          </cell>
          <cell r="H20859" t="str">
            <v>solar PV</v>
          </cell>
        </row>
        <row r="20860">
          <cell r="C20860" t="str">
            <v>PV</v>
          </cell>
          <cell r="D20860">
            <v>5</v>
          </cell>
          <cell r="H20860" t="str">
            <v>solar PV</v>
          </cell>
        </row>
        <row r="20861">
          <cell r="C20861" t="str">
            <v>PV</v>
          </cell>
          <cell r="D20861">
            <v>15</v>
          </cell>
          <cell r="H20861" t="str">
            <v>solar PV</v>
          </cell>
        </row>
        <row r="20862">
          <cell r="C20862" t="str">
            <v>IC</v>
          </cell>
          <cell r="D20862">
            <v>1.2</v>
          </cell>
          <cell r="H20862" t="str">
            <v>petroleum</v>
          </cell>
        </row>
        <row r="20863">
          <cell r="C20863" t="str">
            <v>IC</v>
          </cell>
          <cell r="D20863">
            <v>1.3</v>
          </cell>
          <cell r="H20863" t="str">
            <v>petroleum</v>
          </cell>
        </row>
        <row r="20864">
          <cell r="C20864" t="str">
            <v>IC</v>
          </cell>
          <cell r="D20864">
            <v>0.3</v>
          </cell>
          <cell r="H20864" t="str">
            <v>petroleum</v>
          </cell>
        </row>
        <row r="20865">
          <cell r="C20865" t="str">
            <v>IC</v>
          </cell>
          <cell r="D20865">
            <v>2</v>
          </cell>
          <cell r="H20865" t="str">
            <v>petroleum</v>
          </cell>
        </row>
        <row r="20866">
          <cell r="C20866" t="str">
            <v>IC</v>
          </cell>
          <cell r="D20866">
            <v>2</v>
          </cell>
          <cell r="H20866" t="str">
            <v>petroleum</v>
          </cell>
        </row>
        <row r="20867">
          <cell r="C20867" t="str">
            <v>IC</v>
          </cell>
          <cell r="D20867">
            <v>2</v>
          </cell>
          <cell r="H20867" t="str">
            <v>petroleum</v>
          </cell>
        </row>
        <row r="20868">
          <cell r="C20868" t="str">
            <v>IC</v>
          </cell>
          <cell r="D20868">
            <v>2</v>
          </cell>
          <cell r="H20868" t="str">
            <v>petroleum</v>
          </cell>
        </row>
        <row r="20869">
          <cell r="C20869" t="str">
            <v>IC</v>
          </cell>
          <cell r="D20869">
            <v>2</v>
          </cell>
          <cell r="H20869" t="str">
            <v>petroleum</v>
          </cell>
        </row>
        <row r="20870">
          <cell r="C20870" t="str">
            <v>IC</v>
          </cell>
          <cell r="D20870">
            <v>2</v>
          </cell>
          <cell r="H20870" t="str">
            <v>petroleum</v>
          </cell>
        </row>
        <row r="20871">
          <cell r="C20871" t="str">
            <v>PV</v>
          </cell>
          <cell r="D20871">
            <v>1.5</v>
          </cell>
          <cell r="H20871" t="str">
            <v>solar PV</v>
          </cell>
        </row>
        <row r="20872">
          <cell r="C20872" t="str">
            <v>IC</v>
          </cell>
          <cell r="D20872">
            <v>1</v>
          </cell>
          <cell r="H20872" t="str">
            <v>petroleum</v>
          </cell>
        </row>
        <row r="20873">
          <cell r="C20873" t="str">
            <v>IC</v>
          </cell>
          <cell r="D20873">
            <v>1</v>
          </cell>
          <cell r="H20873" t="str">
            <v>petroleum</v>
          </cell>
        </row>
        <row r="20874">
          <cell r="C20874" t="str">
            <v>IC</v>
          </cell>
          <cell r="D20874">
            <v>1</v>
          </cell>
          <cell r="H20874" t="str">
            <v>petroleum</v>
          </cell>
        </row>
        <row r="20875">
          <cell r="C20875" t="str">
            <v>IC</v>
          </cell>
          <cell r="D20875">
            <v>1</v>
          </cell>
          <cell r="H20875" t="str">
            <v>petroleum</v>
          </cell>
        </row>
        <row r="20876">
          <cell r="C20876" t="str">
            <v>IC</v>
          </cell>
          <cell r="D20876">
            <v>1.5</v>
          </cell>
          <cell r="H20876" t="str">
            <v>petroleum</v>
          </cell>
        </row>
        <row r="20877">
          <cell r="C20877" t="str">
            <v>IC</v>
          </cell>
          <cell r="D20877">
            <v>1.5</v>
          </cell>
          <cell r="H20877" t="str">
            <v>petroleum</v>
          </cell>
        </row>
        <row r="20878">
          <cell r="C20878" t="str">
            <v>IC</v>
          </cell>
          <cell r="D20878">
            <v>0.4</v>
          </cell>
          <cell r="H20878" t="str">
            <v>petroleum</v>
          </cell>
        </row>
        <row r="20879">
          <cell r="C20879" t="str">
            <v>IC</v>
          </cell>
          <cell r="D20879">
            <v>1.5</v>
          </cell>
          <cell r="H20879" t="str">
            <v>petroleum</v>
          </cell>
        </row>
        <row r="20880">
          <cell r="C20880" t="str">
            <v>IC</v>
          </cell>
          <cell r="D20880">
            <v>1.5</v>
          </cell>
          <cell r="H20880" t="str">
            <v>petroleum</v>
          </cell>
        </row>
        <row r="20881">
          <cell r="C20881" t="str">
            <v>IC</v>
          </cell>
          <cell r="D20881">
            <v>0.6</v>
          </cell>
          <cell r="H20881" t="str">
            <v>petroleum</v>
          </cell>
        </row>
        <row r="20882">
          <cell r="C20882" t="str">
            <v>IC</v>
          </cell>
          <cell r="D20882">
            <v>0.9</v>
          </cell>
          <cell r="H20882" t="str">
            <v>petroleum</v>
          </cell>
        </row>
        <row r="20883">
          <cell r="C20883" t="str">
            <v>IC</v>
          </cell>
          <cell r="D20883">
            <v>0.9</v>
          </cell>
          <cell r="H20883" t="str">
            <v>petroleum</v>
          </cell>
        </row>
        <row r="20884">
          <cell r="C20884" t="str">
            <v>IC</v>
          </cell>
          <cell r="D20884">
            <v>0.9</v>
          </cell>
          <cell r="H20884" t="str">
            <v>petroleum</v>
          </cell>
        </row>
        <row r="20885">
          <cell r="C20885" t="str">
            <v>IC</v>
          </cell>
          <cell r="D20885">
            <v>2.5</v>
          </cell>
          <cell r="H20885" t="str">
            <v>petroleum</v>
          </cell>
        </row>
        <row r="20886">
          <cell r="C20886" t="str">
            <v>IC</v>
          </cell>
          <cell r="D20886">
            <v>2.5</v>
          </cell>
          <cell r="H20886" t="str">
            <v>petroleum</v>
          </cell>
        </row>
        <row r="20887">
          <cell r="C20887" t="str">
            <v>WT</v>
          </cell>
          <cell r="D20887">
            <v>158</v>
          </cell>
          <cell r="H20887" t="str">
            <v>onshore wind</v>
          </cell>
        </row>
        <row r="20888">
          <cell r="C20888" t="str">
            <v>PV</v>
          </cell>
          <cell r="D20888">
            <v>3</v>
          </cell>
          <cell r="H20888" t="str">
            <v>solar PV</v>
          </cell>
        </row>
        <row r="20889">
          <cell r="C20889" t="str">
            <v>PV</v>
          </cell>
          <cell r="D20889">
            <v>2</v>
          </cell>
          <cell r="H20889" t="str">
            <v>solar PV</v>
          </cell>
        </row>
        <row r="20890">
          <cell r="C20890" t="str">
            <v>PV</v>
          </cell>
          <cell r="D20890">
            <v>3</v>
          </cell>
          <cell r="H20890" t="str">
            <v>solar PV</v>
          </cell>
        </row>
        <row r="20891">
          <cell r="C20891" t="str">
            <v>PV</v>
          </cell>
          <cell r="D20891">
            <v>1.5</v>
          </cell>
          <cell r="H20891" t="str">
            <v>solar PV</v>
          </cell>
        </row>
        <row r="20892">
          <cell r="C20892" t="str">
            <v>PV</v>
          </cell>
          <cell r="D20892">
            <v>100</v>
          </cell>
          <cell r="H20892" t="str">
            <v>solar PV</v>
          </cell>
        </row>
        <row r="20893">
          <cell r="C20893" t="str">
            <v>PV</v>
          </cell>
          <cell r="D20893">
            <v>8</v>
          </cell>
          <cell r="H20893" t="str">
            <v>solar PV</v>
          </cell>
        </row>
        <row r="20894">
          <cell r="C20894" t="str">
            <v>PV</v>
          </cell>
          <cell r="D20894">
            <v>10</v>
          </cell>
          <cell r="H20894" t="str">
            <v>solar PV</v>
          </cell>
        </row>
        <row r="20895">
          <cell r="C20895" t="str">
            <v>PV</v>
          </cell>
          <cell r="D20895">
            <v>1.5</v>
          </cell>
          <cell r="H20895" t="str">
            <v>solar PV</v>
          </cell>
        </row>
        <row r="20896">
          <cell r="C20896" t="str">
            <v>PV</v>
          </cell>
          <cell r="D20896">
            <v>5</v>
          </cell>
          <cell r="H20896" t="str">
            <v>solar PV</v>
          </cell>
        </row>
        <row r="20897">
          <cell r="C20897" t="str">
            <v>PV</v>
          </cell>
          <cell r="D20897">
            <v>5</v>
          </cell>
          <cell r="H20897" t="str">
            <v>solar PV</v>
          </cell>
        </row>
        <row r="20898">
          <cell r="C20898" t="str">
            <v>PV</v>
          </cell>
          <cell r="D20898">
            <v>5</v>
          </cell>
          <cell r="H20898" t="str">
            <v>solar PV</v>
          </cell>
        </row>
        <row r="20899">
          <cell r="C20899" t="str">
            <v>PV</v>
          </cell>
          <cell r="D20899">
            <v>1</v>
          </cell>
          <cell r="H20899" t="str">
            <v>solar PV</v>
          </cell>
        </row>
        <row r="20900">
          <cell r="C20900" t="str">
            <v>PV</v>
          </cell>
          <cell r="D20900">
            <v>10</v>
          </cell>
          <cell r="H20900" t="str">
            <v>solar PV</v>
          </cell>
        </row>
        <row r="20901">
          <cell r="C20901" t="str">
            <v>BA</v>
          </cell>
          <cell r="D20901">
            <v>20</v>
          </cell>
          <cell r="H20901" t="str">
            <v>other</v>
          </cell>
        </row>
        <row r="20902">
          <cell r="C20902" t="str">
            <v>PV</v>
          </cell>
          <cell r="D20902">
            <v>2</v>
          </cell>
          <cell r="H20902" t="str">
            <v>solar PV</v>
          </cell>
        </row>
        <row r="20903">
          <cell r="C20903" t="str">
            <v>PV</v>
          </cell>
          <cell r="D20903">
            <v>8</v>
          </cell>
          <cell r="H20903" t="str">
            <v>solar PV</v>
          </cell>
        </row>
        <row r="20904">
          <cell r="C20904" t="str">
            <v>PV</v>
          </cell>
          <cell r="D20904">
            <v>6.1</v>
          </cell>
          <cell r="H20904" t="str">
            <v>solar PV</v>
          </cell>
        </row>
        <row r="20905">
          <cell r="C20905" t="str">
            <v>PV</v>
          </cell>
          <cell r="D20905">
            <v>1.3</v>
          </cell>
          <cell r="H20905" t="str">
            <v>solar PV</v>
          </cell>
        </row>
        <row r="20906">
          <cell r="C20906" t="str">
            <v>PV</v>
          </cell>
          <cell r="D20906">
            <v>2.2999999999999998</v>
          </cell>
          <cell r="H20906" t="str">
            <v>solar PV</v>
          </cell>
        </row>
        <row r="20907">
          <cell r="C20907" t="str">
            <v>PV</v>
          </cell>
          <cell r="D20907">
            <v>1.8</v>
          </cell>
          <cell r="H20907" t="str">
            <v>solar PV</v>
          </cell>
        </row>
        <row r="20908">
          <cell r="C20908" t="str">
            <v>PV</v>
          </cell>
          <cell r="D20908">
            <v>1.6</v>
          </cell>
          <cell r="H20908" t="str">
            <v>solar PV</v>
          </cell>
        </row>
        <row r="20909">
          <cell r="C20909" t="str">
            <v>BA</v>
          </cell>
          <cell r="D20909">
            <v>1</v>
          </cell>
          <cell r="H20909" t="str">
            <v>other</v>
          </cell>
        </row>
        <row r="20910">
          <cell r="C20910" t="str">
            <v>PV</v>
          </cell>
          <cell r="D20910">
            <v>1.3</v>
          </cell>
          <cell r="H20910" t="str">
            <v>solar PV</v>
          </cell>
        </row>
        <row r="20911">
          <cell r="C20911" t="str">
            <v>PV</v>
          </cell>
          <cell r="D20911">
            <v>1.6</v>
          </cell>
          <cell r="H20911" t="str">
            <v>solar PV</v>
          </cell>
        </row>
        <row r="20912">
          <cell r="C20912" t="str">
            <v>WT</v>
          </cell>
          <cell r="D20912">
            <v>1.8</v>
          </cell>
          <cell r="H20912" t="str">
            <v>onshore wind</v>
          </cell>
        </row>
        <row r="20913">
          <cell r="C20913" t="str">
            <v>WT</v>
          </cell>
          <cell r="D20913">
            <v>1.8</v>
          </cell>
          <cell r="H20913" t="str">
            <v>onshore wind</v>
          </cell>
        </row>
        <row r="20914">
          <cell r="C20914" t="str">
            <v>WT</v>
          </cell>
          <cell r="D20914">
            <v>1.8</v>
          </cell>
          <cell r="H20914" t="str">
            <v>onshore wind</v>
          </cell>
        </row>
        <row r="20915">
          <cell r="C20915" t="str">
            <v>PV</v>
          </cell>
          <cell r="D20915">
            <v>20</v>
          </cell>
          <cell r="H20915" t="str">
            <v>solar PV</v>
          </cell>
        </row>
        <row r="20916">
          <cell r="C20916" t="str">
            <v>PV</v>
          </cell>
          <cell r="D20916">
            <v>2.5</v>
          </cell>
          <cell r="H20916" t="str">
            <v>solar PV</v>
          </cell>
        </row>
        <row r="20917">
          <cell r="C20917" t="str">
            <v>PV</v>
          </cell>
          <cell r="D20917">
            <v>5</v>
          </cell>
          <cell r="H20917" t="str">
            <v>solar PV</v>
          </cell>
        </row>
        <row r="20918">
          <cell r="C20918" t="str">
            <v>PV</v>
          </cell>
          <cell r="D20918">
            <v>2.7</v>
          </cell>
          <cell r="H20918" t="str">
            <v>solar PV</v>
          </cell>
        </row>
        <row r="20919">
          <cell r="C20919" t="str">
            <v>PV</v>
          </cell>
          <cell r="D20919">
            <v>1</v>
          </cell>
          <cell r="H20919" t="str">
            <v>solar PV</v>
          </cell>
        </row>
        <row r="20920">
          <cell r="C20920" t="str">
            <v>PV</v>
          </cell>
          <cell r="D20920">
            <v>1</v>
          </cell>
          <cell r="H20920" t="str">
            <v>solar PV</v>
          </cell>
        </row>
        <row r="20921">
          <cell r="C20921" t="str">
            <v>PV</v>
          </cell>
          <cell r="D20921">
            <v>1</v>
          </cell>
          <cell r="H20921" t="str">
            <v>solar PV</v>
          </cell>
        </row>
        <row r="20922">
          <cell r="C20922" t="str">
            <v>PV</v>
          </cell>
          <cell r="D20922">
            <v>1</v>
          </cell>
          <cell r="H20922" t="str">
            <v>solar PV</v>
          </cell>
        </row>
        <row r="20923">
          <cell r="C20923" t="str">
            <v>PV</v>
          </cell>
          <cell r="D20923">
            <v>1</v>
          </cell>
          <cell r="H20923" t="str">
            <v>solar PV</v>
          </cell>
        </row>
        <row r="20924">
          <cell r="C20924" t="str">
            <v>PV</v>
          </cell>
          <cell r="D20924">
            <v>1</v>
          </cell>
          <cell r="H20924" t="str">
            <v>solar PV</v>
          </cell>
        </row>
        <row r="20925">
          <cell r="C20925" t="str">
            <v>PV</v>
          </cell>
          <cell r="D20925">
            <v>1</v>
          </cell>
          <cell r="H20925" t="str">
            <v>solar PV</v>
          </cell>
        </row>
        <row r="20926">
          <cell r="C20926" t="str">
            <v>PV</v>
          </cell>
          <cell r="D20926">
            <v>1</v>
          </cell>
          <cell r="H20926" t="str">
            <v>solar PV</v>
          </cell>
        </row>
        <row r="20927">
          <cell r="C20927" t="str">
            <v>PV</v>
          </cell>
          <cell r="D20927">
            <v>1</v>
          </cell>
          <cell r="H20927" t="str">
            <v>solar PV</v>
          </cell>
        </row>
        <row r="20928">
          <cell r="C20928" t="str">
            <v>PV</v>
          </cell>
          <cell r="D20928">
            <v>1</v>
          </cell>
          <cell r="H20928" t="str">
            <v>solar PV</v>
          </cell>
        </row>
        <row r="20929">
          <cell r="C20929" t="str">
            <v>PV</v>
          </cell>
          <cell r="D20929">
            <v>1</v>
          </cell>
          <cell r="H20929" t="str">
            <v>solar PV</v>
          </cell>
        </row>
        <row r="20930">
          <cell r="C20930" t="str">
            <v>PV</v>
          </cell>
          <cell r="D20930">
            <v>1</v>
          </cell>
          <cell r="H20930" t="str">
            <v>solar PV</v>
          </cell>
        </row>
        <row r="20931">
          <cell r="C20931" t="str">
            <v>PV</v>
          </cell>
          <cell r="D20931">
            <v>1</v>
          </cell>
          <cell r="H20931" t="str">
            <v>solar PV</v>
          </cell>
        </row>
        <row r="20932">
          <cell r="C20932" t="str">
            <v>PV</v>
          </cell>
          <cell r="D20932">
            <v>1</v>
          </cell>
          <cell r="H20932" t="str">
            <v>solar PV</v>
          </cell>
        </row>
        <row r="20933">
          <cell r="C20933" t="str">
            <v>PV</v>
          </cell>
          <cell r="D20933">
            <v>1</v>
          </cell>
          <cell r="H20933" t="str">
            <v>solar PV</v>
          </cell>
        </row>
        <row r="20934">
          <cell r="C20934" t="str">
            <v>PV</v>
          </cell>
          <cell r="D20934">
            <v>1</v>
          </cell>
          <cell r="H20934" t="str">
            <v>solar PV</v>
          </cell>
        </row>
        <row r="20935">
          <cell r="C20935" t="str">
            <v>PV</v>
          </cell>
          <cell r="D20935">
            <v>5</v>
          </cell>
          <cell r="H20935" t="str">
            <v>solar PV</v>
          </cell>
        </row>
        <row r="20936">
          <cell r="C20936" t="str">
            <v>PV</v>
          </cell>
          <cell r="D20936">
            <v>5</v>
          </cell>
          <cell r="H20936" t="str">
            <v>solar PV</v>
          </cell>
        </row>
        <row r="20937">
          <cell r="C20937" t="str">
            <v>PV</v>
          </cell>
          <cell r="D20937">
            <v>2.9</v>
          </cell>
          <cell r="H20937" t="str">
            <v>solar PV</v>
          </cell>
        </row>
        <row r="20938">
          <cell r="C20938" t="str">
            <v>PV</v>
          </cell>
          <cell r="D20938">
            <v>4.0999999999999996</v>
          </cell>
          <cell r="H20938" t="str">
            <v>solar PV</v>
          </cell>
        </row>
        <row r="20939">
          <cell r="C20939" t="str">
            <v>PV</v>
          </cell>
          <cell r="D20939">
            <v>2</v>
          </cell>
          <cell r="H20939" t="str">
            <v>solar PV</v>
          </cell>
        </row>
        <row r="20940">
          <cell r="C20940" t="str">
            <v>PV</v>
          </cell>
          <cell r="D20940">
            <v>16</v>
          </cell>
          <cell r="H20940" t="str">
            <v>solar PV</v>
          </cell>
        </row>
        <row r="20941">
          <cell r="C20941" t="str">
            <v>PV</v>
          </cell>
          <cell r="D20941">
            <v>20.6</v>
          </cell>
          <cell r="H20941" t="str">
            <v>solar PV</v>
          </cell>
        </row>
        <row r="20942">
          <cell r="C20942" t="str">
            <v>IC</v>
          </cell>
          <cell r="D20942">
            <v>2</v>
          </cell>
          <cell r="H20942" t="str">
            <v>petroleum</v>
          </cell>
        </row>
        <row r="20943">
          <cell r="C20943" t="str">
            <v>IC</v>
          </cell>
          <cell r="D20943">
            <v>2</v>
          </cell>
          <cell r="H20943" t="str">
            <v>petroleum</v>
          </cell>
        </row>
        <row r="20944">
          <cell r="C20944" t="str">
            <v>IC</v>
          </cell>
          <cell r="D20944">
            <v>2</v>
          </cell>
          <cell r="H20944" t="str">
            <v>petroleum</v>
          </cell>
        </row>
        <row r="20945">
          <cell r="C20945" t="str">
            <v>IC</v>
          </cell>
          <cell r="D20945">
            <v>2</v>
          </cell>
          <cell r="H20945" t="str">
            <v>petroleum</v>
          </cell>
        </row>
        <row r="20946">
          <cell r="C20946" t="str">
            <v>IC</v>
          </cell>
          <cell r="D20946">
            <v>2</v>
          </cell>
          <cell r="H20946" t="str">
            <v>petroleum</v>
          </cell>
        </row>
        <row r="20947">
          <cell r="C20947" t="str">
            <v>IC</v>
          </cell>
          <cell r="D20947">
            <v>2</v>
          </cell>
          <cell r="H20947" t="str">
            <v>petroleum</v>
          </cell>
        </row>
        <row r="20948">
          <cell r="C20948" t="str">
            <v>PV</v>
          </cell>
          <cell r="D20948">
            <v>1.4</v>
          </cell>
          <cell r="H20948" t="str">
            <v>solar PV</v>
          </cell>
        </row>
        <row r="20949">
          <cell r="C20949" t="str">
            <v>PV</v>
          </cell>
          <cell r="D20949">
            <v>5</v>
          </cell>
          <cell r="H20949" t="str">
            <v>solar PV</v>
          </cell>
        </row>
        <row r="20950">
          <cell r="C20950" t="str">
            <v>PV</v>
          </cell>
          <cell r="D20950">
            <v>3.6</v>
          </cell>
          <cell r="H20950" t="str">
            <v>solar PV</v>
          </cell>
        </row>
        <row r="20951">
          <cell r="C20951" t="str">
            <v>PV</v>
          </cell>
          <cell r="D20951">
            <v>1.2</v>
          </cell>
          <cell r="H20951" t="str">
            <v>solar PV</v>
          </cell>
        </row>
        <row r="20952">
          <cell r="C20952" t="str">
            <v>PV</v>
          </cell>
          <cell r="D20952">
            <v>2</v>
          </cell>
          <cell r="H20952" t="str">
            <v>solar PV</v>
          </cell>
        </row>
        <row r="20953">
          <cell r="C20953" t="str">
            <v>PV</v>
          </cell>
          <cell r="D20953">
            <v>2</v>
          </cell>
          <cell r="H20953" t="str">
            <v>solar PV</v>
          </cell>
        </row>
        <row r="20954">
          <cell r="C20954" t="str">
            <v>PV</v>
          </cell>
          <cell r="D20954">
            <v>2</v>
          </cell>
          <cell r="H20954" t="str">
            <v>solar PV</v>
          </cell>
        </row>
        <row r="20955">
          <cell r="C20955" t="str">
            <v>PV</v>
          </cell>
          <cell r="D20955">
            <v>1.2</v>
          </cell>
          <cell r="H20955" t="str">
            <v>solar PV</v>
          </cell>
        </row>
        <row r="20956">
          <cell r="C20956" t="str">
            <v>BA</v>
          </cell>
          <cell r="D20956">
            <v>1</v>
          </cell>
          <cell r="H20956" t="str">
            <v>other</v>
          </cell>
        </row>
        <row r="20957">
          <cell r="C20957" t="str">
            <v>PV</v>
          </cell>
          <cell r="D20957">
            <v>0.9</v>
          </cell>
          <cell r="H20957" t="str">
            <v>solar PV</v>
          </cell>
        </row>
        <row r="20958">
          <cell r="C20958" t="str">
            <v>IC</v>
          </cell>
          <cell r="D20958">
            <v>2</v>
          </cell>
          <cell r="H20958" t="str">
            <v>petroleum</v>
          </cell>
        </row>
        <row r="20959">
          <cell r="C20959" t="str">
            <v>IC</v>
          </cell>
          <cell r="D20959">
            <v>2</v>
          </cell>
          <cell r="H20959" t="str">
            <v>petroleum</v>
          </cell>
        </row>
        <row r="20960">
          <cell r="C20960" t="str">
            <v>IC</v>
          </cell>
          <cell r="D20960">
            <v>2</v>
          </cell>
          <cell r="H20960" t="str">
            <v>petroleum</v>
          </cell>
        </row>
        <row r="20961">
          <cell r="C20961" t="str">
            <v>IC</v>
          </cell>
          <cell r="D20961">
            <v>2</v>
          </cell>
          <cell r="H20961" t="str">
            <v>petroleum</v>
          </cell>
        </row>
        <row r="20962">
          <cell r="C20962" t="str">
            <v>IC</v>
          </cell>
          <cell r="D20962">
            <v>1</v>
          </cell>
          <cell r="H20962" t="str">
            <v>petroleum</v>
          </cell>
        </row>
        <row r="20963">
          <cell r="C20963" t="str">
            <v>IC</v>
          </cell>
          <cell r="D20963">
            <v>1</v>
          </cell>
          <cell r="H20963" t="str">
            <v>petroleum</v>
          </cell>
        </row>
        <row r="20964">
          <cell r="C20964" t="str">
            <v>IC</v>
          </cell>
          <cell r="D20964">
            <v>1</v>
          </cell>
          <cell r="H20964" t="str">
            <v>petroleum</v>
          </cell>
        </row>
        <row r="20965">
          <cell r="C20965" t="str">
            <v>IC</v>
          </cell>
          <cell r="D20965">
            <v>1</v>
          </cell>
          <cell r="H20965" t="str">
            <v>petroleum</v>
          </cell>
        </row>
        <row r="20966">
          <cell r="C20966" t="str">
            <v>IC</v>
          </cell>
          <cell r="D20966">
            <v>1</v>
          </cell>
          <cell r="H20966" t="str">
            <v>petroleum</v>
          </cell>
        </row>
        <row r="20967">
          <cell r="C20967" t="str">
            <v>IC</v>
          </cell>
          <cell r="D20967">
            <v>2</v>
          </cell>
          <cell r="H20967" t="str">
            <v>petroleum</v>
          </cell>
        </row>
        <row r="20968">
          <cell r="C20968" t="str">
            <v>IC</v>
          </cell>
          <cell r="D20968">
            <v>2</v>
          </cell>
          <cell r="H20968" t="str">
            <v>petroleum</v>
          </cell>
        </row>
        <row r="20969">
          <cell r="C20969" t="str">
            <v>IC</v>
          </cell>
          <cell r="D20969">
            <v>2</v>
          </cell>
          <cell r="H20969" t="str">
            <v>petroleum</v>
          </cell>
        </row>
        <row r="20970">
          <cell r="C20970" t="str">
            <v>IC</v>
          </cell>
          <cell r="D20970">
            <v>2</v>
          </cell>
          <cell r="H20970" t="str">
            <v>petroleum</v>
          </cell>
        </row>
        <row r="20971">
          <cell r="C20971" t="str">
            <v>IC</v>
          </cell>
          <cell r="D20971">
            <v>2</v>
          </cell>
          <cell r="H20971" t="str">
            <v>petroleum</v>
          </cell>
        </row>
        <row r="20972">
          <cell r="C20972" t="str">
            <v>PV</v>
          </cell>
          <cell r="D20972">
            <v>1</v>
          </cell>
          <cell r="H20972" t="str">
            <v>solar PV</v>
          </cell>
        </row>
        <row r="20973">
          <cell r="C20973" t="str">
            <v>PV</v>
          </cell>
          <cell r="D20973">
            <v>1</v>
          </cell>
          <cell r="H20973" t="str">
            <v>solar PV</v>
          </cell>
        </row>
        <row r="20974">
          <cell r="C20974" t="str">
            <v>PV</v>
          </cell>
          <cell r="D20974">
            <v>1</v>
          </cell>
          <cell r="H20974" t="str">
            <v>solar PV</v>
          </cell>
        </row>
        <row r="20975">
          <cell r="C20975" t="str">
            <v>PV</v>
          </cell>
          <cell r="D20975">
            <v>1</v>
          </cell>
          <cell r="H20975" t="str">
            <v>solar PV</v>
          </cell>
        </row>
        <row r="20976">
          <cell r="C20976" t="str">
            <v>PV</v>
          </cell>
          <cell r="D20976">
            <v>1</v>
          </cell>
          <cell r="H20976" t="str">
            <v>solar PV</v>
          </cell>
        </row>
        <row r="20977">
          <cell r="C20977" t="str">
            <v>IC</v>
          </cell>
          <cell r="D20977">
            <v>3</v>
          </cell>
          <cell r="H20977" t="str">
            <v>petroleum</v>
          </cell>
        </row>
        <row r="20978">
          <cell r="C20978" t="str">
            <v>IC</v>
          </cell>
          <cell r="D20978">
            <v>3</v>
          </cell>
          <cell r="H20978" t="str">
            <v>petroleum</v>
          </cell>
        </row>
        <row r="20979">
          <cell r="C20979" t="str">
            <v>IC</v>
          </cell>
          <cell r="D20979">
            <v>3</v>
          </cell>
          <cell r="H20979" t="str">
            <v>petroleum</v>
          </cell>
        </row>
        <row r="20980">
          <cell r="C20980" t="str">
            <v>IC</v>
          </cell>
          <cell r="D20980">
            <v>3</v>
          </cell>
          <cell r="H20980" t="str">
            <v>petroleum</v>
          </cell>
        </row>
        <row r="20981">
          <cell r="C20981" t="str">
            <v>IC</v>
          </cell>
          <cell r="D20981">
            <v>3</v>
          </cell>
          <cell r="H20981" t="str">
            <v>petroleum</v>
          </cell>
        </row>
        <row r="20982">
          <cell r="C20982" t="str">
            <v>IC</v>
          </cell>
          <cell r="D20982">
            <v>3</v>
          </cell>
          <cell r="H20982" t="str">
            <v>petroleum</v>
          </cell>
        </row>
        <row r="20983">
          <cell r="C20983" t="str">
            <v>IC</v>
          </cell>
          <cell r="D20983">
            <v>3</v>
          </cell>
          <cell r="H20983" t="str">
            <v>petroleum</v>
          </cell>
        </row>
        <row r="20984">
          <cell r="C20984" t="str">
            <v>IC</v>
          </cell>
          <cell r="D20984">
            <v>3</v>
          </cell>
          <cell r="H20984" t="str">
            <v>petroleum</v>
          </cell>
        </row>
        <row r="20985">
          <cell r="C20985" t="str">
            <v>IC</v>
          </cell>
          <cell r="D20985">
            <v>3</v>
          </cell>
          <cell r="H20985" t="str">
            <v>petroleum</v>
          </cell>
        </row>
        <row r="20986">
          <cell r="C20986" t="str">
            <v>IC</v>
          </cell>
          <cell r="D20986">
            <v>3</v>
          </cell>
          <cell r="H20986" t="str">
            <v>petroleum</v>
          </cell>
        </row>
        <row r="20987">
          <cell r="C20987" t="str">
            <v>PV</v>
          </cell>
          <cell r="D20987">
            <v>1</v>
          </cell>
          <cell r="H20987" t="str">
            <v>solar PV</v>
          </cell>
        </row>
        <row r="20988">
          <cell r="C20988" t="str">
            <v>PV</v>
          </cell>
          <cell r="D20988">
            <v>1</v>
          </cell>
          <cell r="H20988" t="str">
            <v>solar PV</v>
          </cell>
        </row>
        <row r="20989">
          <cell r="C20989" t="str">
            <v>PV</v>
          </cell>
          <cell r="D20989">
            <v>1</v>
          </cell>
          <cell r="H20989" t="str">
            <v>solar PV</v>
          </cell>
        </row>
        <row r="20990">
          <cell r="C20990" t="str">
            <v>PV</v>
          </cell>
          <cell r="D20990">
            <v>1</v>
          </cell>
          <cell r="H20990" t="str">
            <v>solar PV</v>
          </cell>
        </row>
        <row r="20991">
          <cell r="C20991" t="str">
            <v>PV</v>
          </cell>
          <cell r="D20991">
            <v>1</v>
          </cell>
          <cell r="H20991" t="str">
            <v>solar PV</v>
          </cell>
        </row>
        <row r="20992">
          <cell r="C20992" t="str">
            <v>PV</v>
          </cell>
          <cell r="D20992">
            <v>1</v>
          </cell>
          <cell r="H20992" t="str">
            <v>solar PV</v>
          </cell>
        </row>
        <row r="20993">
          <cell r="C20993" t="str">
            <v>PV</v>
          </cell>
          <cell r="D20993">
            <v>1</v>
          </cell>
          <cell r="H20993" t="str">
            <v>solar PV</v>
          </cell>
        </row>
        <row r="20994">
          <cell r="C20994" t="str">
            <v>PV</v>
          </cell>
          <cell r="D20994">
            <v>1</v>
          </cell>
          <cell r="H20994" t="str">
            <v>solar PV</v>
          </cell>
        </row>
        <row r="20995">
          <cell r="C20995" t="str">
            <v>PV</v>
          </cell>
          <cell r="D20995">
            <v>1</v>
          </cell>
          <cell r="H20995" t="str">
            <v>solar PV</v>
          </cell>
        </row>
        <row r="20996">
          <cell r="C20996" t="str">
            <v>PV</v>
          </cell>
          <cell r="D20996">
            <v>1</v>
          </cell>
          <cell r="H20996" t="str">
            <v>solar PV</v>
          </cell>
        </row>
        <row r="20997">
          <cell r="C20997" t="str">
            <v>PV</v>
          </cell>
          <cell r="D20997">
            <v>1</v>
          </cell>
          <cell r="H20997" t="str">
            <v>solar PV</v>
          </cell>
        </row>
        <row r="20998">
          <cell r="C20998" t="str">
            <v>PV</v>
          </cell>
          <cell r="D20998">
            <v>1</v>
          </cell>
          <cell r="H20998" t="str">
            <v>solar PV</v>
          </cell>
        </row>
        <row r="20999">
          <cell r="C20999" t="str">
            <v>PV</v>
          </cell>
          <cell r="D20999">
            <v>1</v>
          </cell>
          <cell r="H20999" t="str">
            <v>solar PV</v>
          </cell>
        </row>
        <row r="21000">
          <cell r="C21000" t="str">
            <v>PV</v>
          </cell>
          <cell r="D21000">
            <v>1</v>
          </cell>
          <cell r="H21000" t="str">
            <v>solar PV</v>
          </cell>
        </row>
        <row r="21001">
          <cell r="C21001" t="str">
            <v>PV</v>
          </cell>
          <cell r="D21001">
            <v>1</v>
          </cell>
          <cell r="H21001" t="str">
            <v>solar PV</v>
          </cell>
        </row>
        <row r="21002">
          <cell r="C21002" t="str">
            <v>PV</v>
          </cell>
          <cell r="D21002">
            <v>1</v>
          </cell>
          <cell r="H21002" t="str">
            <v>solar PV</v>
          </cell>
        </row>
        <row r="21003">
          <cell r="C21003" t="str">
            <v>PV</v>
          </cell>
          <cell r="D21003">
            <v>1</v>
          </cell>
          <cell r="H21003" t="str">
            <v>solar PV</v>
          </cell>
        </row>
        <row r="21004">
          <cell r="C21004" t="str">
            <v>PV</v>
          </cell>
          <cell r="D21004">
            <v>1</v>
          </cell>
          <cell r="H21004" t="str">
            <v>solar PV</v>
          </cell>
        </row>
        <row r="21005">
          <cell r="C21005" t="str">
            <v>PV</v>
          </cell>
          <cell r="D21005">
            <v>9</v>
          </cell>
          <cell r="H21005" t="str">
            <v>solar PV</v>
          </cell>
        </row>
        <row r="21006">
          <cell r="C21006" t="str">
            <v>IC</v>
          </cell>
          <cell r="D21006">
            <v>2.7</v>
          </cell>
          <cell r="H21006" t="str">
            <v>petroleum</v>
          </cell>
        </row>
        <row r="21007">
          <cell r="C21007" t="str">
            <v>IC</v>
          </cell>
          <cell r="D21007">
            <v>2.7</v>
          </cell>
          <cell r="H21007" t="str">
            <v>petroleum</v>
          </cell>
        </row>
        <row r="21008">
          <cell r="C21008" t="str">
            <v>IC</v>
          </cell>
          <cell r="D21008">
            <v>0.3</v>
          </cell>
          <cell r="H21008" t="str">
            <v>petroleum</v>
          </cell>
        </row>
        <row r="21009">
          <cell r="C21009" t="str">
            <v>GT</v>
          </cell>
          <cell r="D21009">
            <v>7.5</v>
          </cell>
          <cell r="H21009" t="str">
            <v>natural gas peaker</v>
          </cell>
        </row>
        <row r="21010">
          <cell r="C21010" t="str">
            <v>IC</v>
          </cell>
          <cell r="D21010">
            <v>1</v>
          </cell>
          <cell r="H21010" t="str">
            <v>petroleum</v>
          </cell>
        </row>
        <row r="21011">
          <cell r="C21011" t="str">
            <v>IC</v>
          </cell>
          <cell r="D21011">
            <v>0.4</v>
          </cell>
          <cell r="H21011" t="str">
            <v>petroleum</v>
          </cell>
        </row>
        <row r="21012">
          <cell r="C21012" t="str">
            <v>IC</v>
          </cell>
          <cell r="D21012">
            <v>0.4</v>
          </cell>
          <cell r="H21012" t="str">
            <v>petroleum</v>
          </cell>
        </row>
        <row r="21013">
          <cell r="C21013" t="str">
            <v>IC</v>
          </cell>
          <cell r="D21013">
            <v>1.3</v>
          </cell>
          <cell r="H21013" t="str">
            <v>petroleum</v>
          </cell>
        </row>
        <row r="21014">
          <cell r="C21014" t="str">
            <v>IC</v>
          </cell>
          <cell r="D21014">
            <v>1.4</v>
          </cell>
          <cell r="H21014" t="str">
            <v>petroleum</v>
          </cell>
        </row>
        <row r="21015">
          <cell r="C21015" t="str">
            <v>IC</v>
          </cell>
          <cell r="D21015">
            <v>1.4</v>
          </cell>
          <cell r="H21015" t="str">
            <v>petroleum</v>
          </cell>
        </row>
        <row r="21016">
          <cell r="C21016" t="str">
            <v>PV</v>
          </cell>
          <cell r="D21016">
            <v>20</v>
          </cell>
          <cell r="H21016" t="str">
            <v>solar PV</v>
          </cell>
        </row>
        <row r="21017">
          <cell r="C21017" t="str">
            <v>PV</v>
          </cell>
          <cell r="D21017">
            <v>20</v>
          </cell>
          <cell r="H21017" t="str">
            <v>solar PV</v>
          </cell>
        </row>
        <row r="21018">
          <cell r="C21018" t="str">
            <v>PV</v>
          </cell>
          <cell r="D21018">
            <v>1.6</v>
          </cell>
          <cell r="H21018" t="str">
            <v>solar PV</v>
          </cell>
        </row>
        <row r="21019">
          <cell r="C21019" t="str">
            <v>PV</v>
          </cell>
          <cell r="D21019">
            <v>1</v>
          </cell>
          <cell r="H21019" t="str">
            <v>solar PV</v>
          </cell>
        </row>
        <row r="21020">
          <cell r="C21020" t="str">
            <v>PV</v>
          </cell>
          <cell r="D21020">
            <v>1</v>
          </cell>
          <cell r="H21020" t="str">
            <v>solar PV</v>
          </cell>
        </row>
        <row r="21021">
          <cell r="C21021" t="str">
            <v>PV</v>
          </cell>
          <cell r="D21021">
            <v>1</v>
          </cell>
          <cell r="H21021" t="str">
            <v>solar PV</v>
          </cell>
        </row>
        <row r="21022">
          <cell r="C21022" t="str">
            <v>PV</v>
          </cell>
          <cell r="D21022">
            <v>1</v>
          </cell>
          <cell r="H21022" t="str">
            <v>solar PV</v>
          </cell>
        </row>
        <row r="21023">
          <cell r="C21023" t="str">
            <v>PV</v>
          </cell>
          <cell r="D21023">
            <v>1</v>
          </cell>
          <cell r="H21023" t="str">
            <v>solar PV</v>
          </cell>
        </row>
        <row r="21024">
          <cell r="C21024" t="str">
            <v>PV</v>
          </cell>
          <cell r="D21024">
            <v>1</v>
          </cell>
          <cell r="H21024" t="str">
            <v>solar PV</v>
          </cell>
        </row>
        <row r="21025">
          <cell r="C21025" t="str">
            <v>PV</v>
          </cell>
          <cell r="D21025">
            <v>1</v>
          </cell>
          <cell r="H21025" t="str">
            <v>solar PV</v>
          </cell>
        </row>
        <row r="21026">
          <cell r="C21026" t="str">
            <v>PV</v>
          </cell>
          <cell r="D21026">
            <v>10</v>
          </cell>
          <cell r="H21026" t="str">
            <v>solar PV</v>
          </cell>
        </row>
        <row r="21027">
          <cell r="C21027" t="str">
            <v>PV</v>
          </cell>
          <cell r="D21027">
            <v>10</v>
          </cell>
          <cell r="H21027" t="str">
            <v>solar PV</v>
          </cell>
        </row>
        <row r="21028">
          <cell r="C21028" t="str">
            <v>PV</v>
          </cell>
          <cell r="D21028">
            <v>20</v>
          </cell>
          <cell r="H21028" t="str">
            <v>solar PV</v>
          </cell>
        </row>
        <row r="21029">
          <cell r="C21029" t="str">
            <v>PV</v>
          </cell>
          <cell r="D21029">
            <v>2</v>
          </cell>
          <cell r="H21029" t="str">
            <v>solar PV</v>
          </cell>
        </row>
        <row r="21030">
          <cell r="C21030" t="str">
            <v>PV</v>
          </cell>
          <cell r="D21030">
            <v>3</v>
          </cell>
          <cell r="H21030" t="str">
            <v>solar PV</v>
          </cell>
        </row>
        <row r="21031">
          <cell r="C21031" t="str">
            <v>IC</v>
          </cell>
          <cell r="D21031">
            <v>1</v>
          </cell>
          <cell r="H21031" t="str">
            <v>biomass</v>
          </cell>
        </row>
        <row r="21032">
          <cell r="C21032" t="str">
            <v>IC</v>
          </cell>
          <cell r="D21032">
            <v>1</v>
          </cell>
          <cell r="H21032" t="str">
            <v>biomass</v>
          </cell>
        </row>
        <row r="21033">
          <cell r="C21033" t="str">
            <v>IC</v>
          </cell>
          <cell r="D21033">
            <v>1</v>
          </cell>
          <cell r="H21033" t="str">
            <v>biomass</v>
          </cell>
        </row>
        <row r="21034">
          <cell r="C21034" t="str">
            <v>PV</v>
          </cell>
          <cell r="D21034">
            <v>1</v>
          </cell>
          <cell r="H21034" t="str">
            <v>solar PV</v>
          </cell>
        </row>
        <row r="21035">
          <cell r="C21035" t="str">
            <v>PV</v>
          </cell>
          <cell r="D21035">
            <v>1</v>
          </cell>
          <cell r="H21035" t="str">
            <v>solar PV</v>
          </cell>
        </row>
        <row r="21036">
          <cell r="C21036" t="str">
            <v>PV</v>
          </cell>
          <cell r="D21036">
            <v>1</v>
          </cell>
          <cell r="H21036" t="str">
            <v>solar PV</v>
          </cell>
        </row>
        <row r="21037">
          <cell r="C21037" t="str">
            <v>PV</v>
          </cell>
          <cell r="D21037">
            <v>4</v>
          </cell>
          <cell r="H21037" t="str">
            <v>solar PV</v>
          </cell>
        </row>
        <row r="21038">
          <cell r="C21038" t="str">
            <v>IC</v>
          </cell>
          <cell r="D21038">
            <v>2.4</v>
          </cell>
          <cell r="H21038" t="str">
            <v>natural gas peaker</v>
          </cell>
        </row>
        <row r="21039">
          <cell r="C21039" t="str">
            <v>IC</v>
          </cell>
          <cell r="D21039">
            <v>2.4</v>
          </cell>
          <cell r="H21039" t="str">
            <v>natural gas peaker</v>
          </cell>
        </row>
        <row r="21040">
          <cell r="C21040" t="str">
            <v>IC</v>
          </cell>
          <cell r="D21040">
            <v>2.4</v>
          </cell>
          <cell r="H21040" t="str">
            <v>natural gas peaker</v>
          </cell>
        </row>
        <row r="21041">
          <cell r="C21041" t="str">
            <v>IC</v>
          </cell>
          <cell r="D21041">
            <v>2.4</v>
          </cell>
          <cell r="H21041" t="str">
            <v>natural gas peaker</v>
          </cell>
        </row>
        <row r="21042">
          <cell r="C21042" t="str">
            <v>IC</v>
          </cell>
          <cell r="D21042">
            <v>2.4</v>
          </cell>
          <cell r="H21042" t="str">
            <v>natural gas peaker</v>
          </cell>
        </row>
        <row r="21043">
          <cell r="C21043" t="str">
            <v>PV</v>
          </cell>
          <cell r="D21043">
            <v>1.7</v>
          </cell>
          <cell r="H21043" t="str">
            <v>solar PV</v>
          </cell>
        </row>
        <row r="21044">
          <cell r="C21044" t="str">
            <v>PV</v>
          </cell>
          <cell r="D21044">
            <v>1.7</v>
          </cell>
          <cell r="H21044" t="str">
            <v>solar PV</v>
          </cell>
        </row>
        <row r="21045">
          <cell r="C21045" t="str">
            <v>PV</v>
          </cell>
          <cell r="D21045">
            <v>2</v>
          </cell>
          <cell r="H21045" t="str">
            <v>solar PV</v>
          </cell>
        </row>
        <row r="21046">
          <cell r="C21046" t="str">
            <v>PV</v>
          </cell>
          <cell r="D21046">
            <v>2</v>
          </cell>
          <cell r="H21046" t="str">
            <v>solar PV</v>
          </cell>
        </row>
        <row r="21047">
          <cell r="C21047" t="str">
            <v>PV</v>
          </cell>
          <cell r="D21047">
            <v>2</v>
          </cell>
          <cell r="H21047" t="str">
            <v>solar PV</v>
          </cell>
        </row>
        <row r="21048">
          <cell r="C21048" t="str">
            <v>PV</v>
          </cell>
          <cell r="D21048">
            <v>50</v>
          </cell>
          <cell r="H21048" t="str">
            <v>solar PV</v>
          </cell>
        </row>
        <row r="21049">
          <cell r="C21049" t="str">
            <v>PV</v>
          </cell>
          <cell r="D21049">
            <v>5.3</v>
          </cell>
          <cell r="H21049" t="str">
            <v>solar PV</v>
          </cell>
        </row>
        <row r="21050">
          <cell r="C21050" t="str">
            <v>PV</v>
          </cell>
          <cell r="D21050">
            <v>5.2</v>
          </cell>
          <cell r="H21050" t="str">
            <v>solar PV</v>
          </cell>
        </row>
        <row r="21051">
          <cell r="C21051" t="str">
            <v>PV</v>
          </cell>
          <cell r="D21051">
            <v>2.2000000000000002</v>
          </cell>
          <cell r="H21051" t="str">
            <v>solar PV</v>
          </cell>
        </row>
        <row r="21052">
          <cell r="C21052" t="str">
            <v>PV</v>
          </cell>
          <cell r="D21052">
            <v>1</v>
          </cell>
          <cell r="H21052" t="str">
            <v>solar PV</v>
          </cell>
        </row>
        <row r="21053">
          <cell r="C21053" t="str">
            <v>PV</v>
          </cell>
          <cell r="D21053">
            <v>4.3</v>
          </cell>
          <cell r="H21053" t="str">
            <v>solar PV</v>
          </cell>
        </row>
        <row r="21054">
          <cell r="C21054" t="str">
            <v>PV</v>
          </cell>
          <cell r="D21054">
            <v>9</v>
          </cell>
          <cell r="H21054" t="str">
            <v>solar PV</v>
          </cell>
        </row>
        <row r="21055">
          <cell r="C21055" t="str">
            <v>PV</v>
          </cell>
          <cell r="D21055">
            <v>2</v>
          </cell>
          <cell r="H21055" t="str">
            <v>solar PV</v>
          </cell>
        </row>
        <row r="21056">
          <cell r="C21056" t="str">
            <v>PV</v>
          </cell>
          <cell r="D21056">
            <v>10.8</v>
          </cell>
          <cell r="H21056" t="str">
            <v>solar PV</v>
          </cell>
        </row>
        <row r="21057">
          <cell r="C21057" t="str">
            <v>PV</v>
          </cell>
          <cell r="D21057">
            <v>10.8</v>
          </cell>
          <cell r="H21057" t="str">
            <v>solar PV</v>
          </cell>
        </row>
        <row r="21058">
          <cell r="C21058" t="str">
            <v>PV</v>
          </cell>
          <cell r="D21058">
            <v>8.1999999999999993</v>
          </cell>
          <cell r="H21058" t="str">
            <v>solar PV</v>
          </cell>
        </row>
        <row r="21059">
          <cell r="C21059" t="str">
            <v>PV</v>
          </cell>
          <cell r="D21059">
            <v>10</v>
          </cell>
          <cell r="H21059" t="str">
            <v>solar PV</v>
          </cell>
        </row>
        <row r="21060">
          <cell r="C21060" t="str">
            <v>PV</v>
          </cell>
          <cell r="D21060">
            <v>5</v>
          </cell>
          <cell r="H21060" t="str">
            <v>solar PV</v>
          </cell>
        </row>
        <row r="21061">
          <cell r="C21061" t="str">
            <v>PV</v>
          </cell>
          <cell r="D21061">
            <v>1</v>
          </cell>
          <cell r="H21061" t="str">
            <v>solar PV</v>
          </cell>
        </row>
        <row r="21062">
          <cell r="C21062" t="str">
            <v>PV</v>
          </cell>
          <cell r="D21062">
            <v>5</v>
          </cell>
          <cell r="H21062" t="str">
            <v>solar PV</v>
          </cell>
        </row>
        <row r="21063">
          <cell r="C21063" t="str">
            <v>PV</v>
          </cell>
          <cell r="D21063">
            <v>5</v>
          </cell>
          <cell r="H21063" t="str">
            <v>solar PV</v>
          </cell>
        </row>
        <row r="21064">
          <cell r="C21064" t="str">
            <v>PV</v>
          </cell>
          <cell r="D21064">
            <v>10.199999999999999</v>
          </cell>
          <cell r="H21064" t="str">
            <v>solar PV</v>
          </cell>
        </row>
        <row r="21065">
          <cell r="C21065" t="str">
            <v>PV</v>
          </cell>
          <cell r="D21065">
            <v>10.199999999999999</v>
          </cell>
          <cell r="H21065" t="str">
            <v>solar PV</v>
          </cell>
        </row>
        <row r="21066">
          <cell r="C21066" t="str">
            <v>PV</v>
          </cell>
          <cell r="D21066">
            <v>10</v>
          </cell>
          <cell r="H21066" t="str">
            <v>solar PV</v>
          </cell>
        </row>
        <row r="21067">
          <cell r="C21067" t="str">
            <v>PV</v>
          </cell>
          <cell r="D21067">
            <v>5</v>
          </cell>
          <cell r="H21067" t="str">
            <v>solar PV</v>
          </cell>
        </row>
        <row r="21068">
          <cell r="C21068" t="str">
            <v>PV</v>
          </cell>
          <cell r="D21068">
            <v>2</v>
          </cell>
          <cell r="H21068" t="str">
            <v>solar PV</v>
          </cell>
        </row>
        <row r="21069">
          <cell r="C21069" t="str">
            <v>PV</v>
          </cell>
          <cell r="D21069">
            <v>5</v>
          </cell>
          <cell r="H21069" t="str">
            <v>solar PV</v>
          </cell>
        </row>
        <row r="21070">
          <cell r="C21070" t="str">
            <v>PV</v>
          </cell>
          <cell r="D21070">
            <v>5</v>
          </cell>
          <cell r="H21070" t="str">
            <v>solar PV</v>
          </cell>
        </row>
        <row r="21071">
          <cell r="C21071" t="str">
            <v>PV</v>
          </cell>
          <cell r="D21071">
            <v>1.8</v>
          </cell>
          <cell r="H21071" t="str">
            <v>solar PV</v>
          </cell>
        </row>
        <row r="21072">
          <cell r="C21072" t="str">
            <v>PV</v>
          </cell>
          <cell r="D21072">
            <v>1</v>
          </cell>
          <cell r="H21072" t="str">
            <v>solar PV</v>
          </cell>
        </row>
        <row r="21073">
          <cell r="C21073" t="str">
            <v>PV</v>
          </cell>
          <cell r="D21073">
            <v>2.2999999999999998</v>
          </cell>
          <cell r="H21073" t="str">
            <v>solar PV</v>
          </cell>
        </row>
        <row r="21074">
          <cell r="C21074" t="str">
            <v>WT</v>
          </cell>
          <cell r="D21074">
            <v>2</v>
          </cell>
          <cell r="H21074" t="str">
            <v>onshore wind</v>
          </cell>
        </row>
        <row r="21075">
          <cell r="C21075" t="str">
            <v>WT</v>
          </cell>
          <cell r="D21075">
            <v>2</v>
          </cell>
          <cell r="H21075" t="str">
            <v>onshore wind</v>
          </cell>
        </row>
        <row r="21076">
          <cell r="C21076" t="str">
            <v>PV</v>
          </cell>
          <cell r="D21076">
            <v>1</v>
          </cell>
          <cell r="H21076" t="str">
            <v>solar PV</v>
          </cell>
        </row>
        <row r="21077">
          <cell r="C21077" t="str">
            <v>PV</v>
          </cell>
          <cell r="D21077">
            <v>1</v>
          </cell>
          <cell r="H21077" t="str">
            <v>solar PV</v>
          </cell>
        </row>
        <row r="21078">
          <cell r="C21078" t="str">
            <v>PV</v>
          </cell>
          <cell r="D21078">
            <v>1</v>
          </cell>
          <cell r="H21078" t="str">
            <v>solar PV</v>
          </cell>
        </row>
        <row r="21079">
          <cell r="C21079" t="str">
            <v>PV</v>
          </cell>
          <cell r="D21079">
            <v>5</v>
          </cell>
          <cell r="H21079" t="str">
            <v>solar PV</v>
          </cell>
        </row>
        <row r="21080">
          <cell r="C21080" t="str">
            <v>PV</v>
          </cell>
          <cell r="D21080">
            <v>3.4</v>
          </cell>
          <cell r="H21080" t="str">
            <v>solar PV</v>
          </cell>
        </row>
        <row r="21081">
          <cell r="C21081" t="str">
            <v>PV</v>
          </cell>
          <cell r="D21081">
            <v>5</v>
          </cell>
          <cell r="H21081" t="str">
            <v>solar PV</v>
          </cell>
        </row>
        <row r="21082">
          <cell r="C21082" t="str">
            <v>PV</v>
          </cell>
          <cell r="D21082">
            <v>4</v>
          </cell>
          <cell r="H21082" t="str">
            <v>solar PV</v>
          </cell>
        </row>
        <row r="21083">
          <cell r="C21083" t="str">
            <v>PV</v>
          </cell>
          <cell r="D21083">
            <v>5</v>
          </cell>
          <cell r="H21083" t="str">
            <v>solar PV</v>
          </cell>
        </row>
        <row r="21084">
          <cell r="C21084" t="str">
            <v>PV</v>
          </cell>
          <cell r="D21084">
            <v>3.3</v>
          </cell>
          <cell r="H21084" t="str">
            <v>solar PV</v>
          </cell>
        </row>
        <row r="21085">
          <cell r="C21085" t="str">
            <v>PV</v>
          </cell>
          <cell r="D21085">
            <v>4.2</v>
          </cell>
          <cell r="H21085" t="str">
            <v>solar PV</v>
          </cell>
        </row>
        <row r="21086">
          <cell r="C21086" t="str">
            <v>IC</v>
          </cell>
          <cell r="D21086">
            <v>1</v>
          </cell>
          <cell r="H21086" t="str">
            <v>petroleum</v>
          </cell>
        </row>
        <row r="21087">
          <cell r="C21087" t="str">
            <v>IC</v>
          </cell>
          <cell r="D21087">
            <v>0.7</v>
          </cell>
          <cell r="H21087" t="str">
            <v>petroleum</v>
          </cell>
        </row>
        <row r="21088">
          <cell r="C21088" t="str">
            <v>IC</v>
          </cell>
          <cell r="D21088">
            <v>0.2</v>
          </cell>
          <cell r="H21088" t="str">
            <v>natural gas peaker</v>
          </cell>
        </row>
        <row r="21089">
          <cell r="C21089" t="str">
            <v>PV</v>
          </cell>
          <cell r="D21089">
            <v>15.7</v>
          </cell>
          <cell r="H21089" t="str">
            <v>solar PV</v>
          </cell>
        </row>
        <row r="21090">
          <cell r="C21090" t="str">
            <v>PV</v>
          </cell>
          <cell r="D21090">
            <v>2.9</v>
          </cell>
          <cell r="H21090" t="str">
            <v>solar PV</v>
          </cell>
        </row>
        <row r="21091">
          <cell r="C21091" t="str">
            <v>PV</v>
          </cell>
          <cell r="D21091">
            <v>2.2000000000000002</v>
          </cell>
          <cell r="H21091" t="str">
            <v>solar PV</v>
          </cell>
        </row>
        <row r="21092">
          <cell r="C21092" t="str">
            <v>PV</v>
          </cell>
          <cell r="D21092">
            <v>4.2</v>
          </cell>
          <cell r="H21092" t="str">
            <v>solar PV</v>
          </cell>
        </row>
        <row r="21093">
          <cell r="C21093" t="str">
            <v>PV</v>
          </cell>
          <cell r="D21093">
            <v>10</v>
          </cell>
          <cell r="H21093" t="str">
            <v>solar PV</v>
          </cell>
        </row>
        <row r="21094">
          <cell r="C21094" t="str">
            <v>PV</v>
          </cell>
          <cell r="D21094">
            <v>10</v>
          </cell>
          <cell r="H21094" t="str">
            <v>solar PV</v>
          </cell>
        </row>
        <row r="21095">
          <cell r="C21095" t="str">
            <v>PV</v>
          </cell>
          <cell r="D21095">
            <v>10</v>
          </cell>
          <cell r="H21095" t="str">
            <v>solar PV</v>
          </cell>
        </row>
        <row r="21096">
          <cell r="C21096" t="str">
            <v>PV</v>
          </cell>
          <cell r="D21096">
            <v>8</v>
          </cell>
          <cell r="H21096" t="str">
            <v>solar PV</v>
          </cell>
        </row>
        <row r="21097">
          <cell r="C21097" t="str">
            <v>PV</v>
          </cell>
          <cell r="D21097">
            <v>9.9</v>
          </cell>
          <cell r="H21097" t="str">
            <v>solar PV</v>
          </cell>
        </row>
        <row r="21098">
          <cell r="C21098" t="str">
            <v>PV</v>
          </cell>
          <cell r="D21098">
            <v>50</v>
          </cell>
          <cell r="H21098" t="str">
            <v>solar PV</v>
          </cell>
        </row>
        <row r="21099">
          <cell r="C21099" t="str">
            <v>PV</v>
          </cell>
          <cell r="D21099">
            <v>3</v>
          </cell>
          <cell r="H21099" t="str">
            <v>solar PV</v>
          </cell>
        </row>
        <row r="21100">
          <cell r="C21100" t="str">
            <v>PV</v>
          </cell>
          <cell r="D21100">
            <v>1.6</v>
          </cell>
          <cell r="H21100" t="str">
            <v>solar PV</v>
          </cell>
        </row>
        <row r="21101">
          <cell r="C21101" t="str">
            <v>WT</v>
          </cell>
          <cell r="D21101">
            <v>299.3</v>
          </cell>
          <cell r="H21101" t="str">
            <v>onshore wind</v>
          </cell>
        </row>
        <row r="21102">
          <cell r="C21102" t="str">
            <v>WT</v>
          </cell>
          <cell r="D21102">
            <v>172.4</v>
          </cell>
          <cell r="H21102" t="str">
            <v>onshore wind</v>
          </cell>
        </row>
        <row r="21103">
          <cell r="C21103" t="str">
            <v>PV</v>
          </cell>
          <cell r="D21103">
            <v>2.5</v>
          </cell>
          <cell r="H21103" t="str">
            <v>solar PV</v>
          </cell>
        </row>
        <row r="21104">
          <cell r="C21104" t="str">
            <v>IC</v>
          </cell>
          <cell r="D21104">
            <v>1.5</v>
          </cell>
          <cell r="H21104" t="str">
            <v>petroleum</v>
          </cell>
        </row>
        <row r="21105">
          <cell r="C21105" t="str">
            <v>IC</v>
          </cell>
          <cell r="D21105">
            <v>1.5</v>
          </cell>
          <cell r="H21105" t="str">
            <v>petroleum</v>
          </cell>
        </row>
        <row r="21106">
          <cell r="C21106" t="str">
            <v>IC</v>
          </cell>
          <cell r="D21106">
            <v>2</v>
          </cell>
          <cell r="H21106" t="str">
            <v>petroleum</v>
          </cell>
        </row>
        <row r="21107">
          <cell r="C21107" t="str">
            <v>IC</v>
          </cell>
          <cell r="D21107">
            <v>2</v>
          </cell>
          <cell r="H21107" t="str">
            <v>petroleum</v>
          </cell>
        </row>
        <row r="21108">
          <cell r="C21108" t="str">
            <v>IC</v>
          </cell>
          <cell r="D21108">
            <v>1</v>
          </cell>
          <cell r="H21108" t="str">
            <v>petroleum</v>
          </cell>
        </row>
        <row r="21109">
          <cell r="C21109" t="str">
            <v>IC</v>
          </cell>
          <cell r="D21109">
            <v>1</v>
          </cell>
          <cell r="H21109" t="str">
            <v>petroleum</v>
          </cell>
        </row>
        <row r="21110">
          <cell r="C21110" t="str">
            <v>IC</v>
          </cell>
          <cell r="D21110">
            <v>0.2</v>
          </cell>
          <cell r="H21110" t="str">
            <v>petroleum</v>
          </cell>
        </row>
        <row r="21111">
          <cell r="C21111" t="str">
            <v>IC</v>
          </cell>
          <cell r="D21111">
            <v>0.3</v>
          </cell>
          <cell r="H21111" t="str">
            <v>petroleum</v>
          </cell>
        </row>
        <row r="21112">
          <cell r="C21112" t="str">
            <v>IC</v>
          </cell>
          <cell r="D21112">
            <v>0.3</v>
          </cell>
          <cell r="H21112" t="str">
            <v>petroleum</v>
          </cell>
        </row>
        <row r="21113">
          <cell r="C21113" t="str">
            <v>IC</v>
          </cell>
          <cell r="D21113">
            <v>0.2</v>
          </cell>
          <cell r="H21113" t="str">
            <v>petroleum</v>
          </cell>
        </row>
        <row r="21114">
          <cell r="C21114" t="str">
            <v>IC</v>
          </cell>
          <cell r="D21114">
            <v>0.3</v>
          </cell>
          <cell r="H21114" t="str">
            <v>petroleum</v>
          </cell>
        </row>
        <row r="21115">
          <cell r="C21115" t="str">
            <v>IC</v>
          </cell>
          <cell r="D21115">
            <v>0.8</v>
          </cell>
          <cell r="H21115" t="str">
            <v>petroleum</v>
          </cell>
        </row>
        <row r="21116">
          <cell r="C21116" t="str">
            <v>IC</v>
          </cell>
          <cell r="D21116">
            <v>0.8</v>
          </cell>
          <cell r="H21116" t="str">
            <v>petroleum</v>
          </cell>
        </row>
        <row r="21117">
          <cell r="C21117" t="str">
            <v>IC</v>
          </cell>
          <cell r="D21117">
            <v>0.9</v>
          </cell>
          <cell r="H21117" t="str">
            <v>petroleum</v>
          </cell>
        </row>
        <row r="21118">
          <cell r="C21118" t="str">
            <v>PV</v>
          </cell>
          <cell r="D21118">
            <v>1</v>
          </cell>
          <cell r="H21118" t="str">
            <v>solar PV</v>
          </cell>
        </row>
        <row r="21119">
          <cell r="C21119" t="str">
            <v>PV</v>
          </cell>
          <cell r="D21119">
            <v>1</v>
          </cell>
          <cell r="H21119" t="str">
            <v>solar PV</v>
          </cell>
        </row>
        <row r="21120">
          <cell r="C21120" t="str">
            <v>PV</v>
          </cell>
          <cell r="D21120">
            <v>1</v>
          </cell>
          <cell r="H21120" t="str">
            <v>solar PV</v>
          </cell>
        </row>
        <row r="21121">
          <cell r="C21121" t="str">
            <v>PV</v>
          </cell>
          <cell r="D21121">
            <v>1</v>
          </cell>
          <cell r="H21121" t="str">
            <v>solar PV</v>
          </cell>
        </row>
        <row r="21122">
          <cell r="C21122" t="str">
            <v>PV</v>
          </cell>
          <cell r="D21122">
            <v>1</v>
          </cell>
          <cell r="H21122" t="str">
            <v>solar PV</v>
          </cell>
        </row>
        <row r="21123">
          <cell r="C21123" t="str">
            <v>PV</v>
          </cell>
          <cell r="D21123">
            <v>2</v>
          </cell>
          <cell r="H21123" t="str">
            <v>solar PV</v>
          </cell>
        </row>
        <row r="21124">
          <cell r="C21124" t="str">
            <v>PV</v>
          </cell>
          <cell r="D21124">
            <v>2</v>
          </cell>
          <cell r="H21124" t="str">
            <v>solar PV</v>
          </cell>
        </row>
        <row r="21125">
          <cell r="C21125" t="str">
            <v>PV</v>
          </cell>
          <cell r="D21125">
            <v>2</v>
          </cell>
          <cell r="H21125" t="str">
            <v>solar PV</v>
          </cell>
        </row>
        <row r="21126">
          <cell r="C21126" t="str">
            <v>PV</v>
          </cell>
          <cell r="D21126">
            <v>2</v>
          </cell>
          <cell r="H21126" t="str">
            <v>solar PV</v>
          </cell>
        </row>
        <row r="21127">
          <cell r="C21127" t="str">
            <v>PV</v>
          </cell>
          <cell r="D21127">
            <v>2</v>
          </cell>
          <cell r="H21127" t="str">
            <v>solar PV</v>
          </cell>
        </row>
        <row r="21128">
          <cell r="C21128" t="str">
            <v>PV</v>
          </cell>
          <cell r="D21128">
            <v>9.9</v>
          </cell>
          <cell r="H21128" t="str">
            <v>solar PV</v>
          </cell>
        </row>
        <row r="21129">
          <cell r="C21129" t="str">
            <v>PV</v>
          </cell>
          <cell r="D21129">
            <v>5</v>
          </cell>
          <cell r="H21129" t="str">
            <v>solar PV</v>
          </cell>
        </row>
        <row r="21130">
          <cell r="C21130" t="str">
            <v>WT</v>
          </cell>
          <cell r="D21130">
            <v>128.69999999999999</v>
          </cell>
          <cell r="H21130" t="str">
            <v>onshore wind</v>
          </cell>
        </row>
        <row r="21131">
          <cell r="C21131" t="str">
            <v>WT</v>
          </cell>
          <cell r="D21131">
            <v>43.2</v>
          </cell>
          <cell r="H21131" t="str">
            <v>onshore wind</v>
          </cell>
        </row>
        <row r="21132">
          <cell r="C21132" t="str">
            <v>WT</v>
          </cell>
          <cell r="D21132">
            <v>21.6</v>
          </cell>
          <cell r="H21132" t="str">
            <v>onshore wind</v>
          </cell>
        </row>
        <row r="21133">
          <cell r="C21133" t="str">
            <v>PV</v>
          </cell>
          <cell r="D21133">
            <v>1</v>
          </cell>
          <cell r="H21133" t="str">
            <v>solar PV</v>
          </cell>
        </row>
        <row r="21134">
          <cell r="C21134" t="str">
            <v>PV</v>
          </cell>
          <cell r="D21134">
            <v>1</v>
          </cell>
          <cell r="H21134" t="str">
            <v>solar PV</v>
          </cell>
        </row>
        <row r="21135">
          <cell r="C21135" t="str">
            <v>PV</v>
          </cell>
          <cell r="D21135">
            <v>1</v>
          </cell>
          <cell r="H21135" t="str">
            <v>solar PV</v>
          </cell>
        </row>
        <row r="21136">
          <cell r="C21136" t="str">
            <v>PV</v>
          </cell>
          <cell r="D21136">
            <v>1</v>
          </cell>
          <cell r="H21136" t="str">
            <v>solar PV</v>
          </cell>
        </row>
        <row r="21137">
          <cell r="C21137" t="str">
            <v>PV</v>
          </cell>
          <cell r="D21137">
            <v>1</v>
          </cell>
          <cell r="H21137" t="str">
            <v>solar PV</v>
          </cell>
        </row>
        <row r="21138">
          <cell r="C21138" t="str">
            <v>PV</v>
          </cell>
          <cell r="D21138">
            <v>5</v>
          </cell>
          <cell r="H21138" t="str">
            <v>solar PV</v>
          </cell>
        </row>
        <row r="21139">
          <cell r="C21139" t="str">
            <v>PV</v>
          </cell>
          <cell r="D21139">
            <v>5</v>
          </cell>
          <cell r="H21139" t="str">
            <v>solar PV</v>
          </cell>
        </row>
        <row r="21140">
          <cell r="C21140" t="str">
            <v>PV</v>
          </cell>
          <cell r="D21140">
            <v>4.0999999999999996</v>
          </cell>
          <cell r="H21140" t="str">
            <v>solar PV</v>
          </cell>
        </row>
        <row r="21141">
          <cell r="C21141" t="str">
            <v>PV</v>
          </cell>
          <cell r="D21141">
            <v>4.4000000000000004</v>
          </cell>
          <cell r="H21141" t="str">
            <v>solar PV</v>
          </cell>
        </row>
        <row r="21142">
          <cell r="C21142" t="str">
            <v>WT</v>
          </cell>
          <cell r="D21142">
            <v>0.1</v>
          </cell>
          <cell r="H21142" t="str">
            <v>onshore wind</v>
          </cell>
        </row>
        <row r="21143">
          <cell r="C21143" t="str">
            <v>WT</v>
          </cell>
          <cell r="D21143">
            <v>3.4</v>
          </cell>
          <cell r="H21143" t="str">
            <v>onshore wind</v>
          </cell>
        </row>
        <row r="21144">
          <cell r="C21144" t="str">
            <v>PV</v>
          </cell>
          <cell r="D21144">
            <v>2</v>
          </cell>
          <cell r="H21144" t="str">
            <v>solar PV</v>
          </cell>
        </row>
        <row r="21145">
          <cell r="C21145" t="str">
            <v>PV</v>
          </cell>
          <cell r="D21145">
            <v>1.2</v>
          </cell>
          <cell r="H21145" t="str">
            <v>solar PV</v>
          </cell>
        </row>
        <row r="21146">
          <cell r="C21146" t="str">
            <v>PV</v>
          </cell>
          <cell r="D21146">
            <v>1.8</v>
          </cell>
          <cell r="H21146" t="str">
            <v>solar PV</v>
          </cell>
        </row>
        <row r="21147">
          <cell r="C21147" t="str">
            <v>PV</v>
          </cell>
          <cell r="D21147">
            <v>2</v>
          </cell>
          <cell r="H21147" t="str">
            <v>solar PV</v>
          </cell>
        </row>
        <row r="21148">
          <cell r="C21148" t="str">
            <v>PV</v>
          </cell>
          <cell r="D21148">
            <v>2.5</v>
          </cell>
          <cell r="H21148" t="str">
            <v>solar PV</v>
          </cell>
        </row>
        <row r="21149">
          <cell r="C21149" t="str">
            <v>PV</v>
          </cell>
          <cell r="D21149">
            <v>1.8</v>
          </cell>
          <cell r="H21149" t="str">
            <v>solar PV</v>
          </cell>
        </row>
        <row r="21150">
          <cell r="C21150" t="str">
            <v>PV</v>
          </cell>
          <cell r="D21150">
            <v>1.5</v>
          </cell>
          <cell r="H21150" t="str">
            <v>solar PV</v>
          </cell>
        </row>
        <row r="21151">
          <cell r="C21151" t="str">
            <v>PV</v>
          </cell>
          <cell r="D21151">
            <v>2.6</v>
          </cell>
          <cell r="H21151" t="str">
            <v>solar PV</v>
          </cell>
        </row>
        <row r="21152">
          <cell r="C21152" t="str">
            <v>PV</v>
          </cell>
          <cell r="D21152">
            <v>10</v>
          </cell>
          <cell r="H21152" t="str">
            <v>solar PV</v>
          </cell>
        </row>
        <row r="21153">
          <cell r="C21153" t="str">
            <v>PV</v>
          </cell>
          <cell r="D21153">
            <v>8.8000000000000007</v>
          </cell>
          <cell r="H21153" t="str">
            <v>solar PV</v>
          </cell>
        </row>
        <row r="21154">
          <cell r="C21154" t="str">
            <v>PV</v>
          </cell>
          <cell r="D21154">
            <v>8.4</v>
          </cell>
          <cell r="H21154" t="str">
            <v>solar PV</v>
          </cell>
        </row>
        <row r="21155">
          <cell r="C21155" t="str">
            <v>PV</v>
          </cell>
          <cell r="D21155">
            <v>3</v>
          </cell>
          <cell r="H21155" t="str">
            <v>solar PV</v>
          </cell>
        </row>
        <row r="21156">
          <cell r="C21156" t="str">
            <v>PV</v>
          </cell>
          <cell r="D21156">
            <v>4</v>
          </cell>
          <cell r="H21156" t="str">
            <v>solar PV</v>
          </cell>
        </row>
        <row r="21157">
          <cell r="C21157" t="str">
            <v>PV</v>
          </cell>
          <cell r="D21157">
            <v>1.8</v>
          </cell>
          <cell r="H21157" t="str">
            <v>solar PV</v>
          </cell>
        </row>
        <row r="21158">
          <cell r="C21158" t="str">
            <v>PV</v>
          </cell>
          <cell r="D21158">
            <v>2.7</v>
          </cell>
          <cell r="H21158" t="str">
            <v>solar PV</v>
          </cell>
        </row>
        <row r="21159">
          <cell r="C21159" t="str">
            <v>PV</v>
          </cell>
          <cell r="D21159">
            <v>4</v>
          </cell>
          <cell r="H21159" t="str">
            <v>solar PV</v>
          </cell>
        </row>
        <row r="21160">
          <cell r="C21160" t="str">
            <v>PV</v>
          </cell>
          <cell r="D21160">
            <v>4.5</v>
          </cell>
          <cell r="H21160" t="str">
            <v>solar PV</v>
          </cell>
        </row>
        <row r="21161">
          <cell r="C21161" t="str">
            <v>PV</v>
          </cell>
          <cell r="D21161">
            <v>1.9</v>
          </cell>
          <cell r="H21161" t="str">
            <v>solar PV</v>
          </cell>
        </row>
        <row r="21162">
          <cell r="C21162" t="str">
            <v>WT</v>
          </cell>
          <cell r="D21162">
            <v>103.5</v>
          </cell>
          <cell r="H21162" t="str">
            <v>onshore wind</v>
          </cell>
        </row>
        <row r="21163">
          <cell r="C21163" t="str">
            <v>PV</v>
          </cell>
          <cell r="D21163">
            <v>74.8</v>
          </cell>
          <cell r="H21163" t="str">
            <v>solar PV</v>
          </cell>
        </row>
        <row r="21164">
          <cell r="C21164" t="str">
            <v>PV</v>
          </cell>
          <cell r="D21164">
            <v>100</v>
          </cell>
          <cell r="H21164" t="str">
            <v>solar PV</v>
          </cell>
        </row>
        <row r="21165">
          <cell r="C21165" t="str">
            <v>PV</v>
          </cell>
          <cell r="D21165">
            <v>1.5</v>
          </cell>
          <cell r="H21165" t="str">
            <v>solar PV</v>
          </cell>
        </row>
        <row r="21166">
          <cell r="C21166" t="str">
            <v>PV</v>
          </cell>
          <cell r="D21166">
            <v>2</v>
          </cell>
          <cell r="H21166" t="str">
            <v>solar PV</v>
          </cell>
        </row>
        <row r="21167">
          <cell r="C21167" t="str">
            <v>PV</v>
          </cell>
          <cell r="D21167">
            <v>5</v>
          </cell>
          <cell r="H21167" t="str">
            <v>solar PV</v>
          </cell>
        </row>
        <row r="21168">
          <cell r="C21168" t="str">
            <v>PV</v>
          </cell>
          <cell r="D21168">
            <v>3</v>
          </cell>
          <cell r="H21168" t="str">
            <v>solar PV</v>
          </cell>
        </row>
        <row r="21169">
          <cell r="C21169" t="str">
            <v>PV</v>
          </cell>
          <cell r="D21169">
            <v>3</v>
          </cell>
          <cell r="H21169" t="str">
            <v>solar PV</v>
          </cell>
        </row>
        <row r="21170">
          <cell r="C21170" t="str">
            <v>PV</v>
          </cell>
          <cell r="D21170">
            <v>3</v>
          </cell>
          <cell r="H21170" t="str">
            <v>solar PV</v>
          </cell>
        </row>
        <row r="21171">
          <cell r="C21171" t="str">
            <v>PV</v>
          </cell>
          <cell r="D21171">
            <v>4</v>
          </cell>
          <cell r="H21171" t="str">
            <v>solar PV</v>
          </cell>
        </row>
        <row r="21172">
          <cell r="C21172" t="str">
            <v>PV</v>
          </cell>
          <cell r="D21172">
            <v>1.1000000000000001</v>
          </cell>
          <cell r="H21172" t="str">
            <v>solar PV</v>
          </cell>
        </row>
        <row r="21173">
          <cell r="C21173" t="str">
            <v>PV</v>
          </cell>
          <cell r="D21173">
            <v>5</v>
          </cell>
          <cell r="H21173" t="str">
            <v>solar PV</v>
          </cell>
        </row>
        <row r="21174">
          <cell r="C21174" t="str">
            <v>PV</v>
          </cell>
          <cell r="D21174">
            <v>1.5</v>
          </cell>
          <cell r="H21174" t="str">
            <v>solar PV</v>
          </cell>
        </row>
        <row r="21175">
          <cell r="C21175" t="str">
            <v>PV</v>
          </cell>
          <cell r="D21175">
            <v>3</v>
          </cell>
          <cell r="H21175" t="str">
            <v>solar PV</v>
          </cell>
        </row>
        <row r="21176">
          <cell r="C21176" t="str">
            <v>PV</v>
          </cell>
          <cell r="D21176">
            <v>5</v>
          </cell>
          <cell r="H21176" t="str">
            <v>solar PV</v>
          </cell>
        </row>
        <row r="21177">
          <cell r="C21177" t="str">
            <v>PV</v>
          </cell>
          <cell r="D21177">
            <v>5</v>
          </cell>
          <cell r="H21177" t="str">
            <v>solar PV</v>
          </cell>
        </row>
        <row r="21178">
          <cell r="C21178" t="str">
            <v>PV</v>
          </cell>
          <cell r="D21178">
            <v>5</v>
          </cell>
          <cell r="H21178" t="str">
            <v>solar PV</v>
          </cell>
        </row>
        <row r="21179">
          <cell r="C21179" t="str">
            <v>PV</v>
          </cell>
          <cell r="D21179">
            <v>1.1000000000000001</v>
          </cell>
          <cell r="H21179" t="str">
            <v>solar PV</v>
          </cell>
        </row>
        <row r="21180">
          <cell r="C21180" t="str">
            <v>PV</v>
          </cell>
          <cell r="D21180">
            <v>4</v>
          </cell>
          <cell r="H21180" t="str">
            <v>solar PV</v>
          </cell>
        </row>
        <row r="21181">
          <cell r="C21181" t="str">
            <v>PV</v>
          </cell>
          <cell r="D21181">
            <v>1.3</v>
          </cell>
          <cell r="H21181" t="str">
            <v>solar PV</v>
          </cell>
        </row>
        <row r="21182">
          <cell r="C21182" t="str">
            <v>PV</v>
          </cell>
          <cell r="D21182">
            <v>9.9</v>
          </cell>
          <cell r="H21182" t="str">
            <v>solar PV</v>
          </cell>
        </row>
        <row r="21183">
          <cell r="C21183" t="str">
            <v>PV</v>
          </cell>
          <cell r="D21183">
            <v>1</v>
          </cell>
          <cell r="H21183" t="str">
            <v>solar PV</v>
          </cell>
        </row>
        <row r="21184">
          <cell r="C21184" t="str">
            <v>PV</v>
          </cell>
          <cell r="D21184">
            <v>3.1</v>
          </cell>
          <cell r="H21184" t="str">
            <v>solar PV</v>
          </cell>
        </row>
        <row r="21185">
          <cell r="C21185" t="str">
            <v>PV</v>
          </cell>
          <cell r="D21185">
            <v>2</v>
          </cell>
          <cell r="H21185" t="str">
            <v>solar PV</v>
          </cell>
        </row>
        <row r="21186">
          <cell r="C21186" t="str">
            <v>PV</v>
          </cell>
          <cell r="D21186">
            <v>1.3</v>
          </cell>
          <cell r="H21186" t="str">
            <v>solar PV</v>
          </cell>
        </row>
        <row r="21187">
          <cell r="C21187" t="str">
            <v>PV</v>
          </cell>
          <cell r="D21187">
            <v>1.9</v>
          </cell>
          <cell r="H21187" t="str">
            <v>solar PV</v>
          </cell>
        </row>
        <row r="21188">
          <cell r="C21188" t="str">
            <v>WT</v>
          </cell>
          <cell r="D21188">
            <v>200.1</v>
          </cell>
          <cell r="H21188" t="str">
            <v>onshore wind</v>
          </cell>
        </row>
        <row r="21189">
          <cell r="C21189" t="str">
            <v>HY</v>
          </cell>
          <cell r="D21189">
            <v>1.5</v>
          </cell>
          <cell r="H21189" t="str">
            <v>hydro</v>
          </cell>
        </row>
        <row r="21190">
          <cell r="C21190" t="str">
            <v>HY</v>
          </cell>
          <cell r="D21190">
            <v>1.7</v>
          </cell>
          <cell r="H21190" t="str">
            <v>hydro</v>
          </cell>
        </row>
        <row r="21191">
          <cell r="C21191" t="str">
            <v>HY</v>
          </cell>
          <cell r="D21191">
            <v>1.7</v>
          </cell>
          <cell r="H21191" t="str">
            <v>hydro</v>
          </cell>
        </row>
        <row r="21192">
          <cell r="C21192" t="str">
            <v>HY</v>
          </cell>
          <cell r="D21192">
            <v>1.7</v>
          </cell>
          <cell r="H21192" t="str">
            <v>hydro</v>
          </cell>
        </row>
        <row r="21193">
          <cell r="C21193" t="str">
            <v>HY</v>
          </cell>
          <cell r="D21193">
            <v>0.5</v>
          </cell>
          <cell r="H21193" t="str">
            <v>hydro</v>
          </cell>
        </row>
        <row r="21194">
          <cell r="C21194" t="str">
            <v>HY</v>
          </cell>
          <cell r="D21194">
            <v>0.5</v>
          </cell>
          <cell r="H21194" t="str">
            <v>hydro</v>
          </cell>
        </row>
        <row r="21195">
          <cell r="C21195" t="str">
            <v>HY</v>
          </cell>
          <cell r="D21195">
            <v>0.5</v>
          </cell>
          <cell r="H21195" t="str">
            <v>hydro</v>
          </cell>
        </row>
        <row r="21196">
          <cell r="C21196" t="str">
            <v>IC</v>
          </cell>
          <cell r="D21196">
            <v>18.8</v>
          </cell>
          <cell r="H21196" t="str">
            <v>natural gas peaker</v>
          </cell>
        </row>
        <row r="21197">
          <cell r="C21197" t="str">
            <v>IC</v>
          </cell>
          <cell r="D21197">
            <v>18.8</v>
          </cell>
          <cell r="H21197" t="str">
            <v>natural gas peaker</v>
          </cell>
        </row>
        <row r="21198">
          <cell r="C21198" t="str">
            <v>IC</v>
          </cell>
          <cell r="D21198">
            <v>18.8</v>
          </cell>
          <cell r="H21198" t="str">
            <v>natural gas peaker</v>
          </cell>
        </row>
        <row r="21199">
          <cell r="C21199" t="str">
            <v>IC</v>
          </cell>
          <cell r="D21199">
            <v>18.8</v>
          </cell>
          <cell r="H21199" t="str">
            <v>natural gas peaker</v>
          </cell>
        </row>
        <row r="21200">
          <cell r="C21200" t="str">
            <v>IC</v>
          </cell>
          <cell r="D21200">
            <v>18.8</v>
          </cell>
          <cell r="H21200" t="str">
            <v>natural gas peaker</v>
          </cell>
        </row>
        <row r="21201">
          <cell r="C21201" t="str">
            <v>IC</v>
          </cell>
          <cell r="D21201">
            <v>18.8</v>
          </cell>
          <cell r="H21201" t="str">
            <v>natural gas peaker</v>
          </cell>
        </row>
        <row r="21202">
          <cell r="C21202" t="str">
            <v>IC</v>
          </cell>
          <cell r="D21202">
            <v>18.8</v>
          </cell>
          <cell r="H21202" t="str">
            <v>natural gas peaker</v>
          </cell>
        </row>
        <row r="21203">
          <cell r="C21203" t="str">
            <v>IC</v>
          </cell>
          <cell r="D21203">
            <v>18.8</v>
          </cell>
          <cell r="H21203" t="str">
            <v>natural gas peaker</v>
          </cell>
        </row>
        <row r="21204">
          <cell r="C21204" t="str">
            <v>IC</v>
          </cell>
          <cell r="D21204">
            <v>18.8</v>
          </cell>
          <cell r="H21204" t="str">
            <v>natural gas peaker</v>
          </cell>
        </row>
        <row r="21205">
          <cell r="C21205" t="str">
            <v>IC</v>
          </cell>
          <cell r="D21205">
            <v>18.8</v>
          </cell>
          <cell r="H21205" t="str">
            <v>natural gas peaker</v>
          </cell>
        </row>
        <row r="21206">
          <cell r="C21206" t="str">
            <v>IC</v>
          </cell>
          <cell r="D21206">
            <v>18.8</v>
          </cell>
          <cell r="H21206" t="str">
            <v>natural gas peaker</v>
          </cell>
        </row>
        <row r="21207">
          <cell r="C21207" t="str">
            <v>IC</v>
          </cell>
          <cell r="D21207">
            <v>18.8</v>
          </cell>
          <cell r="H21207" t="str">
            <v>natural gas peaker</v>
          </cell>
        </row>
        <row r="21208">
          <cell r="C21208" t="str">
            <v>WT</v>
          </cell>
          <cell r="D21208">
            <v>1.8</v>
          </cell>
          <cell r="H21208" t="str">
            <v>onshore wind</v>
          </cell>
        </row>
        <row r="21209">
          <cell r="C21209" t="str">
            <v>PV</v>
          </cell>
          <cell r="D21209">
            <v>1</v>
          </cell>
          <cell r="H21209" t="str">
            <v>solar PV</v>
          </cell>
        </row>
        <row r="21210">
          <cell r="C21210" t="str">
            <v>BA</v>
          </cell>
          <cell r="D21210">
            <v>0.5</v>
          </cell>
          <cell r="H21210" t="str">
            <v>other</v>
          </cell>
        </row>
        <row r="21211">
          <cell r="C21211" t="str">
            <v>PV</v>
          </cell>
          <cell r="D21211">
            <v>1.1000000000000001</v>
          </cell>
          <cell r="H21211" t="str">
            <v>solar PV</v>
          </cell>
        </row>
        <row r="21212">
          <cell r="C21212" t="str">
            <v>PV</v>
          </cell>
          <cell r="D21212">
            <v>1</v>
          </cell>
          <cell r="H21212" t="str">
            <v>solar PV</v>
          </cell>
        </row>
        <row r="21213">
          <cell r="C21213" t="str">
            <v>IC</v>
          </cell>
          <cell r="D21213">
            <v>0.8</v>
          </cell>
          <cell r="H21213" t="str">
            <v>biomass</v>
          </cell>
        </row>
        <row r="21214">
          <cell r="C21214" t="str">
            <v>IC</v>
          </cell>
          <cell r="D21214">
            <v>0.8</v>
          </cell>
          <cell r="H21214" t="str">
            <v>biomass</v>
          </cell>
        </row>
        <row r="21215">
          <cell r="C21215" t="str">
            <v>IC</v>
          </cell>
          <cell r="D21215">
            <v>0.8</v>
          </cell>
          <cell r="H21215" t="str">
            <v>biomass</v>
          </cell>
        </row>
        <row r="21216">
          <cell r="C21216" t="str">
            <v>PV</v>
          </cell>
          <cell r="D21216">
            <v>72.900000000000006</v>
          </cell>
          <cell r="H21216" t="str">
            <v>solar PV</v>
          </cell>
        </row>
        <row r="21217">
          <cell r="C21217" t="str">
            <v>PV</v>
          </cell>
          <cell r="D21217">
            <v>35</v>
          </cell>
          <cell r="H21217" t="str">
            <v>solar PV</v>
          </cell>
        </row>
        <row r="21218">
          <cell r="C21218" t="str">
            <v>PV</v>
          </cell>
          <cell r="D21218">
            <v>61</v>
          </cell>
          <cell r="H21218" t="str">
            <v>solar PV</v>
          </cell>
        </row>
        <row r="21219">
          <cell r="C21219" t="str">
            <v>PV</v>
          </cell>
          <cell r="D21219">
            <v>49.6</v>
          </cell>
          <cell r="H21219" t="str">
            <v>solar PV</v>
          </cell>
        </row>
        <row r="21220">
          <cell r="C21220" t="str">
            <v>PV</v>
          </cell>
          <cell r="D21220">
            <v>1.9</v>
          </cell>
          <cell r="H21220" t="str">
            <v>solar PV</v>
          </cell>
        </row>
        <row r="21221">
          <cell r="C21221" t="str">
            <v>WT</v>
          </cell>
          <cell r="D21221">
            <v>1.5</v>
          </cell>
          <cell r="H21221" t="str">
            <v>onshore wind</v>
          </cell>
        </row>
        <row r="21222">
          <cell r="C21222" t="str">
            <v>WT</v>
          </cell>
          <cell r="D21222">
            <v>1.5</v>
          </cell>
          <cell r="H21222" t="str">
            <v>onshore wind</v>
          </cell>
        </row>
        <row r="21223">
          <cell r="C21223" t="str">
            <v>WT</v>
          </cell>
          <cell r="D21223">
            <v>1.5</v>
          </cell>
          <cell r="H21223" t="str">
            <v>onshore wind</v>
          </cell>
        </row>
        <row r="21224">
          <cell r="C21224" t="str">
            <v>BA</v>
          </cell>
          <cell r="D21224">
            <v>40</v>
          </cell>
          <cell r="H21224" t="str">
            <v>other</v>
          </cell>
        </row>
        <row r="21225">
          <cell r="C21225" t="str">
            <v>PV</v>
          </cell>
          <cell r="D21225">
            <v>3</v>
          </cell>
          <cell r="H21225" t="str">
            <v>solar PV</v>
          </cell>
        </row>
        <row r="21226">
          <cell r="C21226" t="str">
            <v>PV</v>
          </cell>
          <cell r="D21226">
            <v>74.5</v>
          </cell>
          <cell r="H21226" t="str">
            <v>solar PV</v>
          </cell>
        </row>
        <row r="21227">
          <cell r="C21227" t="str">
            <v>PV</v>
          </cell>
          <cell r="D21227">
            <v>68.900000000000006</v>
          </cell>
          <cell r="H21227" t="str">
            <v>solar PV</v>
          </cell>
        </row>
        <row r="21228">
          <cell r="C21228" t="str">
            <v>PV</v>
          </cell>
          <cell r="D21228">
            <v>55.4</v>
          </cell>
          <cell r="H21228" t="str">
            <v>solar PV</v>
          </cell>
        </row>
        <row r="21229">
          <cell r="C21229" t="str">
            <v>WT</v>
          </cell>
          <cell r="D21229">
            <v>2.2999999999999998</v>
          </cell>
          <cell r="H21229" t="str">
            <v>onshore wind</v>
          </cell>
        </row>
        <row r="21230">
          <cell r="C21230" t="str">
            <v>WT</v>
          </cell>
          <cell r="D21230">
            <v>2.2999999999999998</v>
          </cell>
          <cell r="H21230" t="str">
            <v>onshore wind</v>
          </cell>
        </row>
        <row r="21231">
          <cell r="C21231" t="str">
            <v>WT</v>
          </cell>
          <cell r="D21231">
            <v>2.2999999999999998</v>
          </cell>
          <cell r="H21231" t="str">
            <v>onshore wind</v>
          </cell>
        </row>
        <row r="21232">
          <cell r="C21232" t="str">
            <v>PV</v>
          </cell>
          <cell r="D21232">
            <v>2.5</v>
          </cell>
          <cell r="H21232" t="str">
            <v>solar PV</v>
          </cell>
        </row>
        <row r="21233">
          <cell r="C21233" t="str">
            <v>PV</v>
          </cell>
          <cell r="D21233">
            <v>1</v>
          </cell>
          <cell r="H21233" t="str">
            <v>solar PV</v>
          </cell>
        </row>
        <row r="21234">
          <cell r="C21234" t="str">
            <v>PV</v>
          </cell>
          <cell r="D21234">
            <v>1</v>
          </cell>
          <cell r="H21234" t="str">
            <v>solar PV</v>
          </cell>
        </row>
        <row r="21235">
          <cell r="C21235" t="str">
            <v>PV</v>
          </cell>
          <cell r="D21235">
            <v>5</v>
          </cell>
          <cell r="H21235" t="str">
            <v>solar PV</v>
          </cell>
        </row>
        <row r="21236">
          <cell r="C21236" t="str">
            <v>WT</v>
          </cell>
          <cell r="D21236">
            <v>78.400000000000006</v>
          </cell>
          <cell r="H21236" t="str">
            <v>onshore wind</v>
          </cell>
        </row>
        <row r="21237">
          <cell r="C21237" t="str">
            <v>WT</v>
          </cell>
          <cell r="D21237">
            <v>150</v>
          </cell>
          <cell r="H21237" t="str">
            <v>onshore wind</v>
          </cell>
        </row>
        <row r="21238">
          <cell r="C21238" t="str">
            <v>GT</v>
          </cell>
          <cell r="D21238">
            <v>5.3</v>
          </cell>
          <cell r="H21238" t="str">
            <v>natural gas peaker</v>
          </cell>
        </row>
        <row r="21239">
          <cell r="C21239" t="str">
            <v>ST</v>
          </cell>
          <cell r="D21239">
            <v>1</v>
          </cell>
          <cell r="H21239" t="str">
            <v>natural gas peaker</v>
          </cell>
        </row>
        <row r="21240">
          <cell r="C21240" t="str">
            <v>GT</v>
          </cell>
          <cell r="D21240">
            <v>4.7</v>
          </cell>
          <cell r="H21240" t="str">
            <v>natural gas peaker</v>
          </cell>
        </row>
        <row r="21241">
          <cell r="C21241" t="str">
            <v>GT</v>
          </cell>
          <cell r="D21241">
            <v>4.7</v>
          </cell>
          <cell r="H21241" t="str">
            <v>natural gas peaker</v>
          </cell>
        </row>
        <row r="21242">
          <cell r="C21242" t="str">
            <v>WT</v>
          </cell>
          <cell r="D21242">
            <v>2.2999999999999998</v>
          </cell>
          <cell r="H21242" t="str">
            <v>onshore wind</v>
          </cell>
        </row>
        <row r="21243">
          <cell r="C21243" t="str">
            <v>WT</v>
          </cell>
          <cell r="D21243">
            <v>2.2999999999999998</v>
          </cell>
          <cell r="H21243" t="str">
            <v>onshore wind</v>
          </cell>
        </row>
        <row r="21244">
          <cell r="C21244" t="str">
            <v>WT</v>
          </cell>
          <cell r="D21244">
            <v>2.2999999999999998</v>
          </cell>
          <cell r="H21244" t="str">
            <v>onshore wind</v>
          </cell>
        </row>
        <row r="21245">
          <cell r="C21245" t="str">
            <v>BA</v>
          </cell>
          <cell r="D21245">
            <v>10</v>
          </cell>
          <cell r="H21245" t="str">
            <v>other</v>
          </cell>
        </row>
        <row r="21246">
          <cell r="C21246" t="str">
            <v>PV</v>
          </cell>
          <cell r="D21246">
            <v>20</v>
          </cell>
          <cell r="H21246" t="str">
            <v>solar PV</v>
          </cell>
        </row>
        <row r="21247">
          <cell r="C21247" t="str">
            <v>BA</v>
          </cell>
          <cell r="D21247">
            <v>1.2</v>
          </cell>
          <cell r="H21247" t="str">
            <v>other</v>
          </cell>
        </row>
        <row r="21248">
          <cell r="C21248" t="str">
            <v>PV</v>
          </cell>
          <cell r="D21248">
            <v>7.1</v>
          </cell>
          <cell r="H21248" t="str">
            <v>solar PV</v>
          </cell>
        </row>
        <row r="21249">
          <cell r="C21249" t="str">
            <v>PV</v>
          </cell>
          <cell r="D21249">
            <v>5</v>
          </cell>
          <cell r="H21249" t="str">
            <v>solar PV</v>
          </cell>
        </row>
        <row r="21250">
          <cell r="C21250" t="str">
            <v>PV</v>
          </cell>
          <cell r="D21250">
            <v>1</v>
          </cell>
          <cell r="H21250" t="str">
            <v>solar PV</v>
          </cell>
        </row>
        <row r="21251">
          <cell r="C21251" t="str">
            <v>PV</v>
          </cell>
          <cell r="D21251">
            <v>1</v>
          </cell>
          <cell r="H21251" t="str">
            <v>solar PV</v>
          </cell>
        </row>
        <row r="21252">
          <cell r="C21252" t="str">
            <v>IC</v>
          </cell>
          <cell r="D21252">
            <v>2.5</v>
          </cell>
          <cell r="H21252" t="str">
            <v>petroleum</v>
          </cell>
        </row>
        <row r="21253">
          <cell r="C21253" t="str">
            <v>IC</v>
          </cell>
          <cell r="D21253">
            <v>0.4</v>
          </cell>
          <cell r="H21253" t="str">
            <v>petroleum</v>
          </cell>
        </row>
        <row r="21254">
          <cell r="C21254" t="str">
            <v>IC</v>
          </cell>
          <cell r="D21254">
            <v>0.4</v>
          </cell>
          <cell r="H21254" t="str">
            <v>petroleum</v>
          </cell>
        </row>
        <row r="21255">
          <cell r="C21255" t="str">
            <v>IC</v>
          </cell>
          <cell r="D21255">
            <v>0.4</v>
          </cell>
          <cell r="H21255" t="str">
            <v>petroleum</v>
          </cell>
        </row>
        <row r="21256">
          <cell r="C21256" t="str">
            <v>PV</v>
          </cell>
          <cell r="D21256">
            <v>1</v>
          </cell>
          <cell r="H21256" t="str">
            <v>solar PV</v>
          </cell>
        </row>
        <row r="21257">
          <cell r="C21257" t="str">
            <v>HY</v>
          </cell>
          <cell r="D21257">
            <v>1.3</v>
          </cell>
          <cell r="H21257" t="str">
            <v>hydro</v>
          </cell>
        </row>
        <row r="21258">
          <cell r="C21258" t="str">
            <v>PV</v>
          </cell>
          <cell r="D21258">
            <v>1</v>
          </cell>
          <cell r="H21258" t="str">
            <v>solar PV</v>
          </cell>
        </row>
        <row r="21259">
          <cell r="C21259" t="str">
            <v>PV</v>
          </cell>
          <cell r="D21259">
            <v>5</v>
          </cell>
          <cell r="H21259" t="str">
            <v>solar PV</v>
          </cell>
        </row>
        <row r="21260">
          <cell r="C21260" t="str">
            <v>PV</v>
          </cell>
          <cell r="D21260">
            <v>3</v>
          </cell>
          <cell r="H21260" t="str">
            <v>solar PV</v>
          </cell>
        </row>
        <row r="21261">
          <cell r="C21261" t="str">
            <v>PV</v>
          </cell>
          <cell r="D21261">
            <v>52.1</v>
          </cell>
          <cell r="H21261" t="str">
            <v>solar PV</v>
          </cell>
        </row>
        <row r="21262">
          <cell r="C21262" t="str">
            <v>PV</v>
          </cell>
          <cell r="D21262">
            <v>1.9</v>
          </cell>
          <cell r="H21262" t="str">
            <v>solar PV</v>
          </cell>
        </row>
        <row r="21263">
          <cell r="C21263" t="str">
            <v>PV</v>
          </cell>
          <cell r="D21263">
            <v>1</v>
          </cell>
          <cell r="H21263" t="str">
            <v>solar PV</v>
          </cell>
        </row>
        <row r="21264">
          <cell r="C21264" t="str">
            <v>PV</v>
          </cell>
          <cell r="D21264">
            <v>50</v>
          </cell>
          <cell r="H21264" t="str">
            <v>solar PV</v>
          </cell>
        </row>
        <row r="21265">
          <cell r="C21265" t="str">
            <v>PV</v>
          </cell>
          <cell r="D21265">
            <v>1.3</v>
          </cell>
          <cell r="H21265" t="str">
            <v>solar PV</v>
          </cell>
        </row>
        <row r="21266">
          <cell r="C21266" t="str">
            <v>PV</v>
          </cell>
          <cell r="D21266">
            <v>1.6</v>
          </cell>
          <cell r="H21266" t="str">
            <v>solar PV</v>
          </cell>
        </row>
        <row r="21267">
          <cell r="C21267" t="str">
            <v>PV</v>
          </cell>
          <cell r="D21267">
            <v>2.6</v>
          </cell>
          <cell r="H21267" t="str">
            <v>solar PV</v>
          </cell>
        </row>
        <row r="21268">
          <cell r="C21268" t="str">
            <v>PV</v>
          </cell>
          <cell r="D21268">
            <v>72.5</v>
          </cell>
          <cell r="H21268" t="str">
            <v>solar PV</v>
          </cell>
        </row>
        <row r="21269">
          <cell r="C21269" t="str">
            <v>IC</v>
          </cell>
          <cell r="D21269">
            <v>3.2</v>
          </cell>
          <cell r="H21269" t="str">
            <v>biomass</v>
          </cell>
        </row>
        <row r="21270">
          <cell r="C21270" t="str">
            <v>PV</v>
          </cell>
          <cell r="D21270">
            <v>0.1</v>
          </cell>
          <cell r="H21270" t="str">
            <v>solar PV</v>
          </cell>
        </row>
        <row r="21271">
          <cell r="C21271" t="str">
            <v>GT</v>
          </cell>
          <cell r="D21271">
            <v>10.3</v>
          </cell>
          <cell r="H21271" t="str">
            <v>natural gas peaker</v>
          </cell>
        </row>
        <row r="21272">
          <cell r="C21272" t="str">
            <v>PV</v>
          </cell>
          <cell r="D21272">
            <v>1</v>
          </cell>
          <cell r="H21272" t="str">
            <v>solar PV</v>
          </cell>
        </row>
        <row r="21273">
          <cell r="C21273" t="str">
            <v>PV</v>
          </cell>
          <cell r="D21273">
            <v>1</v>
          </cell>
          <cell r="H21273" t="str">
            <v>solar PV</v>
          </cell>
        </row>
        <row r="21274">
          <cell r="C21274" t="str">
            <v>PV</v>
          </cell>
          <cell r="D21274">
            <v>1</v>
          </cell>
          <cell r="H21274" t="str">
            <v>solar PV</v>
          </cell>
        </row>
        <row r="21275">
          <cell r="C21275" t="str">
            <v>PV</v>
          </cell>
          <cell r="D21275">
            <v>1</v>
          </cell>
          <cell r="H21275" t="str">
            <v>solar PV</v>
          </cell>
        </row>
        <row r="21276">
          <cell r="C21276" t="str">
            <v>PV</v>
          </cell>
          <cell r="D21276">
            <v>1</v>
          </cell>
          <cell r="H21276" t="str">
            <v>solar PV</v>
          </cell>
        </row>
        <row r="21277">
          <cell r="C21277" t="str">
            <v>PV</v>
          </cell>
          <cell r="D21277">
            <v>1</v>
          </cell>
          <cell r="H21277" t="str">
            <v>solar PV</v>
          </cell>
        </row>
        <row r="21278">
          <cell r="C21278" t="str">
            <v>PV</v>
          </cell>
          <cell r="D21278">
            <v>1</v>
          </cell>
          <cell r="H21278" t="str">
            <v>solar PV</v>
          </cell>
        </row>
        <row r="21279">
          <cell r="C21279" t="str">
            <v>PV</v>
          </cell>
          <cell r="D21279">
            <v>1</v>
          </cell>
          <cell r="H21279" t="str">
            <v>solar PV</v>
          </cell>
        </row>
        <row r="21280">
          <cell r="C21280" t="str">
            <v>PV</v>
          </cell>
          <cell r="D21280">
            <v>1</v>
          </cell>
          <cell r="H21280" t="str">
            <v>solar PV</v>
          </cell>
        </row>
        <row r="21281">
          <cell r="C21281" t="str">
            <v>PV</v>
          </cell>
          <cell r="D21281">
            <v>1</v>
          </cell>
          <cell r="H21281" t="str">
            <v>solar PV</v>
          </cell>
        </row>
        <row r="21282">
          <cell r="C21282" t="str">
            <v>PV</v>
          </cell>
          <cell r="D21282">
            <v>1</v>
          </cell>
          <cell r="H21282" t="str">
            <v>solar PV</v>
          </cell>
        </row>
        <row r="21283">
          <cell r="C21283" t="str">
            <v>PV</v>
          </cell>
          <cell r="D21283">
            <v>1</v>
          </cell>
          <cell r="H21283" t="str">
            <v>solar PV</v>
          </cell>
        </row>
        <row r="21284">
          <cell r="C21284" t="str">
            <v>PV</v>
          </cell>
          <cell r="D21284">
            <v>1</v>
          </cell>
          <cell r="H21284" t="str">
            <v>solar PV</v>
          </cell>
        </row>
        <row r="21285">
          <cell r="C21285" t="str">
            <v>PV</v>
          </cell>
          <cell r="D21285">
            <v>1.1000000000000001</v>
          </cell>
          <cell r="H21285" t="str">
            <v>solar PV</v>
          </cell>
        </row>
        <row r="21286">
          <cell r="C21286" t="str">
            <v>PV</v>
          </cell>
          <cell r="D21286">
            <v>2</v>
          </cell>
          <cell r="H21286" t="str">
            <v>solar PV</v>
          </cell>
        </row>
        <row r="21287">
          <cell r="C21287" t="str">
            <v>PV</v>
          </cell>
          <cell r="D21287">
            <v>1.5</v>
          </cell>
          <cell r="H21287" t="str">
            <v>solar PV</v>
          </cell>
        </row>
        <row r="21288">
          <cell r="C21288" t="str">
            <v>BA</v>
          </cell>
          <cell r="D21288">
            <v>1</v>
          </cell>
          <cell r="H21288" t="str">
            <v>other</v>
          </cell>
        </row>
        <row r="21289">
          <cell r="C21289" t="str">
            <v>BA</v>
          </cell>
          <cell r="D21289">
            <v>1</v>
          </cell>
          <cell r="H21289" t="str">
            <v>other</v>
          </cell>
        </row>
        <row r="21290">
          <cell r="C21290" t="str">
            <v>BA</v>
          </cell>
          <cell r="D21290">
            <v>4.5</v>
          </cell>
          <cell r="H21290" t="str">
            <v>other</v>
          </cell>
        </row>
        <row r="21291">
          <cell r="C21291" t="str">
            <v>BA</v>
          </cell>
          <cell r="D21291">
            <v>2.5</v>
          </cell>
          <cell r="H21291" t="str">
            <v>other</v>
          </cell>
        </row>
        <row r="21292">
          <cell r="C21292" t="str">
            <v>BA</v>
          </cell>
          <cell r="D21292">
            <v>3.3</v>
          </cell>
          <cell r="H21292" t="str">
            <v>other</v>
          </cell>
        </row>
        <row r="21293">
          <cell r="C21293" t="str">
            <v>PV</v>
          </cell>
          <cell r="D21293">
            <v>2</v>
          </cell>
          <cell r="H21293" t="str">
            <v>solar PV</v>
          </cell>
        </row>
        <row r="21294">
          <cell r="C21294" t="str">
            <v>PV</v>
          </cell>
          <cell r="D21294">
            <v>1.8</v>
          </cell>
          <cell r="H21294" t="str">
            <v>solar PV</v>
          </cell>
        </row>
        <row r="21295">
          <cell r="C21295" t="str">
            <v>PV</v>
          </cell>
          <cell r="D21295">
            <v>2.4</v>
          </cell>
          <cell r="H21295" t="str">
            <v>solar PV</v>
          </cell>
        </row>
        <row r="21296">
          <cell r="C21296" t="str">
            <v>PV</v>
          </cell>
          <cell r="D21296">
            <v>3.7</v>
          </cell>
          <cell r="H21296" t="str">
            <v>solar PV</v>
          </cell>
        </row>
        <row r="21297">
          <cell r="C21297" t="str">
            <v>PV</v>
          </cell>
          <cell r="D21297">
            <v>2.4</v>
          </cell>
          <cell r="H21297" t="str">
            <v>solar PV</v>
          </cell>
        </row>
        <row r="21298">
          <cell r="C21298" t="str">
            <v>PV</v>
          </cell>
          <cell r="D21298">
            <v>7.5</v>
          </cell>
          <cell r="H21298" t="str">
            <v>solar PV</v>
          </cell>
        </row>
        <row r="21299">
          <cell r="C21299" t="str">
            <v>BA</v>
          </cell>
          <cell r="D21299">
            <v>1</v>
          </cell>
          <cell r="H21299" t="str">
            <v>other</v>
          </cell>
        </row>
        <row r="21300">
          <cell r="C21300" t="str">
            <v>PV</v>
          </cell>
          <cell r="D21300">
            <v>1.1000000000000001</v>
          </cell>
          <cell r="H21300" t="str">
            <v>solar PV</v>
          </cell>
        </row>
        <row r="21301">
          <cell r="C21301" t="str">
            <v>PV</v>
          </cell>
          <cell r="D21301">
            <v>4.9000000000000004</v>
          </cell>
          <cell r="H21301" t="str">
            <v>solar PV</v>
          </cell>
        </row>
        <row r="21302">
          <cell r="C21302" t="str">
            <v>PV</v>
          </cell>
          <cell r="D21302">
            <v>3.8</v>
          </cell>
          <cell r="H21302" t="str">
            <v>solar PV</v>
          </cell>
        </row>
        <row r="21303">
          <cell r="C21303" t="str">
            <v>PV</v>
          </cell>
          <cell r="D21303">
            <v>3</v>
          </cell>
          <cell r="H21303" t="str">
            <v>solar PV</v>
          </cell>
        </row>
        <row r="21304">
          <cell r="C21304" t="str">
            <v>WT</v>
          </cell>
          <cell r="D21304">
            <v>1.5</v>
          </cell>
          <cell r="H21304" t="str">
            <v>onshore wind</v>
          </cell>
        </row>
        <row r="21305">
          <cell r="C21305" t="str">
            <v>WT</v>
          </cell>
          <cell r="D21305">
            <v>185</v>
          </cell>
          <cell r="H21305" t="str">
            <v>onshore wind</v>
          </cell>
        </row>
        <row r="21306">
          <cell r="C21306" t="str">
            <v>PV</v>
          </cell>
          <cell r="D21306">
            <v>20</v>
          </cell>
          <cell r="H21306" t="str">
            <v>solar PV</v>
          </cell>
        </row>
        <row r="21307">
          <cell r="C21307" t="str">
            <v>IC</v>
          </cell>
          <cell r="D21307">
            <v>2</v>
          </cell>
          <cell r="H21307" t="str">
            <v>natural gas peaker</v>
          </cell>
        </row>
        <row r="21308">
          <cell r="C21308" t="str">
            <v>IC</v>
          </cell>
          <cell r="D21308">
            <v>2</v>
          </cell>
          <cell r="H21308" t="str">
            <v>natural gas peaker</v>
          </cell>
        </row>
        <row r="21309">
          <cell r="C21309" t="str">
            <v>IC</v>
          </cell>
          <cell r="D21309">
            <v>2</v>
          </cell>
          <cell r="H21309" t="str">
            <v>natural gas peaker</v>
          </cell>
        </row>
        <row r="21310">
          <cell r="C21310" t="str">
            <v>IC</v>
          </cell>
          <cell r="D21310">
            <v>2</v>
          </cell>
          <cell r="H21310" t="str">
            <v>natural gas peaker</v>
          </cell>
        </row>
        <row r="21311">
          <cell r="C21311" t="str">
            <v>PV</v>
          </cell>
          <cell r="D21311">
            <v>1.6</v>
          </cell>
          <cell r="H21311" t="str">
            <v>solar PV</v>
          </cell>
        </row>
        <row r="21312">
          <cell r="C21312" t="str">
            <v>BA</v>
          </cell>
          <cell r="D21312">
            <v>1</v>
          </cell>
          <cell r="H21312" t="str">
            <v>other</v>
          </cell>
        </row>
        <row r="21313">
          <cell r="C21313" t="str">
            <v>PV</v>
          </cell>
          <cell r="D21313">
            <v>3</v>
          </cell>
          <cell r="H21313" t="str">
            <v>solar PV</v>
          </cell>
        </row>
        <row r="21314">
          <cell r="C21314" t="str">
            <v>BA</v>
          </cell>
          <cell r="D21314">
            <v>1.5</v>
          </cell>
          <cell r="H21314" t="str">
            <v>other</v>
          </cell>
        </row>
        <row r="21315">
          <cell r="C21315" t="str">
            <v>FW</v>
          </cell>
          <cell r="D21315">
            <v>2.5</v>
          </cell>
          <cell r="H21315" t="str">
            <v>other</v>
          </cell>
        </row>
        <row r="21316">
          <cell r="C21316" t="str">
            <v>FW</v>
          </cell>
          <cell r="D21316">
            <v>2.5</v>
          </cell>
          <cell r="H21316" t="str">
            <v>other</v>
          </cell>
        </row>
        <row r="21317">
          <cell r="C21317" t="str">
            <v>PV</v>
          </cell>
          <cell r="D21317">
            <v>0.9</v>
          </cell>
          <cell r="H21317" t="str">
            <v>solar PV</v>
          </cell>
        </row>
        <row r="21318">
          <cell r="C21318" t="str">
            <v>WT</v>
          </cell>
          <cell r="D21318">
            <v>20</v>
          </cell>
          <cell r="H21318" t="str">
            <v>onshore wind</v>
          </cell>
        </row>
        <row r="21319">
          <cell r="C21319" t="str">
            <v>WT</v>
          </cell>
          <cell r="D21319">
            <v>20</v>
          </cell>
          <cell r="H21319" t="str">
            <v>onshore wind</v>
          </cell>
        </row>
        <row r="21320">
          <cell r="C21320" t="str">
            <v>PV</v>
          </cell>
          <cell r="D21320">
            <v>10.199999999999999</v>
          </cell>
          <cell r="H21320" t="str">
            <v>solar PV</v>
          </cell>
        </row>
        <row r="21321">
          <cell r="C21321" t="str">
            <v>PV</v>
          </cell>
          <cell r="D21321">
            <v>100</v>
          </cell>
          <cell r="H21321" t="str">
            <v>solar PV</v>
          </cell>
        </row>
        <row r="21322">
          <cell r="C21322" t="str">
            <v>PV</v>
          </cell>
          <cell r="D21322">
            <v>2.7</v>
          </cell>
          <cell r="H21322" t="str">
            <v>solar PV</v>
          </cell>
        </row>
        <row r="21323">
          <cell r="C21323" t="str">
            <v>PV</v>
          </cell>
          <cell r="D21323">
            <v>1.5</v>
          </cell>
          <cell r="H21323" t="str">
            <v>solar PV</v>
          </cell>
        </row>
        <row r="21324">
          <cell r="C21324" t="str">
            <v>PV</v>
          </cell>
          <cell r="D21324">
            <v>1.5</v>
          </cell>
          <cell r="H21324" t="str">
            <v>solar PV</v>
          </cell>
        </row>
        <row r="21325">
          <cell r="C21325" t="str">
            <v>PV</v>
          </cell>
          <cell r="D21325">
            <v>1.5</v>
          </cell>
          <cell r="H21325" t="str">
            <v>solar PV</v>
          </cell>
        </row>
        <row r="21326">
          <cell r="C21326" t="str">
            <v>IC</v>
          </cell>
          <cell r="D21326">
            <v>3.3</v>
          </cell>
          <cell r="H21326" t="str">
            <v>natural gas peaker</v>
          </cell>
        </row>
        <row r="21327">
          <cell r="C21327" t="str">
            <v>IC</v>
          </cell>
          <cell r="D21327">
            <v>3.3</v>
          </cell>
          <cell r="H21327" t="str">
            <v>natural gas peaker</v>
          </cell>
        </row>
        <row r="21328">
          <cell r="C21328" t="str">
            <v>PV</v>
          </cell>
          <cell r="D21328">
            <v>5.8</v>
          </cell>
          <cell r="H21328" t="str">
            <v>solar PV</v>
          </cell>
        </row>
        <row r="21329">
          <cell r="C21329" t="str">
            <v>WT</v>
          </cell>
          <cell r="D21329">
            <v>200.4</v>
          </cell>
          <cell r="H21329" t="str">
            <v>onshore wind</v>
          </cell>
        </row>
        <row r="21330">
          <cell r="C21330" t="str">
            <v>IC</v>
          </cell>
          <cell r="D21330">
            <v>1.4</v>
          </cell>
          <cell r="H21330" t="str">
            <v>biomass</v>
          </cell>
        </row>
        <row r="21331">
          <cell r="C21331" t="str">
            <v>IC</v>
          </cell>
          <cell r="D21331">
            <v>1.4</v>
          </cell>
          <cell r="H21331" t="str">
            <v>biomass</v>
          </cell>
        </row>
        <row r="21332">
          <cell r="C21332" t="str">
            <v>IC</v>
          </cell>
          <cell r="D21332">
            <v>1.4</v>
          </cell>
          <cell r="H21332" t="str">
            <v>biomass</v>
          </cell>
        </row>
        <row r="21333">
          <cell r="C21333" t="str">
            <v>PV</v>
          </cell>
          <cell r="D21333">
            <v>10</v>
          </cell>
          <cell r="H21333" t="str">
            <v>solar PV</v>
          </cell>
        </row>
        <row r="21334">
          <cell r="C21334" t="str">
            <v>ST</v>
          </cell>
          <cell r="D21334">
            <v>6.3</v>
          </cell>
          <cell r="H21334" t="str">
            <v>biomass</v>
          </cell>
        </row>
        <row r="21335">
          <cell r="C21335" t="str">
            <v>PV</v>
          </cell>
          <cell r="D21335">
            <v>5</v>
          </cell>
          <cell r="H21335" t="str">
            <v>solar PV</v>
          </cell>
        </row>
        <row r="21336">
          <cell r="C21336" t="str">
            <v>PV</v>
          </cell>
          <cell r="D21336">
            <v>74.5</v>
          </cell>
          <cell r="H21336" t="str">
            <v>solar PV</v>
          </cell>
        </row>
        <row r="21337">
          <cell r="C21337" t="str">
            <v>PV</v>
          </cell>
          <cell r="D21337">
            <v>2</v>
          </cell>
          <cell r="H21337" t="str">
            <v>solar PV</v>
          </cell>
        </row>
        <row r="21338">
          <cell r="C21338" t="str">
            <v>PV</v>
          </cell>
          <cell r="D21338">
            <v>2</v>
          </cell>
          <cell r="H21338" t="str">
            <v>solar PV</v>
          </cell>
        </row>
        <row r="21339">
          <cell r="C21339" t="str">
            <v>PV</v>
          </cell>
          <cell r="D21339">
            <v>74.5</v>
          </cell>
          <cell r="H21339" t="str">
            <v>solar PV</v>
          </cell>
        </row>
        <row r="21340">
          <cell r="C21340" t="str">
            <v>PV</v>
          </cell>
          <cell r="D21340">
            <v>74.5</v>
          </cell>
          <cell r="H21340" t="str">
            <v>solar PV</v>
          </cell>
        </row>
        <row r="21341">
          <cell r="C21341" t="str">
            <v>PV</v>
          </cell>
          <cell r="D21341">
            <v>74.5</v>
          </cell>
          <cell r="H21341" t="str">
            <v>solar PV</v>
          </cell>
        </row>
        <row r="21342">
          <cell r="C21342" t="str">
            <v>PV</v>
          </cell>
          <cell r="D21342">
            <v>2</v>
          </cell>
          <cell r="H21342" t="str">
            <v>solar PV</v>
          </cell>
        </row>
        <row r="21343">
          <cell r="C21343" t="str">
            <v>PV</v>
          </cell>
          <cell r="D21343">
            <v>2</v>
          </cell>
          <cell r="H21343" t="str">
            <v>solar PV</v>
          </cell>
        </row>
        <row r="21344">
          <cell r="C21344" t="str">
            <v>PV</v>
          </cell>
          <cell r="D21344">
            <v>1</v>
          </cell>
          <cell r="H21344" t="str">
            <v>solar PV</v>
          </cell>
        </row>
        <row r="21345">
          <cell r="C21345" t="str">
            <v>PV</v>
          </cell>
          <cell r="D21345">
            <v>2</v>
          </cell>
          <cell r="H21345" t="str">
            <v>solar PV</v>
          </cell>
        </row>
        <row r="21346">
          <cell r="C21346" t="str">
            <v>WT</v>
          </cell>
          <cell r="D21346">
            <v>1.5</v>
          </cell>
          <cell r="H21346" t="str">
            <v>onshore wind</v>
          </cell>
        </row>
        <row r="21347">
          <cell r="C21347" t="str">
            <v>WT</v>
          </cell>
          <cell r="D21347">
            <v>162.9</v>
          </cell>
          <cell r="H21347" t="str">
            <v>onshore wind</v>
          </cell>
        </row>
        <row r="21348">
          <cell r="C21348" t="str">
            <v>IC</v>
          </cell>
          <cell r="D21348">
            <v>1.6</v>
          </cell>
          <cell r="H21348" t="str">
            <v>biomass</v>
          </cell>
        </row>
        <row r="21349">
          <cell r="C21349" t="str">
            <v>IC</v>
          </cell>
          <cell r="D21349">
            <v>1.6</v>
          </cell>
          <cell r="H21349" t="str">
            <v>biomass</v>
          </cell>
        </row>
        <row r="21350">
          <cell r="C21350" t="str">
            <v>IC</v>
          </cell>
          <cell r="D21350">
            <v>1.6</v>
          </cell>
          <cell r="H21350" t="str">
            <v>biomass</v>
          </cell>
        </row>
        <row r="21351">
          <cell r="C21351" t="str">
            <v>IC</v>
          </cell>
          <cell r="D21351">
            <v>1.6</v>
          </cell>
          <cell r="H21351" t="str">
            <v>biomass</v>
          </cell>
        </row>
        <row r="21352">
          <cell r="C21352" t="str">
            <v>IC</v>
          </cell>
          <cell r="D21352">
            <v>1.6</v>
          </cell>
          <cell r="H21352" t="str">
            <v>biomass</v>
          </cell>
        </row>
        <row r="21353">
          <cell r="C21353" t="str">
            <v>IC</v>
          </cell>
          <cell r="D21353">
            <v>1.6</v>
          </cell>
          <cell r="H21353" t="str">
            <v>biomass</v>
          </cell>
        </row>
        <row r="21354">
          <cell r="C21354" t="str">
            <v>PV</v>
          </cell>
          <cell r="D21354">
            <v>20</v>
          </cell>
          <cell r="H21354" t="str">
            <v>solar PV</v>
          </cell>
        </row>
        <row r="21355">
          <cell r="C21355" t="str">
            <v>IC</v>
          </cell>
          <cell r="D21355">
            <v>1.6</v>
          </cell>
          <cell r="H21355" t="str">
            <v>biomass</v>
          </cell>
        </row>
        <row r="21356">
          <cell r="C21356" t="str">
            <v>IC</v>
          </cell>
          <cell r="D21356">
            <v>1.6</v>
          </cell>
          <cell r="H21356" t="str">
            <v>biomass</v>
          </cell>
        </row>
        <row r="21357">
          <cell r="C21357" t="str">
            <v>IC</v>
          </cell>
          <cell r="D21357">
            <v>1.6</v>
          </cell>
          <cell r="H21357" t="str">
            <v>biomass</v>
          </cell>
        </row>
        <row r="21358">
          <cell r="C21358" t="str">
            <v>IC</v>
          </cell>
          <cell r="D21358">
            <v>1.6</v>
          </cell>
          <cell r="H21358" t="str">
            <v>biomass</v>
          </cell>
        </row>
        <row r="21359">
          <cell r="C21359" t="str">
            <v>PV</v>
          </cell>
          <cell r="D21359">
            <v>5</v>
          </cell>
          <cell r="H21359" t="str">
            <v>solar PV</v>
          </cell>
        </row>
        <row r="21360">
          <cell r="C21360" t="str">
            <v>WT</v>
          </cell>
          <cell r="D21360">
            <v>199.5</v>
          </cell>
          <cell r="H21360" t="str">
            <v>onshore wind</v>
          </cell>
        </row>
        <row r="21361">
          <cell r="C21361" t="str">
            <v>WT</v>
          </cell>
          <cell r="D21361">
            <v>202.5</v>
          </cell>
          <cell r="H21361" t="str">
            <v>onshore wind</v>
          </cell>
        </row>
        <row r="21362">
          <cell r="C21362" t="str">
            <v>FC</v>
          </cell>
          <cell r="D21362">
            <v>1.4</v>
          </cell>
          <cell r="H21362" t="str">
            <v>other</v>
          </cell>
        </row>
        <row r="21363">
          <cell r="C21363" t="str">
            <v>WT</v>
          </cell>
          <cell r="D21363">
            <v>119</v>
          </cell>
          <cell r="H21363" t="str">
            <v>onshore wind</v>
          </cell>
        </row>
        <row r="21364">
          <cell r="C21364" t="str">
            <v>WT</v>
          </cell>
          <cell r="D21364">
            <v>2</v>
          </cell>
          <cell r="H21364" t="str">
            <v>onshore wind</v>
          </cell>
        </row>
        <row r="21365">
          <cell r="C21365" t="str">
            <v>WT</v>
          </cell>
          <cell r="D21365">
            <v>299.3</v>
          </cell>
          <cell r="H21365" t="str">
            <v>onshore wind</v>
          </cell>
        </row>
        <row r="21366">
          <cell r="C21366" t="str">
            <v>PV</v>
          </cell>
          <cell r="D21366">
            <v>74.900000000000006</v>
          </cell>
          <cell r="H21366" t="str">
            <v>solar PV</v>
          </cell>
        </row>
        <row r="21367">
          <cell r="C21367" t="str">
            <v>PV</v>
          </cell>
          <cell r="D21367">
            <v>0.8</v>
          </cell>
          <cell r="H21367" t="str">
            <v>solar PV</v>
          </cell>
        </row>
        <row r="21368">
          <cell r="C21368" t="str">
            <v>PV</v>
          </cell>
          <cell r="D21368">
            <v>1</v>
          </cell>
          <cell r="H21368" t="str">
            <v>solar PV</v>
          </cell>
        </row>
        <row r="21369">
          <cell r="C21369" t="str">
            <v>PV</v>
          </cell>
          <cell r="D21369">
            <v>1</v>
          </cell>
          <cell r="H21369" t="str">
            <v>solar PV</v>
          </cell>
        </row>
        <row r="21370">
          <cell r="C21370" t="str">
            <v>PV</v>
          </cell>
          <cell r="D21370">
            <v>5</v>
          </cell>
          <cell r="H21370" t="str">
            <v>solar PV</v>
          </cell>
        </row>
        <row r="21371">
          <cell r="C21371" t="str">
            <v>PV</v>
          </cell>
          <cell r="D21371">
            <v>2.6</v>
          </cell>
          <cell r="H21371" t="str">
            <v>solar PV</v>
          </cell>
        </row>
        <row r="21372">
          <cell r="C21372" t="str">
            <v>PV</v>
          </cell>
          <cell r="D21372">
            <v>1</v>
          </cell>
          <cell r="H21372" t="str">
            <v>solar PV</v>
          </cell>
        </row>
        <row r="21373">
          <cell r="C21373" t="str">
            <v>PV</v>
          </cell>
          <cell r="D21373">
            <v>4</v>
          </cell>
          <cell r="H21373" t="str">
            <v>solar PV</v>
          </cell>
        </row>
        <row r="21374">
          <cell r="C21374" t="str">
            <v>PV</v>
          </cell>
          <cell r="D21374">
            <v>1.2</v>
          </cell>
          <cell r="H21374" t="str">
            <v>solar PV</v>
          </cell>
        </row>
        <row r="21375">
          <cell r="C21375" t="str">
            <v>PV</v>
          </cell>
          <cell r="D21375">
            <v>1.8</v>
          </cell>
          <cell r="H21375" t="str">
            <v>solar PV</v>
          </cell>
        </row>
        <row r="21376">
          <cell r="C21376" t="str">
            <v>PV</v>
          </cell>
          <cell r="D21376">
            <v>1.8</v>
          </cell>
          <cell r="H21376" t="str">
            <v>solar PV</v>
          </cell>
        </row>
        <row r="21377">
          <cell r="C21377" t="str">
            <v>PV</v>
          </cell>
          <cell r="D21377">
            <v>74.900000000000006</v>
          </cell>
          <cell r="H21377" t="str">
            <v>solar PV</v>
          </cell>
        </row>
        <row r="21378">
          <cell r="C21378" t="str">
            <v>PV</v>
          </cell>
          <cell r="D21378">
            <v>20</v>
          </cell>
          <cell r="H21378" t="str">
            <v>solar PV</v>
          </cell>
        </row>
        <row r="21379">
          <cell r="C21379" t="str">
            <v>PV</v>
          </cell>
          <cell r="D21379">
            <v>10</v>
          </cell>
          <cell r="H21379" t="str">
            <v>solar PV</v>
          </cell>
        </row>
        <row r="21380">
          <cell r="C21380" t="str">
            <v>PV</v>
          </cell>
          <cell r="D21380">
            <v>50</v>
          </cell>
          <cell r="H21380" t="str">
            <v>solar PV</v>
          </cell>
        </row>
        <row r="21381">
          <cell r="C21381" t="str">
            <v>PV</v>
          </cell>
          <cell r="D21381">
            <v>60</v>
          </cell>
          <cell r="H21381" t="str">
            <v>solar PV</v>
          </cell>
        </row>
        <row r="21382">
          <cell r="C21382" t="str">
            <v>PV</v>
          </cell>
          <cell r="D21382">
            <v>4.5</v>
          </cell>
          <cell r="H21382" t="str">
            <v>solar PV</v>
          </cell>
        </row>
        <row r="21383">
          <cell r="C21383" t="str">
            <v>PV</v>
          </cell>
          <cell r="D21383">
            <v>0.5</v>
          </cell>
          <cell r="H21383" t="str">
            <v>solar PV</v>
          </cell>
        </row>
        <row r="21384">
          <cell r="C21384" t="str">
            <v>PV</v>
          </cell>
          <cell r="D21384">
            <v>0.5</v>
          </cell>
          <cell r="H21384" t="str">
            <v>solar PV</v>
          </cell>
        </row>
        <row r="21385">
          <cell r="C21385" t="str">
            <v>PV</v>
          </cell>
          <cell r="D21385">
            <v>0.5</v>
          </cell>
          <cell r="H21385" t="str">
            <v>solar PV</v>
          </cell>
        </row>
        <row r="21386">
          <cell r="C21386" t="str">
            <v>PV</v>
          </cell>
          <cell r="D21386">
            <v>0.5</v>
          </cell>
          <cell r="H21386" t="str">
            <v>solar PV</v>
          </cell>
        </row>
        <row r="21387">
          <cell r="C21387" t="str">
            <v>PV</v>
          </cell>
          <cell r="D21387">
            <v>0.5</v>
          </cell>
          <cell r="H21387" t="str">
            <v>solar PV</v>
          </cell>
        </row>
        <row r="21388">
          <cell r="C21388" t="str">
            <v>PV</v>
          </cell>
          <cell r="D21388">
            <v>1.2</v>
          </cell>
          <cell r="H21388" t="str">
            <v>solar PV</v>
          </cell>
        </row>
        <row r="21389">
          <cell r="C21389" t="str">
            <v>PV</v>
          </cell>
          <cell r="D21389">
            <v>5</v>
          </cell>
          <cell r="H21389" t="str">
            <v>solar PV</v>
          </cell>
        </row>
        <row r="21390">
          <cell r="C21390" t="str">
            <v>PV</v>
          </cell>
          <cell r="D21390">
            <v>1.9</v>
          </cell>
          <cell r="H21390" t="str">
            <v>solar PV</v>
          </cell>
        </row>
        <row r="21391">
          <cell r="C21391" t="str">
            <v>PV</v>
          </cell>
          <cell r="D21391">
            <v>1</v>
          </cell>
          <cell r="H21391" t="str">
            <v>solar PV</v>
          </cell>
        </row>
        <row r="21392">
          <cell r="C21392" t="str">
            <v>FC</v>
          </cell>
          <cell r="D21392">
            <v>0.3</v>
          </cell>
          <cell r="H21392" t="str">
            <v>other</v>
          </cell>
        </row>
        <row r="21393">
          <cell r="C21393" t="str">
            <v>PV</v>
          </cell>
          <cell r="D21393">
            <v>0.8</v>
          </cell>
          <cell r="H21393" t="str">
            <v>solar PV</v>
          </cell>
        </row>
        <row r="21394">
          <cell r="C21394" t="str">
            <v>PV</v>
          </cell>
          <cell r="D21394">
            <v>1.4</v>
          </cell>
          <cell r="H21394" t="str">
            <v>solar PV</v>
          </cell>
        </row>
        <row r="21395">
          <cell r="C21395" t="str">
            <v>IC</v>
          </cell>
          <cell r="D21395">
            <v>2</v>
          </cell>
          <cell r="H21395" t="str">
            <v>petroleum</v>
          </cell>
        </row>
        <row r="21396">
          <cell r="C21396" t="str">
            <v>IC</v>
          </cell>
          <cell r="D21396">
            <v>2</v>
          </cell>
          <cell r="H21396" t="str">
            <v>petroleum</v>
          </cell>
        </row>
        <row r="21397">
          <cell r="C21397" t="str">
            <v>IC</v>
          </cell>
          <cell r="D21397">
            <v>2</v>
          </cell>
          <cell r="H21397" t="str">
            <v>petroleum</v>
          </cell>
        </row>
        <row r="21398">
          <cell r="C21398" t="str">
            <v>GT</v>
          </cell>
          <cell r="D21398">
            <v>4.4000000000000004</v>
          </cell>
          <cell r="H21398" t="str">
            <v>natural gas peaker</v>
          </cell>
        </row>
        <row r="21399">
          <cell r="C21399" t="str">
            <v>PV</v>
          </cell>
          <cell r="D21399">
            <v>0.2</v>
          </cell>
          <cell r="H21399" t="str">
            <v>solar PV</v>
          </cell>
        </row>
        <row r="21400">
          <cell r="C21400" t="str">
            <v>PV</v>
          </cell>
          <cell r="D21400">
            <v>3</v>
          </cell>
          <cell r="H21400" t="str">
            <v>solar PV</v>
          </cell>
        </row>
        <row r="21401">
          <cell r="C21401" t="str">
            <v>PV</v>
          </cell>
          <cell r="D21401">
            <v>1.4</v>
          </cell>
          <cell r="H21401" t="str">
            <v>solar PV</v>
          </cell>
        </row>
        <row r="21402">
          <cell r="C21402" t="str">
            <v>PV</v>
          </cell>
          <cell r="D21402">
            <v>4.5</v>
          </cell>
          <cell r="H21402" t="str">
            <v>solar PV</v>
          </cell>
        </row>
        <row r="21403">
          <cell r="C21403" t="str">
            <v>PV</v>
          </cell>
          <cell r="D21403">
            <v>2.2000000000000002</v>
          </cell>
          <cell r="H21403" t="str">
            <v>solar PV</v>
          </cell>
        </row>
        <row r="21404">
          <cell r="C21404" t="str">
            <v>PV</v>
          </cell>
          <cell r="D21404">
            <v>2.2000000000000002</v>
          </cell>
          <cell r="H21404" t="str">
            <v>solar PV</v>
          </cell>
        </row>
        <row r="21405">
          <cell r="C21405" t="str">
            <v>PV</v>
          </cell>
          <cell r="D21405">
            <v>2.2000000000000002</v>
          </cell>
          <cell r="H21405" t="str">
            <v>solar PV</v>
          </cell>
        </row>
        <row r="21406">
          <cell r="C21406" t="str">
            <v>PV</v>
          </cell>
          <cell r="D21406">
            <v>2.2000000000000002</v>
          </cell>
          <cell r="H21406" t="str">
            <v>solar PV</v>
          </cell>
        </row>
        <row r="21407">
          <cell r="C21407" t="str">
            <v>PV</v>
          </cell>
          <cell r="D21407">
            <v>2.2000000000000002</v>
          </cell>
          <cell r="H21407" t="str">
            <v>solar PV</v>
          </cell>
        </row>
        <row r="21408">
          <cell r="C21408" t="str">
            <v>PV</v>
          </cell>
          <cell r="D21408">
            <v>2.2000000000000002</v>
          </cell>
          <cell r="H21408" t="str">
            <v>solar PV</v>
          </cell>
        </row>
        <row r="21409">
          <cell r="C21409" t="str">
            <v>PV</v>
          </cell>
          <cell r="D21409">
            <v>5</v>
          </cell>
          <cell r="H21409" t="str">
            <v>solar PV</v>
          </cell>
        </row>
        <row r="21410">
          <cell r="C21410" t="str">
            <v>PV</v>
          </cell>
          <cell r="D21410">
            <v>0.9</v>
          </cell>
          <cell r="H21410" t="str">
            <v>solar PV</v>
          </cell>
        </row>
        <row r="21411">
          <cell r="C21411" t="str">
            <v>PV</v>
          </cell>
          <cell r="D21411">
            <v>2.2000000000000002</v>
          </cell>
          <cell r="H21411" t="str">
            <v>solar PV</v>
          </cell>
        </row>
        <row r="21412">
          <cell r="C21412" t="str">
            <v>WT</v>
          </cell>
          <cell r="D21412">
            <v>130</v>
          </cell>
          <cell r="H21412" t="str">
            <v>onshore wind</v>
          </cell>
        </row>
        <row r="21413">
          <cell r="C21413" t="str">
            <v>ST</v>
          </cell>
          <cell r="D21413">
            <v>0.5</v>
          </cell>
          <cell r="H21413" t="str">
            <v>natural gas peaker</v>
          </cell>
        </row>
        <row r="21414">
          <cell r="C21414" t="str">
            <v>ST</v>
          </cell>
          <cell r="D21414">
            <v>0.5</v>
          </cell>
          <cell r="H21414" t="str">
            <v>natural gas peaker</v>
          </cell>
        </row>
        <row r="21415">
          <cell r="C21415" t="str">
            <v>PV</v>
          </cell>
          <cell r="D21415">
            <v>1</v>
          </cell>
          <cell r="H21415" t="str">
            <v>solar PV</v>
          </cell>
        </row>
        <row r="21416">
          <cell r="C21416" t="str">
            <v>PV</v>
          </cell>
          <cell r="D21416">
            <v>10</v>
          </cell>
          <cell r="H21416" t="str">
            <v>solar PV</v>
          </cell>
        </row>
        <row r="21417">
          <cell r="C21417" t="str">
            <v>PV</v>
          </cell>
          <cell r="D21417">
            <v>4.8</v>
          </cell>
          <cell r="H21417" t="str">
            <v>solar PV</v>
          </cell>
        </row>
        <row r="21418">
          <cell r="C21418" t="str">
            <v>PV</v>
          </cell>
          <cell r="D21418">
            <v>1</v>
          </cell>
          <cell r="H21418" t="str">
            <v>solar PV</v>
          </cell>
        </row>
        <row r="21419">
          <cell r="C21419" t="str">
            <v>FC</v>
          </cell>
          <cell r="D21419">
            <v>2.8</v>
          </cell>
          <cell r="H21419" t="str">
            <v>biomass</v>
          </cell>
        </row>
        <row r="21420">
          <cell r="C21420" t="str">
            <v>PV</v>
          </cell>
          <cell r="D21420">
            <v>2</v>
          </cell>
          <cell r="H21420" t="str">
            <v>solar PV</v>
          </cell>
        </row>
        <row r="21421">
          <cell r="C21421" t="str">
            <v>WT</v>
          </cell>
          <cell r="D21421">
            <v>3</v>
          </cell>
          <cell r="H21421" t="str">
            <v>onshore wind</v>
          </cell>
        </row>
        <row r="21422">
          <cell r="C21422" t="str">
            <v>PV</v>
          </cell>
          <cell r="D21422">
            <v>6</v>
          </cell>
          <cell r="H21422" t="str">
            <v>solar PV</v>
          </cell>
        </row>
        <row r="21423">
          <cell r="C21423" t="str">
            <v>IC</v>
          </cell>
          <cell r="D21423">
            <v>1.8</v>
          </cell>
          <cell r="H21423" t="str">
            <v>petroleum</v>
          </cell>
        </row>
        <row r="21424">
          <cell r="C21424" t="str">
            <v>IC</v>
          </cell>
          <cell r="D21424">
            <v>1.8</v>
          </cell>
          <cell r="H21424" t="str">
            <v>petroleum</v>
          </cell>
        </row>
        <row r="21425">
          <cell r="C21425" t="str">
            <v>IC</v>
          </cell>
          <cell r="D21425">
            <v>1.8</v>
          </cell>
          <cell r="H21425" t="str">
            <v>petroleum</v>
          </cell>
        </row>
        <row r="21426">
          <cell r="C21426" t="str">
            <v>IC</v>
          </cell>
          <cell r="D21426">
            <v>1.8</v>
          </cell>
          <cell r="H21426" t="str">
            <v>petroleum</v>
          </cell>
        </row>
        <row r="21427">
          <cell r="C21427" t="str">
            <v>IC</v>
          </cell>
          <cell r="D21427">
            <v>1.8</v>
          </cell>
          <cell r="H21427" t="str">
            <v>petroleum</v>
          </cell>
        </row>
        <row r="21428">
          <cell r="C21428" t="str">
            <v>IC</v>
          </cell>
          <cell r="D21428">
            <v>1.8</v>
          </cell>
          <cell r="H21428" t="str">
            <v>petroleum</v>
          </cell>
        </row>
        <row r="21429">
          <cell r="C21429" t="str">
            <v>IC</v>
          </cell>
          <cell r="D21429">
            <v>1.8</v>
          </cell>
          <cell r="H21429" t="str">
            <v>petroleum</v>
          </cell>
        </row>
        <row r="21430">
          <cell r="C21430" t="str">
            <v>IC</v>
          </cell>
          <cell r="D21430">
            <v>1.8</v>
          </cell>
          <cell r="H21430" t="str">
            <v>petroleum</v>
          </cell>
        </row>
        <row r="21431">
          <cell r="C21431" t="str">
            <v>IC</v>
          </cell>
          <cell r="D21431">
            <v>1.8</v>
          </cell>
          <cell r="H21431" t="str">
            <v>petroleum</v>
          </cell>
        </row>
        <row r="21432">
          <cell r="C21432" t="str">
            <v>IC</v>
          </cell>
          <cell r="D21432">
            <v>1.8</v>
          </cell>
          <cell r="H21432" t="str">
            <v>petroleum</v>
          </cell>
        </row>
        <row r="21433">
          <cell r="C21433" t="str">
            <v>IC</v>
          </cell>
          <cell r="D21433">
            <v>1.8</v>
          </cell>
          <cell r="H21433" t="str">
            <v>petroleum</v>
          </cell>
        </row>
        <row r="21434">
          <cell r="C21434" t="str">
            <v>IC</v>
          </cell>
          <cell r="D21434">
            <v>1.8</v>
          </cell>
          <cell r="H21434" t="str">
            <v>petroleum</v>
          </cell>
        </row>
        <row r="21435">
          <cell r="C21435" t="str">
            <v>BA</v>
          </cell>
          <cell r="D21435">
            <v>1</v>
          </cell>
          <cell r="H21435" t="str">
            <v>other</v>
          </cell>
        </row>
        <row r="21436">
          <cell r="C21436" t="str">
            <v>HY</v>
          </cell>
          <cell r="D21436">
            <v>6.5</v>
          </cell>
          <cell r="H21436" t="str">
            <v>hydro</v>
          </cell>
        </row>
        <row r="21437">
          <cell r="C21437" t="str">
            <v>HY</v>
          </cell>
          <cell r="D21437">
            <v>6.5</v>
          </cell>
          <cell r="H21437" t="str">
            <v>hydro</v>
          </cell>
        </row>
        <row r="21438">
          <cell r="C21438" t="str">
            <v>GT</v>
          </cell>
          <cell r="D21438">
            <v>6.8</v>
          </cell>
          <cell r="H21438" t="str">
            <v>natural gas peaker</v>
          </cell>
        </row>
        <row r="21439">
          <cell r="C21439" t="str">
            <v>IC</v>
          </cell>
          <cell r="D21439">
            <v>5</v>
          </cell>
          <cell r="H21439" t="str">
            <v>natural gas peaker</v>
          </cell>
        </row>
        <row r="21440">
          <cell r="C21440" t="str">
            <v>IC</v>
          </cell>
          <cell r="D21440">
            <v>7.5</v>
          </cell>
          <cell r="H21440" t="str">
            <v>natural gas peaker</v>
          </cell>
        </row>
        <row r="21441">
          <cell r="C21441" t="str">
            <v>WT</v>
          </cell>
          <cell r="D21441">
            <v>79.7</v>
          </cell>
          <cell r="H21441" t="str">
            <v>onshore wind</v>
          </cell>
        </row>
        <row r="21442">
          <cell r="C21442" t="str">
            <v>BA</v>
          </cell>
          <cell r="D21442">
            <v>10</v>
          </cell>
          <cell r="H21442" t="str">
            <v>other</v>
          </cell>
        </row>
        <row r="21443">
          <cell r="C21443" t="str">
            <v>PV</v>
          </cell>
          <cell r="D21443">
            <v>1.7</v>
          </cell>
          <cell r="H21443" t="str">
            <v>solar PV</v>
          </cell>
        </row>
        <row r="21444">
          <cell r="C21444" t="str">
            <v>PV</v>
          </cell>
          <cell r="D21444">
            <v>2</v>
          </cell>
          <cell r="H21444" t="str">
            <v>solar PV</v>
          </cell>
        </row>
        <row r="21445">
          <cell r="C21445" t="str">
            <v>PV</v>
          </cell>
          <cell r="D21445">
            <v>13</v>
          </cell>
          <cell r="H21445" t="str">
            <v>solar PV</v>
          </cell>
        </row>
        <row r="21446">
          <cell r="C21446" t="str">
            <v>WT</v>
          </cell>
          <cell r="D21446">
            <v>237.6</v>
          </cell>
          <cell r="H21446" t="str">
            <v>onshore wind</v>
          </cell>
        </row>
        <row r="21447">
          <cell r="C21447" t="str">
            <v>WT</v>
          </cell>
          <cell r="D21447">
            <v>100</v>
          </cell>
          <cell r="H21447" t="str">
            <v>onshore wind</v>
          </cell>
        </row>
        <row r="21448">
          <cell r="C21448" t="str">
            <v>PV</v>
          </cell>
          <cell r="D21448">
            <v>10</v>
          </cell>
          <cell r="H21448" t="str">
            <v>solar PV</v>
          </cell>
        </row>
        <row r="21449">
          <cell r="C21449" t="str">
            <v>PV</v>
          </cell>
          <cell r="D21449">
            <v>10</v>
          </cell>
          <cell r="H21449" t="str">
            <v>solar PV</v>
          </cell>
        </row>
        <row r="21450">
          <cell r="C21450" t="str">
            <v>PV</v>
          </cell>
          <cell r="D21450">
            <v>5</v>
          </cell>
          <cell r="H21450" t="str">
            <v>solar PV</v>
          </cell>
        </row>
        <row r="21451">
          <cell r="C21451" t="str">
            <v>PV</v>
          </cell>
          <cell r="D21451">
            <v>5</v>
          </cell>
          <cell r="H21451" t="str">
            <v>solar PV</v>
          </cell>
        </row>
        <row r="21452">
          <cell r="C21452" t="str">
            <v>PV</v>
          </cell>
          <cell r="D21452">
            <v>10</v>
          </cell>
          <cell r="H21452" t="str">
            <v>solar PV</v>
          </cell>
        </row>
        <row r="21453">
          <cell r="C21453" t="str">
            <v>PV</v>
          </cell>
          <cell r="D21453">
            <v>7.5</v>
          </cell>
          <cell r="H21453" t="str">
            <v>solar PV</v>
          </cell>
        </row>
        <row r="21454">
          <cell r="C21454" t="str">
            <v>PV</v>
          </cell>
          <cell r="D21454">
            <v>5</v>
          </cell>
          <cell r="H21454" t="str">
            <v>solar PV</v>
          </cell>
        </row>
        <row r="21455">
          <cell r="C21455" t="str">
            <v>PV</v>
          </cell>
          <cell r="D21455">
            <v>10</v>
          </cell>
          <cell r="H21455" t="str">
            <v>solar PV</v>
          </cell>
        </row>
        <row r="21456">
          <cell r="C21456" t="str">
            <v>PV</v>
          </cell>
          <cell r="D21456">
            <v>10</v>
          </cell>
          <cell r="H21456" t="str">
            <v>solar PV</v>
          </cell>
        </row>
        <row r="21457">
          <cell r="C21457" t="str">
            <v>WT</v>
          </cell>
          <cell r="D21457">
            <v>198.6</v>
          </cell>
          <cell r="H21457" t="str">
            <v>onshore wind</v>
          </cell>
        </row>
        <row r="21458">
          <cell r="C21458" t="str">
            <v>PV</v>
          </cell>
          <cell r="D21458">
            <v>5</v>
          </cell>
          <cell r="H21458" t="str">
            <v>solar PV</v>
          </cell>
        </row>
        <row r="21459">
          <cell r="C21459" t="str">
            <v>PV</v>
          </cell>
          <cell r="D21459">
            <v>1.6</v>
          </cell>
          <cell r="H21459" t="str">
            <v>solar PV</v>
          </cell>
        </row>
        <row r="21460">
          <cell r="C21460" t="str">
            <v>PV</v>
          </cell>
          <cell r="D21460">
            <v>7.3</v>
          </cell>
          <cell r="H21460" t="str">
            <v>solar PV</v>
          </cell>
        </row>
        <row r="21461">
          <cell r="C21461" t="str">
            <v>PV</v>
          </cell>
          <cell r="D21461">
            <v>2</v>
          </cell>
          <cell r="H21461" t="str">
            <v>solar PV</v>
          </cell>
        </row>
        <row r="21462">
          <cell r="C21462" t="str">
            <v>PV</v>
          </cell>
          <cell r="D21462">
            <v>2</v>
          </cell>
          <cell r="H21462" t="str">
            <v>solar PV</v>
          </cell>
        </row>
        <row r="21463">
          <cell r="C21463" t="str">
            <v>PV</v>
          </cell>
          <cell r="D21463">
            <v>1.3</v>
          </cell>
          <cell r="H21463" t="str">
            <v>solar PV</v>
          </cell>
        </row>
        <row r="21464">
          <cell r="C21464" t="str">
            <v>PV</v>
          </cell>
          <cell r="D21464">
            <v>5.8</v>
          </cell>
          <cell r="H21464" t="str">
            <v>solar PV</v>
          </cell>
        </row>
        <row r="21465">
          <cell r="C21465" t="str">
            <v>PV</v>
          </cell>
          <cell r="D21465">
            <v>4</v>
          </cell>
          <cell r="H21465" t="str">
            <v>solar PV</v>
          </cell>
        </row>
        <row r="21466">
          <cell r="C21466" t="str">
            <v>PV</v>
          </cell>
          <cell r="D21466">
            <v>4</v>
          </cell>
          <cell r="H21466" t="str">
            <v>solar PV</v>
          </cell>
        </row>
        <row r="21467">
          <cell r="C21467" t="str">
            <v>PV</v>
          </cell>
          <cell r="D21467">
            <v>2</v>
          </cell>
          <cell r="H21467" t="str">
            <v>solar PV</v>
          </cell>
        </row>
        <row r="21468">
          <cell r="C21468" t="str">
            <v>PV</v>
          </cell>
          <cell r="D21468">
            <v>2</v>
          </cell>
          <cell r="H21468" t="str">
            <v>solar PV</v>
          </cell>
        </row>
        <row r="21469">
          <cell r="C21469" t="str">
            <v>WT</v>
          </cell>
          <cell r="D21469">
            <v>160</v>
          </cell>
          <cell r="H21469" t="str">
            <v>onshore wind</v>
          </cell>
        </row>
        <row r="21470">
          <cell r="C21470" t="str">
            <v>GT</v>
          </cell>
          <cell r="D21470">
            <v>84.3</v>
          </cell>
          <cell r="H21470" t="str">
            <v>natural gas peaker</v>
          </cell>
        </row>
        <row r="21471">
          <cell r="C21471" t="str">
            <v>BA</v>
          </cell>
          <cell r="D21471">
            <v>19.8</v>
          </cell>
          <cell r="H21471" t="str">
            <v>other</v>
          </cell>
        </row>
        <row r="21472">
          <cell r="C21472" t="str">
            <v>BA</v>
          </cell>
          <cell r="D21472">
            <v>19.8</v>
          </cell>
          <cell r="H21472" t="str">
            <v>other</v>
          </cell>
        </row>
        <row r="21473">
          <cell r="C21473" t="str">
            <v>PV</v>
          </cell>
          <cell r="D21473">
            <v>2.1</v>
          </cell>
          <cell r="H21473" t="str">
            <v>solar PV</v>
          </cell>
        </row>
        <row r="21474">
          <cell r="C21474" t="str">
            <v>PV</v>
          </cell>
          <cell r="D21474">
            <v>1.4</v>
          </cell>
          <cell r="H21474" t="str">
            <v>solar PV</v>
          </cell>
        </row>
        <row r="21475">
          <cell r="C21475" t="str">
            <v>PV</v>
          </cell>
          <cell r="D21475">
            <v>0.9</v>
          </cell>
          <cell r="H21475" t="str">
            <v>solar PV</v>
          </cell>
        </row>
        <row r="21476">
          <cell r="C21476" t="str">
            <v>PV</v>
          </cell>
          <cell r="D21476">
            <v>0.8</v>
          </cell>
          <cell r="H21476" t="str">
            <v>solar PV</v>
          </cell>
        </row>
        <row r="21477">
          <cell r="C21477" t="str">
            <v>PV</v>
          </cell>
          <cell r="D21477">
            <v>0.5</v>
          </cell>
          <cell r="H21477" t="str">
            <v>solar PV</v>
          </cell>
        </row>
        <row r="21478">
          <cell r="C21478" t="str">
            <v>PV</v>
          </cell>
          <cell r="D21478">
            <v>0.3</v>
          </cell>
          <cell r="H21478" t="str">
            <v>solar PV</v>
          </cell>
        </row>
        <row r="21479">
          <cell r="C21479" t="str">
            <v>PV</v>
          </cell>
          <cell r="D21479">
            <v>5.9</v>
          </cell>
          <cell r="H21479" t="str">
            <v>solar PV</v>
          </cell>
        </row>
        <row r="21480">
          <cell r="C21480" t="str">
            <v>PV</v>
          </cell>
          <cell r="D21480">
            <v>4</v>
          </cell>
          <cell r="H21480" t="str">
            <v>solar PV</v>
          </cell>
        </row>
        <row r="21481">
          <cell r="C21481" t="str">
            <v>PV</v>
          </cell>
          <cell r="D21481">
            <v>2</v>
          </cell>
          <cell r="H21481" t="str">
            <v>solar PV</v>
          </cell>
        </row>
        <row r="21482">
          <cell r="C21482" t="str">
            <v>PV</v>
          </cell>
          <cell r="D21482">
            <v>1.5</v>
          </cell>
          <cell r="H21482" t="str">
            <v>solar PV</v>
          </cell>
        </row>
        <row r="21483">
          <cell r="C21483" t="str">
            <v>BA</v>
          </cell>
          <cell r="D21483">
            <v>1</v>
          </cell>
          <cell r="H21483" t="str">
            <v>other</v>
          </cell>
        </row>
        <row r="21484">
          <cell r="C21484" t="str">
            <v>PV</v>
          </cell>
          <cell r="D21484">
            <v>7.2</v>
          </cell>
          <cell r="H21484" t="str">
            <v>solar PV</v>
          </cell>
        </row>
        <row r="21485">
          <cell r="C21485" t="str">
            <v>PV</v>
          </cell>
          <cell r="D21485">
            <v>1.2</v>
          </cell>
          <cell r="H21485" t="str">
            <v>solar PV</v>
          </cell>
        </row>
        <row r="21486">
          <cell r="C21486" t="str">
            <v>PV</v>
          </cell>
          <cell r="D21486">
            <v>2</v>
          </cell>
          <cell r="H21486" t="str">
            <v>solar PV</v>
          </cell>
        </row>
        <row r="21487">
          <cell r="C21487" t="str">
            <v>PV</v>
          </cell>
          <cell r="D21487">
            <v>2</v>
          </cell>
          <cell r="H21487" t="str">
            <v>solar PV</v>
          </cell>
        </row>
        <row r="21488">
          <cell r="C21488" t="str">
            <v>PV</v>
          </cell>
          <cell r="D21488">
            <v>2</v>
          </cell>
          <cell r="H21488" t="str">
            <v>solar PV</v>
          </cell>
        </row>
        <row r="21489">
          <cell r="C21489" t="str">
            <v>PV</v>
          </cell>
          <cell r="D21489">
            <v>250</v>
          </cell>
          <cell r="H21489" t="str">
            <v>solar PV</v>
          </cell>
        </row>
        <row r="21490">
          <cell r="C21490" t="str">
            <v>PV</v>
          </cell>
          <cell r="D21490">
            <v>7.5</v>
          </cell>
          <cell r="H21490" t="str">
            <v>solar PV</v>
          </cell>
        </row>
        <row r="21491">
          <cell r="C21491" t="str">
            <v>BA</v>
          </cell>
          <cell r="D21491">
            <v>1</v>
          </cell>
          <cell r="H21491" t="str">
            <v>other</v>
          </cell>
        </row>
        <row r="21492">
          <cell r="C21492" t="str">
            <v>WT</v>
          </cell>
          <cell r="D21492">
            <v>90.8</v>
          </cell>
          <cell r="H21492" t="str">
            <v>onshore wind</v>
          </cell>
        </row>
        <row r="21493">
          <cell r="C21493" t="str">
            <v>BT</v>
          </cell>
          <cell r="D21493">
            <v>24.7</v>
          </cell>
          <cell r="H21493" t="str">
            <v>geothermal</v>
          </cell>
        </row>
        <row r="21494">
          <cell r="C21494" t="str">
            <v>BT</v>
          </cell>
          <cell r="D21494">
            <v>24.7</v>
          </cell>
          <cell r="H21494" t="str">
            <v>geothermal</v>
          </cell>
        </row>
        <row r="21495">
          <cell r="C21495" t="str">
            <v>BA</v>
          </cell>
          <cell r="D21495">
            <v>2</v>
          </cell>
          <cell r="H21495" t="str">
            <v>other</v>
          </cell>
        </row>
        <row r="21496">
          <cell r="C21496" t="str">
            <v>PV</v>
          </cell>
          <cell r="D21496">
            <v>3</v>
          </cell>
          <cell r="H21496" t="str">
            <v>solar PV</v>
          </cell>
        </row>
        <row r="21497">
          <cell r="C21497" t="str">
            <v>PV</v>
          </cell>
          <cell r="D21497">
            <v>1.3</v>
          </cell>
          <cell r="H21497" t="str">
            <v>solar PV</v>
          </cell>
        </row>
        <row r="21498">
          <cell r="C21498" t="str">
            <v>WT</v>
          </cell>
          <cell r="D21498">
            <v>48</v>
          </cell>
          <cell r="H21498" t="str">
            <v>onshore wind</v>
          </cell>
        </row>
        <row r="21499">
          <cell r="C21499" t="str">
            <v>PV</v>
          </cell>
          <cell r="D21499">
            <v>1.4</v>
          </cell>
          <cell r="H21499" t="str">
            <v>solar PV</v>
          </cell>
        </row>
        <row r="21500">
          <cell r="C21500" t="str">
            <v>PV</v>
          </cell>
          <cell r="D21500">
            <v>5</v>
          </cell>
          <cell r="H21500" t="str">
            <v>solar PV</v>
          </cell>
        </row>
        <row r="21501">
          <cell r="C21501" t="str">
            <v>WT</v>
          </cell>
          <cell r="D21501">
            <v>300</v>
          </cell>
          <cell r="H21501" t="str">
            <v>onshore wind</v>
          </cell>
        </row>
        <row r="21502">
          <cell r="C21502" t="str">
            <v>PV</v>
          </cell>
          <cell r="D21502">
            <v>2</v>
          </cell>
          <cell r="H21502" t="str">
            <v>solar PV</v>
          </cell>
        </row>
        <row r="21503">
          <cell r="C21503" t="str">
            <v>BA</v>
          </cell>
          <cell r="D21503">
            <v>1</v>
          </cell>
          <cell r="H21503" t="str">
            <v>other</v>
          </cell>
        </row>
        <row r="21504">
          <cell r="C21504" t="str">
            <v>PV</v>
          </cell>
          <cell r="D21504">
            <v>14.7</v>
          </cell>
          <cell r="H21504" t="str">
            <v>solar PV</v>
          </cell>
        </row>
        <row r="21505">
          <cell r="C21505" t="str">
            <v>WT</v>
          </cell>
          <cell r="D21505">
            <v>50.9</v>
          </cell>
          <cell r="H21505" t="str">
            <v>onshore wind</v>
          </cell>
        </row>
        <row r="21506">
          <cell r="C21506" t="str">
            <v>BA</v>
          </cell>
          <cell r="D21506">
            <v>1</v>
          </cell>
          <cell r="H21506" t="str">
            <v>other</v>
          </cell>
        </row>
        <row r="21507">
          <cell r="C21507" t="str">
            <v>WT</v>
          </cell>
          <cell r="D21507">
            <v>247.3</v>
          </cell>
          <cell r="H21507" t="str">
            <v>onshore wind</v>
          </cell>
        </row>
        <row r="21508">
          <cell r="C21508" t="str">
            <v>GT</v>
          </cell>
          <cell r="D21508">
            <v>6.2</v>
          </cell>
          <cell r="H21508" t="str">
            <v>natural gas peaker</v>
          </cell>
        </row>
        <row r="21509">
          <cell r="C21509" t="str">
            <v>PV</v>
          </cell>
          <cell r="D21509">
            <v>4.9000000000000004</v>
          </cell>
          <cell r="H21509" t="str">
            <v>solar PV</v>
          </cell>
        </row>
        <row r="21510">
          <cell r="C21510" t="str">
            <v>PV</v>
          </cell>
          <cell r="D21510">
            <v>200</v>
          </cell>
          <cell r="H21510" t="str">
            <v>solar PV</v>
          </cell>
        </row>
        <row r="21511">
          <cell r="C21511" t="str">
            <v>PV</v>
          </cell>
          <cell r="D21511">
            <v>19.2</v>
          </cell>
          <cell r="H21511" t="str">
            <v>solar PV</v>
          </cell>
        </row>
        <row r="21512">
          <cell r="C21512" t="str">
            <v>PV</v>
          </cell>
          <cell r="D21512">
            <v>1.4</v>
          </cell>
          <cell r="H21512" t="str">
            <v>solar PV</v>
          </cell>
        </row>
        <row r="21513">
          <cell r="C21513" t="str">
            <v>PV</v>
          </cell>
          <cell r="D21513">
            <v>2</v>
          </cell>
          <cell r="H21513" t="str">
            <v>solar PV</v>
          </cell>
        </row>
        <row r="21514">
          <cell r="C21514" t="str">
            <v>PV</v>
          </cell>
          <cell r="D21514">
            <v>2</v>
          </cell>
          <cell r="H21514" t="str">
            <v>solar PV</v>
          </cell>
        </row>
        <row r="21515">
          <cell r="C21515" t="str">
            <v>PV</v>
          </cell>
          <cell r="D21515">
            <v>2</v>
          </cell>
          <cell r="H21515" t="str">
            <v>solar PV</v>
          </cell>
        </row>
        <row r="21516">
          <cell r="C21516" t="str">
            <v>PV</v>
          </cell>
          <cell r="D21516">
            <v>2</v>
          </cell>
          <cell r="H21516" t="str">
            <v>solar PV</v>
          </cell>
        </row>
        <row r="21517">
          <cell r="C21517" t="str">
            <v>PV</v>
          </cell>
          <cell r="D21517">
            <v>2</v>
          </cell>
          <cell r="H21517" t="str">
            <v>solar PV</v>
          </cell>
        </row>
        <row r="21518">
          <cell r="C21518" t="str">
            <v>PV</v>
          </cell>
          <cell r="D21518">
            <v>2</v>
          </cell>
          <cell r="H21518" t="str">
            <v>solar PV</v>
          </cell>
        </row>
        <row r="21519">
          <cell r="C21519" t="str">
            <v>PV</v>
          </cell>
          <cell r="D21519">
            <v>1.9</v>
          </cell>
          <cell r="H21519" t="str">
            <v>solar PV</v>
          </cell>
        </row>
        <row r="21520">
          <cell r="C21520" t="str">
            <v>PV</v>
          </cell>
          <cell r="D21520">
            <v>1</v>
          </cell>
          <cell r="H21520" t="str">
            <v>solar PV</v>
          </cell>
        </row>
        <row r="21521">
          <cell r="C21521" t="str">
            <v>PV</v>
          </cell>
          <cell r="D21521">
            <v>2</v>
          </cell>
          <cell r="H21521" t="str">
            <v>solar PV</v>
          </cell>
        </row>
        <row r="21522">
          <cell r="C21522" t="str">
            <v>PV</v>
          </cell>
          <cell r="D21522">
            <v>2</v>
          </cell>
          <cell r="H21522" t="str">
            <v>solar PV</v>
          </cell>
        </row>
        <row r="21523">
          <cell r="C21523" t="str">
            <v>PV</v>
          </cell>
          <cell r="D21523">
            <v>2</v>
          </cell>
          <cell r="H21523" t="str">
            <v>solar PV</v>
          </cell>
        </row>
        <row r="21524">
          <cell r="C21524" t="str">
            <v>PV</v>
          </cell>
          <cell r="D21524">
            <v>2</v>
          </cell>
          <cell r="H21524" t="str">
            <v>solar PV</v>
          </cell>
        </row>
        <row r="21525">
          <cell r="C21525" t="str">
            <v>PV</v>
          </cell>
          <cell r="D21525">
            <v>2</v>
          </cell>
          <cell r="H21525" t="str">
            <v>solar PV</v>
          </cell>
        </row>
        <row r="21526">
          <cell r="C21526" t="str">
            <v>PV</v>
          </cell>
          <cell r="D21526">
            <v>2</v>
          </cell>
          <cell r="H21526" t="str">
            <v>solar PV</v>
          </cell>
        </row>
        <row r="21527">
          <cell r="C21527" t="str">
            <v>PV</v>
          </cell>
          <cell r="D21527">
            <v>2</v>
          </cell>
          <cell r="H21527" t="str">
            <v>solar PV</v>
          </cell>
        </row>
        <row r="21528">
          <cell r="C21528" t="str">
            <v>PV</v>
          </cell>
          <cell r="D21528">
            <v>2</v>
          </cell>
          <cell r="H21528" t="str">
            <v>solar PV</v>
          </cell>
        </row>
        <row r="21529">
          <cell r="C21529" t="str">
            <v>PV</v>
          </cell>
          <cell r="D21529">
            <v>7.7</v>
          </cell>
          <cell r="H21529" t="str">
            <v>solar PV</v>
          </cell>
        </row>
        <row r="21530">
          <cell r="C21530" t="str">
            <v>PV</v>
          </cell>
          <cell r="D21530">
            <v>15.2</v>
          </cell>
          <cell r="H21530" t="str">
            <v>solar PV</v>
          </cell>
        </row>
        <row r="21531">
          <cell r="C21531" t="str">
            <v>IC</v>
          </cell>
          <cell r="D21531">
            <v>2.5</v>
          </cell>
          <cell r="H21531" t="str">
            <v>petroleum</v>
          </cell>
        </row>
        <row r="21532">
          <cell r="C21532" t="str">
            <v>IC</v>
          </cell>
          <cell r="D21532">
            <v>1</v>
          </cell>
          <cell r="H21532" t="str">
            <v>petroleum</v>
          </cell>
        </row>
        <row r="21533">
          <cell r="C21533" t="str">
            <v>PV</v>
          </cell>
          <cell r="D21533">
            <v>1.6</v>
          </cell>
          <cell r="H21533" t="str">
            <v>solar PV</v>
          </cell>
        </row>
        <row r="21534">
          <cell r="C21534" t="str">
            <v>GT</v>
          </cell>
          <cell r="D21534">
            <v>3.5</v>
          </cell>
          <cell r="H21534" t="str">
            <v>natural gas peaker</v>
          </cell>
        </row>
        <row r="21535">
          <cell r="C21535" t="str">
            <v>PV</v>
          </cell>
          <cell r="D21535">
            <v>4.4000000000000004</v>
          </cell>
          <cell r="H21535" t="str">
            <v>solar PV</v>
          </cell>
        </row>
        <row r="21536">
          <cell r="C21536" t="str">
            <v>BA</v>
          </cell>
          <cell r="D21536">
            <v>4</v>
          </cell>
          <cell r="H21536" t="str">
            <v>other</v>
          </cell>
        </row>
        <row r="21537">
          <cell r="C21537" t="str">
            <v>WT</v>
          </cell>
          <cell r="D21537">
            <v>243.5</v>
          </cell>
          <cell r="H21537" t="str">
            <v>onshore wind</v>
          </cell>
        </row>
        <row r="21538">
          <cell r="C21538" t="str">
            <v>PV</v>
          </cell>
          <cell r="D21538">
            <v>1.5</v>
          </cell>
          <cell r="H21538" t="str">
            <v>solar PV</v>
          </cell>
        </row>
        <row r="21539">
          <cell r="C21539" t="str">
            <v>PV</v>
          </cell>
          <cell r="D21539">
            <v>19.600000000000001</v>
          </cell>
          <cell r="H21539" t="str">
            <v>solar PV</v>
          </cell>
        </row>
        <row r="21540">
          <cell r="C21540" t="str">
            <v>PV</v>
          </cell>
          <cell r="D21540">
            <v>2</v>
          </cell>
          <cell r="H21540" t="str">
            <v>solar PV</v>
          </cell>
        </row>
        <row r="21541">
          <cell r="C21541" t="str">
            <v>PV</v>
          </cell>
          <cell r="D21541">
            <v>7.5</v>
          </cell>
          <cell r="H21541" t="str">
            <v>solar PV</v>
          </cell>
        </row>
        <row r="21542">
          <cell r="C21542" t="str">
            <v>PV</v>
          </cell>
          <cell r="D21542">
            <v>8.8000000000000007</v>
          </cell>
          <cell r="H21542" t="str">
            <v>solar PV</v>
          </cell>
        </row>
        <row r="21543">
          <cell r="C21543" t="str">
            <v>PV</v>
          </cell>
          <cell r="D21543">
            <v>3</v>
          </cell>
          <cell r="H21543" t="str">
            <v>solar PV</v>
          </cell>
        </row>
        <row r="21544">
          <cell r="C21544" t="str">
            <v>WT</v>
          </cell>
          <cell r="D21544">
            <v>300</v>
          </cell>
          <cell r="H21544" t="str">
            <v>onshore wind</v>
          </cell>
        </row>
        <row r="21545">
          <cell r="C21545" t="str">
            <v>WT</v>
          </cell>
          <cell r="D21545">
            <v>99.4</v>
          </cell>
          <cell r="H21545" t="str">
            <v>onshore wind</v>
          </cell>
        </row>
        <row r="21546">
          <cell r="C21546" t="str">
            <v>PV</v>
          </cell>
          <cell r="D21546">
            <v>1</v>
          </cell>
          <cell r="H21546" t="str">
            <v>solar PV</v>
          </cell>
        </row>
        <row r="21547">
          <cell r="C21547" t="str">
            <v>PV</v>
          </cell>
          <cell r="D21547">
            <v>1</v>
          </cell>
          <cell r="H21547" t="str">
            <v>solar PV</v>
          </cell>
        </row>
        <row r="21548">
          <cell r="C21548" t="str">
            <v>PV</v>
          </cell>
          <cell r="D21548">
            <v>1</v>
          </cell>
          <cell r="H21548" t="str">
            <v>solar PV</v>
          </cell>
        </row>
        <row r="21549">
          <cell r="C21549" t="str">
            <v>PV</v>
          </cell>
          <cell r="D21549">
            <v>1</v>
          </cell>
          <cell r="H21549" t="str">
            <v>solar PV</v>
          </cell>
        </row>
        <row r="21550">
          <cell r="C21550" t="str">
            <v>PV</v>
          </cell>
          <cell r="D21550">
            <v>1</v>
          </cell>
          <cell r="H21550" t="str">
            <v>solar PV</v>
          </cell>
        </row>
        <row r="21551">
          <cell r="C21551" t="str">
            <v>PV</v>
          </cell>
          <cell r="D21551">
            <v>3.6</v>
          </cell>
          <cell r="H21551" t="str">
            <v>solar PV</v>
          </cell>
        </row>
        <row r="21552">
          <cell r="C21552" t="str">
            <v>PV</v>
          </cell>
          <cell r="D21552">
            <v>20</v>
          </cell>
          <cell r="H21552" t="str">
            <v>solar PV</v>
          </cell>
        </row>
        <row r="21553">
          <cell r="C21553" t="str">
            <v>PV</v>
          </cell>
          <cell r="D21553">
            <v>8.1999999999999993</v>
          </cell>
          <cell r="H21553" t="str">
            <v>solar PV</v>
          </cell>
        </row>
        <row r="21554">
          <cell r="C21554" t="str">
            <v>PV</v>
          </cell>
          <cell r="D21554">
            <v>4.8</v>
          </cell>
          <cell r="H21554" t="str">
            <v>solar PV</v>
          </cell>
        </row>
        <row r="21555">
          <cell r="C21555" t="str">
            <v>PV</v>
          </cell>
          <cell r="D21555">
            <v>39</v>
          </cell>
          <cell r="H21555" t="str">
            <v>solar PV</v>
          </cell>
        </row>
        <row r="21556">
          <cell r="C21556" t="str">
            <v>PV</v>
          </cell>
          <cell r="D21556">
            <v>1</v>
          </cell>
          <cell r="H21556" t="str">
            <v>solar PV</v>
          </cell>
        </row>
        <row r="21557">
          <cell r="C21557" t="str">
            <v>PV</v>
          </cell>
          <cell r="D21557">
            <v>5</v>
          </cell>
          <cell r="H21557" t="str">
            <v>solar PV</v>
          </cell>
        </row>
        <row r="21558">
          <cell r="C21558" t="str">
            <v>PV</v>
          </cell>
          <cell r="D21558">
            <v>1</v>
          </cell>
          <cell r="H21558" t="str">
            <v>solar PV</v>
          </cell>
        </row>
        <row r="21559">
          <cell r="C21559" t="str">
            <v>PV</v>
          </cell>
          <cell r="D21559">
            <v>1</v>
          </cell>
          <cell r="H21559" t="str">
            <v>solar PV</v>
          </cell>
        </row>
        <row r="21560">
          <cell r="C21560" t="str">
            <v>PV</v>
          </cell>
          <cell r="D21560">
            <v>4.9000000000000004</v>
          </cell>
          <cell r="H21560" t="str">
            <v>solar PV</v>
          </cell>
        </row>
        <row r="21561">
          <cell r="C21561" t="str">
            <v>WT</v>
          </cell>
          <cell r="D21561">
            <v>275.60000000000002</v>
          </cell>
          <cell r="H21561" t="str">
            <v>onshore wind</v>
          </cell>
        </row>
        <row r="21562">
          <cell r="C21562" t="str">
            <v>PV</v>
          </cell>
          <cell r="D21562">
            <v>142.4</v>
          </cell>
          <cell r="H21562" t="str">
            <v>solar PV</v>
          </cell>
        </row>
        <row r="21563">
          <cell r="C21563" t="str">
            <v>PV</v>
          </cell>
          <cell r="D21563">
            <v>20</v>
          </cell>
          <cell r="H21563" t="str">
            <v>solar PV</v>
          </cell>
        </row>
        <row r="21564">
          <cell r="C21564" t="str">
            <v>PV</v>
          </cell>
          <cell r="D21564">
            <v>52</v>
          </cell>
          <cell r="H21564" t="str">
            <v>solar PV</v>
          </cell>
        </row>
        <row r="21565">
          <cell r="C21565" t="str">
            <v>PV</v>
          </cell>
          <cell r="D21565">
            <v>3.9</v>
          </cell>
          <cell r="H21565" t="str">
            <v>solar PV</v>
          </cell>
        </row>
        <row r="21566">
          <cell r="C21566" t="str">
            <v>BA</v>
          </cell>
          <cell r="D21566">
            <v>0.3</v>
          </cell>
          <cell r="H21566" t="str">
            <v>other</v>
          </cell>
        </row>
        <row r="21567">
          <cell r="C21567" t="str">
            <v>IC</v>
          </cell>
          <cell r="D21567">
            <v>1</v>
          </cell>
          <cell r="H21567" t="str">
            <v>natural gas peaker</v>
          </cell>
        </row>
        <row r="21568">
          <cell r="C21568" t="str">
            <v>PV</v>
          </cell>
          <cell r="D21568">
            <v>0.1</v>
          </cell>
          <cell r="H21568" t="str">
            <v>solar PV</v>
          </cell>
        </row>
        <row r="21569">
          <cell r="C21569" t="str">
            <v>WT</v>
          </cell>
          <cell r="D21569">
            <v>0.1</v>
          </cell>
          <cell r="H21569" t="str">
            <v>onshore wind</v>
          </cell>
        </row>
        <row r="21570">
          <cell r="C21570" t="str">
            <v>BA</v>
          </cell>
          <cell r="D21570">
            <v>0.5</v>
          </cell>
          <cell r="H21570" t="str">
            <v>other</v>
          </cell>
        </row>
        <row r="21571">
          <cell r="C21571" t="str">
            <v>PV</v>
          </cell>
          <cell r="D21571">
            <v>1.2</v>
          </cell>
          <cell r="H21571" t="str">
            <v>solar PV</v>
          </cell>
        </row>
        <row r="21572">
          <cell r="C21572" t="str">
            <v>BA</v>
          </cell>
          <cell r="D21572">
            <v>0.5</v>
          </cell>
          <cell r="H21572" t="str">
            <v>other</v>
          </cell>
        </row>
        <row r="21573">
          <cell r="C21573" t="str">
            <v>PV</v>
          </cell>
          <cell r="D21573">
            <v>4.3</v>
          </cell>
          <cell r="H21573" t="str">
            <v>solar PV</v>
          </cell>
        </row>
        <row r="21574">
          <cell r="C21574" t="str">
            <v>PV</v>
          </cell>
          <cell r="D21574">
            <v>10</v>
          </cell>
          <cell r="H21574" t="str">
            <v>solar PV</v>
          </cell>
        </row>
        <row r="21575">
          <cell r="C21575" t="str">
            <v>PV</v>
          </cell>
          <cell r="D21575">
            <v>1</v>
          </cell>
          <cell r="H21575" t="str">
            <v>solar PV</v>
          </cell>
        </row>
        <row r="21576">
          <cell r="C21576" t="str">
            <v>PV</v>
          </cell>
          <cell r="D21576">
            <v>1</v>
          </cell>
          <cell r="H21576" t="str">
            <v>solar PV</v>
          </cell>
        </row>
        <row r="21577">
          <cell r="C21577" t="str">
            <v>PV</v>
          </cell>
          <cell r="D21577">
            <v>1</v>
          </cell>
          <cell r="H21577" t="str">
            <v>solar PV</v>
          </cell>
        </row>
        <row r="21578">
          <cell r="C21578" t="str">
            <v>PV</v>
          </cell>
          <cell r="D21578">
            <v>1</v>
          </cell>
          <cell r="H21578" t="str">
            <v>solar PV</v>
          </cell>
        </row>
        <row r="21579">
          <cell r="C21579" t="str">
            <v>IC</v>
          </cell>
          <cell r="D21579">
            <v>1.2</v>
          </cell>
          <cell r="H21579" t="str">
            <v>petroleum</v>
          </cell>
        </row>
        <row r="21580">
          <cell r="C21580" t="str">
            <v>IC</v>
          </cell>
          <cell r="D21580">
            <v>1.2</v>
          </cell>
          <cell r="H21580" t="str">
            <v>petroleum</v>
          </cell>
        </row>
        <row r="21581">
          <cell r="C21581" t="str">
            <v>IC</v>
          </cell>
          <cell r="D21581">
            <v>1.2</v>
          </cell>
          <cell r="H21581" t="str">
            <v>petroleum</v>
          </cell>
        </row>
        <row r="21582">
          <cell r="C21582" t="str">
            <v>IC</v>
          </cell>
          <cell r="D21582">
            <v>1.2</v>
          </cell>
          <cell r="H21582" t="str">
            <v>petroleum</v>
          </cell>
        </row>
        <row r="21583">
          <cell r="C21583" t="str">
            <v>IC</v>
          </cell>
          <cell r="D21583">
            <v>1.2</v>
          </cell>
          <cell r="H21583" t="str">
            <v>petroleum</v>
          </cell>
        </row>
        <row r="21584">
          <cell r="C21584" t="str">
            <v>IC</v>
          </cell>
          <cell r="D21584">
            <v>1.2</v>
          </cell>
          <cell r="H21584" t="str">
            <v>petroleum</v>
          </cell>
        </row>
        <row r="21585">
          <cell r="C21585" t="str">
            <v>IC</v>
          </cell>
          <cell r="D21585">
            <v>0.5</v>
          </cell>
          <cell r="H21585" t="str">
            <v>petroleum</v>
          </cell>
        </row>
        <row r="21586">
          <cell r="C21586" t="str">
            <v>IC</v>
          </cell>
          <cell r="D21586">
            <v>0.5</v>
          </cell>
          <cell r="H21586" t="str">
            <v>petroleum</v>
          </cell>
        </row>
        <row r="21587">
          <cell r="C21587" t="str">
            <v>IC</v>
          </cell>
          <cell r="D21587">
            <v>0.5</v>
          </cell>
          <cell r="H21587" t="str">
            <v>petroleum</v>
          </cell>
        </row>
        <row r="21588">
          <cell r="C21588" t="str">
            <v>IC</v>
          </cell>
          <cell r="D21588">
            <v>0.4</v>
          </cell>
          <cell r="H21588" t="str">
            <v>petroleum</v>
          </cell>
        </row>
        <row r="21589">
          <cell r="C21589" t="str">
            <v>IC</v>
          </cell>
          <cell r="D21589">
            <v>0.4</v>
          </cell>
          <cell r="H21589" t="str">
            <v>petroleum</v>
          </cell>
        </row>
        <row r="21590">
          <cell r="C21590" t="str">
            <v>IC</v>
          </cell>
          <cell r="D21590">
            <v>0.4</v>
          </cell>
          <cell r="H21590" t="str">
            <v>petroleum</v>
          </cell>
        </row>
        <row r="21591">
          <cell r="C21591" t="str">
            <v>IC</v>
          </cell>
          <cell r="D21591">
            <v>0.2</v>
          </cell>
          <cell r="H21591" t="str">
            <v>petroleum</v>
          </cell>
        </row>
        <row r="21592">
          <cell r="C21592" t="str">
            <v>IC</v>
          </cell>
          <cell r="D21592">
            <v>0.4</v>
          </cell>
          <cell r="H21592" t="str">
            <v>petroleum</v>
          </cell>
        </row>
        <row r="21593">
          <cell r="C21593" t="str">
            <v>PV</v>
          </cell>
          <cell r="D21593">
            <v>100</v>
          </cell>
          <cell r="H21593" t="str">
            <v>solar PV</v>
          </cell>
        </row>
        <row r="21594">
          <cell r="C21594" t="str">
            <v>PV</v>
          </cell>
          <cell r="D21594">
            <v>3.3</v>
          </cell>
          <cell r="H21594" t="str">
            <v>solar PV</v>
          </cell>
        </row>
        <row r="21595">
          <cell r="C21595" t="str">
            <v>PV</v>
          </cell>
          <cell r="D21595">
            <v>3.5</v>
          </cell>
          <cell r="H21595" t="str">
            <v>solar PV</v>
          </cell>
        </row>
        <row r="21596">
          <cell r="C21596" t="str">
            <v>PV</v>
          </cell>
          <cell r="D21596">
            <v>20</v>
          </cell>
          <cell r="H21596" t="str">
            <v>solar PV</v>
          </cell>
        </row>
        <row r="21597">
          <cell r="C21597" t="str">
            <v>PV</v>
          </cell>
          <cell r="D21597">
            <v>1.6</v>
          </cell>
          <cell r="H21597" t="str">
            <v>solar PV</v>
          </cell>
        </row>
        <row r="21598">
          <cell r="C21598" t="str">
            <v>IC</v>
          </cell>
          <cell r="D21598">
            <v>0.5</v>
          </cell>
          <cell r="H21598" t="str">
            <v>biomass</v>
          </cell>
        </row>
        <row r="21599">
          <cell r="C21599" t="str">
            <v>IC</v>
          </cell>
          <cell r="D21599">
            <v>0.5</v>
          </cell>
          <cell r="H21599" t="str">
            <v>biomass</v>
          </cell>
        </row>
        <row r="21600">
          <cell r="C21600" t="str">
            <v>PV</v>
          </cell>
          <cell r="D21600">
            <v>3.3</v>
          </cell>
          <cell r="H21600" t="str">
            <v>solar PV</v>
          </cell>
        </row>
        <row r="21601">
          <cell r="C21601" t="str">
            <v>PV</v>
          </cell>
          <cell r="D21601">
            <v>1</v>
          </cell>
          <cell r="H21601" t="str">
            <v>solar PV</v>
          </cell>
        </row>
        <row r="21602">
          <cell r="C21602" t="str">
            <v>PV</v>
          </cell>
          <cell r="D21602">
            <v>1</v>
          </cell>
          <cell r="H21602" t="str">
            <v>solar PV</v>
          </cell>
        </row>
        <row r="21603">
          <cell r="C21603" t="str">
            <v>PV</v>
          </cell>
          <cell r="D21603">
            <v>1</v>
          </cell>
          <cell r="H21603" t="str">
            <v>solar PV</v>
          </cell>
        </row>
        <row r="21604">
          <cell r="C21604" t="str">
            <v>PV</v>
          </cell>
          <cell r="D21604">
            <v>1</v>
          </cell>
          <cell r="H21604" t="str">
            <v>solar PV</v>
          </cell>
        </row>
        <row r="21605">
          <cell r="C21605" t="str">
            <v>PV</v>
          </cell>
          <cell r="D21605">
            <v>1</v>
          </cell>
          <cell r="H21605" t="str">
            <v>solar PV</v>
          </cell>
        </row>
        <row r="21606">
          <cell r="C21606" t="str">
            <v>BA</v>
          </cell>
          <cell r="D21606">
            <v>0.5</v>
          </cell>
          <cell r="H21606" t="str">
            <v>other</v>
          </cell>
        </row>
        <row r="21607">
          <cell r="C21607" t="str">
            <v>PV</v>
          </cell>
          <cell r="D21607">
            <v>0.7</v>
          </cell>
          <cell r="H21607" t="str">
            <v>solar PV</v>
          </cell>
        </row>
        <row r="21608">
          <cell r="C21608" t="str">
            <v>PV</v>
          </cell>
          <cell r="D21608">
            <v>3.3</v>
          </cell>
          <cell r="H21608" t="str">
            <v>solar PV</v>
          </cell>
        </row>
        <row r="21609">
          <cell r="C21609" t="str">
            <v>PV</v>
          </cell>
          <cell r="D21609">
            <v>1.8</v>
          </cell>
          <cell r="H21609" t="str">
            <v>solar PV</v>
          </cell>
        </row>
        <row r="21610">
          <cell r="C21610" t="str">
            <v>PV</v>
          </cell>
          <cell r="D21610">
            <v>2</v>
          </cell>
          <cell r="H21610" t="str">
            <v>solar PV</v>
          </cell>
        </row>
        <row r="21611">
          <cell r="C21611" t="str">
            <v>PV</v>
          </cell>
          <cell r="D21611">
            <v>5</v>
          </cell>
          <cell r="H21611" t="str">
            <v>solar PV</v>
          </cell>
        </row>
        <row r="21612">
          <cell r="C21612" t="str">
            <v>PV</v>
          </cell>
          <cell r="D21612">
            <v>3</v>
          </cell>
          <cell r="H21612" t="str">
            <v>solar PV</v>
          </cell>
        </row>
        <row r="21613">
          <cell r="C21613" t="str">
            <v>PV</v>
          </cell>
          <cell r="D21613">
            <v>2</v>
          </cell>
          <cell r="H21613" t="str">
            <v>solar PV</v>
          </cell>
        </row>
        <row r="21614">
          <cell r="C21614" t="str">
            <v>WT</v>
          </cell>
          <cell r="D21614">
            <v>200</v>
          </cell>
          <cell r="H21614" t="str">
            <v>onshore wind</v>
          </cell>
        </row>
        <row r="21615">
          <cell r="C21615" t="str">
            <v>PV</v>
          </cell>
          <cell r="D21615">
            <v>5</v>
          </cell>
          <cell r="H21615" t="str">
            <v>solar PV</v>
          </cell>
        </row>
        <row r="21616">
          <cell r="C21616" t="str">
            <v>PV</v>
          </cell>
          <cell r="D21616">
            <v>5</v>
          </cell>
          <cell r="H21616" t="str">
            <v>solar PV</v>
          </cell>
        </row>
        <row r="21617">
          <cell r="C21617" t="str">
            <v>WT</v>
          </cell>
          <cell r="D21617">
            <v>302.39999999999998</v>
          </cell>
          <cell r="H21617" t="str">
            <v>onshore wind</v>
          </cell>
        </row>
        <row r="21618">
          <cell r="C21618" t="str">
            <v>PV</v>
          </cell>
          <cell r="D21618">
            <v>1.1000000000000001</v>
          </cell>
          <cell r="H21618" t="str">
            <v>solar PV</v>
          </cell>
        </row>
        <row r="21619">
          <cell r="C21619" t="str">
            <v>PV</v>
          </cell>
          <cell r="D21619">
            <v>1</v>
          </cell>
          <cell r="H21619" t="str">
            <v>solar PV</v>
          </cell>
        </row>
        <row r="21620">
          <cell r="C21620" t="str">
            <v>PV</v>
          </cell>
          <cell r="D21620">
            <v>3.7</v>
          </cell>
          <cell r="H21620" t="str">
            <v>solar PV</v>
          </cell>
        </row>
        <row r="21621">
          <cell r="C21621" t="str">
            <v>PV</v>
          </cell>
          <cell r="D21621">
            <v>1</v>
          </cell>
          <cell r="H21621" t="str">
            <v>solar PV</v>
          </cell>
        </row>
        <row r="21622">
          <cell r="C21622" t="str">
            <v>PV</v>
          </cell>
          <cell r="D21622">
            <v>1.6</v>
          </cell>
          <cell r="H21622" t="str">
            <v>solar PV</v>
          </cell>
        </row>
        <row r="21623">
          <cell r="C21623" t="str">
            <v>PV</v>
          </cell>
          <cell r="D21623">
            <v>1</v>
          </cell>
          <cell r="H21623" t="str">
            <v>solar PV</v>
          </cell>
        </row>
        <row r="21624">
          <cell r="C21624" t="str">
            <v>PV</v>
          </cell>
          <cell r="D21624">
            <v>1</v>
          </cell>
          <cell r="H21624" t="str">
            <v>solar PV</v>
          </cell>
        </row>
        <row r="21625">
          <cell r="C21625" t="str">
            <v>PV</v>
          </cell>
          <cell r="D21625">
            <v>1</v>
          </cell>
          <cell r="H21625" t="str">
            <v>solar PV</v>
          </cell>
        </row>
        <row r="21626">
          <cell r="C21626" t="str">
            <v>PV</v>
          </cell>
          <cell r="D21626">
            <v>1</v>
          </cell>
          <cell r="H21626" t="str">
            <v>solar PV</v>
          </cell>
        </row>
        <row r="21627">
          <cell r="C21627" t="str">
            <v>PV</v>
          </cell>
          <cell r="D21627">
            <v>1</v>
          </cell>
          <cell r="H21627" t="str">
            <v>solar PV</v>
          </cell>
        </row>
        <row r="21628">
          <cell r="C21628" t="str">
            <v>PV</v>
          </cell>
          <cell r="D21628">
            <v>1</v>
          </cell>
          <cell r="H21628" t="str">
            <v>solar PV</v>
          </cell>
        </row>
        <row r="21629">
          <cell r="C21629" t="str">
            <v>IC</v>
          </cell>
          <cell r="D21629">
            <v>0.1</v>
          </cell>
          <cell r="H21629" t="str">
            <v>petroleum</v>
          </cell>
        </row>
        <row r="21630">
          <cell r="C21630" t="str">
            <v>IC</v>
          </cell>
          <cell r="D21630">
            <v>0.6</v>
          </cell>
          <cell r="H21630" t="str">
            <v>petroleum</v>
          </cell>
        </row>
        <row r="21631">
          <cell r="C21631" t="str">
            <v>IC</v>
          </cell>
          <cell r="D21631">
            <v>1</v>
          </cell>
          <cell r="H21631" t="str">
            <v>petroleum</v>
          </cell>
        </row>
        <row r="21632">
          <cell r="C21632" t="str">
            <v>IC</v>
          </cell>
          <cell r="D21632">
            <v>0.2</v>
          </cell>
          <cell r="H21632" t="str">
            <v>petroleum</v>
          </cell>
        </row>
        <row r="21633">
          <cell r="C21633" t="str">
            <v>IC</v>
          </cell>
          <cell r="D21633">
            <v>0.3</v>
          </cell>
          <cell r="H21633" t="str">
            <v>petroleum</v>
          </cell>
        </row>
        <row r="21634">
          <cell r="C21634" t="str">
            <v>IC</v>
          </cell>
          <cell r="D21634">
            <v>0.4</v>
          </cell>
          <cell r="H21634" t="str">
            <v>petroleum</v>
          </cell>
        </row>
        <row r="21635">
          <cell r="C21635" t="str">
            <v>IC</v>
          </cell>
          <cell r="D21635">
            <v>0.7</v>
          </cell>
          <cell r="H21635" t="str">
            <v>petroleum</v>
          </cell>
        </row>
        <row r="21636">
          <cell r="C21636" t="str">
            <v>IC</v>
          </cell>
          <cell r="D21636">
            <v>0.8</v>
          </cell>
          <cell r="H21636" t="str">
            <v>petroleum</v>
          </cell>
        </row>
        <row r="21637">
          <cell r="C21637" t="str">
            <v>PV</v>
          </cell>
          <cell r="D21637">
            <v>30</v>
          </cell>
          <cell r="H21637" t="str">
            <v>solar PV</v>
          </cell>
        </row>
        <row r="21638">
          <cell r="C21638" t="str">
            <v>PV</v>
          </cell>
          <cell r="D21638">
            <v>1</v>
          </cell>
          <cell r="H21638" t="str">
            <v>solar PV</v>
          </cell>
        </row>
        <row r="21639">
          <cell r="C21639" t="str">
            <v>PV</v>
          </cell>
          <cell r="D21639">
            <v>5</v>
          </cell>
          <cell r="H21639" t="str">
            <v>solar PV</v>
          </cell>
        </row>
        <row r="21640">
          <cell r="C21640" t="str">
            <v>PV</v>
          </cell>
          <cell r="D21640">
            <v>3.3</v>
          </cell>
          <cell r="H21640" t="str">
            <v>solar PV</v>
          </cell>
        </row>
        <row r="21641">
          <cell r="C21641" t="str">
            <v>PV</v>
          </cell>
          <cell r="D21641">
            <v>3</v>
          </cell>
          <cell r="H21641" t="str">
            <v>solar PV</v>
          </cell>
        </row>
        <row r="21642">
          <cell r="C21642" t="str">
            <v>PV</v>
          </cell>
          <cell r="D21642">
            <v>40</v>
          </cell>
          <cell r="H21642" t="str">
            <v>solar PV</v>
          </cell>
        </row>
        <row r="21643">
          <cell r="C21643" t="str">
            <v>PV</v>
          </cell>
          <cell r="D21643">
            <v>5</v>
          </cell>
          <cell r="H21643" t="str">
            <v>solar PV</v>
          </cell>
        </row>
        <row r="21644">
          <cell r="C21644" t="str">
            <v>PV</v>
          </cell>
          <cell r="D21644">
            <v>2</v>
          </cell>
          <cell r="H21644" t="str">
            <v>solar PV</v>
          </cell>
        </row>
        <row r="21645">
          <cell r="C21645" t="str">
            <v>PV</v>
          </cell>
          <cell r="D21645">
            <v>3.4</v>
          </cell>
          <cell r="H21645" t="str">
            <v>solar PV</v>
          </cell>
        </row>
        <row r="21646">
          <cell r="C21646" t="str">
            <v>PV</v>
          </cell>
          <cell r="D21646">
            <v>6.6</v>
          </cell>
          <cell r="H21646" t="str">
            <v>solar PV</v>
          </cell>
        </row>
        <row r="21647">
          <cell r="C21647" t="str">
            <v>PV</v>
          </cell>
          <cell r="D21647">
            <v>2</v>
          </cell>
          <cell r="H21647" t="str">
            <v>solar PV</v>
          </cell>
        </row>
        <row r="21648">
          <cell r="C21648" t="str">
            <v>PV</v>
          </cell>
          <cell r="D21648">
            <v>2</v>
          </cell>
          <cell r="H21648" t="str">
            <v>solar PV</v>
          </cell>
        </row>
        <row r="21649">
          <cell r="C21649" t="str">
            <v>PV</v>
          </cell>
          <cell r="D21649">
            <v>2</v>
          </cell>
          <cell r="H21649" t="str">
            <v>solar PV</v>
          </cell>
        </row>
        <row r="21650">
          <cell r="C21650" t="str">
            <v>PV</v>
          </cell>
          <cell r="D21650">
            <v>2</v>
          </cell>
          <cell r="H21650" t="str">
            <v>solar PV</v>
          </cell>
        </row>
        <row r="21651">
          <cell r="C21651" t="str">
            <v>PV</v>
          </cell>
          <cell r="D21651">
            <v>4</v>
          </cell>
          <cell r="H21651" t="str">
            <v>solar PV</v>
          </cell>
        </row>
        <row r="21652">
          <cell r="C21652" t="str">
            <v>PV</v>
          </cell>
          <cell r="D21652">
            <v>3.5</v>
          </cell>
          <cell r="H21652" t="str">
            <v>solar PV</v>
          </cell>
        </row>
        <row r="21653">
          <cell r="C21653" t="str">
            <v>PV</v>
          </cell>
          <cell r="D21653">
            <v>1.7</v>
          </cell>
          <cell r="H21653" t="str">
            <v>solar PV</v>
          </cell>
        </row>
        <row r="21654">
          <cell r="C21654" t="str">
            <v>PV</v>
          </cell>
          <cell r="D21654">
            <v>1.1000000000000001</v>
          </cell>
          <cell r="H21654" t="str">
            <v>solar PV</v>
          </cell>
        </row>
        <row r="21655">
          <cell r="C21655" t="str">
            <v>PV</v>
          </cell>
          <cell r="D21655">
            <v>1.1000000000000001</v>
          </cell>
          <cell r="H21655" t="str">
            <v>solar PV</v>
          </cell>
        </row>
        <row r="21656">
          <cell r="C21656" t="str">
            <v>PV</v>
          </cell>
          <cell r="D21656">
            <v>2.1</v>
          </cell>
          <cell r="H21656" t="str">
            <v>solar PV</v>
          </cell>
        </row>
        <row r="21657">
          <cell r="C21657" t="str">
            <v>PV</v>
          </cell>
          <cell r="D21657">
            <v>5</v>
          </cell>
          <cell r="H21657" t="str">
            <v>solar PV</v>
          </cell>
        </row>
        <row r="21658">
          <cell r="C21658" t="str">
            <v>PV</v>
          </cell>
          <cell r="D21658">
            <v>1</v>
          </cell>
          <cell r="H21658" t="str">
            <v>solar PV</v>
          </cell>
        </row>
        <row r="21659">
          <cell r="C21659" t="str">
            <v>PV</v>
          </cell>
          <cell r="D21659">
            <v>1</v>
          </cell>
          <cell r="H21659" t="str">
            <v>solar PV</v>
          </cell>
        </row>
        <row r="21660">
          <cell r="C21660" t="str">
            <v>PV</v>
          </cell>
          <cell r="D21660">
            <v>1</v>
          </cell>
          <cell r="H21660" t="str">
            <v>solar PV</v>
          </cell>
        </row>
        <row r="21661">
          <cell r="C21661" t="str">
            <v>PV</v>
          </cell>
          <cell r="D21661">
            <v>1</v>
          </cell>
          <cell r="H21661" t="str">
            <v>solar PV</v>
          </cell>
        </row>
        <row r="21662">
          <cell r="C21662" t="str">
            <v>PV</v>
          </cell>
          <cell r="D21662">
            <v>1.8</v>
          </cell>
          <cell r="H21662" t="str">
            <v>solar PV</v>
          </cell>
        </row>
        <row r="21663">
          <cell r="C21663" t="str">
            <v>PV</v>
          </cell>
          <cell r="D21663">
            <v>1</v>
          </cell>
          <cell r="H21663" t="str">
            <v>solar PV</v>
          </cell>
        </row>
        <row r="21664">
          <cell r="C21664" t="str">
            <v>PV</v>
          </cell>
          <cell r="D21664">
            <v>1.1000000000000001</v>
          </cell>
          <cell r="H21664" t="str">
            <v>solar PV</v>
          </cell>
        </row>
        <row r="21665">
          <cell r="C21665" t="str">
            <v>PV</v>
          </cell>
          <cell r="D21665">
            <v>3.6</v>
          </cell>
          <cell r="H21665" t="str">
            <v>solar PV</v>
          </cell>
        </row>
        <row r="21666">
          <cell r="C21666" t="str">
            <v>PV</v>
          </cell>
          <cell r="D21666">
            <v>4.0999999999999996</v>
          </cell>
          <cell r="H21666" t="str">
            <v>solar PV</v>
          </cell>
        </row>
        <row r="21667">
          <cell r="C21667" t="str">
            <v>PV</v>
          </cell>
          <cell r="D21667">
            <v>1.4</v>
          </cell>
          <cell r="H21667" t="str">
            <v>solar PV</v>
          </cell>
        </row>
        <row r="21668">
          <cell r="C21668" t="str">
            <v>PV</v>
          </cell>
          <cell r="D21668">
            <v>4.5</v>
          </cell>
          <cell r="H21668" t="str">
            <v>solar PV</v>
          </cell>
        </row>
        <row r="21669">
          <cell r="C21669" t="str">
            <v>PV</v>
          </cell>
          <cell r="D21669">
            <v>1.9</v>
          </cell>
          <cell r="H21669" t="str">
            <v>solar PV</v>
          </cell>
        </row>
        <row r="21670">
          <cell r="C21670" t="str">
            <v>PV</v>
          </cell>
          <cell r="D21670">
            <v>1.9</v>
          </cell>
          <cell r="H21670" t="str">
            <v>solar PV</v>
          </cell>
        </row>
        <row r="21671">
          <cell r="C21671" t="str">
            <v>PV</v>
          </cell>
          <cell r="D21671">
            <v>5</v>
          </cell>
          <cell r="H21671" t="str">
            <v>solar PV</v>
          </cell>
        </row>
        <row r="21672">
          <cell r="C21672" t="str">
            <v>PV</v>
          </cell>
          <cell r="D21672">
            <v>4.8</v>
          </cell>
          <cell r="H21672" t="str">
            <v>solar PV</v>
          </cell>
        </row>
        <row r="21673">
          <cell r="C21673" t="str">
            <v>PV</v>
          </cell>
          <cell r="D21673">
            <v>4.9000000000000004</v>
          </cell>
          <cell r="H21673" t="str">
            <v>solar PV</v>
          </cell>
        </row>
        <row r="21674">
          <cell r="C21674" t="str">
            <v>PV</v>
          </cell>
          <cell r="D21674">
            <v>4.5</v>
          </cell>
          <cell r="H21674" t="str">
            <v>solar PV</v>
          </cell>
        </row>
        <row r="21675">
          <cell r="C21675" t="str">
            <v>PV</v>
          </cell>
          <cell r="D21675">
            <v>5</v>
          </cell>
          <cell r="H21675" t="str">
            <v>solar PV</v>
          </cell>
        </row>
        <row r="21676">
          <cell r="C21676" t="str">
            <v>PV</v>
          </cell>
          <cell r="D21676">
            <v>5</v>
          </cell>
          <cell r="H21676" t="str">
            <v>solar PV</v>
          </cell>
        </row>
        <row r="21677">
          <cell r="C21677" t="str">
            <v>PV</v>
          </cell>
          <cell r="D21677">
            <v>5</v>
          </cell>
          <cell r="H21677" t="str">
            <v>solar PV</v>
          </cell>
        </row>
        <row r="21678">
          <cell r="C21678" t="str">
            <v>WT</v>
          </cell>
          <cell r="D21678">
            <v>3</v>
          </cell>
          <cell r="H21678" t="str">
            <v>onshore wind</v>
          </cell>
        </row>
        <row r="21679">
          <cell r="C21679" t="str">
            <v>WT</v>
          </cell>
          <cell r="D21679">
            <v>3</v>
          </cell>
          <cell r="H21679" t="str">
            <v>onshore wind</v>
          </cell>
        </row>
        <row r="21680">
          <cell r="C21680" t="str">
            <v>WT</v>
          </cell>
          <cell r="D21680">
            <v>3</v>
          </cell>
          <cell r="H21680" t="str">
            <v>onshore wind</v>
          </cell>
        </row>
        <row r="21681">
          <cell r="C21681" t="str">
            <v>WT</v>
          </cell>
          <cell r="D21681">
            <v>3</v>
          </cell>
          <cell r="H21681" t="str">
            <v>onshore wind</v>
          </cell>
        </row>
        <row r="21682">
          <cell r="C21682" t="str">
            <v>WT</v>
          </cell>
          <cell r="D21682">
            <v>3</v>
          </cell>
          <cell r="H21682" t="str">
            <v>onshore wind</v>
          </cell>
        </row>
        <row r="21683">
          <cell r="C21683" t="str">
            <v>WT</v>
          </cell>
          <cell r="D21683">
            <v>3</v>
          </cell>
          <cell r="H21683" t="str">
            <v>onshore wind</v>
          </cell>
        </row>
        <row r="21684">
          <cell r="C21684" t="str">
            <v>WT</v>
          </cell>
          <cell r="D21684">
            <v>3</v>
          </cell>
          <cell r="H21684" t="str">
            <v>onshore wind</v>
          </cell>
        </row>
        <row r="21685">
          <cell r="C21685" t="str">
            <v>PV</v>
          </cell>
          <cell r="D21685">
            <v>1</v>
          </cell>
          <cell r="H21685" t="str">
            <v>solar PV</v>
          </cell>
        </row>
        <row r="21686">
          <cell r="C21686" t="str">
            <v>IC</v>
          </cell>
          <cell r="D21686">
            <v>1.5</v>
          </cell>
          <cell r="H21686" t="str">
            <v>natural gas peaker</v>
          </cell>
        </row>
        <row r="21687">
          <cell r="C21687" t="str">
            <v>IC</v>
          </cell>
          <cell r="D21687">
            <v>1.5</v>
          </cell>
          <cell r="H21687" t="str">
            <v>natural gas peaker</v>
          </cell>
        </row>
        <row r="21688">
          <cell r="C21688" t="str">
            <v>PV</v>
          </cell>
          <cell r="D21688">
            <v>3</v>
          </cell>
          <cell r="H21688" t="str">
            <v>solar PV</v>
          </cell>
        </row>
        <row r="21689">
          <cell r="C21689" t="str">
            <v>PV</v>
          </cell>
          <cell r="D21689">
            <v>1.5</v>
          </cell>
          <cell r="H21689" t="str">
            <v>solar PV</v>
          </cell>
        </row>
        <row r="21690">
          <cell r="C21690" t="str">
            <v>PV</v>
          </cell>
          <cell r="D21690">
            <v>2</v>
          </cell>
          <cell r="H21690" t="str">
            <v>solar PV</v>
          </cell>
        </row>
        <row r="21691">
          <cell r="C21691" t="str">
            <v>PV</v>
          </cell>
          <cell r="D21691">
            <v>2</v>
          </cell>
          <cell r="H21691" t="str">
            <v>solar PV</v>
          </cell>
        </row>
        <row r="21692">
          <cell r="C21692" t="str">
            <v>PV</v>
          </cell>
          <cell r="D21692">
            <v>2</v>
          </cell>
          <cell r="H21692" t="str">
            <v>solar PV</v>
          </cell>
        </row>
        <row r="21693">
          <cell r="C21693" t="str">
            <v>PV</v>
          </cell>
          <cell r="D21693">
            <v>1</v>
          </cell>
          <cell r="H21693" t="str">
            <v>solar PV</v>
          </cell>
        </row>
        <row r="21694">
          <cell r="C21694" t="str">
            <v>PV</v>
          </cell>
          <cell r="D21694">
            <v>1</v>
          </cell>
          <cell r="H21694" t="str">
            <v>solar PV</v>
          </cell>
        </row>
        <row r="21695">
          <cell r="C21695" t="str">
            <v>PV</v>
          </cell>
          <cell r="D21695">
            <v>1.5</v>
          </cell>
          <cell r="H21695" t="str">
            <v>solar PV</v>
          </cell>
        </row>
        <row r="21696">
          <cell r="C21696" t="str">
            <v>PV</v>
          </cell>
          <cell r="D21696">
            <v>2</v>
          </cell>
          <cell r="H21696" t="str">
            <v>solar PV</v>
          </cell>
        </row>
        <row r="21697">
          <cell r="C21697" t="str">
            <v>PV</v>
          </cell>
          <cell r="D21697">
            <v>2</v>
          </cell>
          <cell r="H21697" t="str">
            <v>solar PV</v>
          </cell>
        </row>
        <row r="21698">
          <cell r="C21698" t="str">
            <v>PV</v>
          </cell>
          <cell r="D21698">
            <v>2</v>
          </cell>
          <cell r="H21698" t="str">
            <v>solar PV</v>
          </cell>
        </row>
        <row r="21699">
          <cell r="C21699" t="str">
            <v>PV</v>
          </cell>
          <cell r="D21699">
            <v>2</v>
          </cell>
          <cell r="H21699" t="str">
            <v>solar PV</v>
          </cell>
        </row>
        <row r="21700">
          <cell r="C21700" t="str">
            <v>WT</v>
          </cell>
          <cell r="D21700">
            <v>1.8</v>
          </cell>
          <cell r="H21700" t="str">
            <v>onshore wind</v>
          </cell>
        </row>
        <row r="21701">
          <cell r="C21701" t="str">
            <v>PV</v>
          </cell>
          <cell r="D21701">
            <v>2</v>
          </cell>
          <cell r="H21701" t="str">
            <v>solar PV</v>
          </cell>
        </row>
        <row r="21702">
          <cell r="C21702" t="str">
            <v>WT</v>
          </cell>
          <cell r="D21702">
            <v>250</v>
          </cell>
          <cell r="H21702" t="str">
            <v>onshore wind</v>
          </cell>
        </row>
        <row r="21703">
          <cell r="C21703" t="str">
            <v>WT</v>
          </cell>
          <cell r="D21703">
            <v>140</v>
          </cell>
          <cell r="H21703" t="str">
            <v>onshore wind</v>
          </cell>
        </row>
        <row r="21704">
          <cell r="C21704" t="str">
            <v>WT</v>
          </cell>
          <cell r="D21704">
            <v>200</v>
          </cell>
          <cell r="H21704" t="str">
            <v>onshore wind</v>
          </cell>
        </row>
        <row r="21705">
          <cell r="C21705" t="str">
            <v>PV</v>
          </cell>
          <cell r="D21705">
            <v>3.5</v>
          </cell>
          <cell r="H21705" t="str">
            <v>solar PV</v>
          </cell>
        </row>
        <row r="21706">
          <cell r="C21706" t="str">
            <v>PV</v>
          </cell>
          <cell r="D21706">
            <v>5</v>
          </cell>
          <cell r="H21706" t="str">
            <v>solar PV</v>
          </cell>
        </row>
        <row r="21707">
          <cell r="C21707" t="str">
            <v>PV</v>
          </cell>
          <cell r="D21707">
            <v>1</v>
          </cell>
          <cell r="H21707" t="str">
            <v>solar PV</v>
          </cell>
        </row>
        <row r="21708">
          <cell r="C21708" t="str">
            <v>PV</v>
          </cell>
          <cell r="D21708">
            <v>1</v>
          </cell>
          <cell r="H21708" t="str">
            <v>solar PV</v>
          </cell>
        </row>
        <row r="21709">
          <cell r="C21709" t="str">
            <v>PV</v>
          </cell>
          <cell r="D21709">
            <v>1.1000000000000001</v>
          </cell>
          <cell r="H21709" t="str">
            <v>solar PV</v>
          </cell>
        </row>
        <row r="21710">
          <cell r="C21710" t="str">
            <v>PV</v>
          </cell>
          <cell r="D21710">
            <v>15</v>
          </cell>
          <cell r="H21710" t="str">
            <v>solar PV</v>
          </cell>
        </row>
        <row r="21711">
          <cell r="C21711" t="str">
            <v>PV</v>
          </cell>
          <cell r="D21711">
            <v>1</v>
          </cell>
          <cell r="H21711" t="str">
            <v>solar PV</v>
          </cell>
        </row>
        <row r="21712">
          <cell r="C21712" t="str">
            <v>PV</v>
          </cell>
          <cell r="D21712">
            <v>1</v>
          </cell>
          <cell r="H21712" t="str">
            <v>solar PV</v>
          </cell>
        </row>
        <row r="21713">
          <cell r="C21713" t="str">
            <v>PV</v>
          </cell>
          <cell r="D21713">
            <v>1.8</v>
          </cell>
          <cell r="H21713" t="str">
            <v>solar PV</v>
          </cell>
        </row>
        <row r="21714">
          <cell r="C21714" t="str">
            <v>PV</v>
          </cell>
          <cell r="D21714">
            <v>2.8</v>
          </cell>
          <cell r="H21714" t="str">
            <v>solar PV</v>
          </cell>
        </row>
        <row r="21715">
          <cell r="C21715" t="str">
            <v>BA</v>
          </cell>
          <cell r="D21715">
            <v>20</v>
          </cell>
          <cell r="H21715" t="str">
            <v>other</v>
          </cell>
        </row>
        <row r="21716">
          <cell r="C21716" t="str">
            <v>PV</v>
          </cell>
          <cell r="D21716">
            <v>1.5</v>
          </cell>
          <cell r="H21716" t="str">
            <v>solar PV</v>
          </cell>
        </row>
        <row r="21717">
          <cell r="C21717" t="str">
            <v>PV</v>
          </cell>
          <cell r="D21717">
            <v>1</v>
          </cell>
          <cell r="H21717" t="str">
            <v>solar PV</v>
          </cell>
        </row>
        <row r="21718">
          <cell r="C21718" t="str">
            <v>PV</v>
          </cell>
          <cell r="D21718">
            <v>4</v>
          </cell>
          <cell r="H21718" t="str">
            <v>solar PV</v>
          </cell>
        </row>
        <row r="21719">
          <cell r="C21719" t="str">
            <v>PV</v>
          </cell>
          <cell r="D21719">
            <v>2</v>
          </cell>
          <cell r="H21719" t="str">
            <v>solar PV</v>
          </cell>
        </row>
        <row r="21720">
          <cell r="C21720" t="str">
            <v>PV</v>
          </cell>
          <cell r="D21720">
            <v>1.7</v>
          </cell>
          <cell r="H21720" t="str">
            <v>solar PV</v>
          </cell>
        </row>
        <row r="21721">
          <cell r="C21721" t="str">
            <v>PV</v>
          </cell>
          <cell r="D21721">
            <v>1.4</v>
          </cell>
          <cell r="H21721" t="str">
            <v>solar PV</v>
          </cell>
        </row>
        <row r="21722">
          <cell r="C21722" t="str">
            <v>PV</v>
          </cell>
          <cell r="D21722">
            <v>2</v>
          </cell>
          <cell r="H21722" t="str">
            <v>solar PV</v>
          </cell>
        </row>
        <row r="21723">
          <cell r="C21723" t="str">
            <v>PV</v>
          </cell>
          <cell r="D21723">
            <v>2</v>
          </cell>
          <cell r="H21723" t="str">
            <v>solar PV</v>
          </cell>
        </row>
        <row r="21724">
          <cell r="C21724" t="str">
            <v>PV</v>
          </cell>
          <cell r="D21724">
            <v>1.7</v>
          </cell>
          <cell r="H21724" t="str">
            <v>solar PV</v>
          </cell>
        </row>
        <row r="21725">
          <cell r="C21725" t="str">
            <v>PV</v>
          </cell>
          <cell r="D21725">
            <v>2</v>
          </cell>
          <cell r="H21725" t="str">
            <v>solar PV</v>
          </cell>
        </row>
        <row r="21726">
          <cell r="C21726" t="str">
            <v>WT</v>
          </cell>
          <cell r="D21726">
            <v>9.9</v>
          </cell>
          <cell r="H21726" t="str">
            <v>onshore wind</v>
          </cell>
        </row>
        <row r="21727">
          <cell r="C21727" t="str">
            <v>IC</v>
          </cell>
          <cell r="D21727">
            <v>5</v>
          </cell>
          <cell r="H21727" t="str">
            <v>petroleum</v>
          </cell>
        </row>
        <row r="21728">
          <cell r="C21728" t="str">
            <v>PV</v>
          </cell>
          <cell r="D21728">
            <v>52.5</v>
          </cell>
          <cell r="H21728" t="str">
            <v>solar PV</v>
          </cell>
        </row>
        <row r="21729">
          <cell r="C21729" t="str">
            <v>PV</v>
          </cell>
          <cell r="D21729">
            <v>5</v>
          </cell>
          <cell r="H21729" t="str">
            <v>solar PV</v>
          </cell>
        </row>
        <row r="21730">
          <cell r="C21730" t="str">
            <v>PV</v>
          </cell>
          <cell r="D21730">
            <v>7.5</v>
          </cell>
          <cell r="H21730" t="str">
            <v>solar PV</v>
          </cell>
        </row>
        <row r="21731">
          <cell r="C21731" t="str">
            <v>PV</v>
          </cell>
          <cell r="D21731">
            <v>5</v>
          </cell>
          <cell r="H21731" t="str">
            <v>solar PV</v>
          </cell>
        </row>
        <row r="21732">
          <cell r="C21732" t="str">
            <v>PV</v>
          </cell>
          <cell r="D21732">
            <v>2.2000000000000002</v>
          </cell>
          <cell r="H21732" t="str">
            <v>solar PV</v>
          </cell>
        </row>
        <row r="21733">
          <cell r="C21733" t="str">
            <v>PV</v>
          </cell>
          <cell r="D21733">
            <v>2.2000000000000002</v>
          </cell>
          <cell r="H21733" t="str">
            <v>solar PV</v>
          </cell>
        </row>
        <row r="21734">
          <cell r="C21734" t="str">
            <v>PV</v>
          </cell>
          <cell r="D21734">
            <v>2.2000000000000002</v>
          </cell>
          <cell r="H21734" t="str">
            <v>solar PV</v>
          </cell>
        </row>
        <row r="21735">
          <cell r="C21735" t="str">
            <v>WT</v>
          </cell>
          <cell r="D21735">
            <v>1.8</v>
          </cell>
          <cell r="H21735" t="str">
            <v>onshore wind</v>
          </cell>
        </row>
        <row r="21736">
          <cell r="C21736" t="str">
            <v>PV</v>
          </cell>
          <cell r="D21736">
            <v>4.4000000000000004</v>
          </cell>
          <cell r="H21736" t="str">
            <v>solar PV</v>
          </cell>
        </row>
        <row r="21737">
          <cell r="C21737" t="str">
            <v>IC</v>
          </cell>
          <cell r="D21737">
            <v>0.5</v>
          </cell>
          <cell r="H21737" t="str">
            <v>petroleum</v>
          </cell>
        </row>
        <row r="21738">
          <cell r="C21738" t="str">
            <v>IC</v>
          </cell>
          <cell r="D21738">
            <v>0.5</v>
          </cell>
          <cell r="H21738" t="str">
            <v>petroleum</v>
          </cell>
        </row>
        <row r="21739">
          <cell r="C21739" t="str">
            <v>IC</v>
          </cell>
          <cell r="D21739">
            <v>0.8</v>
          </cell>
          <cell r="H21739" t="str">
            <v>petroleum</v>
          </cell>
        </row>
        <row r="21740">
          <cell r="C21740" t="str">
            <v>IC</v>
          </cell>
          <cell r="D21740">
            <v>0.9</v>
          </cell>
          <cell r="H21740" t="str">
            <v>petroleum</v>
          </cell>
        </row>
        <row r="21741">
          <cell r="C21741" t="str">
            <v>IC</v>
          </cell>
          <cell r="D21741">
            <v>0.9</v>
          </cell>
          <cell r="H21741" t="str">
            <v>petroleum</v>
          </cell>
        </row>
        <row r="21742">
          <cell r="C21742" t="str">
            <v>IC</v>
          </cell>
          <cell r="D21742">
            <v>0.3</v>
          </cell>
          <cell r="H21742" t="str">
            <v>petroleum</v>
          </cell>
        </row>
        <row r="21743">
          <cell r="C21743" t="str">
            <v>GT</v>
          </cell>
          <cell r="D21743">
            <v>5.7</v>
          </cell>
          <cell r="H21743" t="str">
            <v>natural gas peaker</v>
          </cell>
        </row>
        <row r="21744">
          <cell r="C21744" t="str">
            <v>GT</v>
          </cell>
          <cell r="D21744">
            <v>5.7</v>
          </cell>
          <cell r="H21744" t="str">
            <v>natural gas peaker</v>
          </cell>
        </row>
        <row r="21745">
          <cell r="C21745" t="str">
            <v>PV</v>
          </cell>
          <cell r="D21745">
            <v>2</v>
          </cell>
          <cell r="H21745" t="str">
            <v>solar PV</v>
          </cell>
        </row>
        <row r="21746">
          <cell r="C21746" t="str">
            <v>PV</v>
          </cell>
          <cell r="D21746">
            <v>1</v>
          </cell>
          <cell r="H21746" t="str">
            <v>solar PV</v>
          </cell>
        </row>
        <row r="21747">
          <cell r="C21747" t="str">
            <v>PV</v>
          </cell>
          <cell r="D21747">
            <v>1</v>
          </cell>
          <cell r="H21747" t="str">
            <v>solar PV</v>
          </cell>
        </row>
        <row r="21748">
          <cell r="C21748" t="str">
            <v>PV</v>
          </cell>
          <cell r="D21748">
            <v>1</v>
          </cell>
          <cell r="H21748" t="str">
            <v>solar PV</v>
          </cell>
        </row>
        <row r="21749">
          <cell r="C21749" t="str">
            <v>PV</v>
          </cell>
          <cell r="D21749">
            <v>1.9</v>
          </cell>
          <cell r="H21749" t="str">
            <v>solar PV</v>
          </cell>
        </row>
        <row r="21750">
          <cell r="C21750" t="str">
            <v>PV</v>
          </cell>
          <cell r="D21750">
            <v>2.2999999999999998</v>
          </cell>
          <cell r="H21750" t="str">
            <v>solar PV</v>
          </cell>
        </row>
        <row r="21751">
          <cell r="C21751" t="str">
            <v>PV</v>
          </cell>
          <cell r="D21751">
            <v>2</v>
          </cell>
          <cell r="H21751" t="str">
            <v>solar PV</v>
          </cell>
        </row>
        <row r="21752">
          <cell r="C21752" t="str">
            <v>PV</v>
          </cell>
          <cell r="D21752">
            <v>1.8</v>
          </cell>
          <cell r="H21752" t="str">
            <v>solar PV</v>
          </cell>
        </row>
        <row r="21753">
          <cell r="C21753" t="str">
            <v>PV</v>
          </cell>
          <cell r="D21753">
            <v>1.9</v>
          </cell>
          <cell r="H21753" t="str">
            <v>solar PV</v>
          </cell>
        </row>
        <row r="21754">
          <cell r="C21754" t="str">
            <v>PV</v>
          </cell>
          <cell r="D21754">
            <v>4</v>
          </cell>
          <cell r="H21754" t="str">
            <v>solar PV</v>
          </cell>
        </row>
        <row r="21755">
          <cell r="C21755" t="str">
            <v>PV</v>
          </cell>
          <cell r="D21755">
            <v>2</v>
          </cell>
          <cell r="H21755" t="str">
            <v>solar PV</v>
          </cell>
        </row>
        <row r="21756">
          <cell r="C21756" t="str">
            <v>PV</v>
          </cell>
          <cell r="D21756">
            <v>2</v>
          </cell>
          <cell r="H21756" t="str">
            <v>solar PV</v>
          </cell>
        </row>
        <row r="21757">
          <cell r="C21757" t="str">
            <v>PV</v>
          </cell>
          <cell r="D21757">
            <v>5.3</v>
          </cell>
          <cell r="H21757" t="str">
            <v>solar PV</v>
          </cell>
        </row>
        <row r="21758">
          <cell r="C21758" t="str">
            <v>PV</v>
          </cell>
          <cell r="D21758">
            <v>4</v>
          </cell>
          <cell r="H21758" t="str">
            <v>solar PV</v>
          </cell>
        </row>
        <row r="21759">
          <cell r="C21759" t="str">
            <v>PV</v>
          </cell>
          <cell r="D21759">
            <v>1</v>
          </cell>
          <cell r="H21759" t="str">
            <v>solar PV</v>
          </cell>
        </row>
        <row r="21760">
          <cell r="C21760" t="str">
            <v>PV</v>
          </cell>
          <cell r="D21760">
            <v>1</v>
          </cell>
          <cell r="H21760" t="str">
            <v>solar PV</v>
          </cell>
        </row>
        <row r="21761">
          <cell r="C21761" t="str">
            <v>PV</v>
          </cell>
          <cell r="D21761">
            <v>1</v>
          </cell>
          <cell r="H21761" t="str">
            <v>solar PV</v>
          </cell>
        </row>
        <row r="21762">
          <cell r="C21762" t="str">
            <v>PV</v>
          </cell>
          <cell r="D21762">
            <v>1</v>
          </cell>
          <cell r="H21762" t="str">
            <v>solar PV</v>
          </cell>
        </row>
        <row r="21763">
          <cell r="C21763" t="str">
            <v>PV</v>
          </cell>
          <cell r="D21763">
            <v>1</v>
          </cell>
          <cell r="H21763" t="str">
            <v>solar PV</v>
          </cell>
        </row>
        <row r="21764">
          <cell r="C21764" t="str">
            <v>PV</v>
          </cell>
          <cell r="D21764">
            <v>1</v>
          </cell>
          <cell r="H21764" t="str">
            <v>solar PV</v>
          </cell>
        </row>
        <row r="21765">
          <cell r="C21765" t="str">
            <v>PV</v>
          </cell>
          <cell r="D21765">
            <v>1</v>
          </cell>
          <cell r="H21765" t="str">
            <v>solar PV</v>
          </cell>
        </row>
        <row r="21766">
          <cell r="C21766" t="str">
            <v>PV</v>
          </cell>
          <cell r="D21766">
            <v>1</v>
          </cell>
          <cell r="H21766" t="str">
            <v>solar PV</v>
          </cell>
        </row>
        <row r="21767">
          <cell r="C21767" t="str">
            <v>PV</v>
          </cell>
          <cell r="D21767">
            <v>1</v>
          </cell>
          <cell r="H21767" t="str">
            <v>solar PV</v>
          </cell>
        </row>
        <row r="21768">
          <cell r="C21768" t="str">
            <v>PV</v>
          </cell>
          <cell r="D21768">
            <v>1</v>
          </cell>
          <cell r="H21768" t="str">
            <v>solar PV</v>
          </cell>
        </row>
        <row r="21769">
          <cell r="C21769" t="str">
            <v>BA</v>
          </cell>
          <cell r="D21769">
            <v>3</v>
          </cell>
          <cell r="H21769" t="str">
            <v>other</v>
          </cell>
        </row>
        <row r="21770">
          <cell r="C21770" t="str">
            <v>PV</v>
          </cell>
          <cell r="D21770">
            <v>5</v>
          </cell>
          <cell r="H21770" t="str">
            <v>solar PV</v>
          </cell>
        </row>
        <row r="21771">
          <cell r="C21771" t="str">
            <v>PV</v>
          </cell>
          <cell r="D21771">
            <v>1.5</v>
          </cell>
          <cell r="H21771" t="str">
            <v>solar PV</v>
          </cell>
        </row>
        <row r="21772">
          <cell r="C21772" t="str">
            <v>PV</v>
          </cell>
          <cell r="D21772">
            <v>1.5</v>
          </cell>
          <cell r="H21772" t="str">
            <v>solar PV</v>
          </cell>
        </row>
        <row r="21773">
          <cell r="C21773" t="str">
            <v>PV</v>
          </cell>
          <cell r="D21773">
            <v>1.5</v>
          </cell>
          <cell r="H21773" t="str">
            <v>solar PV</v>
          </cell>
        </row>
        <row r="21774">
          <cell r="C21774" t="str">
            <v>WT</v>
          </cell>
          <cell r="D21774">
            <v>30.2</v>
          </cell>
          <cell r="H21774" t="str">
            <v>onshore wind</v>
          </cell>
        </row>
        <row r="21775">
          <cell r="C21775" t="str">
            <v>PV</v>
          </cell>
          <cell r="D21775">
            <v>1</v>
          </cell>
          <cell r="H21775" t="str">
            <v>solar PV</v>
          </cell>
        </row>
        <row r="21776">
          <cell r="C21776" t="str">
            <v>PV</v>
          </cell>
          <cell r="D21776">
            <v>1.5</v>
          </cell>
          <cell r="H21776" t="str">
            <v>solar PV</v>
          </cell>
        </row>
        <row r="21777">
          <cell r="C21777" t="str">
            <v>PV</v>
          </cell>
          <cell r="D21777">
            <v>5</v>
          </cell>
          <cell r="H21777" t="str">
            <v>solar PV</v>
          </cell>
        </row>
        <row r="21778">
          <cell r="C21778" t="str">
            <v>PV</v>
          </cell>
          <cell r="D21778">
            <v>8</v>
          </cell>
          <cell r="H21778" t="str">
            <v>solar PV</v>
          </cell>
        </row>
        <row r="21779">
          <cell r="C21779" t="str">
            <v>PV</v>
          </cell>
          <cell r="D21779">
            <v>1.3</v>
          </cell>
          <cell r="H21779" t="str">
            <v>solar PV</v>
          </cell>
        </row>
        <row r="21780">
          <cell r="C21780" t="str">
            <v>PV</v>
          </cell>
          <cell r="D21780">
            <v>1.5</v>
          </cell>
          <cell r="H21780" t="str">
            <v>solar PV</v>
          </cell>
        </row>
        <row r="21781">
          <cell r="C21781" t="str">
            <v>PV</v>
          </cell>
          <cell r="D21781">
            <v>1.5</v>
          </cell>
          <cell r="H21781" t="str">
            <v>solar PV</v>
          </cell>
        </row>
        <row r="21782">
          <cell r="C21782" t="str">
            <v>PV</v>
          </cell>
          <cell r="D21782">
            <v>1.5</v>
          </cell>
          <cell r="H21782" t="str">
            <v>solar PV</v>
          </cell>
        </row>
        <row r="21783">
          <cell r="C21783" t="str">
            <v>PV</v>
          </cell>
          <cell r="D21783">
            <v>1.8</v>
          </cell>
          <cell r="H21783" t="str">
            <v>solar PV</v>
          </cell>
        </row>
        <row r="21784">
          <cell r="C21784" t="str">
            <v>IC</v>
          </cell>
          <cell r="D21784">
            <v>0.8</v>
          </cell>
          <cell r="H21784" t="str">
            <v>petroleum</v>
          </cell>
        </row>
        <row r="21785">
          <cell r="C21785" t="str">
            <v>IC</v>
          </cell>
          <cell r="D21785">
            <v>0.8</v>
          </cell>
          <cell r="H21785" t="str">
            <v>petroleum</v>
          </cell>
        </row>
        <row r="21786">
          <cell r="C21786" t="str">
            <v>IC</v>
          </cell>
          <cell r="D21786">
            <v>0.8</v>
          </cell>
          <cell r="H21786" t="str">
            <v>petroleum</v>
          </cell>
        </row>
        <row r="21787">
          <cell r="C21787" t="str">
            <v>IC</v>
          </cell>
          <cell r="D21787">
            <v>0.8</v>
          </cell>
          <cell r="H21787" t="str">
            <v>petroleum</v>
          </cell>
        </row>
        <row r="21788">
          <cell r="C21788" t="str">
            <v>IC</v>
          </cell>
          <cell r="D21788">
            <v>0.6</v>
          </cell>
          <cell r="H21788" t="str">
            <v>petroleum</v>
          </cell>
        </row>
        <row r="21789">
          <cell r="C21789" t="str">
            <v>IC</v>
          </cell>
          <cell r="D21789">
            <v>0.6</v>
          </cell>
          <cell r="H21789" t="str">
            <v>petroleum</v>
          </cell>
        </row>
        <row r="21790">
          <cell r="C21790" t="str">
            <v>IC</v>
          </cell>
          <cell r="D21790">
            <v>0.9</v>
          </cell>
          <cell r="H21790" t="str">
            <v>petroleum</v>
          </cell>
        </row>
        <row r="21791">
          <cell r="C21791" t="str">
            <v>IC</v>
          </cell>
          <cell r="D21791">
            <v>0.7</v>
          </cell>
          <cell r="H21791" t="str">
            <v>petroleum</v>
          </cell>
        </row>
        <row r="21792">
          <cell r="C21792" t="str">
            <v>PV</v>
          </cell>
          <cell r="D21792">
            <v>1.5</v>
          </cell>
          <cell r="H21792" t="str">
            <v>solar PV</v>
          </cell>
        </row>
        <row r="21793">
          <cell r="C21793" t="str">
            <v>PV</v>
          </cell>
          <cell r="D21793">
            <v>1.5</v>
          </cell>
          <cell r="H21793" t="str">
            <v>solar PV</v>
          </cell>
        </row>
        <row r="21794">
          <cell r="C21794" t="str">
            <v>PV</v>
          </cell>
          <cell r="D21794">
            <v>1.5</v>
          </cell>
          <cell r="H21794" t="str">
            <v>solar PV</v>
          </cell>
        </row>
        <row r="21795">
          <cell r="C21795" t="str">
            <v>PV</v>
          </cell>
          <cell r="D21795">
            <v>1.5</v>
          </cell>
          <cell r="H21795" t="str">
            <v>solar PV</v>
          </cell>
        </row>
        <row r="21796">
          <cell r="C21796" t="str">
            <v>PV</v>
          </cell>
          <cell r="D21796">
            <v>1.5</v>
          </cell>
          <cell r="H21796" t="str">
            <v>solar PV</v>
          </cell>
        </row>
        <row r="21797">
          <cell r="C21797" t="str">
            <v>PV</v>
          </cell>
          <cell r="D21797">
            <v>1.5</v>
          </cell>
          <cell r="H21797" t="str">
            <v>solar PV</v>
          </cell>
        </row>
        <row r="21798">
          <cell r="C21798" t="str">
            <v>BA</v>
          </cell>
          <cell r="D21798">
            <v>2</v>
          </cell>
          <cell r="H21798" t="str">
            <v>other</v>
          </cell>
        </row>
        <row r="21799">
          <cell r="C21799" t="str">
            <v>WT</v>
          </cell>
          <cell r="D21799">
            <v>200</v>
          </cell>
          <cell r="H21799" t="str">
            <v>onshore wind</v>
          </cell>
        </row>
        <row r="21800">
          <cell r="C21800" t="str">
            <v>WT</v>
          </cell>
          <cell r="D21800">
            <v>300</v>
          </cell>
          <cell r="H21800" t="str">
            <v>onshore wind</v>
          </cell>
        </row>
        <row r="21801">
          <cell r="C21801" t="str">
            <v>PV</v>
          </cell>
          <cell r="D21801">
            <v>2</v>
          </cell>
          <cell r="H21801" t="str">
            <v>solar PV</v>
          </cell>
        </row>
        <row r="21802">
          <cell r="C21802" t="str">
            <v>PV</v>
          </cell>
          <cell r="D21802">
            <v>1.2</v>
          </cell>
          <cell r="H21802" t="str">
            <v>solar PV</v>
          </cell>
        </row>
        <row r="21803">
          <cell r="C21803" t="str">
            <v>PV</v>
          </cell>
          <cell r="D21803">
            <v>1.9</v>
          </cell>
          <cell r="H21803" t="str">
            <v>solar PV</v>
          </cell>
        </row>
        <row r="21804">
          <cell r="C21804" t="str">
            <v>PV</v>
          </cell>
          <cell r="D21804">
            <v>1.1000000000000001</v>
          </cell>
          <cell r="H21804" t="str">
            <v>solar PV</v>
          </cell>
        </row>
        <row r="21805">
          <cell r="C21805" t="str">
            <v>PV</v>
          </cell>
          <cell r="D21805">
            <v>5</v>
          </cell>
          <cell r="H21805" t="str">
            <v>solar PV</v>
          </cell>
        </row>
        <row r="21806">
          <cell r="C21806" t="str">
            <v>PV</v>
          </cell>
          <cell r="D21806">
            <v>5.6</v>
          </cell>
          <cell r="H21806" t="str">
            <v>solar PV</v>
          </cell>
        </row>
        <row r="21807">
          <cell r="C21807" t="str">
            <v>WT</v>
          </cell>
          <cell r="D21807">
            <v>100</v>
          </cell>
          <cell r="H21807" t="str">
            <v>onshore wind</v>
          </cell>
        </row>
        <row r="21808">
          <cell r="C21808" t="str">
            <v>IC</v>
          </cell>
          <cell r="D21808">
            <v>0.7</v>
          </cell>
          <cell r="H21808" t="str">
            <v>petroleum</v>
          </cell>
        </row>
        <row r="21809">
          <cell r="C21809" t="str">
            <v>IC</v>
          </cell>
          <cell r="D21809">
            <v>1.5</v>
          </cell>
          <cell r="H21809" t="str">
            <v>petroleum</v>
          </cell>
        </row>
        <row r="21810">
          <cell r="C21810" t="str">
            <v>IC</v>
          </cell>
          <cell r="D21810">
            <v>1.3</v>
          </cell>
          <cell r="H21810" t="str">
            <v>petroleum</v>
          </cell>
        </row>
        <row r="21811">
          <cell r="C21811" t="str">
            <v>IC</v>
          </cell>
          <cell r="D21811">
            <v>1.3</v>
          </cell>
          <cell r="H21811" t="str">
            <v>petroleum</v>
          </cell>
        </row>
        <row r="21812">
          <cell r="C21812" t="str">
            <v>IC</v>
          </cell>
          <cell r="D21812">
            <v>0.7</v>
          </cell>
          <cell r="H21812" t="str">
            <v>petroleum</v>
          </cell>
        </row>
        <row r="21813">
          <cell r="C21813" t="str">
            <v>IC</v>
          </cell>
          <cell r="D21813">
            <v>0.7</v>
          </cell>
          <cell r="H21813" t="str">
            <v>petroleum</v>
          </cell>
        </row>
        <row r="21814">
          <cell r="C21814" t="str">
            <v>IC</v>
          </cell>
          <cell r="D21814">
            <v>0.7</v>
          </cell>
          <cell r="H21814" t="str">
            <v>petroleum</v>
          </cell>
        </row>
        <row r="21815">
          <cell r="C21815" t="str">
            <v>IC</v>
          </cell>
          <cell r="D21815">
            <v>0.6</v>
          </cell>
          <cell r="H21815" t="str">
            <v>petroleum</v>
          </cell>
        </row>
        <row r="21816">
          <cell r="C21816" t="str">
            <v>IC</v>
          </cell>
          <cell r="D21816">
            <v>0.3</v>
          </cell>
          <cell r="H21816" t="str">
            <v>petroleum</v>
          </cell>
        </row>
        <row r="21817">
          <cell r="C21817" t="str">
            <v>IC</v>
          </cell>
          <cell r="D21817">
            <v>0.4</v>
          </cell>
          <cell r="H21817" t="str">
            <v>petroleum</v>
          </cell>
        </row>
        <row r="21818">
          <cell r="C21818" t="str">
            <v>IC</v>
          </cell>
          <cell r="D21818">
            <v>0.5</v>
          </cell>
          <cell r="H21818" t="str">
            <v>petroleum</v>
          </cell>
        </row>
        <row r="21819">
          <cell r="C21819" t="str">
            <v>IC</v>
          </cell>
          <cell r="D21819">
            <v>0.3</v>
          </cell>
          <cell r="H21819" t="str">
            <v>petroleum</v>
          </cell>
        </row>
        <row r="21820">
          <cell r="C21820" t="str">
            <v>IC</v>
          </cell>
          <cell r="D21820">
            <v>0.5</v>
          </cell>
          <cell r="H21820" t="str">
            <v>petroleum</v>
          </cell>
        </row>
        <row r="21821">
          <cell r="C21821" t="str">
            <v>IC</v>
          </cell>
          <cell r="D21821">
            <v>0.9</v>
          </cell>
          <cell r="H21821" t="str">
            <v>petroleum</v>
          </cell>
        </row>
        <row r="21822">
          <cell r="C21822" t="str">
            <v>IC</v>
          </cell>
          <cell r="D21822">
            <v>0.9</v>
          </cell>
          <cell r="H21822" t="str">
            <v>petroleum</v>
          </cell>
        </row>
        <row r="21823">
          <cell r="C21823" t="str">
            <v>IC</v>
          </cell>
          <cell r="D21823">
            <v>0.9</v>
          </cell>
          <cell r="H21823" t="str">
            <v>petroleum</v>
          </cell>
        </row>
        <row r="21824">
          <cell r="C21824" t="str">
            <v>IC</v>
          </cell>
          <cell r="D21824">
            <v>0.9</v>
          </cell>
          <cell r="H21824" t="str">
            <v>petroleum</v>
          </cell>
        </row>
        <row r="21825">
          <cell r="C21825" t="str">
            <v>IC</v>
          </cell>
          <cell r="D21825">
            <v>0.9</v>
          </cell>
          <cell r="H21825" t="str">
            <v>petroleum</v>
          </cell>
        </row>
        <row r="21826">
          <cell r="C21826" t="str">
            <v>PV</v>
          </cell>
          <cell r="D21826">
            <v>8</v>
          </cell>
          <cell r="H21826" t="str">
            <v>solar PV</v>
          </cell>
        </row>
        <row r="21827">
          <cell r="C21827" t="str">
            <v>PV</v>
          </cell>
          <cell r="D21827">
            <v>1.2</v>
          </cell>
          <cell r="H21827" t="str">
            <v>solar PV</v>
          </cell>
        </row>
        <row r="21828">
          <cell r="C21828" t="str">
            <v>PV</v>
          </cell>
          <cell r="D21828">
            <v>1.4</v>
          </cell>
          <cell r="H21828" t="str">
            <v>solar PV</v>
          </cell>
        </row>
        <row r="21829">
          <cell r="C21829" t="str">
            <v>PV</v>
          </cell>
          <cell r="D21829">
            <v>1.9</v>
          </cell>
          <cell r="H21829" t="str">
            <v>solar PV</v>
          </cell>
        </row>
        <row r="21830">
          <cell r="C21830" t="str">
            <v>PV</v>
          </cell>
          <cell r="D21830">
            <v>1</v>
          </cell>
          <cell r="H21830" t="str">
            <v>solar PV</v>
          </cell>
        </row>
        <row r="21831">
          <cell r="C21831" t="str">
            <v>PV</v>
          </cell>
          <cell r="D21831">
            <v>111.2</v>
          </cell>
          <cell r="H21831" t="str">
            <v>solar PV</v>
          </cell>
        </row>
        <row r="21832">
          <cell r="C21832" t="str">
            <v>CT</v>
          </cell>
          <cell r="D21832">
            <v>11.2</v>
          </cell>
          <cell r="H21832" t="str">
            <v>natural gas nonpeaker</v>
          </cell>
        </row>
        <row r="21833">
          <cell r="C21833" t="str">
            <v>CT</v>
          </cell>
          <cell r="D21833">
            <v>11.2</v>
          </cell>
          <cell r="H21833" t="str">
            <v>natural gas nonpeaker</v>
          </cell>
        </row>
        <row r="21834">
          <cell r="C21834" t="str">
            <v>CA</v>
          </cell>
          <cell r="D21834">
            <v>4.5</v>
          </cell>
          <cell r="H21834" t="str">
            <v>natural gas nonpeaker</v>
          </cell>
        </row>
        <row r="21835">
          <cell r="C21835" t="str">
            <v>WT</v>
          </cell>
          <cell r="D21835">
            <v>44.6</v>
          </cell>
          <cell r="H21835" t="str">
            <v>onshore wind</v>
          </cell>
        </row>
        <row r="21836">
          <cell r="C21836" t="str">
            <v>PV</v>
          </cell>
          <cell r="D21836">
            <v>4</v>
          </cell>
          <cell r="H21836" t="str">
            <v>solar PV</v>
          </cell>
        </row>
        <row r="21837">
          <cell r="C21837" t="str">
            <v>PV</v>
          </cell>
          <cell r="D21837">
            <v>4.5</v>
          </cell>
          <cell r="H21837" t="str">
            <v>solar PV</v>
          </cell>
        </row>
        <row r="21838">
          <cell r="C21838" t="str">
            <v>PV</v>
          </cell>
          <cell r="D21838">
            <v>2</v>
          </cell>
          <cell r="H21838" t="str">
            <v>solar PV</v>
          </cell>
        </row>
        <row r="21839">
          <cell r="C21839" t="str">
            <v>PV</v>
          </cell>
          <cell r="D21839">
            <v>6</v>
          </cell>
          <cell r="H21839" t="str">
            <v>solar PV</v>
          </cell>
        </row>
        <row r="21840">
          <cell r="C21840" t="str">
            <v>PV</v>
          </cell>
          <cell r="D21840">
            <v>5.3</v>
          </cell>
          <cell r="H21840" t="str">
            <v>solar PV</v>
          </cell>
        </row>
        <row r="21841">
          <cell r="C21841" t="str">
            <v>PV</v>
          </cell>
          <cell r="D21841">
            <v>5.5</v>
          </cell>
          <cell r="H21841" t="str">
            <v>solar PV</v>
          </cell>
        </row>
        <row r="21842">
          <cell r="C21842" t="str">
            <v>ST</v>
          </cell>
          <cell r="D21842">
            <v>1.5</v>
          </cell>
          <cell r="H21842" t="str">
            <v>hard coal</v>
          </cell>
        </row>
        <row r="21843">
          <cell r="C21843" t="str">
            <v>PV</v>
          </cell>
          <cell r="D21843">
            <v>1.5</v>
          </cell>
          <cell r="H21843" t="str">
            <v>solar PV</v>
          </cell>
        </row>
        <row r="21844">
          <cell r="C21844" t="str">
            <v>HY</v>
          </cell>
          <cell r="D21844">
            <v>1.5</v>
          </cell>
          <cell r="H21844" t="str">
            <v>hydro</v>
          </cell>
        </row>
        <row r="21845">
          <cell r="C21845" t="str">
            <v>HY</v>
          </cell>
          <cell r="D21845">
            <v>1.5</v>
          </cell>
          <cell r="H21845" t="str">
            <v>hydro</v>
          </cell>
        </row>
        <row r="21846">
          <cell r="C21846" t="str">
            <v>PV</v>
          </cell>
          <cell r="D21846">
            <v>1.8</v>
          </cell>
          <cell r="H21846" t="str">
            <v>solar PV</v>
          </cell>
        </row>
        <row r="21847">
          <cell r="C21847" t="str">
            <v>PV</v>
          </cell>
          <cell r="D21847">
            <v>2</v>
          </cell>
          <cell r="H21847" t="str">
            <v>solar PV</v>
          </cell>
        </row>
        <row r="21848">
          <cell r="C21848" t="str">
            <v>PV</v>
          </cell>
          <cell r="D21848">
            <v>1.5</v>
          </cell>
          <cell r="H21848" t="str">
            <v>solar PV</v>
          </cell>
        </row>
        <row r="21849">
          <cell r="C21849" t="str">
            <v>PV</v>
          </cell>
          <cell r="D21849">
            <v>1</v>
          </cell>
          <cell r="H21849" t="str">
            <v>solar PV</v>
          </cell>
        </row>
        <row r="21850">
          <cell r="C21850" t="str">
            <v>PV</v>
          </cell>
          <cell r="D21850">
            <v>5</v>
          </cell>
          <cell r="H21850" t="str">
            <v>solar PV</v>
          </cell>
        </row>
        <row r="21851">
          <cell r="C21851" t="str">
            <v>PV</v>
          </cell>
          <cell r="D21851">
            <v>5</v>
          </cell>
          <cell r="H21851" t="str">
            <v>solar PV</v>
          </cell>
        </row>
        <row r="21852">
          <cell r="C21852" t="str">
            <v>PV</v>
          </cell>
          <cell r="D21852">
            <v>5</v>
          </cell>
          <cell r="H21852" t="str">
            <v>solar PV</v>
          </cell>
        </row>
        <row r="21853">
          <cell r="C21853" t="str">
            <v>PV</v>
          </cell>
          <cell r="D21853">
            <v>5</v>
          </cell>
          <cell r="H21853" t="str">
            <v>solar PV</v>
          </cell>
        </row>
        <row r="21854">
          <cell r="C21854" t="str">
            <v>WT</v>
          </cell>
          <cell r="D21854">
            <v>2.5</v>
          </cell>
          <cell r="H21854" t="str">
            <v>onshore wind</v>
          </cell>
        </row>
        <row r="21855">
          <cell r="C21855" t="str">
            <v>PV</v>
          </cell>
          <cell r="D21855">
            <v>1</v>
          </cell>
          <cell r="H21855" t="str">
            <v>solar PV</v>
          </cell>
        </row>
        <row r="21856">
          <cell r="C21856" t="str">
            <v>PV</v>
          </cell>
          <cell r="D21856">
            <v>1</v>
          </cell>
          <cell r="H21856" t="str">
            <v>solar PV</v>
          </cell>
        </row>
        <row r="21857">
          <cell r="C21857" t="str">
            <v>PV</v>
          </cell>
          <cell r="D21857">
            <v>1</v>
          </cell>
          <cell r="H21857" t="str">
            <v>solar PV</v>
          </cell>
        </row>
        <row r="21858">
          <cell r="C21858" t="str">
            <v>PV</v>
          </cell>
          <cell r="D21858">
            <v>1</v>
          </cell>
          <cell r="H21858" t="str">
            <v>solar PV</v>
          </cell>
        </row>
        <row r="21859">
          <cell r="C21859" t="str">
            <v>PV</v>
          </cell>
          <cell r="D21859">
            <v>1</v>
          </cell>
          <cell r="H21859" t="str">
            <v>solar PV</v>
          </cell>
        </row>
        <row r="21860">
          <cell r="C21860" t="str">
            <v>PV</v>
          </cell>
          <cell r="D21860">
            <v>1</v>
          </cell>
          <cell r="H21860" t="str">
            <v>solar PV</v>
          </cell>
        </row>
        <row r="21861">
          <cell r="C21861" t="str">
            <v>PV</v>
          </cell>
          <cell r="D21861">
            <v>80</v>
          </cell>
          <cell r="H21861" t="str">
            <v>solar PV</v>
          </cell>
        </row>
        <row r="21862">
          <cell r="C21862" t="str">
            <v>PV</v>
          </cell>
          <cell r="D21862">
            <v>1.3</v>
          </cell>
          <cell r="H21862" t="str">
            <v>solar PV</v>
          </cell>
        </row>
        <row r="21863">
          <cell r="C21863" t="str">
            <v>WT</v>
          </cell>
          <cell r="D21863">
            <v>183.8</v>
          </cell>
          <cell r="H21863" t="str">
            <v>onshore wind</v>
          </cell>
        </row>
        <row r="21864">
          <cell r="C21864" t="str">
            <v>PV</v>
          </cell>
          <cell r="D21864">
            <v>1</v>
          </cell>
          <cell r="H21864" t="str">
            <v>solar PV</v>
          </cell>
        </row>
        <row r="21865">
          <cell r="C21865" t="str">
            <v>PV</v>
          </cell>
          <cell r="D21865">
            <v>1</v>
          </cell>
          <cell r="H21865" t="str">
            <v>solar PV</v>
          </cell>
        </row>
        <row r="21866">
          <cell r="C21866" t="str">
            <v>PV</v>
          </cell>
          <cell r="D21866">
            <v>1</v>
          </cell>
          <cell r="H21866" t="str">
            <v>solar PV</v>
          </cell>
        </row>
        <row r="21867">
          <cell r="C21867" t="str">
            <v>PV</v>
          </cell>
          <cell r="D21867">
            <v>1</v>
          </cell>
          <cell r="H21867" t="str">
            <v>solar PV</v>
          </cell>
        </row>
        <row r="21868">
          <cell r="C21868" t="str">
            <v>PV</v>
          </cell>
          <cell r="D21868">
            <v>1</v>
          </cell>
          <cell r="H21868" t="str">
            <v>solar PV</v>
          </cell>
        </row>
        <row r="21869">
          <cell r="C21869" t="str">
            <v>PV</v>
          </cell>
          <cell r="D21869">
            <v>1</v>
          </cell>
          <cell r="H21869" t="str">
            <v>solar PV</v>
          </cell>
        </row>
        <row r="21870">
          <cell r="C21870" t="str">
            <v>PV</v>
          </cell>
          <cell r="D21870">
            <v>1</v>
          </cell>
          <cell r="H21870" t="str">
            <v>solar PV</v>
          </cell>
        </row>
        <row r="21871">
          <cell r="C21871" t="str">
            <v>PV</v>
          </cell>
          <cell r="D21871">
            <v>1</v>
          </cell>
          <cell r="H21871" t="str">
            <v>solar PV</v>
          </cell>
        </row>
        <row r="21872">
          <cell r="C21872" t="str">
            <v>PV</v>
          </cell>
          <cell r="D21872">
            <v>1</v>
          </cell>
          <cell r="H21872" t="str">
            <v>solar PV</v>
          </cell>
        </row>
        <row r="21873">
          <cell r="C21873" t="str">
            <v>PV</v>
          </cell>
          <cell r="D21873">
            <v>1</v>
          </cell>
          <cell r="H21873" t="str">
            <v>solar PV</v>
          </cell>
        </row>
        <row r="21874">
          <cell r="C21874" t="str">
            <v>PV</v>
          </cell>
          <cell r="D21874">
            <v>1</v>
          </cell>
          <cell r="H21874" t="str">
            <v>solar PV</v>
          </cell>
        </row>
        <row r="21875">
          <cell r="C21875" t="str">
            <v>IC</v>
          </cell>
          <cell r="D21875">
            <v>1.5</v>
          </cell>
          <cell r="H21875" t="str">
            <v>petroleum</v>
          </cell>
        </row>
        <row r="21876">
          <cell r="C21876" t="str">
            <v>PV</v>
          </cell>
          <cell r="D21876">
            <v>102.5</v>
          </cell>
          <cell r="H21876" t="str">
            <v>solar PV</v>
          </cell>
        </row>
        <row r="21877">
          <cell r="C21877" t="str">
            <v>PV</v>
          </cell>
          <cell r="D21877">
            <v>4.8</v>
          </cell>
          <cell r="H21877" t="str">
            <v>solar PV</v>
          </cell>
        </row>
        <row r="21878">
          <cell r="C21878" t="str">
            <v>PV</v>
          </cell>
          <cell r="D21878">
            <v>4</v>
          </cell>
          <cell r="H21878" t="str">
            <v>solar PV</v>
          </cell>
        </row>
        <row r="21879">
          <cell r="C21879" t="str">
            <v>PV</v>
          </cell>
          <cell r="D21879">
            <v>1</v>
          </cell>
          <cell r="H21879" t="str">
            <v>solar PV</v>
          </cell>
        </row>
        <row r="21880">
          <cell r="C21880" t="str">
            <v>PV</v>
          </cell>
          <cell r="D21880">
            <v>1.5</v>
          </cell>
          <cell r="H21880" t="str">
            <v>solar PV</v>
          </cell>
        </row>
        <row r="21881">
          <cell r="C21881" t="str">
            <v>PV</v>
          </cell>
          <cell r="D21881">
            <v>1.5</v>
          </cell>
          <cell r="H21881" t="str">
            <v>solar PV</v>
          </cell>
        </row>
        <row r="21882">
          <cell r="C21882" t="str">
            <v>BA</v>
          </cell>
          <cell r="D21882">
            <v>4</v>
          </cell>
          <cell r="H21882" t="str">
            <v>other</v>
          </cell>
        </row>
        <row r="21883">
          <cell r="C21883" t="str">
            <v>PV</v>
          </cell>
          <cell r="D21883">
            <v>5.9</v>
          </cell>
          <cell r="H21883" t="str">
            <v>solar PV</v>
          </cell>
        </row>
        <row r="21884">
          <cell r="C21884" t="str">
            <v>PV</v>
          </cell>
          <cell r="D21884">
            <v>120</v>
          </cell>
          <cell r="H21884" t="str">
            <v>solar PV</v>
          </cell>
        </row>
        <row r="21885">
          <cell r="C21885" t="str">
            <v>PV</v>
          </cell>
          <cell r="D21885">
            <v>35</v>
          </cell>
          <cell r="H21885" t="str">
            <v>solar PV</v>
          </cell>
        </row>
        <row r="21886">
          <cell r="C21886" t="str">
            <v>PV</v>
          </cell>
          <cell r="D21886">
            <v>1.6</v>
          </cell>
          <cell r="H21886" t="str">
            <v>solar PV</v>
          </cell>
        </row>
        <row r="21887">
          <cell r="C21887" t="str">
            <v>WT</v>
          </cell>
          <cell r="D21887">
            <v>200</v>
          </cell>
          <cell r="H21887" t="str">
            <v>onshore wind</v>
          </cell>
        </row>
        <row r="21888">
          <cell r="C21888" t="str">
            <v>BA</v>
          </cell>
          <cell r="D21888">
            <v>2</v>
          </cell>
          <cell r="H21888" t="str">
            <v>other</v>
          </cell>
        </row>
        <row r="21889">
          <cell r="C21889" t="str">
            <v>PV</v>
          </cell>
          <cell r="D21889">
            <v>5</v>
          </cell>
          <cell r="H21889" t="str">
            <v>solar PV</v>
          </cell>
        </row>
        <row r="21890">
          <cell r="C21890" t="str">
            <v>BA</v>
          </cell>
          <cell r="D21890">
            <v>2</v>
          </cell>
          <cell r="H21890" t="str">
            <v>other</v>
          </cell>
        </row>
        <row r="21891">
          <cell r="C21891" t="str">
            <v>PV</v>
          </cell>
          <cell r="D21891">
            <v>5</v>
          </cell>
          <cell r="H21891" t="str">
            <v>solar PV</v>
          </cell>
        </row>
        <row r="21892">
          <cell r="C21892" t="str">
            <v>BA</v>
          </cell>
          <cell r="D21892">
            <v>2</v>
          </cell>
          <cell r="H21892" t="str">
            <v>other</v>
          </cell>
        </row>
        <row r="21893">
          <cell r="C21893" t="str">
            <v>PV</v>
          </cell>
          <cell r="D21893">
            <v>4.5</v>
          </cell>
          <cell r="H21893" t="str">
            <v>solar PV</v>
          </cell>
        </row>
        <row r="21894">
          <cell r="C21894" t="str">
            <v>PV</v>
          </cell>
          <cell r="D21894">
            <v>16</v>
          </cell>
          <cell r="H21894" t="str">
            <v>solar PV</v>
          </cell>
        </row>
        <row r="21895">
          <cell r="C21895" t="str">
            <v>PV</v>
          </cell>
          <cell r="D21895">
            <v>3.6</v>
          </cell>
          <cell r="H21895" t="str">
            <v>solar PV</v>
          </cell>
        </row>
        <row r="21896">
          <cell r="C21896" t="str">
            <v>PV</v>
          </cell>
          <cell r="D21896">
            <v>0.3</v>
          </cell>
          <cell r="H21896" t="str">
            <v>solar PV</v>
          </cell>
        </row>
        <row r="21897">
          <cell r="C21897" t="str">
            <v>PV</v>
          </cell>
          <cell r="D21897">
            <v>0.2</v>
          </cell>
          <cell r="H21897" t="str">
            <v>solar PV</v>
          </cell>
        </row>
        <row r="21898">
          <cell r="C21898" t="str">
            <v>PV</v>
          </cell>
          <cell r="D21898">
            <v>0.5</v>
          </cell>
          <cell r="H21898" t="str">
            <v>solar PV</v>
          </cell>
        </row>
        <row r="21899">
          <cell r="C21899" t="str">
            <v>PV</v>
          </cell>
          <cell r="D21899">
            <v>1.6</v>
          </cell>
          <cell r="H21899" t="str">
            <v>solar PV</v>
          </cell>
        </row>
        <row r="21900">
          <cell r="C21900" t="str">
            <v>PV</v>
          </cell>
          <cell r="D21900">
            <v>1.2</v>
          </cell>
          <cell r="H21900" t="str">
            <v>solar PV</v>
          </cell>
        </row>
        <row r="21901">
          <cell r="C21901" t="str">
            <v>PV</v>
          </cell>
          <cell r="D21901">
            <v>2</v>
          </cell>
          <cell r="H21901" t="str">
            <v>solar PV</v>
          </cell>
        </row>
        <row r="21902">
          <cell r="C21902" t="str">
            <v>IC</v>
          </cell>
          <cell r="D21902">
            <v>0.2</v>
          </cell>
          <cell r="H21902" t="str">
            <v>petroleum</v>
          </cell>
        </row>
        <row r="21903">
          <cell r="C21903" t="str">
            <v>IC</v>
          </cell>
          <cell r="D21903">
            <v>0.2</v>
          </cell>
          <cell r="H21903" t="str">
            <v>petroleum</v>
          </cell>
        </row>
        <row r="21904">
          <cell r="C21904" t="str">
            <v>IC</v>
          </cell>
          <cell r="D21904">
            <v>0.5</v>
          </cell>
          <cell r="H21904" t="str">
            <v>petroleum</v>
          </cell>
        </row>
        <row r="21905">
          <cell r="C21905" t="str">
            <v>IC</v>
          </cell>
          <cell r="D21905">
            <v>1</v>
          </cell>
          <cell r="H21905" t="str">
            <v>petroleum</v>
          </cell>
        </row>
        <row r="21906">
          <cell r="C21906" t="str">
            <v>IC</v>
          </cell>
          <cell r="D21906">
            <v>0.2</v>
          </cell>
          <cell r="H21906" t="str">
            <v>petroleum</v>
          </cell>
        </row>
        <row r="21907">
          <cell r="C21907" t="str">
            <v>IC</v>
          </cell>
          <cell r="D21907">
            <v>0.5</v>
          </cell>
          <cell r="H21907" t="str">
            <v>petroleum</v>
          </cell>
        </row>
        <row r="21908">
          <cell r="C21908" t="str">
            <v>IC</v>
          </cell>
          <cell r="D21908">
            <v>0.7</v>
          </cell>
          <cell r="H21908" t="str">
            <v>petroleum</v>
          </cell>
        </row>
        <row r="21909">
          <cell r="C21909" t="str">
            <v>IC</v>
          </cell>
          <cell r="D21909">
            <v>0.1</v>
          </cell>
          <cell r="H21909" t="str">
            <v>petroleum</v>
          </cell>
        </row>
        <row r="21910">
          <cell r="C21910" t="str">
            <v>IC</v>
          </cell>
          <cell r="D21910">
            <v>0.5</v>
          </cell>
          <cell r="H21910" t="str">
            <v>petroleum</v>
          </cell>
        </row>
        <row r="21911">
          <cell r="C21911" t="str">
            <v>IC</v>
          </cell>
          <cell r="D21911">
            <v>0.9</v>
          </cell>
          <cell r="H21911" t="str">
            <v>petroleum</v>
          </cell>
        </row>
        <row r="21912">
          <cell r="C21912" t="str">
            <v>IC</v>
          </cell>
          <cell r="D21912">
            <v>1.8</v>
          </cell>
          <cell r="H21912" t="str">
            <v>petroleum</v>
          </cell>
        </row>
        <row r="21913">
          <cell r="C21913" t="str">
            <v>IC</v>
          </cell>
          <cell r="D21913">
            <v>1.8</v>
          </cell>
          <cell r="H21913" t="str">
            <v>petroleum</v>
          </cell>
        </row>
        <row r="21914">
          <cell r="C21914" t="str">
            <v>IC</v>
          </cell>
          <cell r="D21914">
            <v>0.2</v>
          </cell>
          <cell r="H21914" t="str">
            <v>natural gas peaker</v>
          </cell>
        </row>
        <row r="21915">
          <cell r="C21915" t="str">
            <v>PV</v>
          </cell>
          <cell r="D21915">
            <v>57.6</v>
          </cell>
          <cell r="H21915" t="str">
            <v>solar PV</v>
          </cell>
        </row>
        <row r="21916">
          <cell r="C21916" t="str">
            <v>PV</v>
          </cell>
          <cell r="D21916">
            <v>2</v>
          </cell>
          <cell r="H21916" t="str">
            <v>solar PV</v>
          </cell>
        </row>
        <row r="21917">
          <cell r="C21917" t="str">
            <v>PV</v>
          </cell>
          <cell r="D21917">
            <v>8</v>
          </cell>
          <cell r="H21917" t="str">
            <v>solar PV</v>
          </cell>
        </row>
        <row r="21918">
          <cell r="C21918" t="str">
            <v>PV</v>
          </cell>
          <cell r="D21918">
            <v>1</v>
          </cell>
          <cell r="H21918" t="str">
            <v>solar PV</v>
          </cell>
        </row>
        <row r="21919">
          <cell r="C21919" t="str">
            <v>PV</v>
          </cell>
          <cell r="D21919">
            <v>3</v>
          </cell>
          <cell r="H21919" t="str">
            <v>solar PV</v>
          </cell>
        </row>
        <row r="21920">
          <cell r="C21920" t="str">
            <v>PV</v>
          </cell>
          <cell r="D21920">
            <v>2.4</v>
          </cell>
          <cell r="H21920" t="str">
            <v>solar PV</v>
          </cell>
        </row>
        <row r="21921">
          <cell r="C21921" t="str">
            <v>PV</v>
          </cell>
          <cell r="D21921">
            <v>18</v>
          </cell>
          <cell r="H21921" t="str">
            <v>solar PV</v>
          </cell>
        </row>
        <row r="21922">
          <cell r="C21922" t="str">
            <v>PV</v>
          </cell>
          <cell r="D21922">
            <v>4.5</v>
          </cell>
          <cell r="H21922" t="str">
            <v>solar PV</v>
          </cell>
        </row>
        <row r="21923">
          <cell r="C21923" t="str">
            <v>PV</v>
          </cell>
          <cell r="D21923">
            <v>100</v>
          </cell>
          <cell r="H21923" t="str">
            <v>solar PV</v>
          </cell>
        </row>
        <row r="21924">
          <cell r="C21924" t="str">
            <v>IC</v>
          </cell>
          <cell r="D21924">
            <v>1</v>
          </cell>
          <cell r="H21924" t="str">
            <v>biomass</v>
          </cell>
        </row>
        <row r="21925">
          <cell r="C21925" t="str">
            <v>IC</v>
          </cell>
          <cell r="D21925">
            <v>1</v>
          </cell>
          <cell r="H21925" t="str">
            <v>biomass</v>
          </cell>
        </row>
        <row r="21926">
          <cell r="C21926" t="str">
            <v>IC</v>
          </cell>
          <cell r="D21926">
            <v>0.3</v>
          </cell>
          <cell r="H21926" t="str">
            <v>petroleum</v>
          </cell>
        </row>
        <row r="21927">
          <cell r="C21927" t="str">
            <v>IC</v>
          </cell>
          <cell r="D21927">
            <v>0.6</v>
          </cell>
          <cell r="H21927" t="str">
            <v>petroleum</v>
          </cell>
        </row>
        <row r="21928">
          <cell r="C21928" t="str">
            <v>IC</v>
          </cell>
          <cell r="D21928">
            <v>0.6</v>
          </cell>
          <cell r="H21928" t="str">
            <v>petroleum</v>
          </cell>
        </row>
        <row r="21929">
          <cell r="C21929" t="str">
            <v>IC</v>
          </cell>
          <cell r="D21929">
            <v>0.8</v>
          </cell>
          <cell r="H21929" t="str">
            <v>petroleum</v>
          </cell>
        </row>
        <row r="21930">
          <cell r="C21930" t="str">
            <v>IC</v>
          </cell>
          <cell r="D21930">
            <v>0.1</v>
          </cell>
          <cell r="H21930" t="str">
            <v>petroleum</v>
          </cell>
        </row>
        <row r="21931">
          <cell r="C21931" t="str">
            <v>IC</v>
          </cell>
          <cell r="D21931">
            <v>1.5</v>
          </cell>
          <cell r="H21931" t="str">
            <v>petroleum</v>
          </cell>
        </row>
        <row r="21932">
          <cell r="C21932" t="str">
            <v>IC</v>
          </cell>
          <cell r="D21932">
            <v>1</v>
          </cell>
          <cell r="H21932" t="str">
            <v>petroleum</v>
          </cell>
        </row>
        <row r="21933">
          <cell r="C21933" t="str">
            <v>IC</v>
          </cell>
          <cell r="D21933">
            <v>1.5</v>
          </cell>
          <cell r="H21933" t="str">
            <v>petroleum</v>
          </cell>
        </row>
        <row r="21934">
          <cell r="C21934" t="str">
            <v>IC</v>
          </cell>
          <cell r="D21934">
            <v>1.5</v>
          </cell>
          <cell r="H21934" t="str">
            <v>petroleum</v>
          </cell>
        </row>
        <row r="21935">
          <cell r="C21935" t="str">
            <v>IC</v>
          </cell>
          <cell r="D21935">
            <v>2.5</v>
          </cell>
          <cell r="H21935" t="str">
            <v>petroleum</v>
          </cell>
        </row>
        <row r="21936">
          <cell r="C21936" t="str">
            <v>IC</v>
          </cell>
          <cell r="D21936">
            <v>0.8</v>
          </cell>
          <cell r="H21936" t="str">
            <v>natural gas peaker</v>
          </cell>
        </row>
        <row r="21937">
          <cell r="C21937" t="str">
            <v>IC</v>
          </cell>
          <cell r="D21937">
            <v>1</v>
          </cell>
          <cell r="H21937" t="str">
            <v>petroleum</v>
          </cell>
        </row>
        <row r="21938">
          <cell r="C21938" t="str">
            <v>IC</v>
          </cell>
          <cell r="D21938">
            <v>0.4</v>
          </cell>
          <cell r="H21938" t="str">
            <v>natural gas peaker</v>
          </cell>
        </row>
        <row r="21939">
          <cell r="C21939" t="str">
            <v>IC</v>
          </cell>
          <cell r="D21939">
            <v>0.2</v>
          </cell>
          <cell r="H21939" t="str">
            <v>natural gas peaker</v>
          </cell>
        </row>
        <row r="21940">
          <cell r="C21940" t="str">
            <v>IC</v>
          </cell>
          <cell r="D21940">
            <v>1</v>
          </cell>
          <cell r="H21940" t="str">
            <v>petroleum</v>
          </cell>
        </row>
        <row r="21941">
          <cell r="C21941" t="str">
            <v>IC</v>
          </cell>
          <cell r="D21941">
            <v>2</v>
          </cell>
          <cell r="H21941" t="str">
            <v>petroleum</v>
          </cell>
        </row>
        <row r="21942">
          <cell r="C21942" t="str">
            <v>IC</v>
          </cell>
          <cell r="D21942">
            <v>2</v>
          </cell>
          <cell r="H21942" t="str">
            <v>petroleum</v>
          </cell>
        </row>
        <row r="21943">
          <cell r="C21943" t="str">
            <v>IC</v>
          </cell>
          <cell r="D21943">
            <v>1.4</v>
          </cell>
          <cell r="H21943" t="str">
            <v>natural gas peaker</v>
          </cell>
        </row>
        <row r="21944">
          <cell r="C21944" t="str">
            <v>IC</v>
          </cell>
          <cell r="D21944">
            <v>1.4</v>
          </cell>
          <cell r="H21944" t="str">
            <v>natural gas peaker</v>
          </cell>
        </row>
        <row r="21945">
          <cell r="C21945" t="str">
            <v>IC</v>
          </cell>
          <cell r="D21945">
            <v>1.4</v>
          </cell>
          <cell r="H21945" t="str">
            <v>natural gas peaker</v>
          </cell>
        </row>
        <row r="21946">
          <cell r="C21946" t="str">
            <v>PV</v>
          </cell>
          <cell r="D21946">
            <v>0.8</v>
          </cell>
          <cell r="H21946" t="str">
            <v>solar PV</v>
          </cell>
        </row>
        <row r="21947">
          <cell r="C21947" t="str">
            <v>PV</v>
          </cell>
          <cell r="D21947">
            <v>0.2</v>
          </cell>
          <cell r="H21947" t="str">
            <v>solar PV</v>
          </cell>
        </row>
        <row r="21948">
          <cell r="C21948" t="str">
            <v>PV</v>
          </cell>
          <cell r="D21948">
            <v>0.2</v>
          </cell>
          <cell r="H21948" t="str">
            <v>solar PV</v>
          </cell>
        </row>
        <row r="21949">
          <cell r="C21949" t="str">
            <v>PV</v>
          </cell>
          <cell r="D21949">
            <v>2.8</v>
          </cell>
          <cell r="H21949" t="str">
            <v>solar PV</v>
          </cell>
        </row>
        <row r="21950">
          <cell r="C21950" t="str">
            <v>WT</v>
          </cell>
          <cell r="D21950">
            <v>2</v>
          </cell>
          <cell r="H21950" t="str">
            <v>onshore wind</v>
          </cell>
        </row>
        <row r="21951">
          <cell r="C21951" t="str">
            <v>PV</v>
          </cell>
          <cell r="D21951">
            <v>0.5</v>
          </cell>
          <cell r="H21951" t="str">
            <v>solar PV</v>
          </cell>
        </row>
        <row r="21952">
          <cell r="C21952" t="str">
            <v>PV</v>
          </cell>
          <cell r="D21952">
            <v>1.8</v>
          </cell>
          <cell r="H21952" t="str">
            <v>solar PV</v>
          </cell>
        </row>
        <row r="21953">
          <cell r="C21953" t="str">
            <v>BA</v>
          </cell>
          <cell r="D21953">
            <v>18</v>
          </cell>
          <cell r="H21953" t="str">
            <v>other</v>
          </cell>
        </row>
        <row r="21954">
          <cell r="C21954" t="str">
            <v>WT</v>
          </cell>
          <cell r="D21954">
            <v>59.4</v>
          </cell>
          <cell r="H21954" t="str">
            <v>onshore wind</v>
          </cell>
        </row>
        <row r="21955">
          <cell r="C21955" t="str">
            <v>IC</v>
          </cell>
          <cell r="D21955">
            <v>1.5</v>
          </cell>
          <cell r="H21955" t="str">
            <v>petroleum</v>
          </cell>
        </row>
        <row r="21956">
          <cell r="C21956" t="str">
            <v>IC</v>
          </cell>
          <cell r="D21956">
            <v>1.5</v>
          </cell>
          <cell r="H21956" t="str">
            <v>petroleum</v>
          </cell>
        </row>
        <row r="21957">
          <cell r="C21957" t="str">
            <v>IC</v>
          </cell>
          <cell r="D21957">
            <v>1.1000000000000001</v>
          </cell>
          <cell r="H21957" t="str">
            <v>petroleum</v>
          </cell>
        </row>
        <row r="21958">
          <cell r="C21958" t="str">
            <v>IC</v>
          </cell>
          <cell r="D21958">
            <v>0.8</v>
          </cell>
          <cell r="H21958" t="str">
            <v>petroleum</v>
          </cell>
        </row>
        <row r="21959">
          <cell r="C21959" t="str">
            <v>IC</v>
          </cell>
          <cell r="D21959">
            <v>1</v>
          </cell>
          <cell r="H21959" t="str">
            <v>petroleum</v>
          </cell>
        </row>
        <row r="21960">
          <cell r="C21960" t="str">
            <v>PV</v>
          </cell>
          <cell r="D21960">
            <v>100</v>
          </cell>
          <cell r="H21960" t="str">
            <v>solar PV</v>
          </cell>
        </row>
        <row r="21961">
          <cell r="C21961" t="str">
            <v>GT</v>
          </cell>
          <cell r="D21961">
            <v>21.8</v>
          </cell>
          <cell r="H21961" t="str">
            <v>natural gas peaker</v>
          </cell>
        </row>
        <row r="21962">
          <cell r="C21962" t="str">
            <v>GT</v>
          </cell>
          <cell r="D21962">
            <v>21.8</v>
          </cell>
          <cell r="H21962" t="str">
            <v>natural gas peaker</v>
          </cell>
        </row>
        <row r="21963">
          <cell r="C21963" t="str">
            <v>IC</v>
          </cell>
          <cell r="D21963">
            <v>0.2</v>
          </cell>
          <cell r="H21963" t="str">
            <v>petroleum</v>
          </cell>
        </row>
        <row r="21964">
          <cell r="C21964" t="str">
            <v>IC</v>
          </cell>
          <cell r="D21964">
            <v>1</v>
          </cell>
          <cell r="H21964" t="str">
            <v>petroleum</v>
          </cell>
        </row>
        <row r="21965">
          <cell r="C21965" t="str">
            <v>PV</v>
          </cell>
          <cell r="D21965">
            <v>1</v>
          </cell>
          <cell r="H21965" t="str">
            <v>solar PV</v>
          </cell>
        </row>
        <row r="21966">
          <cell r="C21966" t="str">
            <v>IC</v>
          </cell>
          <cell r="D21966">
            <v>0.3</v>
          </cell>
          <cell r="H21966" t="str">
            <v>petroleum</v>
          </cell>
        </row>
        <row r="21967">
          <cell r="C21967" t="str">
            <v>IC</v>
          </cell>
          <cell r="D21967">
            <v>0.8</v>
          </cell>
          <cell r="H21967" t="str">
            <v>petroleum</v>
          </cell>
        </row>
        <row r="21968">
          <cell r="C21968" t="str">
            <v>IC</v>
          </cell>
          <cell r="D21968">
            <v>0.3</v>
          </cell>
          <cell r="H21968" t="str">
            <v>petroleum</v>
          </cell>
        </row>
        <row r="21969">
          <cell r="C21969" t="str">
            <v>IC</v>
          </cell>
          <cell r="D21969">
            <v>0.8</v>
          </cell>
          <cell r="H21969" t="str">
            <v>petroleum</v>
          </cell>
        </row>
        <row r="21970">
          <cell r="C21970" t="str">
            <v>IC</v>
          </cell>
          <cell r="D21970">
            <v>0.3</v>
          </cell>
          <cell r="H21970" t="str">
            <v>petroleum</v>
          </cell>
        </row>
        <row r="21971">
          <cell r="C21971" t="str">
            <v>IC</v>
          </cell>
          <cell r="D21971">
            <v>0.3</v>
          </cell>
          <cell r="H21971" t="str">
            <v>petroleum</v>
          </cell>
        </row>
        <row r="21972">
          <cell r="C21972" t="str">
            <v>IC</v>
          </cell>
          <cell r="D21972">
            <v>2.5</v>
          </cell>
          <cell r="H21972" t="str">
            <v>petroleum</v>
          </cell>
        </row>
        <row r="21973">
          <cell r="C21973" t="str">
            <v>IC</v>
          </cell>
          <cell r="D21973">
            <v>2.5</v>
          </cell>
          <cell r="H21973" t="str">
            <v>petroleum</v>
          </cell>
        </row>
        <row r="21974">
          <cell r="C21974" t="str">
            <v>PV</v>
          </cell>
          <cell r="D21974">
            <v>1</v>
          </cell>
          <cell r="H21974" t="str">
            <v>solar PV</v>
          </cell>
        </row>
        <row r="21975">
          <cell r="C21975" t="str">
            <v>FC</v>
          </cell>
          <cell r="D21975">
            <v>2</v>
          </cell>
          <cell r="H21975" t="str">
            <v>other</v>
          </cell>
        </row>
        <row r="21976">
          <cell r="C21976" t="str">
            <v>FC</v>
          </cell>
          <cell r="D21976">
            <v>1.5</v>
          </cell>
          <cell r="H21976" t="str">
            <v>other</v>
          </cell>
        </row>
        <row r="21977">
          <cell r="C21977" t="str">
            <v>FC</v>
          </cell>
          <cell r="D21977">
            <v>1</v>
          </cell>
          <cell r="H21977" t="str">
            <v>other</v>
          </cell>
        </row>
        <row r="21978">
          <cell r="C21978" t="str">
            <v>FC</v>
          </cell>
          <cell r="D21978">
            <v>2</v>
          </cell>
          <cell r="H21978" t="str">
            <v>other</v>
          </cell>
        </row>
        <row r="21979">
          <cell r="C21979" t="str">
            <v>IC</v>
          </cell>
          <cell r="D21979">
            <v>2</v>
          </cell>
          <cell r="H21979" t="str">
            <v>petroleum</v>
          </cell>
        </row>
        <row r="21980">
          <cell r="C21980" t="str">
            <v>IC</v>
          </cell>
          <cell r="D21980">
            <v>2</v>
          </cell>
          <cell r="H21980" t="str">
            <v>petroleum</v>
          </cell>
        </row>
        <row r="21981">
          <cell r="C21981" t="str">
            <v>IC</v>
          </cell>
          <cell r="D21981">
            <v>2</v>
          </cell>
          <cell r="H21981" t="str">
            <v>petroleum</v>
          </cell>
        </row>
        <row r="21982">
          <cell r="C21982" t="str">
            <v>PV</v>
          </cell>
          <cell r="D21982">
            <v>10</v>
          </cell>
          <cell r="H21982" t="str">
            <v>solar PV</v>
          </cell>
        </row>
        <row r="21983">
          <cell r="C21983" t="str">
            <v>PV</v>
          </cell>
          <cell r="D21983">
            <v>1.4</v>
          </cell>
          <cell r="H21983" t="str">
            <v>solar PV</v>
          </cell>
        </row>
        <row r="21984">
          <cell r="C21984" t="str">
            <v>PV</v>
          </cell>
          <cell r="D21984">
            <v>5</v>
          </cell>
          <cell r="H21984" t="str">
            <v>solar PV</v>
          </cell>
        </row>
        <row r="21985">
          <cell r="C21985" t="str">
            <v>PV</v>
          </cell>
          <cell r="D21985">
            <v>1.3</v>
          </cell>
          <cell r="H21985" t="str">
            <v>solar PV</v>
          </cell>
        </row>
        <row r="21986">
          <cell r="C21986" t="str">
            <v>PV</v>
          </cell>
          <cell r="D21986">
            <v>2</v>
          </cell>
          <cell r="H21986" t="str">
            <v>solar PV</v>
          </cell>
        </row>
        <row r="21987">
          <cell r="C21987" t="str">
            <v>PV</v>
          </cell>
          <cell r="D21987">
            <v>7.9</v>
          </cell>
          <cell r="H21987" t="str">
            <v>solar PV</v>
          </cell>
        </row>
        <row r="21988">
          <cell r="C21988" t="str">
            <v>PV</v>
          </cell>
          <cell r="D21988">
            <v>3.8</v>
          </cell>
          <cell r="H21988" t="str">
            <v>solar PV</v>
          </cell>
        </row>
        <row r="21989">
          <cell r="C21989" t="str">
            <v>PV</v>
          </cell>
          <cell r="D21989">
            <v>2</v>
          </cell>
          <cell r="H21989" t="str">
            <v>solar PV</v>
          </cell>
        </row>
        <row r="21990">
          <cell r="C21990" t="str">
            <v>PV</v>
          </cell>
          <cell r="D21990">
            <v>4.3</v>
          </cell>
          <cell r="H21990" t="str">
            <v>solar PV</v>
          </cell>
        </row>
        <row r="21991">
          <cell r="C21991" t="str">
            <v>WT</v>
          </cell>
          <cell r="D21991">
            <v>199.3</v>
          </cell>
          <cell r="H21991" t="str">
            <v>onshore wind</v>
          </cell>
        </row>
        <row r="21992">
          <cell r="C21992" t="str">
            <v>GT</v>
          </cell>
          <cell r="D21992">
            <v>7.1</v>
          </cell>
          <cell r="H21992" t="str">
            <v>natural gas peaker</v>
          </cell>
        </row>
        <row r="21993">
          <cell r="C21993" t="str">
            <v>PV</v>
          </cell>
          <cell r="D21993">
            <v>2</v>
          </cell>
          <cell r="H21993" t="str">
            <v>solar PV</v>
          </cell>
        </row>
        <row r="21994">
          <cell r="C21994" t="str">
            <v>PV</v>
          </cell>
          <cell r="D21994">
            <v>2</v>
          </cell>
          <cell r="H21994" t="str">
            <v>solar PV</v>
          </cell>
        </row>
        <row r="21995">
          <cell r="C21995" t="str">
            <v>PV</v>
          </cell>
          <cell r="D21995">
            <v>2</v>
          </cell>
          <cell r="H21995" t="str">
            <v>solar PV</v>
          </cell>
        </row>
        <row r="21996">
          <cell r="C21996" t="str">
            <v>PV</v>
          </cell>
          <cell r="D21996">
            <v>2</v>
          </cell>
          <cell r="H21996" t="str">
            <v>solar PV</v>
          </cell>
        </row>
        <row r="21997">
          <cell r="C21997" t="str">
            <v>PV</v>
          </cell>
          <cell r="D21997">
            <v>2</v>
          </cell>
          <cell r="H21997" t="str">
            <v>solar PV</v>
          </cell>
        </row>
        <row r="21998">
          <cell r="C21998" t="str">
            <v>PV</v>
          </cell>
          <cell r="D21998">
            <v>2</v>
          </cell>
          <cell r="H21998" t="str">
            <v>solar PV</v>
          </cell>
        </row>
        <row r="21999">
          <cell r="C21999" t="str">
            <v>PV</v>
          </cell>
          <cell r="D21999">
            <v>1</v>
          </cell>
          <cell r="H21999" t="str">
            <v>solar PV</v>
          </cell>
        </row>
        <row r="22000">
          <cell r="C22000" t="str">
            <v>PV</v>
          </cell>
          <cell r="D22000">
            <v>1</v>
          </cell>
          <cell r="H22000" t="str">
            <v>solar PV</v>
          </cell>
        </row>
        <row r="22001">
          <cell r="C22001" t="str">
            <v>PV</v>
          </cell>
          <cell r="D22001">
            <v>1</v>
          </cell>
          <cell r="H22001" t="str">
            <v>solar PV</v>
          </cell>
        </row>
        <row r="22002">
          <cell r="C22002" t="str">
            <v>PV</v>
          </cell>
          <cell r="D22002">
            <v>1</v>
          </cell>
          <cell r="H22002" t="str">
            <v>solar PV</v>
          </cell>
        </row>
        <row r="22003">
          <cell r="C22003" t="str">
            <v>PV</v>
          </cell>
          <cell r="D22003">
            <v>2</v>
          </cell>
          <cell r="H22003" t="str">
            <v>solar PV</v>
          </cell>
        </row>
        <row r="22004">
          <cell r="C22004" t="str">
            <v>PV</v>
          </cell>
          <cell r="D22004">
            <v>2</v>
          </cell>
          <cell r="H22004" t="str">
            <v>solar PV</v>
          </cell>
        </row>
        <row r="22005">
          <cell r="C22005" t="str">
            <v>PV</v>
          </cell>
          <cell r="D22005">
            <v>45</v>
          </cell>
          <cell r="H22005" t="str">
            <v>solar PV</v>
          </cell>
        </row>
        <row r="22006">
          <cell r="C22006" t="str">
            <v>PV</v>
          </cell>
          <cell r="D22006">
            <v>74.900000000000006</v>
          </cell>
          <cell r="H22006" t="str">
            <v>solar PV</v>
          </cell>
        </row>
        <row r="22007">
          <cell r="C22007" t="str">
            <v>PV</v>
          </cell>
          <cell r="D22007">
            <v>80.599999999999994</v>
          </cell>
          <cell r="H22007" t="str">
            <v>solar PV</v>
          </cell>
        </row>
        <row r="22008">
          <cell r="C22008" t="str">
            <v>PV</v>
          </cell>
          <cell r="D22008">
            <v>1.5</v>
          </cell>
          <cell r="H22008" t="str">
            <v>solar PV</v>
          </cell>
        </row>
        <row r="22009">
          <cell r="C22009" t="str">
            <v>PV</v>
          </cell>
          <cell r="D22009">
            <v>1.9</v>
          </cell>
          <cell r="H22009" t="str">
            <v>solar PV</v>
          </cell>
        </row>
        <row r="22010">
          <cell r="C22010" t="str">
            <v>PV</v>
          </cell>
          <cell r="D22010">
            <v>3.8</v>
          </cell>
          <cell r="H22010" t="str">
            <v>solar PV</v>
          </cell>
        </row>
        <row r="22011">
          <cell r="C22011" t="str">
            <v>PV</v>
          </cell>
          <cell r="D22011">
            <v>1.9</v>
          </cell>
          <cell r="H22011" t="str">
            <v>solar PV</v>
          </cell>
        </row>
        <row r="22012">
          <cell r="C22012" t="str">
            <v>PV</v>
          </cell>
          <cell r="D22012">
            <v>2</v>
          </cell>
          <cell r="H22012" t="str">
            <v>solar PV</v>
          </cell>
        </row>
        <row r="22013">
          <cell r="C22013" t="str">
            <v>PV</v>
          </cell>
          <cell r="D22013">
            <v>4</v>
          </cell>
          <cell r="H22013" t="str">
            <v>solar PV</v>
          </cell>
        </row>
        <row r="22014">
          <cell r="C22014" t="str">
            <v>PV</v>
          </cell>
          <cell r="D22014">
            <v>3.1</v>
          </cell>
          <cell r="H22014" t="str">
            <v>solar PV</v>
          </cell>
        </row>
        <row r="22015">
          <cell r="C22015" t="str">
            <v>PV</v>
          </cell>
          <cell r="D22015">
            <v>1.6</v>
          </cell>
          <cell r="H22015" t="str">
            <v>solar PV</v>
          </cell>
        </row>
        <row r="22016">
          <cell r="C22016" t="str">
            <v>PV</v>
          </cell>
          <cell r="D22016">
            <v>47.3</v>
          </cell>
          <cell r="H22016" t="str">
            <v>solar PV</v>
          </cell>
        </row>
        <row r="22017">
          <cell r="C22017" t="str">
            <v>WT</v>
          </cell>
          <cell r="D22017">
            <v>200.2</v>
          </cell>
          <cell r="H22017" t="str">
            <v>onshore wind</v>
          </cell>
        </row>
        <row r="22018">
          <cell r="C22018" t="str">
            <v>PV</v>
          </cell>
          <cell r="D22018">
            <v>1.3</v>
          </cell>
          <cell r="H22018" t="str">
            <v>solar PV</v>
          </cell>
        </row>
        <row r="22019">
          <cell r="C22019" t="str">
            <v>PV</v>
          </cell>
          <cell r="D22019">
            <v>1.8</v>
          </cell>
          <cell r="H22019" t="str">
            <v>solar PV</v>
          </cell>
        </row>
        <row r="22020">
          <cell r="C22020" t="str">
            <v>BA</v>
          </cell>
          <cell r="D22020">
            <v>1.1000000000000001</v>
          </cell>
          <cell r="H22020" t="str">
            <v>other</v>
          </cell>
        </row>
        <row r="22021">
          <cell r="C22021" t="str">
            <v>WT</v>
          </cell>
          <cell r="D22021">
            <v>1.7</v>
          </cell>
          <cell r="H22021" t="str">
            <v>onshore wind</v>
          </cell>
        </row>
        <row r="22022">
          <cell r="C22022" t="str">
            <v>FC</v>
          </cell>
          <cell r="D22022">
            <v>1</v>
          </cell>
          <cell r="H22022" t="str">
            <v>other</v>
          </cell>
        </row>
        <row r="22023">
          <cell r="C22023" t="str">
            <v>FC</v>
          </cell>
          <cell r="D22023">
            <v>1</v>
          </cell>
          <cell r="H22023" t="str">
            <v>other</v>
          </cell>
        </row>
        <row r="22024">
          <cell r="C22024" t="str">
            <v>FC</v>
          </cell>
          <cell r="D22024">
            <v>1</v>
          </cell>
          <cell r="H22024" t="str">
            <v>other</v>
          </cell>
        </row>
        <row r="22025">
          <cell r="C22025" t="str">
            <v>FC</v>
          </cell>
          <cell r="D22025">
            <v>1</v>
          </cell>
          <cell r="H22025" t="str">
            <v>other</v>
          </cell>
        </row>
        <row r="22026">
          <cell r="C22026" t="str">
            <v>FC</v>
          </cell>
          <cell r="D22026">
            <v>1</v>
          </cell>
          <cell r="H22026" t="str">
            <v>other</v>
          </cell>
        </row>
        <row r="22027">
          <cell r="C22027" t="str">
            <v>FC</v>
          </cell>
          <cell r="D22027">
            <v>1.2</v>
          </cell>
          <cell r="H22027" t="str">
            <v>other</v>
          </cell>
        </row>
        <row r="22028">
          <cell r="C22028" t="str">
            <v>FC</v>
          </cell>
          <cell r="D22028">
            <v>1</v>
          </cell>
          <cell r="H22028" t="str">
            <v>other</v>
          </cell>
        </row>
        <row r="22029">
          <cell r="C22029" t="str">
            <v>FC</v>
          </cell>
          <cell r="D22029">
            <v>1</v>
          </cell>
          <cell r="H22029" t="str">
            <v>other</v>
          </cell>
        </row>
        <row r="22030">
          <cell r="C22030" t="str">
            <v>FC</v>
          </cell>
          <cell r="D22030">
            <v>1</v>
          </cell>
          <cell r="H22030" t="str">
            <v>other</v>
          </cell>
        </row>
        <row r="22031">
          <cell r="C22031" t="str">
            <v>FC</v>
          </cell>
          <cell r="D22031">
            <v>1</v>
          </cell>
          <cell r="H22031" t="str">
            <v>other</v>
          </cell>
        </row>
        <row r="22032">
          <cell r="C22032" t="str">
            <v>PV</v>
          </cell>
          <cell r="D22032">
            <v>2</v>
          </cell>
          <cell r="H22032" t="str">
            <v>solar PV</v>
          </cell>
        </row>
        <row r="22033">
          <cell r="C22033" t="str">
            <v>PV</v>
          </cell>
          <cell r="D22033">
            <v>2</v>
          </cell>
          <cell r="H22033" t="str">
            <v>solar PV</v>
          </cell>
        </row>
        <row r="22034">
          <cell r="C22034" t="str">
            <v>PV</v>
          </cell>
          <cell r="D22034">
            <v>4</v>
          </cell>
          <cell r="H22034" t="str">
            <v>solar PV</v>
          </cell>
        </row>
        <row r="22035">
          <cell r="C22035" t="str">
            <v>PV</v>
          </cell>
          <cell r="D22035">
            <v>3.5</v>
          </cell>
          <cell r="H22035" t="str">
            <v>solar PV</v>
          </cell>
        </row>
        <row r="22036">
          <cell r="C22036" t="str">
            <v>PV</v>
          </cell>
          <cell r="D22036">
            <v>6</v>
          </cell>
          <cell r="H22036" t="str">
            <v>solar PV</v>
          </cell>
        </row>
        <row r="22037">
          <cell r="C22037" t="str">
            <v>PV</v>
          </cell>
          <cell r="D22037">
            <v>5</v>
          </cell>
          <cell r="H22037" t="str">
            <v>solar PV</v>
          </cell>
        </row>
        <row r="22038">
          <cell r="C22038" t="str">
            <v>PV</v>
          </cell>
          <cell r="D22038">
            <v>150</v>
          </cell>
          <cell r="H22038" t="str">
            <v>solar PV</v>
          </cell>
        </row>
        <row r="22039">
          <cell r="C22039" t="str">
            <v>BA</v>
          </cell>
          <cell r="D22039">
            <v>3</v>
          </cell>
          <cell r="H22039" t="str">
            <v>other</v>
          </cell>
        </row>
        <row r="22040">
          <cell r="C22040" t="str">
            <v>PV</v>
          </cell>
          <cell r="D22040">
            <v>2</v>
          </cell>
          <cell r="H22040" t="str">
            <v>solar PV</v>
          </cell>
        </row>
        <row r="22041">
          <cell r="C22041" t="str">
            <v>IC</v>
          </cell>
          <cell r="D22041">
            <v>0.4</v>
          </cell>
          <cell r="H22041" t="str">
            <v>petroleum</v>
          </cell>
        </row>
        <row r="22042">
          <cell r="C22042" t="str">
            <v>IC</v>
          </cell>
          <cell r="D22042">
            <v>0.7</v>
          </cell>
          <cell r="H22042" t="str">
            <v>petroleum</v>
          </cell>
        </row>
        <row r="22043">
          <cell r="C22043" t="str">
            <v>IC</v>
          </cell>
          <cell r="D22043">
            <v>1</v>
          </cell>
          <cell r="H22043" t="str">
            <v>petroleum</v>
          </cell>
        </row>
        <row r="22044">
          <cell r="C22044" t="str">
            <v>PV</v>
          </cell>
          <cell r="D22044">
            <v>5</v>
          </cell>
          <cell r="H22044" t="str">
            <v>solar PV</v>
          </cell>
        </row>
        <row r="22045">
          <cell r="C22045" t="str">
            <v>PV</v>
          </cell>
          <cell r="D22045">
            <v>5</v>
          </cell>
          <cell r="H22045" t="str">
            <v>solar PV</v>
          </cell>
        </row>
        <row r="22046">
          <cell r="C22046" t="str">
            <v>PV</v>
          </cell>
          <cell r="D22046">
            <v>10</v>
          </cell>
          <cell r="H22046" t="str">
            <v>solar PV</v>
          </cell>
        </row>
        <row r="22047">
          <cell r="C22047" t="str">
            <v>PV</v>
          </cell>
          <cell r="D22047">
            <v>1.4</v>
          </cell>
          <cell r="H22047" t="str">
            <v>solar PV</v>
          </cell>
        </row>
        <row r="22048">
          <cell r="C22048" t="str">
            <v>PV</v>
          </cell>
          <cell r="D22048">
            <v>5</v>
          </cell>
          <cell r="H22048" t="str">
            <v>solar PV</v>
          </cell>
        </row>
        <row r="22049">
          <cell r="C22049" t="str">
            <v>PV</v>
          </cell>
          <cell r="D22049">
            <v>2</v>
          </cell>
          <cell r="H22049" t="str">
            <v>solar PV</v>
          </cell>
        </row>
        <row r="22050">
          <cell r="C22050" t="str">
            <v>PV</v>
          </cell>
          <cell r="D22050">
            <v>4.9000000000000004</v>
          </cell>
          <cell r="H22050" t="str">
            <v>solar PV</v>
          </cell>
        </row>
        <row r="22051">
          <cell r="C22051" t="str">
            <v>PV</v>
          </cell>
          <cell r="D22051">
            <v>5</v>
          </cell>
          <cell r="H22051" t="str">
            <v>solar PV</v>
          </cell>
        </row>
        <row r="22052">
          <cell r="C22052" t="str">
            <v>PV</v>
          </cell>
          <cell r="D22052">
            <v>1.6</v>
          </cell>
          <cell r="H22052" t="str">
            <v>solar PV</v>
          </cell>
        </row>
        <row r="22053">
          <cell r="C22053" t="str">
            <v>BA</v>
          </cell>
          <cell r="D22053">
            <v>10</v>
          </cell>
          <cell r="H22053" t="str">
            <v>other</v>
          </cell>
        </row>
        <row r="22054">
          <cell r="C22054" t="str">
            <v>PV</v>
          </cell>
          <cell r="D22054">
            <v>5</v>
          </cell>
          <cell r="H22054" t="str">
            <v>solar PV</v>
          </cell>
        </row>
        <row r="22055">
          <cell r="C22055" t="str">
            <v>PV</v>
          </cell>
          <cell r="D22055">
            <v>1.2</v>
          </cell>
          <cell r="H22055" t="str">
            <v>solar PV</v>
          </cell>
        </row>
        <row r="22056">
          <cell r="C22056" t="str">
            <v>PV</v>
          </cell>
          <cell r="D22056">
            <v>1.9</v>
          </cell>
          <cell r="H22056" t="str">
            <v>solar PV</v>
          </cell>
        </row>
        <row r="22057">
          <cell r="C22057" t="str">
            <v>PV</v>
          </cell>
          <cell r="D22057">
            <v>1.8</v>
          </cell>
          <cell r="H22057" t="str">
            <v>solar PV</v>
          </cell>
        </row>
        <row r="22058">
          <cell r="C22058" t="str">
            <v>PV</v>
          </cell>
          <cell r="D22058">
            <v>1.7</v>
          </cell>
          <cell r="H22058" t="str">
            <v>solar PV</v>
          </cell>
        </row>
        <row r="22059">
          <cell r="C22059" t="str">
            <v>PV</v>
          </cell>
          <cell r="D22059">
            <v>1.2</v>
          </cell>
          <cell r="H22059" t="str">
            <v>solar PV</v>
          </cell>
        </row>
        <row r="22060">
          <cell r="C22060" t="str">
            <v>PV</v>
          </cell>
          <cell r="D22060">
            <v>1.5</v>
          </cell>
          <cell r="H22060" t="str">
            <v>solar PV</v>
          </cell>
        </row>
        <row r="22061">
          <cell r="C22061" t="str">
            <v>IC</v>
          </cell>
          <cell r="D22061">
            <v>0.3</v>
          </cell>
          <cell r="H22061" t="str">
            <v>natural gas peaker</v>
          </cell>
        </row>
        <row r="22062">
          <cell r="C22062" t="str">
            <v>IC</v>
          </cell>
          <cell r="D22062">
            <v>0.3</v>
          </cell>
          <cell r="H22062" t="str">
            <v>natural gas peaker</v>
          </cell>
        </row>
        <row r="22063">
          <cell r="C22063" t="str">
            <v>IC</v>
          </cell>
          <cell r="D22063">
            <v>0.3</v>
          </cell>
          <cell r="H22063" t="str">
            <v>natural gas peaker</v>
          </cell>
        </row>
        <row r="22064">
          <cell r="C22064" t="str">
            <v>IC</v>
          </cell>
          <cell r="D22064">
            <v>0.7</v>
          </cell>
          <cell r="H22064" t="str">
            <v>petroleum</v>
          </cell>
        </row>
        <row r="22065">
          <cell r="C22065" t="str">
            <v>PV</v>
          </cell>
          <cell r="D22065">
            <v>4.9000000000000004</v>
          </cell>
          <cell r="H22065" t="str">
            <v>solar PV</v>
          </cell>
        </row>
        <row r="22066">
          <cell r="C22066" t="str">
            <v>IC</v>
          </cell>
          <cell r="D22066">
            <v>1</v>
          </cell>
          <cell r="H22066" t="str">
            <v>natural gas peaker</v>
          </cell>
        </row>
        <row r="22067">
          <cell r="C22067" t="str">
            <v>IC</v>
          </cell>
          <cell r="D22067">
            <v>1</v>
          </cell>
          <cell r="H22067" t="str">
            <v>natural gas peaker</v>
          </cell>
        </row>
        <row r="22068">
          <cell r="C22068" t="str">
            <v>IC</v>
          </cell>
          <cell r="D22068">
            <v>2</v>
          </cell>
          <cell r="H22068" t="str">
            <v>petroleum</v>
          </cell>
        </row>
        <row r="22069">
          <cell r="C22069" t="str">
            <v>PV</v>
          </cell>
          <cell r="D22069">
            <v>5</v>
          </cell>
          <cell r="H22069" t="str">
            <v>solar PV</v>
          </cell>
        </row>
        <row r="22070">
          <cell r="C22070" t="str">
            <v>IC</v>
          </cell>
          <cell r="D22070">
            <v>2.5</v>
          </cell>
          <cell r="H22070" t="str">
            <v>petroleum</v>
          </cell>
        </row>
        <row r="22071">
          <cell r="C22071" t="str">
            <v>IC</v>
          </cell>
          <cell r="D22071">
            <v>2.5</v>
          </cell>
          <cell r="H22071" t="str">
            <v>petroleum</v>
          </cell>
        </row>
        <row r="22072">
          <cell r="C22072" t="str">
            <v>IC</v>
          </cell>
          <cell r="D22072">
            <v>2.5</v>
          </cell>
          <cell r="H22072" t="str">
            <v>petroleum</v>
          </cell>
        </row>
        <row r="22073">
          <cell r="C22073" t="str">
            <v>IC</v>
          </cell>
          <cell r="D22073">
            <v>2.5</v>
          </cell>
          <cell r="H22073" t="str">
            <v>petroleum</v>
          </cell>
        </row>
        <row r="22074">
          <cell r="C22074" t="str">
            <v>PV</v>
          </cell>
          <cell r="D22074">
            <v>1.9</v>
          </cell>
          <cell r="H22074" t="str">
            <v>solar PV</v>
          </cell>
        </row>
        <row r="22075">
          <cell r="C22075" t="str">
            <v>PV</v>
          </cell>
          <cell r="D22075">
            <v>1.7</v>
          </cell>
          <cell r="H22075" t="str">
            <v>solar PV</v>
          </cell>
        </row>
        <row r="22076">
          <cell r="C22076" t="str">
            <v>PV</v>
          </cell>
          <cell r="D22076">
            <v>2.2999999999999998</v>
          </cell>
          <cell r="H22076" t="str">
            <v>solar PV</v>
          </cell>
        </row>
        <row r="22077">
          <cell r="C22077" t="str">
            <v>PV</v>
          </cell>
          <cell r="D22077">
            <v>14</v>
          </cell>
          <cell r="H22077" t="str">
            <v>solar PV</v>
          </cell>
        </row>
        <row r="22078">
          <cell r="C22078" t="str">
            <v>PV</v>
          </cell>
          <cell r="D22078">
            <v>7.5</v>
          </cell>
          <cell r="H22078" t="str">
            <v>solar PV</v>
          </cell>
        </row>
        <row r="22079">
          <cell r="C22079" t="str">
            <v>PV</v>
          </cell>
          <cell r="D22079">
            <v>7.6</v>
          </cell>
          <cell r="H22079" t="str">
            <v>solar PV</v>
          </cell>
        </row>
        <row r="22080">
          <cell r="C22080" t="str">
            <v>PV</v>
          </cell>
          <cell r="D22080">
            <v>1</v>
          </cell>
          <cell r="H22080" t="str">
            <v>solar PV</v>
          </cell>
        </row>
        <row r="22081">
          <cell r="C22081" t="str">
            <v>PV</v>
          </cell>
          <cell r="D22081">
            <v>1</v>
          </cell>
          <cell r="H22081" t="str">
            <v>solar PV</v>
          </cell>
        </row>
        <row r="22082">
          <cell r="C22082" t="str">
            <v>IC</v>
          </cell>
          <cell r="D22082">
            <v>1.4</v>
          </cell>
          <cell r="H22082" t="str">
            <v>biomass</v>
          </cell>
        </row>
        <row r="22083">
          <cell r="C22083" t="str">
            <v>WT</v>
          </cell>
          <cell r="D22083">
            <v>3</v>
          </cell>
          <cell r="H22083" t="str">
            <v>onshore wind</v>
          </cell>
        </row>
        <row r="22084">
          <cell r="C22084" t="str">
            <v>WT</v>
          </cell>
          <cell r="D22084">
            <v>3.1</v>
          </cell>
          <cell r="H22084" t="str">
            <v>onshore wind</v>
          </cell>
        </row>
        <row r="22085">
          <cell r="C22085" t="str">
            <v>PV</v>
          </cell>
          <cell r="D22085">
            <v>0.2</v>
          </cell>
          <cell r="H22085" t="str">
            <v>solar PV</v>
          </cell>
        </row>
        <row r="22086">
          <cell r="C22086" t="str">
            <v>PV</v>
          </cell>
          <cell r="D22086">
            <v>0.1</v>
          </cell>
          <cell r="H22086" t="str">
            <v>solar PV</v>
          </cell>
        </row>
        <row r="22087">
          <cell r="C22087" t="str">
            <v>PV</v>
          </cell>
          <cell r="D22087">
            <v>0.2</v>
          </cell>
          <cell r="H22087" t="str">
            <v>solar PV</v>
          </cell>
        </row>
        <row r="22088">
          <cell r="C22088" t="str">
            <v>PV</v>
          </cell>
          <cell r="D22088">
            <v>0.1</v>
          </cell>
          <cell r="H22088" t="str">
            <v>solar PV</v>
          </cell>
        </row>
        <row r="22089">
          <cell r="C22089" t="str">
            <v>PV</v>
          </cell>
          <cell r="D22089">
            <v>0.1</v>
          </cell>
          <cell r="H22089" t="str">
            <v>solar PV</v>
          </cell>
        </row>
        <row r="22090">
          <cell r="C22090" t="str">
            <v>PV</v>
          </cell>
          <cell r="D22090">
            <v>0.1</v>
          </cell>
          <cell r="H22090" t="str">
            <v>solar PV</v>
          </cell>
        </row>
        <row r="22091">
          <cell r="C22091" t="str">
            <v>PV</v>
          </cell>
          <cell r="D22091">
            <v>0.1</v>
          </cell>
          <cell r="H22091" t="str">
            <v>solar PV</v>
          </cell>
        </row>
        <row r="22092">
          <cell r="C22092" t="str">
            <v>PV</v>
          </cell>
          <cell r="D22092">
            <v>0.7</v>
          </cell>
          <cell r="H22092" t="str">
            <v>solar PV</v>
          </cell>
        </row>
        <row r="22093">
          <cell r="C22093" t="str">
            <v>PV</v>
          </cell>
          <cell r="D22093">
            <v>0.6</v>
          </cell>
          <cell r="H22093" t="str">
            <v>solar PV</v>
          </cell>
        </row>
        <row r="22094">
          <cell r="C22094" t="str">
            <v>PV</v>
          </cell>
          <cell r="D22094">
            <v>0.1</v>
          </cell>
          <cell r="H22094" t="str">
            <v>solar PV</v>
          </cell>
        </row>
        <row r="22095">
          <cell r="C22095" t="str">
            <v>PV</v>
          </cell>
          <cell r="D22095">
            <v>0.1</v>
          </cell>
          <cell r="H22095" t="str">
            <v>solar PV</v>
          </cell>
        </row>
        <row r="22096">
          <cell r="C22096" t="str">
            <v>BA</v>
          </cell>
          <cell r="D22096">
            <v>5</v>
          </cell>
          <cell r="H22096" t="str">
            <v>other</v>
          </cell>
        </row>
        <row r="22097">
          <cell r="C22097" t="str">
            <v>PV</v>
          </cell>
          <cell r="D22097">
            <v>2</v>
          </cell>
          <cell r="H22097" t="str">
            <v>solar PV</v>
          </cell>
        </row>
        <row r="22098">
          <cell r="C22098" t="str">
            <v>IC</v>
          </cell>
          <cell r="D22098">
            <v>1</v>
          </cell>
          <cell r="H22098" t="str">
            <v>petroleum</v>
          </cell>
        </row>
        <row r="22099">
          <cell r="C22099" t="str">
            <v>IC</v>
          </cell>
          <cell r="D22099">
            <v>1</v>
          </cell>
          <cell r="H22099" t="str">
            <v>petroleum</v>
          </cell>
        </row>
        <row r="22100">
          <cell r="C22100" t="str">
            <v>PV</v>
          </cell>
          <cell r="D22100">
            <v>6.3</v>
          </cell>
          <cell r="H22100" t="str">
            <v>solar PV</v>
          </cell>
        </row>
        <row r="22101">
          <cell r="C22101" t="str">
            <v>PV</v>
          </cell>
          <cell r="D22101">
            <v>3</v>
          </cell>
          <cell r="H22101" t="str">
            <v>solar PV</v>
          </cell>
        </row>
        <row r="22102">
          <cell r="C22102" t="str">
            <v>BA</v>
          </cell>
          <cell r="D22102">
            <v>3.3</v>
          </cell>
          <cell r="H22102" t="str">
            <v>other</v>
          </cell>
        </row>
        <row r="22103">
          <cell r="C22103" t="str">
            <v>PV</v>
          </cell>
          <cell r="D22103">
            <v>5</v>
          </cell>
          <cell r="H22103" t="str">
            <v>solar PV</v>
          </cell>
        </row>
        <row r="22104">
          <cell r="C22104" t="str">
            <v>PV</v>
          </cell>
          <cell r="D22104">
            <v>7.6</v>
          </cell>
          <cell r="H22104" t="str">
            <v>solar PV</v>
          </cell>
        </row>
        <row r="22105">
          <cell r="C22105" t="str">
            <v>PV</v>
          </cell>
          <cell r="D22105">
            <v>36.9</v>
          </cell>
          <cell r="H22105" t="str">
            <v>solar PV</v>
          </cell>
        </row>
        <row r="22106">
          <cell r="C22106" t="str">
            <v>IC</v>
          </cell>
          <cell r="D22106">
            <v>1.5</v>
          </cell>
          <cell r="H22106" t="str">
            <v>petroleum</v>
          </cell>
        </row>
        <row r="22107">
          <cell r="C22107" t="str">
            <v>IC</v>
          </cell>
          <cell r="D22107">
            <v>1.5</v>
          </cell>
          <cell r="H22107" t="str">
            <v>petroleum</v>
          </cell>
        </row>
        <row r="22108">
          <cell r="C22108" t="str">
            <v>IC</v>
          </cell>
          <cell r="D22108">
            <v>1.5</v>
          </cell>
          <cell r="H22108" t="str">
            <v>petroleum</v>
          </cell>
        </row>
        <row r="22109">
          <cell r="C22109" t="str">
            <v>IC</v>
          </cell>
          <cell r="D22109">
            <v>1.5</v>
          </cell>
          <cell r="H22109" t="str">
            <v>petroleum</v>
          </cell>
        </row>
        <row r="22110">
          <cell r="C22110" t="str">
            <v>IC</v>
          </cell>
          <cell r="D22110">
            <v>1.5</v>
          </cell>
          <cell r="H22110" t="str">
            <v>petroleum</v>
          </cell>
        </row>
        <row r="22111">
          <cell r="C22111" t="str">
            <v>IC</v>
          </cell>
          <cell r="D22111">
            <v>1.5</v>
          </cell>
          <cell r="H22111" t="str">
            <v>petroleum</v>
          </cell>
        </row>
        <row r="22112">
          <cell r="C22112" t="str">
            <v>PV</v>
          </cell>
          <cell r="D22112">
            <v>5</v>
          </cell>
          <cell r="H22112" t="str">
            <v>solar PV</v>
          </cell>
        </row>
        <row r="22113">
          <cell r="C22113" t="str">
            <v>PV</v>
          </cell>
          <cell r="D22113">
            <v>5</v>
          </cell>
          <cell r="H22113" t="str">
            <v>solar PV</v>
          </cell>
        </row>
        <row r="22114">
          <cell r="C22114" t="str">
            <v>PV</v>
          </cell>
          <cell r="D22114">
            <v>3</v>
          </cell>
          <cell r="H22114" t="str">
            <v>solar PV</v>
          </cell>
        </row>
        <row r="22115">
          <cell r="C22115" t="str">
            <v>PV</v>
          </cell>
          <cell r="D22115">
            <v>5</v>
          </cell>
          <cell r="H22115" t="str">
            <v>solar PV</v>
          </cell>
        </row>
        <row r="22116">
          <cell r="C22116" t="str">
            <v>PV</v>
          </cell>
          <cell r="D22116">
            <v>1.5</v>
          </cell>
          <cell r="H22116" t="str">
            <v>solar PV</v>
          </cell>
        </row>
        <row r="22117">
          <cell r="C22117" t="str">
            <v>PV</v>
          </cell>
          <cell r="D22117">
            <v>1.5</v>
          </cell>
          <cell r="H22117" t="str">
            <v>solar PV</v>
          </cell>
        </row>
        <row r="22118">
          <cell r="C22118" t="str">
            <v>PV</v>
          </cell>
          <cell r="D22118">
            <v>1.6</v>
          </cell>
          <cell r="H22118" t="str">
            <v>solar PV</v>
          </cell>
        </row>
        <row r="22119">
          <cell r="C22119" t="str">
            <v>FC</v>
          </cell>
          <cell r="D22119">
            <v>2</v>
          </cell>
          <cell r="H22119" t="str">
            <v>other</v>
          </cell>
        </row>
        <row r="22120">
          <cell r="C22120" t="str">
            <v>FC</v>
          </cell>
          <cell r="D22120">
            <v>2.8</v>
          </cell>
          <cell r="H22120" t="str">
            <v>other</v>
          </cell>
        </row>
        <row r="22121">
          <cell r="C22121" t="str">
            <v>PV</v>
          </cell>
          <cell r="D22121">
            <v>3.3</v>
          </cell>
          <cell r="H22121" t="str">
            <v>solar PV</v>
          </cell>
        </row>
        <row r="22122">
          <cell r="C22122" t="str">
            <v>IC</v>
          </cell>
          <cell r="D22122">
            <v>2.2999999999999998</v>
          </cell>
          <cell r="H22122" t="str">
            <v>petroleum</v>
          </cell>
        </row>
        <row r="22123">
          <cell r="C22123" t="str">
            <v>IC</v>
          </cell>
          <cell r="D22123">
            <v>2.2999999999999998</v>
          </cell>
          <cell r="H22123" t="str">
            <v>petroleum</v>
          </cell>
        </row>
        <row r="22124">
          <cell r="C22124" t="str">
            <v>IC</v>
          </cell>
          <cell r="D22124">
            <v>2.2999999999999998</v>
          </cell>
          <cell r="H22124" t="str">
            <v>petroleum</v>
          </cell>
        </row>
        <row r="22125">
          <cell r="C22125" t="str">
            <v>IC</v>
          </cell>
          <cell r="D22125">
            <v>2.2999999999999998</v>
          </cell>
          <cell r="H22125" t="str">
            <v>petroleum</v>
          </cell>
        </row>
        <row r="22126">
          <cell r="C22126" t="str">
            <v>IC</v>
          </cell>
          <cell r="D22126">
            <v>2.2999999999999998</v>
          </cell>
          <cell r="H22126" t="str">
            <v>petroleum</v>
          </cell>
        </row>
        <row r="22127">
          <cell r="C22127" t="str">
            <v>IC</v>
          </cell>
          <cell r="D22127">
            <v>2.2999999999999998</v>
          </cell>
          <cell r="H22127" t="str">
            <v>petroleum</v>
          </cell>
        </row>
        <row r="22128">
          <cell r="C22128" t="str">
            <v>IC</v>
          </cell>
          <cell r="D22128">
            <v>2.2999999999999998</v>
          </cell>
          <cell r="H22128" t="str">
            <v>petroleum</v>
          </cell>
        </row>
        <row r="22129">
          <cell r="C22129" t="str">
            <v>IC</v>
          </cell>
          <cell r="D22129">
            <v>2.2999999999999998</v>
          </cell>
          <cell r="H22129" t="str">
            <v>petroleum</v>
          </cell>
        </row>
        <row r="22130">
          <cell r="C22130" t="str">
            <v>IC</v>
          </cell>
          <cell r="D22130">
            <v>2.2999999999999998</v>
          </cell>
          <cell r="H22130" t="str">
            <v>petroleum</v>
          </cell>
        </row>
        <row r="22131">
          <cell r="C22131" t="str">
            <v>IC</v>
          </cell>
          <cell r="D22131">
            <v>2.2999999999999998</v>
          </cell>
          <cell r="H22131" t="str">
            <v>petroleum</v>
          </cell>
        </row>
        <row r="22132">
          <cell r="C22132" t="str">
            <v>IC</v>
          </cell>
          <cell r="D22132">
            <v>2.2999999999999998</v>
          </cell>
          <cell r="H22132" t="str">
            <v>petroleum</v>
          </cell>
        </row>
        <row r="22133">
          <cell r="C22133" t="str">
            <v>IC</v>
          </cell>
          <cell r="D22133">
            <v>2.2999999999999998</v>
          </cell>
          <cell r="H22133" t="str">
            <v>petroleum</v>
          </cell>
        </row>
        <row r="22134">
          <cell r="C22134" t="str">
            <v>IC</v>
          </cell>
          <cell r="D22134">
            <v>2.2999999999999998</v>
          </cell>
          <cell r="H22134" t="str">
            <v>petroleum</v>
          </cell>
        </row>
        <row r="22135">
          <cell r="C22135" t="str">
            <v>IC</v>
          </cell>
          <cell r="D22135">
            <v>2.2999999999999998</v>
          </cell>
          <cell r="H22135" t="str">
            <v>petroleum</v>
          </cell>
        </row>
        <row r="22136">
          <cell r="C22136" t="str">
            <v>IC</v>
          </cell>
          <cell r="D22136">
            <v>2.2999999999999998</v>
          </cell>
          <cell r="H22136" t="str">
            <v>petroleum</v>
          </cell>
        </row>
        <row r="22137">
          <cell r="C22137" t="str">
            <v>IC</v>
          </cell>
          <cell r="D22137">
            <v>2.2999999999999998</v>
          </cell>
          <cell r="H22137" t="str">
            <v>petroleum</v>
          </cell>
        </row>
        <row r="22138">
          <cell r="C22138" t="str">
            <v>IC</v>
          </cell>
          <cell r="D22138">
            <v>2.2999999999999998</v>
          </cell>
          <cell r="H22138" t="str">
            <v>petroleum</v>
          </cell>
        </row>
        <row r="22139">
          <cell r="C22139" t="str">
            <v>IC</v>
          </cell>
          <cell r="D22139">
            <v>2.2999999999999998</v>
          </cell>
          <cell r="H22139" t="str">
            <v>petroleum</v>
          </cell>
        </row>
        <row r="22140">
          <cell r="C22140" t="str">
            <v>PV</v>
          </cell>
          <cell r="D22140">
            <v>1.8</v>
          </cell>
          <cell r="H22140" t="str">
            <v>solar PV</v>
          </cell>
        </row>
        <row r="22141">
          <cell r="C22141" t="str">
            <v>PV</v>
          </cell>
          <cell r="D22141">
            <v>0.8</v>
          </cell>
          <cell r="H22141" t="str">
            <v>solar PV</v>
          </cell>
        </row>
        <row r="22142">
          <cell r="C22142" t="str">
            <v>PV</v>
          </cell>
          <cell r="D22142">
            <v>0.2</v>
          </cell>
          <cell r="H22142" t="str">
            <v>solar PV</v>
          </cell>
        </row>
        <row r="22143">
          <cell r="C22143" t="str">
            <v>PV</v>
          </cell>
          <cell r="D22143">
            <v>70.099999999999994</v>
          </cell>
          <cell r="H22143" t="str">
            <v>solar PV</v>
          </cell>
        </row>
        <row r="22144">
          <cell r="C22144" t="str">
            <v>PV</v>
          </cell>
          <cell r="D22144">
            <v>75</v>
          </cell>
          <cell r="H22144" t="str">
            <v>solar PV</v>
          </cell>
        </row>
        <row r="22145">
          <cell r="C22145" t="str">
            <v>PV</v>
          </cell>
          <cell r="D22145">
            <v>0.4</v>
          </cell>
          <cell r="H22145" t="str">
            <v>solar PV</v>
          </cell>
        </row>
        <row r="22146">
          <cell r="C22146" t="str">
            <v>PV</v>
          </cell>
          <cell r="D22146">
            <v>0.8</v>
          </cell>
          <cell r="H22146" t="str">
            <v>solar PV</v>
          </cell>
        </row>
        <row r="22147">
          <cell r="C22147" t="str">
            <v>PV</v>
          </cell>
          <cell r="D22147">
            <v>1.4</v>
          </cell>
          <cell r="H22147" t="str">
            <v>solar PV</v>
          </cell>
        </row>
        <row r="22148">
          <cell r="C22148" t="str">
            <v>PV</v>
          </cell>
          <cell r="D22148">
            <v>1.6</v>
          </cell>
          <cell r="H22148" t="str">
            <v>solar PV</v>
          </cell>
        </row>
        <row r="22149">
          <cell r="C22149" t="str">
            <v>PV</v>
          </cell>
          <cell r="D22149">
            <v>5</v>
          </cell>
          <cell r="H22149" t="str">
            <v>solar PV</v>
          </cell>
        </row>
        <row r="22150">
          <cell r="C22150" t="str">
            <v>BA</v>
          </cell>
          <cell r="D22150">
            <v>6</v>
          </cell>
          <cell r="H22150" t="str">
            <v>other</v>
          </cell>
        </row>
        <row r="22151">
          <cell r="C22151" t="str">
            <v>PV</v>
          </cell>
          <cell r="D22151">
            <v>5</v>
          </cell>
          <cell r="H22151" t="str">
            <v>solar PV</v>
          </cell>
        </row>
        <row r="22152">
          <cell r="C22152" t="str">
            <v>BA</v>
          </cell>
          <cell r="D22152">
            <v>6</v>
          </cell>
          <cell r="H22152" t="str">
            <v>other</v>
          </cell>
        </row>
        <row r="22153">
          <cell r="C22153" t="str">
            <v>PV</v>
          </cell>
          <cell r="D22153">
            <v>3.6</v>
          </cell>
          <cell r="H22153" t="str">
            <v>solar PV</v>
          </cell>
        </row>
        <row r="22154">
          <cell r="C22154" t="str">
            <v>PV</v>
          </cell>
          <cell r="D22154">
            <v>1</v>
          </cell>
          <cell r="H22154" t="str">
            <v>solar PV</v>
          </cell>
        </row>
        <row r="22155">
          <cell r="C22155" t="str">
            <v>PV</v>
          </cell>
          <cell r="D22155">
            <v>1</v>
          </cell>
          <cell r="H22155" t="str">
            <v>solar PV</v>
          </cell>
        </row>
        <row r="22156">
          <cell r="C22156" t="str">
            <v>PV</v>
          </cell>
          <cell r="D22156">
            <v>1</v>
          </cell>
          <cell r="H22156" t="str">
            <v>solar PV</v>
          </cell>
        </row>
        <row r="22157">
          <cell r="C22157" t="str">
            <v>PV</v>
          </cell>
          <cell r="D22157">
            <v>3.1</v>
          </cell>
          <cell r="H22157" t="str">
            <v>solar PV</v>
          </cell>
        </row>
        <row r="22158">
          <cell r="C22158" t="str">
            <v>PV</v>
          </cell>
          <cell r="D22158">
            <v>2.2000000000000002</v>
          </cell>
          <cell r="H22158" t="str">
            <v>solar PV</v>
          </cell>
        </row>
        <row r="22159">
          <cell r="C22159" t="str">
            <v>PV</v>
          </cell>
          <cell r="D22159">
            <v>1.7</v>
          </cell>
          <cell r="H22159" t="str">
            <v>solar PV</v>
          </cell>
        </row>
        <row r="22160">
          <cell r="C22160" t="str">
            <v>PV</v>
          </cell>
          <cell r="D22160">
            <v>5</v>
          </cell>
          <cell r="H22160" t="str">
            <v>solar PV</v>
          </cell>
        </row>
        <row r="22161">
          <cell r="C22161" t="str">
            <v>PV</v>
          </cell>
          <cell r="D22161">
            <v>5</v>
          </cell>
          <cell r="H22161" t="str">
            <v>solar PV</v>
          </cell>
        </row>
        <row r="22162">
          <cell r="C22162" t="str">
            <v>PV</v>
          </cell>
          <cell r="D22162">
            <v>5</v>
          </cell>
          <cell r="H22162" t="str">
            <v>solar PV</v>
          </cell>
        </row>
        <row r="22163">
          <cell r="C22163" t="str">
            <v>PV</v>
          </cell>
          <cell r="D22163">
            <v>4.3</v>
          </cell>
          <cell r="H22163" t="str">
            <v>solar PV</v>
          </cell>
        </row>
        <row r="22164">
          <cell r="C22164" t="str">
            <v>FC</v>
          </cell>
          <cell r="D22164">
            <v>2.4</v>
          </cell>
          <cell r="H22164" t="str">
            <v>other</v>
          </cell>
        </row>
        <row r="22165">
          <cell r="C22165" t="str">
            <v>FC</v>
          </cell>
          <cell r="D22165">
            <v>2.6</v>
          </cell>
          <cell r="H22165" t="str">
            <v>other</v>
          </cell>
        </row>
        <row r="22166">
          <cell r="C22166" t="str">
            <v>FC</v>
          </cell>
          <cell r="D22166">
            <v>2.2000000000000002</v>
          </cell>
          <cell r="H22166" t="str">
            <v>other</v>
          </cell>
        </row>
        <row r="22167">
          <cell r="C22167" t="str">
            <v>FC</v>
          </cell>
          <cell r="D22167">
            <v>1.4</v>
          </cell>
          <cell r="H22167" t="str">
            <v>other</v>
          </cell>
        </row>
        <row r="22168">
          <cell r="C22168" t="str">
            <v>FC</v>
          </cell>
          <cell r="D22168">
            <v>1</v>
          </cell>
          <cell r="H22168" t="str">
            <v>other</v>
          </cell>
        </row>
        <row r="22169">
          <cell r="C22169" t="str">
            <v>FC</v>
          </cell>
          <cell r="D22169">
            <v>2.5</v>
          </cell>
          <cell r="H22169" t="str">
            <v>other</v>
          </cell>
        </row>
        <row r="22170">
          <cell r="C22170" t="str">
            <v>FC</v>
          </cell>
          <cell r="D22170">
            <v>2.2999999999999998</v>
          </cell>
          <cell r="H22170" t="str">
            <v>other</v>
          </cell>
        </row>
        <row r="22171">
          <cell r="C22171" t="str">
            <v>FC</v>
          </cell>
          <cell r="D22171">
            <v>2.4</v>
          </cell>
          <cell r="H22171" t="str">
            <v>other</v>
          </cell>
        </row>
        <row r="22172">
          <cell r="C22172" t="str">
            <v>FC</v>
          </cell>
          <cell r="D22172">
            <v>2.1</v>
          </cell>
          <cell r="H22172" t="str">
            <v>other</v>
          </cell>
        </row>
        <row r="22173">
          <cell r="C22173" t="str">
            <v>FC</v>
          </cell>
          <cell r="D22173">
            <v>1.8</v>
          </cell>
          <cell r="H22173" t="str">
            <v>other</v>
          </cell>
        </row>
        <row r="22174">
          <cell r="C22174" t="str">
            <v>FC</v>
          </cell>
          <cell r="D22174">
            <v>2</v>
          </cell>
          <cell r="H22174" t="str">
            <v>other</v>
          </cell>
        </row>
        <row r="22175">
          <cell r="C22175" t="str">
            <v>FC</v>
          </cell>
          <cell r="D22175">
            <v>1.5</v>
          </cell>
          <cell r="H22175" t="str">
            <v>other</v>
          </cell>
        </row>
        <row r="22176">
          <cell r="C22176" t="str">
            <v>FC</v>
          </cell>
          <cell r="D22176">
            <v>2</v>
          </cell>
          <cell r="H22176" t="str">
            <v>other</v>
          </cell>
        </row>
        <row r="22177">
          <cell r="C22177" t="str">
            <v>PV</v>
          </cell>
          <cell r="D22177">
            <v>1</v>
          </cell>
          <cell r="H22177" t="str">
            <v>solar PV</v>
          </cell>
        </row>
        <row r="22178">
          <cell r="C22178" t="str">
            <v>PV</v>
          </cell>
          <cell r="D22178">
            <v>2.6</v>
          </cell>
          <cell r="H22178" t="str">
            <v>solar PV</v>
          </cell>
        </row>
        <row r="22179">
          <cell r="C22179" t="str">
            <v>PV</v>
          </cell>
          <cell r="D22179">
            <v>10</v>
          </cell>
          <cell r="H22179" t="str">
            <v>solar PV</v>
          </cell>
        </row>
        <row r="22180">
          <cell r="C22180" t="str">
            <v>BA</v>
          </cell>
          <cell r="D22180">
            <v>1</v>
          </cell>
          <cell r="H22180" t="str">
            <v>other</v>
          </cell>
        </row>
        <row r="22181">
          <cell r="C22181" t="str">
            <v>PV</v>
          </cell>
          <cell r="D22181">
            <v>1.5</v>
          </cell>
          <cell r="H22181" t="str">
            <v>solar PV</v>
          </cell>
        </row>
        <row r="22182">
          <cell r="C22182" t="str">
            <v>PV</v>
          </cell>
          <cell r="D22182">
            <v>1.5</v>
          </cell>
          <cell r="H22182" t="str">
            <v>solar PV</v>
          </cell>
        </row>
        <row r="22183">
          <cell r="C22183" t="str">
            <v>PV</v>
          </cell>
          <cell r="D22183">
            <v>2</v>
          </cell>
          <cell r="H22183" t="str">
            <v>solar PV</v>
          </cell>
        </row>
        <row r="22184">
          <cell r="C22184" t="str">
            <v>PV</v>
          </cell>
          <cell r="D22184">
            <v>2</v>
          </cell>
          <cell r="H22184" t="str">
            <v>solar PV</v>
          </cell>
        </row>
        <row r="22185">
          <cell r="C22185" t="str">
            <v>PV</v>
          </cell>
          <cell r="D22185">
            <v>2</v>
          </cell>
          <cell r="H22185" t="str">
            <v>solar PV</v>
          </cell>
        </row>
        <row r="22186">
          <cell r="C22186" t="str">
            <v>PV</v>
          </cell>
          <cell r="D22186">
            <v>2</v>
          </cell>
          <cell r="H22186" t="str">
            <v>solar PV</v>
          </cell>
        </row>
        <row r="22187">
          <cell r="C22187" t="str">
            <v>PV</v>
          </cell>
          <cell r="D22187">
            <v>1.6</v>
          </cell>
          <cell r="H22187" t="str">
            <v>solar PV</v>
          </cell>
        </row>
        <row r="22188">
          <cell r="C22188" t="str">
            <v>PV</v>
          </cell>
          <cell r="D22188">
            <v>1.6</v>
          </cell>
          <cell r="H22188" t="str">
            <v>solar PV</v>
          </cell>
        </row>
        <row r="22189">
          <cell r="C22189" t="str">
            <v>PV</v>
          </cell>
          <cell r="D22189">
            <v>2.2000000000000002</v>
          </cell>
          <cell r="H22189" t="str">
            <v>solar PV</v>
          </cell>
        </row>
        <row r="22190">
          <cell r="C22190" t="str">
            <v>PV</v>
          </cell>
          <cell r="D22190">
            <v>1.3</v>
          </cell>
          <cell r="H22190" t="str">
            <v>solar PV</v>
          </cell>
        </row>
        <row r="22191">
          <cell r="C22191" t="str">
            <v>BA</v>
          </cell>
          <cell r="D22191">
            <v>5</v>
          </cell>
          <cell r="H22191" t="str">
            <v>other</v>
          </cell>
        </row>
        <row r="22192">
          <cell r="C22192" t="str">
            <v>BA</v>
          </cell>
          <cell r="D22192">
            <v>5</v>
          </cell>
          <cell r="H22192" t="str">
            <v>other</v>
          </cell>
        </row>
        <row r="22193">
          <cell r="C22193" t="str">
            <v>PV</v>
          </cell>
          <cell r="D22193">
            <v>4.7</v>
          </cell>
          <cell r="H22193" t="str">
            <v>solar PV</v>
          </cell>
        </row>
        <row r="22194">
          <cell r="C22194" t="str">
            <v>WT</v>
          </cell>
          <cell r="D22194">
            <v>0.3</v>
          </cell>
          <cell r="H22194" t="str">
            <v>onshore wind</v>
          </cell>
        </row>
        <row r="22195">
          <cell r="C22195" t="str">
            <v>WT</v>
          </cell>
          <cell r="D22195">
            <v>0.9</v>
          </cell>
          <cell r="H22195" t="str">
            <v>onshore wind</v>
          </cell>
        </row>
        <row r="22196">
          <cell r="C22196" t="str">
            <v>GT</v>
          </cell>
          <cell r="D22196">
            <v>0.5</v>
          </cell>
          <cell r="H22196" t="str">
            <v>natural gas peaker</v>
          </cell>
        </row>
        <row r="22197">
          <cell r="C22197" t="str">
            <v>PV</v>
          </cell>
          <cell r="D22197">
            <v>3.8</v>
          </cell>
          <cell r="H22197" t="str">
            <v>solar PV</v>
          </cell>
        </row>
        <row r="22198">
          <cell r="C22198" t="str">
            <v>PV</v>
          </cell>
          <cell r="D22198">
            <v>1</v>
          </cell>
          <cell r="H22198" t="str">
            <v>solar PV</v>
          </cell>
        </row>
        <row r="22199">
          <cell r="C22199" t="str">
            <v>IC</v>
          </cell>
          <cell r="D22199">
            <v>1.1000000000000001</v>
          </cell>
          <cell r="H22199" t="str">
            <v>natural gas peaker</v>
          </cell>
        </row>
        <row r="22200">
          <cell r="C22200" t="str">
            <v>PV</v>
          </cell>
          <cell r="D22200">
            <v>5</v>
          </cell>
          <cell r="H22200" t="str">
            <v>solar PV</v>
          </cell>
        </row>
        <row r="22201">
          <cell r="C22201" t="str">
            <v>PV</v>
          </cell>
          <cell r="D22201">
            <v>3.4</v>
          </cell>
          <cell r="H22201" t="str">
            <v>solar PV</v>
          </cell>
        </row>
        <row r="22202">
          <cell r="C22202" t="str">
            <v>PV</v>
          </cell>
          <cell r="D22202">
            <v>1</v>
          </cell>
          <cell r="H22202" t="str">
            <v>solar PV</v>
          </cell>
        </row>
        <row r="22203">
          <cell r="C22203" t="str">
            <v>GT</v>
          </cell>
          <cell r="D22203">
            <v>1.5</v>
          </cell>
          <cell r="H22203" t="str">
            <v>natural gas peaker</v>
          </cell>
        </row>
        <row r="22204">
          <cell r="C22204" t="str">
            <v>PV</v>
          </cell>
          <cell r="D22204">
            <v>2</v>
          </cell>
          <cell r="H22204" t="str">
            <v>solar PV</v>
          </cell>
        </row>
        <row r="22205">
          <cell r="C22205" t="str">
            <v>PV</v>
          </cell>
          <cell r="D22205">
            <v>2</v>
          </cell>
          <cell r="H22205" t="str">
            <v>solar PV</v>
          </cell>
        </row>
        <row r="22206">
          <cell r="C22206" t="str">
            <v>PV</v>
          </cell>
          <cell r="D22206">
            <v>2</v>
          </cell>
          <cell r="H22206" t="str">
            <v>solar PV</v>
          </cell>
        </row>
        <row r="22207">
          <cell r="C22207" t="str">
            <v>GT</v>
          </cell>
          <cell r="D22207">
            <v>5.3</v>
          </cell>
          <cell r="H22207" t="str">
            <v>natural gas peaker</v>
          </cell>
        </row>
        <row r="22208">
          <cell r="C22208" t="str">
            <v>GT</v>
          </cell>
          <cell r="D22208">
            <v>5.3</v>
          </cell>
          <cell r="H22208" t="str">
            <v>natural gas peaker</v>
          </cell>
        </row>
        <row r="22209">
          <cell r="C22209" t="str">
            <v>PV</v>
          </cell>
          <cell r="D22209">
            <v>2</v>
          </cell>
          <cell r="H22209" t="str">
            <v>solar PV</v>
          </cell>
        </row>
        <row r="22210">
          <cell r="C22210" t="str">
            <v>PV</v>
          </cell>
          <cell r="D22210">
            <v>2</v>
          </cell>
          <cell r="H22210" t="str">
            <v>solar PV</v>
          </cell>
        </row>
        <row r="22211">
          <cell r="C22211" t="str">
            <v>PV</v>
          </cell>
          <cell r="D22211">
            <v>6.7</v>
          </cell>
          <cell r="H22211" t="str">
            <v>solar PV</v>
          </cell>
        </row>
        <row r="22212">
          <cell r="C22212" t="str">
            <v>PV</v>
          </cell>
          <cell r="D22212">
            <v>15</v>
          </cell>
          <cell r="H22212" t="str">
            <v>solar PV</v>
          </cell>
        </row>
        <row r="22213">
          <cell r="C22213" t="str">
            <v>PV</v>
          </cell>
          <cell r="D22213">
            <v>1.4</v>
          </cell>
          <cell r="H22213" t="str">
            <v>solar PV</v>
          </cell>
        </row>
        <row r="22214">
          <cell r="C22214" t="str">
            <v>PV</v>
          </cell>
          <cell r="D22214">
            <v>4.2</v>
          </cell>
          <cell r="H22214" t="str">
            <v>solar PV</v>
          </cell>
        </row>
        <row r="22215">
          <cell r="C22215" t="str">
            <v>PV</v>
          </cell>
          <cell r="D22215">
            <v>1</v>
          </cell>
          <cell r="H22215" t="str">
            <v>solar PV</v>
          </cell>
        </row>
        <row r="22216">
          <cell r="C22216" t="str">
            <v>WT</v>
          </cell>
          <cell r="D22216">
            <v>0.8</v>
          </cell>
          <cell r="H22216" t="str">
            <v>onshore wind</v>
          </cell>
        </row>
        <row r="22217">
          <cell r="C22217" t="str">
            <v>PV</v>
          </cell>
          <cell r="D22217">
            <v>1.6</v>
          </cell>
          <cell r="H22217" t="str">
            <v>solar PV</v>
          </cell>
        </row>
        <row r="22218">
          <cell r="C22218" t="str">
            <v>PV</v>
          </cell>
          <cell r="D22218">
            <v>1.1000000000000001</v>
          </cell>
          <cell r="H22218" t="str">
            <v>solar PV</v>
          </cell>
        </row>
        <row r="22219">
          <cell r="C22219" t="str">
            <v>PV</v>
          </cell>
          <cell r="D22219">
            <v>2</v>
          </cell>
          <cell r="H22219" t="str">
            <v>solar PV</v>
          </cell>
        </row>
        <row r="22220">
          <cell r="C22220" t="str">
            <v>PV</v>
          </cell>
          <cell r="D22220">
            <v>5</v>
          </cell>
          <cell r="H22220" t="str">
            <v>solar PV</v>
          </cell>
        </row>
        <row r="22221">
          <cell r="C22221" t="str">
            <v>PV</v>
          </cell>
          <cell r="D22221">
            <v>12.6</v>
          </cell>
          <cell r="H22221" t="str">
            <v>solar PV</v>
          </cell>
        </row>
        <row r="22222">
          <cell r="C22222" t="str">
            <v>WT</v>
          </cell>
          <cell r="D22222">
            <v>201</v>
          </cell>
          <cell r="H22222" t="str">
            <v>onshore wind</v>
          </cell>
        </row>
        <row r="22223">
          <cell r="C22223" t="str">
            <v>PV</v>
          </cell>
          <cell r="D22223">
            <v>1</v>
          </cell>
          <cell r="H22223" t="str">
            <v>solar PV</v>
          </cell>
        </row>
        <row r="22224">
          <cell r="C22224" t="str">
            <v>PV</v>
          </cell>
          <cell r="D22224">
            <v>1</v>
          </cell>
          <cell r="H22224" t="str">
            <v>solar PV</v>
          </cell>
        </row>
        <row r="22225">
          <cell r="C22225" t="str">
            <v>PV</v>
          </cell>
          <cell r="D22225">
            <v>2</v>
          </cell>
          <cell r="H22225" t="str">
            <v>solar PV</v>
          </cell>
        </row>
        <row r="22226">
          <cell r="C22226" t="str">
            <v>PV</v>
          </cell>
          <cell r="D22226">
            <v>1.6</v>
          </cell>
          <cell r="H22226" t="str">
            <v>solar PV</v>
          </cell>
        </row>
        <row r="22227">
          <cell r="C22227" t="str">
            <v>PV</v>
          </cell>
          <cell r="D22227">
            <v>2.2000000000000002</v>
          </cell>
          <cell r="H22227" t="str">
            <v>solar PV</v>
          </cell>
        </row>
        <row r="22228">
          <cell r="C22228" t="str">
            <v>PV</v>
          </cell>
          <cell r="D22228">
            <v>3.6</v>
          </cell>
          <cell r="H22228" t="str">
            <v>solar PV</v>
          </cell>
        </row>
        <row r="22229">
          <cell r="C22229" t="str">
            <v>PV</v>
          </cell>
          <cell r="D22229">
            <v>2.2999999999999998</v>
          </cell>
          <cell r="H22229" t="str">
            <v>solar PV</v>
          </cell>
        </row>
        <row r="22230">
          <cell r="C22230" t="str">
            <v>PV</v>
          </cell>
          <cell r="D22230">
            <v>3.8</v>
          </cell>
          <cell r="H22230" t="str">
            <v>solar PV</v>
          </cell>
        </row>
        <row r="22231">
          <cell r="C22231" t="str">
            <v>PV</v>
          </cell>
          <cell r="D22231">
            <v>3</v>
          </cell>
          <cell r="H22231" t="str">
            <v>solar PV</v>
          </cell>
        </row>
        <row r="22232">
          <cell r="C22232" t="str">
            <v>PV</v>
          </cell>
          <cell r="D22232">
            <v>1</v>
          </cell>
          <cell r="H22232" t="str">
            <v>solar PV</v>
          </cell>
        </row>
        <row r="22233">
          <cell r="C22233" t="str">
            <v>PV</v>
          </cell>
          <cell r="D22233">
            <v>0.3</v>
          </cell>
          <cell r="H22233" t="str">
            <v>solar PV</v>
          </cell>
        </row>
        <row r="22234">
          <cell r="C22234" t="str">
            <v>PV</v>
          </cell>
          <cell r="D22234">
            <v>2.2000000000000002</v>
          </cell>
          <cell r="H22234" t="str">
            <v>solar PV</v>
          </cell>
        </row>
        <row r="22235">
          <cell r="C22235" t="str">
            <v>BA</v>
          </cell>
          <cell r="D22235">
            <v>1</v>
          </cell>
          <cell r="H22235" t="str">
            <v>other</v>
          </cell>
        </row>
        <row r="22236">
          <cell r="C22236" t="str">
            <v>BA</v>
          </cell>
          <cell r="D22236">
            <v>0.5</v>
          </cell>
          <cell r="H22236" t="str">
            <v>other</v>
          </cell>
        </row>
        <row r="22237">
          <cell r="C22237" t="str">
            <v>PV</v>
          </cell>
          <cell r="D22237">
            <v>4</v>
          </cell>
          <cell r="H22237" t="str">
            <v>solar PV</v>
          </cell>
        </row>
        <row r="22238">
          <cell r="C22238" t="str">
            <v>PV</v>
          </cell>
          <cell r="D22238">
            <v>1.9</v>
          </cell>
          <cell r="H22238" t="str">
            <v>solar PV</v>
          </cell>
        </row>
        <row r="22239">
          <cell r="C22239" t="str">
            <v>PV</v>
          </cell>
          <cell r="D22239">
            <v>3</v>
          </cell>
          <cell r="H22239" t="str">
            <v>solar PV</v>
          </cell>
        </row>
        <row r="22240">
          <cell r="C22240" t="str">
            <v>PV</v>
          </cell>
          <cell r="D22240">
            <v>2.5</v>
          </cell>
          <cell r="H22240" t="str">
            <v>solar PV</v>
          </cell>
        </row>
        <row r="22241">
          <cell r="C22241" t="str">
            <v>PV</v>
          </cell>
          <cell r="D22241">
            <v>2.5</v>
          </cell>
          <cell r="H22241" t="str">
            <v>solar PV</v>
          </cell>
        </row>
        <row r="22242">
          <cell r="C22242" t="str">
            <v>BA</v>
          </cell>
          <cell r="D22242">
            <v>20</v>
          </cell>
          <cell r="H22242" t="str">
            <v>other</v>
          </cell>
        </row>
        <row r="22243">
          <cell r="C22243" t="str">
            <v>PV</v>
          </cell>
          <cell r="D22243">
            <v>2</v>
          </cell>
          <cell r="H22243" t="str">
            <v>solar PV</v>
          </cell>
        </row>
        <row r="22244">
          <cell r="C22244" t="str">
            <v>IC</v>
          </cell>
          <cell r="D22244">
            <v>1.5</v>
          </cell>
          <cell r="H22244" t="str">
            <v>biomass</v>
          </cell>
        </row>
        <row r="22245">
          <cell r="C22245" t="str">
            <v>IC</v>
          </cell>
          <cell r="D22245">
            <v>1.5</v>
          </cell>
          <cell r="H22245" t="str">
            <v>biomass</v>
          </cell>
        </row>
        <row r="22246">
          <cell r="C22246" t="str">
            <v>IC</v>
          </cell>
          <cell r="D22246">
            <v>1.5</v>
          </cell>
          <cell r="H22246" t="str">
            <v>biomass</v>
          </cell>
        </row>
        <row r="22247">
          <cell r="C22247" t="str">
            <v>IC</v>
          </cell>
          <cell r="D22247">
            <v>1.5</v>
          </cell>
          <cell r="H22247" t="str">
            <v>biomass</v>
          </cell>
        </row>
        <row r="22248">
          <cell r="C22248" t="str">
            <v>IC</v>
          </cell>
          <cell r="D22248">
            <v>1.5</v>
          </cell>
          <cell r="H22248" t="str">
            <v>biomass</v>
          </cell>
        </row>
        <row r="22249">
          <cell r="C22249" t="str">
            <v>PV</v>
          </cell>
          <cell r="D22249">
            <v>3</v>
          </cell>
          <cell r="H22249" t="str">
            <v>solar PV</v>
          </cell>
        </row>
        <row r="22250">
          <cell r="C22250" t="str">
            <v>PV</v>
          </cell>
          <cell r="D22250">
            <v>1.5</v>
          </cell>
          <cell r="H22250" t="str">
            <v>solar PV</v>
          </cell>
        </row>
        <row r="22251">
          <cell r="C22251" t="str">
            <v>PV</v>
          </cell>
          <cell r="D22251">
            <v>2</v>
          </cell>
          <cell r="H22251" t="str">
            <v>solar PV</v>
          </cell>
        </row>
        <row r="22252">
          <cell r="C22252" t="str">
            <v>PV</v>
          </cell>
          <cell r="D22252">
            <v>2.5</v>
          </cell>
          <cell r="H22252" t="str">
            <v>solar PV</v>
          </cell>
        </row>
        <row r="22253">
          <cell r="C22253" t="str">
            <v>ST</v>
          </cell>
          <cell r="D22253">
            <v>0.8</v>
          </cell>
          <cell r="H22253" t="str">
            <v>biomass</v>
          </cell>
        </row>
        <row r="22254">
          <cell r="C22254" t="str">
            <v>ST</v>
          </cell>
          <cell r="D22254">
            <v>0.8</v>
          </cell>
          <cell r="H22254" t="str">
            <v>biomass</v>
          </cell>
        </row>
        <row r="22255">
          <cell r="C22255" t="str">
            <v>ST</v>
          </cell>
          <cell r="D22255">
            <v>0.1</v>
          </cell>
          <cell r="H22255" t="str">
            <v>biomass</v>
          </cell>
        </row>
        <row r="22256">
          <cell r="C22256" t="str">
            <v>PV</v>
          </cell>
          <cell r="D22256">
            <v>1.3</v>
          </cell>
          <cell r="H22256" t="str">
            <v>solar PV</v>
          </cell>
        </row>
        <row r="22257">
          <cell r="C22257" t="str">
            <v>PV</v>
          </cell>
          <cell r="D22257">
            <v>4.5999999999999996</v>
          </cell>
          <cell r="H22257" t="str">
            <v>solar PV</v>
          </cell>
        </row>
        <row r="22258">
          <cell r="C22258" t="str">
            <v>PV</v>
          </cell>
          <cell r="D22258">
            <v>1.9</v>
          </cell>
          <cell r="H22258" t="str">
            <v>solar PV</v>
          </cell>
        </row>
        <row r="22259">
          <cell r="C22259" t="str">
            <v>PV</v>
          </cell>
          <cell r="D22259">
            <v>1.4</v>
          </cell>
          <cell r="H22259" t="str">
            <v>solar PV</v>
          </cell>
        </row>
        <row r="22260">
          <cell r="C22260" t="str">
            <v>PV</v>
          </cell>
          <cell r="D22260">
            <v>1</v>
          </cell>
          <cell r="H22260" t="str">
            <v>solar PV</v>
          </cell>
        </row>
        <row r="22261">
          <cell r="C22261" t="str">
            <v>PV</v>
          </cell>
          <cell r="D22261">
            <v>1.5</v>
          </cell>
          <cell r="H22261" t="str">
            <v>solar PV</v>
          </cell>
        </row>
        <row r="22262">
          <cell r="C22262" t="str">
            <v>PV</v>
          </cell>
          <cell r="D22262">
            <v>1.4</v>
          </cell>
          <cell r="H22262" t="str">
            <v>solar PV</v>
          </cell>
        </row>
        <row r="22263">
          <cell r="C22263" t="str">
            <v>PV</v>
          </cell>
          <cell r="D22263">
            <v>1.9</v>
          </cell>
          <cell r="H22263" t="str">
            <v>solar PV</v>
          </cell>
        </row>
        <row r="22264">
          <cell r="C22264" t="str">
            <v>PV</v>
          </cell>
          <cell r="D22264">
            <v>2.2999999999999998</v>
          </cell>
          <cell r="H22264" t="str">
            <v>solar PV</v>
          </cell>
        </row>
        <row r="22265">
          <cell r="C22265" t="str">
            <v>PV</v>
          </cell>
          <cell r="D22265">
            <v>2.2999999999999998</v>
          </cell>
          <cell r="H22265" t="str">
            <v>solar PV</v>
          </cell>
        </row>
        <row r="22266">
          <cell r="C22266" t="str">
            <v>PV</v>
          </cell>
          <cell r="D22266">
            <v>2.2999999999999998</v>
          </cell>
          <cell r="H22266" t="str">
            <v>solar PV</v>
          </cell>
        </row>
        <row r="22267">
          <cell r="C22267" t="str">
            <v>PV</v>
          </cell>
          <cell r="D22267">
            <v>1.4</v>
          </cell>
          <cell r="H22267" t="str">
            <v>solar PV</v>
          </cell>
        </row>
        <row r="22268">
          <cell r="C22268" t="str">
            <v>PV</v>
          </cell>
          <cell r="D22268">
            <v>4</v>
          </cell>
          <cell r="H22268" t="str">
            <v>solar PV</v>
          </cell>
        </row>
        <row r="22269">
          <cell r="C22269" t="str">
            <v>WT</v>
          </cell>
          <cell r="D22269">
            <v>5</v>
          </cell>
          <cell r="H22269" t="str">
            <v>onshore wind</v>
          </cell>
        </row>
        <row r="22270">
          <cell r="C22270" t="str">
            <v>PV</v>
          </cell>
          <cell r="D22270">
            <v>2.2999999999999998</v>
          </cell>
          <cell r="H22270" t="str">
            <v>solar PV</v>
          </cell>
        </row>
        <row r="22271">
          <cell r="C22271" t="str">
            <v>GT</v>
          </cell>
          <cell r="D22271">
            <v>1</v>
          </cell>
          <cell r="H22271" t="str">
            <v>natural gas peaker</v>
          </cell>
        </row>
        <row r="22272">
          <cell r="C22272" t="str">
            <v>PV</v>
          </cell>
          <cell r="D22272">
            <v>6.1</v>
          </cell>
          <cell r="H22272" t="str">
            <v>solar PV</v>
          </cell>
        </row>
        <row r="22273">
          <cell r="C22273" t="str">
            <v>PV</v>
          </cell>
          <cell r="D22273">
            <v>4.5</v>
          </cell>
          <cell r="H22273" t="str">
            <v>solar PV</v>
          </cell>
        </row>
        <row r="22274">
          <cell r="C22274" t="str">
            <v>PV</v>
          </cell>
          <cell r="D22274">
            <v>1.3</v>
          </cell>
          <cell r="H22274" t="str">
            <v>solar PV</v>
          </cell>
        </row>
        <row r="22275">
          <cell r="C22275" t="str">
            <v>PV</v>
          </cell>
          <cell r="D22275">
            <v>4.5</v>
          </cell>
          <cell r="H22275" t="str">
            <v>solar PV</v>
          </cell>
        </row>
        <row r="22276">
          <cell r="C22276" t="str">
            <v>PV</v>
          </cell>
          <cell r="D22276">
            <v>2.9</v>
          </cell>
          <cell r="H22276" t="str">
            <v>solar PV</v>
          </cell>
        </row>
        <row r="22277">
          <cell r="C22277" t="str">
            <v>BA</v>
          </cell>
          <cell r="D22277">
            <v>1.9</v>
          </cell>
          <cell r="H22277" t="str">
            <v>other</v>
          </cell>
        </row>
        <row r="22278">
          <cell r="C22278" t="str">
            <v>BA</v>
          </cell>
          <cell r="D22278">
            <v>6</v>
          </cell>
          <cell r="H22278" t="str">
            <v>other</v>
          </cell>
        </row>
        <row r="22279">
          <cell r="C22279" t="str">
            <v>PV</v>
          </cell>
          <cell r="D22279">
            <v>1</v>
          </cell>
          <cell r="H22279" t="str">
            <v>solar PV</v>
          </cell>
        </row>
        <row r="22280">
          <cell r="C22280" t="str">
            <v>PV</v>
          </cell>
          <cell r="D22280">
            <v>2</v>
          </cell>
          <cell r="H22280" t="str">
            <v>solar PV</v>
          </cell>
        </row>
        <row r="22281">
          <cell r="C22281" t="str">
            <v>IC</v>
          </cell>
          <cell r="D22281">
            <v>1.1000000000000001</v>
          </cell>
          <cell r="H22281" t="str">
            <v>natural gas peaker</v>
          </cell>
        </row>
        <row r="22282">
          <cell r="C22282" t="str">
            <v>IC</v>
          </cell>
          <cell r="D22282">
            <v>1.1000000000000001</v>
          </cell>
          <cell r="H22282" t="str">
            <v>natural gas peaker</v>
          </cell>
        </row>
        <row r="22283">
          <cell r="C22283" t="str">
            <v>IC</v>
          </cell>
          <cell r="D22283">
            <v>1.1000000000000001</v>
          </cell>
          <cell r="H22283" t="str">
            <v>natural gas peaker</v>
          </cell>
        </row>
        <row r="22284">
          <cell r="C22284" t="str">
            <v>IC</v>
          </cell>
          <cell r="D22284">
            <v>0.3</v>
          </cell>
          <cell r="H22284" t="str">
            <v>natural gas peaker</v>
          </cell>
        </row>
        <row r="22285">
          <cell r="C22285" t="str">
            <v>PV</v>
          </cell>
          <cell r="D22285">
            <v>6</v>
          </cell>
          <cell r="H22285" t="str">
            <v>solar PV</v>
          </cell>
        </row>
        <row r="22286">
          <cell r="C22286" t="str">
            <v>BA</v>
          </cell>
          <cell r="D22286">
            <v>6</v>
          </cell>
          <cell r="H22286" t="str">
            <v>other</v>
          </cell>
        </row>
        <row r="22287">
          <cell r="C22287" t="str">
            <v>WT</v>
          </cell>
          <cell r="D22287">
            <v>106.7</v>
          </cell>
          <cell r="H22287" t="str">
            <v>onshore wind</v>
          </cell>
        </row>
        <row r="22288">
          <cell r="C22288" t="str">
            <v>PV</v>
          </cell>
          <cell r="D22288">
            <v>5</v>
          </cell>
          <cell r="H22288" t="str">
            <v>solar PV</v>
          </cell>
        </row>
        <row r="22289">
          <cell r="C22289" t="str">
            <v>PV</v>
          </cell>
          <cell r="D22289">
            <v>6.3</v>
          </cell>
          <cell r="H22289" t="str">
            <v>solar PV</v>
          </cell>
        </row>
        <row r="22290">
          <cell r="C22290" t="str">
            <v>PV</v>
          </cell>
          <cell r="D22290">
            <v>3</v>
          </cell>
          <cell r="H22290" t="str">
            <v>solar PV</v>
          </cell>
        </row>
        <row r="22291">
          <cell r="C22291" t="str">
            <v>PV</v>
          </cell>
          <cell r="D22291">
            <v>5</v>
          </cell>
          <cell r="H22291" t="str">
            <v>solar PV</v>
          </cell>
        </row>
        <row r="22292">
          <cell r="C22292" t="str">
            <v>PV</v>
          </cell>
          <cell r="D22292">
            <v>2.2999999999999998</v>
          </cell>
          <cell r="H22292" t="str">
            <v>solar PV</v>
          </cell>
        </row>
        <row r="22293">
          <cell r="C22293" t="str">
            <v>PV</v>
          </cell>
          <cell r="D22293">
            <v>1</v>
          </cell>
          <cell r="H22293" t="str">
            <v>solar PV</v>
          </cell>
        </row>
        <row r="22294">
          <cell r="C22294" t="str">
            <v>PV</v>
          </cell>
          <cell r="D22294">
            <v>1</v>
          </cell>
          <cell r="H22294" t="str">
            <v>solar PV</v>
          </cell>
        </row>
        <row r="22295">
          <cell r="C22295" t="str">
            <v>PV</v>
          </cell>
          <cell r="D22295">
            <v>1</v>
          </cell>
          <cell r="H22295" t="str">
            <v>solar PV</v>
          </cell>
        </row>
        <row r="22296">
          <cell r="C22296" t="str">
            <v>PV</v>
          </cell>
          <cell r="D22296">
            <v>10</v>
          </cell>
          <cell r="H22296" t="str">
            <v>solar PV</v>
          </cell>
        </row>
        <row r="22297">
          <cell r="C22297" t="str">
            <v>PV</v>
          </cell>
          <cell r="D22297">
            <v>4.9000000000000004</v>
          </cell>
          <cell r="H22297" t="str">
            <v>solar PV</v>
          </cell>
        </row>
        <row r="22298">
          <cell r="C22298" t="str">
            <v>PV</v>
          </cell>
          <cell r="D22298">
            <v>10</v>
          </cell>
          <cell r="H22298" t="str">
            <v>solar PV</v>
          </cell>
        </row>
        <row r="22299">
          <cell r="C22299" t="str">
            <v>BA</v>
          </cell>
          <cell r="D22299">
            <v>2</v>
          </cell>
          <cell r="H22299" t="str">
            <v>other</v>
          </cell>
        </row>
        <row r="22300">
          <cell r="C22300" t="str">
            <v>PV</v>
          </cell>
          <cell r="D22300">
            <v>1.3</v>
          </cell>
          <cell r="H22300" t="str">
            <v>solar PV</v>
          </cell>
        </row>
        <row r="22301">
          <cell r="C22301" t="str">
            <v>PV</v>
          </cell>
          <cell r="D22301">
            <v>13.5</v>
          </cell>
          <cell r="H22301" t="str">
            <v>solar PV</v>
          </cell>
        </row>
        <row r="22302">
          <cell r="C22302" t="str">
            <v>PV</v>
          </cell>
          <cell r="D22302">
            <v>2.4</v>
          </cell>
          <cell r="H22302" t="str">
            <v>solar PV</v>
          </cell>
        </row>
        <row r="22303">
          <cell r="C22303" t="str">
            <v>PV</v>
          </cell>
          <cell r="D22303">
            <v>4.5</v>
          </cell>
          <cell r="H22303" t="str">
            <v>solar PV</v>
          </cell>
        </row>
        <row r="22304">
          <cell r="C22304" t="str">
            <v>PV</v>
          </cell>
          <cell r="D22304">
            <v>2</v>
          </cell>
          <cell r="H22304" t="str">
            <v>solar PV</v>
          </cell>
        </row>
        <row r="22305">
          <cell r="C22305" t="str">
            <v>PV</v>
          </cell>
          <cell r="D22305">
            <v>4</v>
          </cell>
          <cell r="H22305" t="str">
            <v>solar PV</v>
          </cell>
        </row>
        <row r="22306">
          <cell r="C22306" t="str">
            <v>PV</v>
          </cell>
          <cell r="D22306">
            <v>5</v>
          </cell>
          <cell r="H22306" t="str">
            <v>solar PV</v>
          </cell>
        </row>
        <row r="22307">
          <cell r="C22307" t="str">
            <v>BT</v>
          </cell>
          <cell r="D22307">
            <v>1.9</v>
          </cell>
          <cell r="H22307" t="str">
            <v>geothermal</v>
          </cell>
        </row>
        <row r="22308">
          <cell r="C22308" t="str">
            <v>BT</v>
          </cell>
          <cell r="D22308">
            <v>1.9</v>
          </cell>
          <cell r="H22308" t="str">
            <v>geothermal</v>
          </cell>
        </row>
        <row r="22309">
          <cell r="C22309" t="str">
            <v>BT</v>
          </cell>
          <cell r="D22309">
            <v>1.3</v>
          </cell>
          <cell r="H22309" t="str">
            <v>geothermal</v>
          </cell>
        </row>
        <row r="22310">
          <cell r="C22310" t="str">
            <v>BT</v>
          </cell>
          <cell r="D22310">
            <v>1.3</v>
          </cell>
          <cell r="H22310" t="str">
            <v>geothermal</v>
          </cell>
        </row>
        <row r="22311">
          <cell r="C22311" t="str">
            <v>PV</v>
          </cell>
          <cell r="D22311">
            <v>5</v>
          </cell>
          <cell r="H22311" t="str">
            <v>solar PV</v>
          </cell>
        </row>
        <row r="22312">
          <cell r="C22312" t="str">
            <v>PV</v>
          </cell>
          <cell r="D22312">
            <v>4</v>
          </cell>
          <cell r="H22312" t="str">
            <v>solar PV</v>
          </cell>
        </row>
        <row r="22313">
          <cell r="C22313" t="str">
            <v>PV</v>
          </cell>
          <cell r="D22313">
            <v>1</v>
          </cell>
          <cell r="H22313" t="str">
            <v>solar PV</v>
          </cell>
        </row>
        <row r="22314">
          <cell r="C22314" t="str">
            <v>PV</v>
          </cell>
          <cell r="D22314">
            <v>1</v>
          </cell>
          <cell r="H22314" t="str">
            <v>solar PV</v>
          </cell>
        </row>
        <row r="22315">
          <cell r="C22315" t="str">
            <v>PV</v>
          </cell>
          <cell r="D22315">
            <v>1.3</v>
          </cell>
          <cell r="H22315" t="str">
            <v>solar PV</v>
          </cell>
        </row>
        <row r="22316">
          <cell r="C22316" t="str">
            <v>BA</v>
          </cell>
          <cell r="D22316">
            <v>4.2</v>
          </cell>
          <cell r="H22316" t="str">
            <v>other</v>
          </cell>
        </row>
        <row r="22317">
          <cell r="C22317" t="str">
            <v>IC</v>
          </cell>
          <cell r="D22317">
            <v>1.1000000000000001</v>
          </cell>
          <cell r="H22317" t="str">
            <v>natural gas peaker</v>
          </cell>
        </row>
        <row r="22318">
          <cell r="C22318" t="str">
            <v>PV</v>
          </cell>
          <cell r="D22318">
            <v>10</v>
          </cell>
          <cell r="H22318" t="str">
            <v>solar PV</v>
          </cell>
        </row>
        <row r="22319">
          <cell r="C22319" t="str">
            <v>WT</v>
          </cell>
          <cell r="D22319">
            <v>210.1</v>
          </cell>
          <cell r="H22319" t="str">
            <v>onshore wind</v>
          </cell>
        </row>
        <row r="22320">
          <cell r="C22320" t="str">
            <v>PV</v>
          </cell>
          <cell r="D22320">
            <v>19.899999999999999</v>
          </cell>
          <cell r="H22320" t="str">
            <v>solar PV</v>
          </cell>
        </row>
        <row r="22321">
          <cell r="C22321" t="str">
            <v>PV</v>
          </cell>
          <cell r="D22321">
            <v>1</v>
          </cell>
          <cell r="H22321" t="str">
            <v>solar PV</v>
          </cell>
        </row>
        <row r="22322">
          <cell r="C22322" t="str">
            <v>PV</v>
          </cell>
          <cell r="D22322">
            <v>1</v>
          </cell>
          <cell r="H22322" t="str">
            <v>solar PV</v>
          </cell>
        </row>
        <row r="22323">
          <cell r="C22323" t="str">
            <v>PV</v>
          </cell>
          <cell r="D22323">
            <v>1</v>
          </cell>
          <cell r="H22323" t="str">
            <v>solar PV</v>
          </cell>
        </row>
        <row r="22324">
          <cell r="C22324" t="str">
            <v>PV</v>
          </cell>
          <cell r="D22324">
            <v>1</v>
          </cell>
          <cell r="H22324" t="str">
            <v>solar PV</v>
          </cell>
        </row>
        <row r="22325">
          <cell r="C22325" t="str">
            <v>PV</v>
          </cell>
          <cell r="D22325">
            <v>1</v>
          </cell>
          <cell r="H22325" t="str">
            <v>solar PV</v>
          </cell>
        </row>
        <row r="22326">
          <cell r="C22326" t="str">
            <v>PV</v>
          </cell>
          <cell r="D22326">
            <v>1</v>
          </cell>
          <cell r="H22326" t="str">
            <v>solar PV</v>
          </cell>
        </row>
        <row r="22327">
          <cell r="C22327" t="str">
            <v>PV</v>
          </cell>
          <cell r="D22327">
            <v>2</v>
          </cell>
          <cell r="H22327" t="str">
            <v>solar PV</v>
          </cell>
        </row>
        <row r="22328">
          <cell r="C22328" t="str">
            <v>PV</v>
          </cell>
          <cell r="D22328">
            <v>2</v>
          </cell>
          <cell r="H22328" t="str">
            <v>solar PV</v>
          </cell>
        </row>
        <row r="22329">
          <cell r="C22329" t="str">
            <v>PV</v>
          </cell>
          <cell r="D22329">
            <v>3</v>
          </cell>
          <cell r="H22329" t="str">
            <v>solar PV</v>
          </cell>
        </row>
        <row r="22330">
          <cell r="C22330" t="str">
            <v>PV</v>
          </cell>
          <cell r="D22330">
            <v>2</v>
          </cell>
          <cell r="H22330" t="str">
            <v>solar PV</v>
          </cell>
        </row>
        <row r="22331">
          <cell r="C22331" t="str">
            <v>PV</v>
          </cell>
          <cell r="D22331">
            <v>2</v>
          </cell>
          <cell r="H22331" t="str">
            <v>solar PV</v>
          </cell>
        </row>
        <row r="22332">
          <cell r="C22332" t="str">
            <v>PV</v>
          </cell>
          <cell r="D22332">
            <v>2</v>
          </cell>
          <cell r="H22332" t="str">
            <v>solar PV</v>
          </cell>
        </row>
        <row r="22333">
          <cell r="C22333" t="str">
            <v>PV</v>
          </cell>
          <cell r="D22333">
            <v>2</v>
          </cell>
          <cell r="H22333" t="str">
            <v>solar PV</v>
          </cell>
        </row>
        <row r="22334">
          <cell r="C22334" t="str">
            <v>PV</v>
          </cell>
          <cell r="D22334">
            <v>2</v>
          </cell>
          <cell r="H22334" t="str">
            <v>solar PV</v>
          </cell>
        </row>
        <row r="22335">
          <cell r="C22335" t="str">
            <v>PV</v>
          </cell>
          <cell r="D22335">
            <v>2</v>
          </cell>
          <cell r="H22335" t="str">
            <v>solar PV</v>
          </cell>
        </row>
        <row r="22336">
          <cell r="C22336" t="str">
            <v>PV</v>
          </cell>
          <cell r="D22336">
            <v>2</v>
          </cell>
          <cell r="H22336" t="str">
            <v>solar PV</v>
          </cell>
        </row>
        <row r="22337">
          <cell r="C22337" t="str">
            <v>GT</v>
          </cell>
          <cell r="D22337">
            <v>12.8</v>
          </cell>
          <cell r="H22337" t="str">
            <v>natural gas peaker</v>
          </cell>
        </row>
        <row r="22338">
          <cell r="C22338" t="str">
            <v>PV</v>
          </cell>
          <cell r="D22338">
            <v>2.2000000000000002</v>
          </cell>
          <cell r="H22338" t="str">
            <v>solar PV</v>
          </cell>
        </row>
        <row r="22339">
          <cell r="C22339" t="str">
            <v>PV</v>
          </cell>
          <cell r="D22339">
            <v>2</v>
          </cell>
          <cell r="H22339" t="str">
            <v>solar PV</v>
          </cell>
        </row>
        <row r="22340">
          <cell r="C22340" t="str">
            <v>PV</v>
          </cell>
          <cell r="D22340">
            <v>2.6</v>
          </cell>
          <cell r="H22340" t="str">
            <v>solar PV</v>
          </cell>
        </row>
        <row r="22341">
          <cell r="C22341" t="str">
            <v>PV</v>
          </cell>
          <cell r="D22341">
            <v>2</v>
          </cell>
          <cell r="H22341" t="str">
            <v>solar PV</v>
          </cell>
        </row>
        <row r="22342">
          <cell r="C22342" t="str">
            <v>PV</v>
          </cell>
          <cell r="D22342">
            <v>79.900000000000006</v>
          </cell>
          <cell r="H22342" t="str">
            <v>solar PV</v>
          </cell>
        </row>
        <row r="22343">
          <cell r="C22343" t="str">
            <v>PV</v>
          </cell>
          <cell r="D22343">
            <v>3</v>
          </cell>
          <cell r="H22343" t="str">
            <v>solar PV</v>
          </cell>
        </row>
        <row r="22344">
          <cell r="C22344" t="str">
            <v>PV</v>
          </cell>
          <cell r="D22344">
            <v>1.7</v>
          </cell>
          <cell r="H22344" t="str">
            <v>solar PV</v>
          </cell>
        </row>
        <row r="22345">
          <cell r="C22345" t="str">
            <v>PV</v>
          </cell>
          <cell r="D22345">
            <v>10</v>
          </cell>
          <cell r="H22345" t="str">
            <v>solar PV</v>
          </cell>
        </row>
        <row r="22346">
          <cell r="C22346" t="str">
            <v>PV</v>
          </cell>
          <cell r="D22346">
            <v>10</v>
          </cell>
          <cell r="H22346" t="str">
            <v>solar PV</v>
          </cell>
        </row>
        <row r="22347">
          <cell r="C22347" t="str">
            <v>PV</v>
          </cell>
          <cell r="D22347">
            <v>2</v>
          </cell>
          <cell r="H22347" t="str">
            <v>solar PV</v>
          </cell>
        </row>
        <row r="22348">
          <cell r="C22348" t="str">
            <v>PV</v>
          </cell>
          <cell r="D22348">
            <v>2</v>
          </cell>
          <cell r="H22348" t="str">
            <v>solar PV</v>
          </cell>
        </row>
        <row r="22349">
          <cell r="C22349" t="str">
            <v>BA</v>
          </cell>
          <cell r="D22349">
            <v>3</v>
          </cell>
          <cell r="H22349" t="str">
            <v>other</v>
          </cell>
        </row>
        <row r="22350">
          <cell r="C22350" t="str">
            <v>PV</v>
          </cell>
          <cell r="D22350">
            <v>1.5</v>
          </cell>
          <cell r="H22350" t="str">
            <v>solar PV</v>
          </cell>
        </row>
        <row r="22351">
          <cell r="C22351" t="str">
            <v>IC</v>
          </cell>
          <cell r="D22351">
            <v>1.8</v>
          </cell>
          <cell r="H22351" t="str">
            <v>petroleum</v>
          </cell>
        </row>
        <row r="22352">
          <cell r="C22352" t="str">
            <v>IC</v>
          </cell>
          <cell r="D22352">
            <v>1.8</v>
          </cell>
          <cell r="H22352" t="str">
            <v>petroleum</v>
          </cell>
        </row>
        <row r="22353">
          <cell r="C22353" t="str">
            <v>IC</v>
          </cell>
          <cell r="D22353">
            <v>1.8</v>
          </cell>
          <cell r="H22353" t="str">
            <v>petroleum</v>
          </cell>
        </row>
        <row r="22354">
          <cell r="C22354" t="str">
            <v>IC</v>
          </cell>
          <cell r="D22354">
            <v>1.8</v>
          </cell>
          <cell r="H22354" t="str">
            <v>petroleum</v>
          </cell>
        </row>
        <row r="22355">
          <cell r="C22355" t="str">
            <v>IC</v>
          </cell>
          <cell r="D22355">
            <v>1.8</v>
          </cell>
          <cell r="H22355" t="str">
            <v>petroleum</v>
          </cell>
        </row>
        <row r="22356">
          <cell r="C22356" t="str">
            <v>IC</v>
          </cell>
          <cell r="D22356">
            <v>1.8</v>
          </cell>
          <cell r="H22356" t="str">
            <v>petroleum</v>
          </cell>
        </row>
        <row r="22357">
          <cell r="C22357" t="str">
            <v>IC</v>
          </cell>
          <cell r="D22357">
            <v>1.8</v>
          </cell>
          <cell r="H22357" t="str">
            <v>petroleum</v>
          </cell>
        </row>
        <row r="22358">
          <cell r="C22358" t="str">
            <v>IC</v>
          </cell>
          <cell r="D22358">
            <v>1.8</v>
          </cell>
          <cell r="H22358" t="str">
            <v>petroleum</v>
          </cell>
        </row>
        <row r="22359">
          <cell r="C22359" t="str">
            <v>IC</v>
          </cell>
          <cell r="D22359">
            <v>1.8</v>
          </cell>
          <cell r="H22359" t="str">
            <v>petroleum</v>
          </cell>
        </row>
        <row r="22360">
          <cell r="C22360" t="str">
            <v>IC</v>
          </cell>
          <cell r="D22360">
            <v>1.8</v>
          </cell>
          <cell r="H22360" t="str">
            <v>petroleum</v>
          </cell>
        </row>
        <row r="22361">
          <cell r="C22361" t="str">
            <v>PV</v>
          </cell>
          <cell r="D22361">
            <v>2</v>
          </cell>
          <cell r="H22361" t="str">
            <v>solar PV</v>
          </cell>
        </row>
        <row r="22362">
          <cell r="C22362" t="str">
            <v>PV</v>
          </cell>
          <cell r="D22362">
            <v>2</v>
          </cell>
          <cell r="H22362" t="str">
            <v>solar PV</v>
          </cell>
        </row>
        <row r="22363">
          <cell r="C22363" t="str">
            <v>PV</v>
          </cell>
          <cell r="D22363">
            <v>2</v>
          </cell>
          <cell r="H22363" t="str">
            <v>solar PV</v>
          </cell>
        </row>
        <row r="22364">
          <cell r="C22364" t="str">
            <v>PV</v>
          </cell>
          <cell r="D22364">
            <v>1</v>
          </cell>
          <cell r="H22364" t="str">
            <v>solar PV</v>
          </cell>
        </row>
        <row r="22365">
          <cell r="C22365" t="str">
            <v>PV</v>
          </cell>
          <cell r="D22365">
            <v>1</v>
          </cell>
          <cell r="H22365" t="str">
            <v>solar PV</v>
          </cell>
        </row>
        <row r="22366">
          <cell r="C22366" t="str">
            <v>PV</v>
          </cell>
          <cell r="D22366">
            <v>1</v>
          </cell>
          <cell r="H22366" t="str">
            <v>solar PV</v>
          </cell>
        </row>
        <row r="22367">
          <cell r="C22367" t="str">
            <v>PV</v>
          </cell>
          <cell r="D22367">
            <v>1</v>
          </cell>
          <cell r="H22367" t="str">
            <v>solar PV</v>
          </cell>
        </row>
        <row r="22368">
          <cell r="C22368" t="str">
            <v>PV</v>
          </cell>
          <cell r="D22368">
            <v>1</v>
          </cell>
          <cell r="H22368" t="str">
            <v>solar PV</v>
          </cell>
        </row>
        <row r="22369">
          <cell r="C22369" t="str">
            <v>PV</v>
          </cell>
          <cell r="D22369">
            <v>1</v>
          </cell>
          <cell r="H22369" t="str">
            <v>solar PV</v>
          </cell>
        </row>
        <row r="22370">
          <cell r="C22370" t="str">
            <v>PV</v>
          </cell>
          <cell r="D22370">
            <v>1.6</v>
          </cell>
          <cell r="H22370" t="str">
            <v>solar PV</v>
          </cell>
        </row>
        <row r="22371">
          <cell r="C22371" t="str">
            <v>PV</v>
          </cell>
          <cell r="D22371">
            <v>5</v>
          </cell>
          <cell r="H22371" t="str">
            <v>solar PV</v>
          </cell>
        </row>
        <row r="22372">
          <cell r="C22372" t="str">
            <v>PV</v>
          </cell>
          <cell r="D22372">
            <v>1.6</v>
          </cell>
          <cell r="H22372" t="str">
            <v>solar PV</v>
          </cell>
        </row>
        <row r="22373">
          <cell r="C22373" t="str">
            <v>PV</v>
          </cell>
          <cell r="D22373">
            <v>1</v>
          </cell>
          <cell r="H22373" t="str">
            <v>solar PV</v>
          </cell>
        </row>
        <row r="22374">
          <cell r="C22374" t="str">
            <v>PV</v>
          </cell>
          <cell r="D22374">
            <v>1</v>
          </cell>
          <cell r="H22374" t="str">
            <v>solar PV</v>
          </cell>
        </row>
        <row r="22375">
          <cell r="C22375" t="str">
            <v>PV</v>
          </cell>
          <cell r="D22375">
            <v>1</v>
          </cell>
          <cell r="H22375" t="str">
            <v>solar PV</v>
          </cell>
        </row>
        <row r="22376">
          <cell r="C22376" t="str">
            <v>PV</v>
          </cell>
          <cell r="D22376">
            <v>1</v>
          </cell>
          <cell r="H22376" t="str">
            <v>solar PV</v>
          </cell>
        </row>
        <row r="22377">
          <cell r="C22377" t="str">
            <v>PV</v>
          </cell>
          <cell r="D22377">
            <v>1</v>
          </cell>
          <cell r="H22377" t="str">
            <v>solar PV</v>
          </cell>
        </row>
        <row r="22378">
          <cell r="C22378" t="str">
            <v>PV</v>
          </cell>
          <cell r="D22378">
            <v>1</v>
          </cell>
          <cell r="H22378" t="str">
            <v>solar PV</v>
          </cell>
        </row>
        <row r="22379">
          <cell r="C22379" t="str">
            <v>PV</v>
          </cell>
          <cell r="D22379">
            <v>1</v>
          </cell>
          <cell r="H22379" t="str">
            <v>solar PV</v>
          </cell>
        </row>
        <row r="22380">
          <cell r="C22380" t="str">
            <v>PV</v>
          </cell>
          <cell r="D22380">
            <v>1</v>
          </cell>
          <cell r="H22380" t="str">
            <v>solar PV</v>
          </cell>
        </row>
        <row r="22381">
          <cell r="C22381" t="str">
            <v>IC</v>
          </cell>
          <cell r="D22381">
            <v>1.8</v>
          </cell>
          <cell r="H22381" t="str">
            <v>petroleum</v>
          </cell>
        </row>
        <row r="22382">
          <cell r="C22382" t="str">
            <v>PV</v>
          </cell>
          <cell r="D22382">
            <v>1</v>
          </cell>
          <cell r="H22382" t="str">
            <v>solar PV</v>
          </cell>
        </row>
        <row r="22383">
          <cell r="C22383" t="str">
            <v>PV</v>
          </cell>
          <cell r="D22383">
            <v>1</v>
          </cell>
          <cell r="H22383" t="str">
            <v>solar PV</v>
          </cell>
        </row>
        <row r="22384">
          <cell r="C22384" t="str">
            <v>PV</v>
          </cell>
          <cell r="D22384">
            <v>1</v>
          </cell>
          <cell r="H22384" t="str">
            <v>solar PV</v>
          </cell>
        </row>
        <row r="22385">
          <cell r="C22385" t="str">
            <v>PV</v>
          </cell>
          <cell r="D22385">
            <v>9.9</v>
          </cell>
          <cell r="H22385" t="str">
            <v>solar PV</v>
          </cell>
        </row>
        <row r="22386">
          <cell r="C22386" t="str">
            <v>PV</v>
          </cell>
          <cell r="D22386">
            <v>3.2</v>
          </cell>
          <cell r="H22386" t="str">
            <v>solar PV</v>
          </cell>
        </row>
        <row r="22387">
          <cell r="C22387" t="str">
            <v>PV</v>
          </cell>
          <cell r="D22387">
            <v>10</v>
          </cell>
          <cell r="H22387" t="str">
            <v>solar PV</v>
          </cell>
        </row>
        <row r="22388">
          <cell r="C22388" t="str">
            <v>PV</v>
          </cell>
          <cell r="D22388">
            <v>3.1</v>
          </cell>
          <cell r="H22388" t="str">
            <v>solar PV</v>
          </cell>
        </row>
        <row r="22389">
          <cell r="C22389" t="str">
            <v>PV</v>
          </cell>
          <cell r="D22389">
            <v>5</v>
          </cell>
          <cell r="H22389" t="str">
            <v>solar PV</v>
          </cell>
        </row>
        <row r="22390">
          <cell r="C22390" t="str">
            <v>BA</v>
          </cell>
          <cell r="D22390">
            <v>5</v>
          </cell>
          <cell r="H22390" t="str">
            <v>other</v>
          </cell>
        </row>
        <row r="22391">
          <cell r="C22391" t="str">
            <v>PV</v>
          </cell>
          <cell r="D22391">
            <v>42</v>
          </cell>
          <cell r="H22391" t="str">
            <v>solar PV</v>
          </cell>
        </row>
        <row r="22392">
          <cell r="C22392" t="str">
            <v>PV</v>
          </cell>
          <cell r="D22392">
            <v>0.5</v>
          </cell>
          <cell r="H22392" t="str">
            <v>solar PV</v>
          </cell>
        </row>
        <row r="22393">
          <cell r="C22393" t="str">
            <v>PV</v>
          </cell>
          <cell r="D22393">
            <v>0.5</v>
          </cell>
          <cell r="H22393" t="str">
            <v>solar PV</v>
          </cell>
        </row>
        <row r="22394">
          <cell r="C22394" t="str">
            <v>GT</v>
          </cell>
          <cell r="D22394">
            <v>23.9</v>
          </cell>
          <cell r="H22394" t="str">
            <v>petroleum</v>
          </cell>
        </row>
        <row r="22395">
          <cell r="C22395" t="str">
            <v>GT</v>
          </cell>
          <cell r="D22395">
            <v>23.8</v>
          </cell>
          <cell r="H22395" t="str">
            <v>petroleum</v>
          </cell>
        </row>
        <row r="22396">
          <cell r="C22396" t="str">
            <v>PV</v>
          </cell>
          <cell r="D22396">
            <v>2</v>
          </cell>
          <cell r="H22396" t="str">
            <v>solar PV</v>
          </cell>
        </row>
        <row r="22397">
          <cell r="C22397" t="str">
            <v>PV</v>
          </cell>
          <cell r="D22397">
            <v>2.2000000000000002</v>
          </cell>
          <cell r="H22397" t="str">
            <v>solar PV</v>
          </cell>
        </row>
        <row r="22398">
          <cell r="C22398" t="str">
            <v>PV</v>
          </cell>
          <cell r="D22398">
            <v>2.2000000000000002</v>
          </cell>
          <cell r="H22398" t="str">
            <v>solar PV</v>
          </cell>
        </row>
        <row r="22399">
          <cell r="C22399" t="str">
            <v>PV</v>
          </cell>
          <cell r="D22399">
            <v>2.2000000000000002</v>
          </cell>
          <cell r="H22399" t="str">
            <v>solar PV</v>
          </cell>
        </row>
        <row r="22400">
          <cell r="C22400" t="str">
            <v>PV</v>
          </cell>
          <cell r="D22400">
            <v>2.2000000000000002</v>
          </cell>
          <cell r="H22400" t="str">
            <v>solar PV</v>
          </cell>
        </row>
        <row r="22401">
          <cell r="C22401" t="str">
            <v>PV</v>
          </cell>
          <cell r="D22401">
            <v>0.4</v>
          </cell>
          <cell r="H22401" t="str">
            <v>solar PV</v>
          </cell>
        </row>
        <row r="22402">
          <cell r="C22402" t="str">
            <v>PV</v>
          </cell>
          <cell r="D22402">
            <v>0.4</v>
          </cell>
          <cell r="H22402" t="str">
            <v>solar PV</v>
          </cell>
        </row>
        <row r="22403">
          <cell r="C22403" t="str">
            <v>PV</v>
          </cell>
          <cell r="D22403">
            <v>5</v>
          </cell>
          <cell r="H22403" t="str">
            <v>solar PV</v>
          </cell>
        </row>
        <row r="22404">
          <cell r="C22404" t="str">
            <v>PV</v>
          </cell>
          <cell r="D22404">
            <v>4.8</v>
          </cell>
          <cell r="H22404" t="str">
            <v>solar PV</v>
          </cell>
        </row>
        <row r="22405">
          <cell r="C22405" t="str">
            <v>PV</v>
          </cell>
          <cell r="D22405">
            <v>0.8</v>
          </cell>
          <cell r="H22405" t="str">
            <v>solar PV</v>
          </cell>
        </row>
        <row r="22406">
          <cell r="C22406" t="str">
            <v>PV</v>
          </cell>
          <cell r="D22406">
            <v>1.4</v>
          </cell>
          <cell r="H22406" t="str">
            <v>solar PV</v>
          </cell>
        </row>
        <row r="22407">
          <cell r="C22407" t="str">
            <v>PV</v>
          </cell>
          <cell r="D22407">
            <v>3.9</v>
          </cell>
          <cell r="H22407" t="str">
            <v>solar PV</v>
          </cell>
        </row>
        <row r="22408">
          <cell r="C22408" t="str">
            <v>PV</v>
          </cell>
          <cell r="D22408">
            <v>1.4</v>
          </cell>
          <cell r="H22408" t="str">
            <v>solar PV</v>
          </cell>
        </row>
        <row r="22409">
          <cell r="C22409" t="str">
            <v>PV</v>
          </cell>
          <cell r="D22409">
            <v>2.2000000000000002</v>
          </cell>
          <cell r="H22409" t="str">
            <v>solar PV</v>
          </cell>
        </row>
        <row r="22410">
          <cell r="C22410" t="str">
            <v>IC</v>
          </cell>
          <cell r="D22410">
            <v>3.2</v>
          </cell>
          <cell r="H22410" t="str">
            <v>natural gas peaker</v>
          </cell>
        </row>
        <row r="22411">
          <cell r="C22411" t="str">
            <v>IC</v>
          </cell>
          <cell r="D22411">
            <v>3.2</v>
          </cell>
          <cell r="H22411" t="str">
            <v>natural gas peaker</v>
          </cell>
        </row>
        <row r="22412">
          <cell r="C22412" t="str">
            <v>IC</v>
          </cell>
          <cell r="D22412">
            <v>3.2</v>
          </cell>
          <cell r="H22412" t="str">
            <v>natural gas peaker</v>
          </cell>
        </row>
        <row r="22413">
          <cell r="C22413" t="str">
            <v>IC</v>
          </cell>
          <cell r="D22413">
            <v>3.2</v>
          </cell>
          <cell r="H22413" t="str">
            <v>natural gas peaker</v>
          </cell>
        </row>
        <row r="22414">
          <cell r="C22414" t="str">
            <v>PV</v>
          </cell>
          <cell r="D22414">
            <v>2</v>
          </cell>
          <cell r="H22414" t="str">
            <v>solar PV</v>
          </cell>
        </row>
        <row r="22415">
          <cell r="C22415" t="str">
            <v>PV</v>
          </cell>
          <cell r="D22415">
            <v>1</v>
          </cell>
          <cell r="H22415" t="str">
            <v>solar PV</v>
          </cell>
        </row>
        <row r="22416">
          <cell r="C22416" t="str">
            <v>PV</v>
          </cell>
          <cell r="D22416">
            <v>1</v>
          </cell>
          <cell r="H22416" t="str">
            <v>solar PV</v>
          </cell>
        </row>
        <row r="22417">
          <cell r="C22417" t="str">
            <v>PV</v>
          </cell>
          <cell r="D22417">
            <v>2</v>
          </cell>
          <cell r="H22417" t="str">
            <v>solar PV</v>
          </cell>
        </row>
        <row r="22418">
          <cell r="C22418" t="str">
            <v>PV</v>
          </cell>
          <cell r="D22418">
            <v>2</v>
          </cell>
          <cell r="H22418" t="str">
            <v>solar PV</v>
          </cell>
        </row>
        <row r="22419">
          <cell r="C22419" t="str">
            <v>IC</v>
          </cell>
          <cell r="D22419">
            <v>1.6</v>
          </cell>
          <cell r="H22419" t="str">
            <v>biomass</v>
          </cell>
        </row>
        <row r="22420">
          <cell r="C22420" t="str">
            <v>IC</v>
          </cell>
          <cell r="D22420">
            <v>1.6</v>
          </cell>
          <cell r="H22420" t="str">
            <v>biomass</v>
          </cell>
        </row>
        <row r="22421">
          <cell r="C22421" t="str">
            <v>PV</v>
          </cell>
          <cell r="D22421">
            <v>2.1</v>
          </cell>
          <cell r="H22421" t="str">
            <v>solar PV</v>
          </cell>
        </row>
        <row r="22422">
          <cell r="C22422" t="str">
            <v>PV</v>
          </cell>
          <cell r="D22422">
            <v>1.5</v>
          </cell>
          <cell r="H22422" t="str">
            <v>solar PV</v>
          </cell>
        </row>
        <row r="22423">
          <cell r="C22423" t="str">
            <v>PV</v>
          </cell>
          <cell r="D22423">
            <v>1.4</v>
          </cell>
          <cell r="H22423" t="str">
            <v>solar PV</v>
          </cell>
        </row>
        <row r="22424">
          <cell r="C22424" t="str">
            <v>PV</v>
          </cell>
          <cell r="D22424">
            <v>3.5</v>
          </cell>
          <cell r="H22424" t="str">
            <v>solar PV</v>
          </cell>
        </row>
        <row r="22425">
          <cell r="C22425" t="str">
            <v>PV</v>
          </cell>
          <cell r="D22425">
            <v>1.3</v>
          </cell>
          <cell r="H22425" t="str">
            <v>solar PV</v>
          </cell>
        </row>
        <row r="22426">
          <cell r="C22426" t="str">
            <v>PV</v>
          </cell>
          <cell r="D22426">
            <v>1.5</v>
          </cell>
          <cell r="H22426" t="str">
            <v>solar PV</v>
          </cell>
        </row>
        <row r="22427">
          <cell r="C22427" t="str">
            <v>PV</v>
          </cell>
          <cell r="D22427">
            <v>0.5</v>
          </cell>
          <cell r="H22427" t="str">
            <v>solar PV</v>
          </cell>
        </row>
        <row r="22428">
          <cell r="C22428" t="str">
            <v>PV</v>
          </cell>
          <cell r="D22428">
            <v>0.5</v>
          </cell>
          <cell r="H22428" t="str">
            <v>solar PV</v>
          </cell>
        </row>
        <row r="22429">
          <cell r="C22429" t="str">
            <v>PV</v>
          </cell>
          <cell r="D22429">
            <v>2</v>
          </cell>
          <cell r="H22429" t="str">
            <v>solar PV</v>
          </cell>
        </row>
        <row r="22430">
          <cell r="C22430" t="str">
            <v>PV</v>
          </cell>
          <cell r="D22430">
            <v>2</v>
          </cell>
          <cell r="H22430" t="str">
            <v>solar PV</v>
          </cell>
        </row>
        <row r="22431">
          <cell r="C22431" t="str">
            <v>PV</v>
          </cell>
          <cell r="D22431">
            <v>5</v>
          </cell>
          <cell r="H22431" t="str">
            <v>solar PV</v>
          </cell>
        </row>
        <row r="22432">
          <cell r="C22432" t="str">
            <v>PV</v>
          </cell>
          <cell r="D22432">
            <v>2</v>
          </cell>
          <cell r="H22432" t="str">
            <v>solar PV</v>
          </cell>
        </row>
        <row r="22433">
          <cell r="C22433" t="str">
            <v>PV</v>
          </cell>
          <cell r="D22433">
            <v>1.5</v>
          </cell>
          <cell r="H22433" t="str">
            <v>solar PV</v>
          </cell>
        </row>
        <row r="22434">
          <cell r="C22434" t="str">
            <v>PV</v>
          </cell>
          <cell r="D22434">
            <v>1.5</v>
          </cell>
          <cell r="H22434" t="str">
            <v>solar PV</v>
          </cell>
        </row>
        <row r="22435">
          <cell r="C22435" t="str">
            <v>PV</v>
          </cell>
          <cell r="D22435">
            <v>1.5</v>
          </cell>
          <cell r="H22435" t="str">
            <v>solar PV</v>
          </cell>
        </row>
        <row r="22436">
          <cell r="C22436" t="str">
            <v>PV</v>
          </cell>
          <cell r="D22436">
            <v>1</v>
          </cell>
          <cell r="H22436" t="str">
            <v>solar PV</v>
          </cell>
        </row>
        <row r="22437">
          <cell r="C22437" t="str">
            <v>PV</v>
          </cell>
          <cell r="D22437">
            <v>14</v>
          </cell>
          <cell r="H22437" t="str">
            <v>solar PV</v>
          </cell>
        </row>
        <row r="22438">
          <cell r="C22438" t="str">
            <v>GT</v>
          </cell>
          <cell r="D22438">
            <v>32.299999999999997</v>
          </cell>
          <cell r="H22438" t="str">
            <v>natural gas peaker</v>
          </cell>
        </row>
        <row r="22439">
          <cell r="C22439" t="str">
            <v>PV</v>
          </cell>
          <cell r="D22439">
            <v>3.8</v>
          </cell>
          <cell r="H22439" t="str">
            <v>solar PV</v>
          </cell>
        </row>
        <row r="22440">
          <cell r="C22440" t="str">
            <v>PV</v>
          </cell>
          <cell r="D22440">
            <v>4.2</v>
          </cell>
          <cell r="H22440" t="str">
            <v>solar PV</v>
          </cell>
        </row>
        <row r="22441">
          <cell r="C22441" t="str">
            <v>PV</v>
          </cell>
          <cell r="D22441">
            <v>1.1000000000000001</v>
          </cell>
          <cell r="H22441" t="str">
            <v>solar PV</v>
          </cell>
        </row>
        <row r="22442">
          <cell r="C22442" t="str">
            <v>PV</v>
          </cell>
          <cell r="D22442">
            <v>2.2000000000000002</v>
          </cell>
          <cell r="H22442" t="str">
            <v>solar PV</v>
          </cell>
        </row>
        <row r="22443">
          <cell r="C22443" t="str">
            <v>PV</v>
          </cell>
          <cell r="D22443">
            <v>1.9</v>
          </cell>
          <cell r="H22443" t="str">
            <v>solar PV</v>
          </cell>
        </row>
        <row r="22444">
          <cell r="C22444" t="str">
            <v>PV</v>
          </cell>
          <cell r="D22444">
            <v>1.5</v>
          </cell>
          <cell r="H22444" t="str">
            <v>solar PV</v>
          </cell>
        </row>
        <row r="22445">
          <cell r="C22445" t="str">
            <v>PV</v>
          </cell>
          <cell r="D22445">
            <v>3</v>
          </cell>
          <cell r="H22445" t="str">
            <v>solar PV</v>
          </cell>
        </row>
        <row r="22446">
          <cell r="C22446" t="str">
            <v>PV</v>
          </cell>
          <cell r="D22446">
            <v>1.4</v>
          </cell>
          <cell r="H22446" t="str">
            <v>solar PV</v>
          </cell>
        </row>
        <row r="22447">
          <cell r="C22447" t="str">
            <v>PV</v>
          </cell>
          <cell r="D22447">
            <v>2</v>
          </cell>
          <cell r="H22447" t="str">
            <v>solar PV</v>
          </cell>
        </row>
        <row r="22448">
          <cell r="C22448" t="str">
            <v>PV</v>
          </cell>
          <cell r="D22448">
            <v>1.8</v>
          </cell>
          <cell r="H22448" t="str">
            <v>solar PV</v>
          </cell>
        </row>
        <row r="22449">
          <cell r="C22449" t="str">
            <v>PV</v>
          </cell>
          <cell r="D22449">
            <v>1.5</v>
          </cell>
          <cell r="H22449" t="str">
            <v>solar PV</v>
          </cell>
        </row>
        <row r="22450">
          <cell r="C22450" t="str">
            <v>PV</v>
          </cell>
          <cell r="D22450">
            <v>2</v>
          </cell>
          <cell r="H22450" t="str">
            <v>solar PV</v>
          </cell>
        </row>
        <row r="22451">
          <cell r="C22451" t="str">
            <v>PV</v>
          </cell>
          <cell r="D22451">
            <v>10</v>
          </cell>
          <cell r="H22451" t="str">
            <v>solar PV</v>
          </cell>
        </row>
        <row r="22452">
          <cell r="C22452" t="str">
            <v>PV</v>
          </cell>
          <cell r="D22452">
            <v>1.1000000000000001</v>
          </cell>
          <cell r="H22452" t="str">
            <v>solar PV</v>
          </cell>
        </row>
        <row r="22453">
          <cell r="C22453" t="str">
            <v>PV</v>
          </cell>
          <cell r="D22453">
            <v>2</v>
          </cell>
          <cell r="H22453" t="str">
            <v>solar PV</v>
          </cell>
        </row>
        <row r="22454">
          <cell r="C22454" t="str">
            <v>BA</v>
          </cell>
          <cell r="D22454">
            <v>5</v>
          </cell>
          <cell r="H22454" t="str">
            <v>other</v>
          </cell>
        </row>
        <row r="22455">
          <cell r="C22455" t="str">
            <v>PV</v>
          </cell>
          <cell r="D22455">
            <v>2</v>
          </cell>
          <cell r="H22455" t="str">
            <v>solar PV</v>
          </cell>
        </row>
        <row r="22456">
          <cell r="C22456" t="str">
            <v>PV</v>
          </cell>
          <cell r="D22456">
            <v>5</v>
          </cell>
          <cell r="H22456" t="str">
            <v>solar PV</v>
          </cell>
        </row>
        <row r="22457">
          <cell r="C22457" t="str">
            <v>PV</v>
          </cell>
          <cell r="D22457">
            <v>9.9</v>
          </cell>
          <cell r="H22457" t="str">
            <v>solar PV</v>
          </cell>
        </row>
        <row r="22458">
          <cell r="C22458" t="str">
            <v>GT</v>
          </cell>
          <cell r="D22458">
            <v>7.5</v>
          </cell>
          <cell r="H22458" t="str">
            <v>natural gas peaker</v>
          </cell>
        </row>
        <row r="22459">
          <cell r="C22459" t="str">
            <v>PV</v>
          </cell>
          <cell r="D22459">
            <v>0.9</v>
          </cell>
          <cell r="H22459" t="str">
            <v>solar PV</v>
          </cell>
        </row>
        <row r="22460">
          <cell r="C22460" t="str">
            <v>PV</v>
          </cell>
          <cell r="D22460">
            <v>32.5</v>
          </cell>
          <cell r="H22460" t="str">
            <v>solar PV</v>
          </cell>
        </row>
        <row r="22461">
          <cell r="C22461" t="str">
            <v>PV</v>
          </cell>
          <cell r="D22461">
            <v>57.5</v>
          </cell>
          <cell r="H22461" t="str">
            <v>solar PV</v>
          </cell>
        </row>
        <row r="22462">
          <cell r="C22462" t="str">
            <v>PV</v>
          </cell>
          <cell r="D22462">
            <v>3.2</v>
          </cell>
          <cell r="H22462" t="str">
            <v>solar PV</v>
          </cell>
        </row>
        <row r="22463">
          <cell r="C22463" t="str">
            <v>PV</v>
          </cell>
          <cell r="D22463">
            <v>1</v>
          </cell>
          <cell r="H22463" t="str">
            <v>solar PV</v>
          </cell>
        </row>
        <row r="22464">
          <cell r="C22464" t="str">
            <v>PV</v>
          </cell>
          <cell r="D22464">
            <v>1.4</v>
          </cell>
          <cell r="H22464" t="str">
            <v>solar PV</v>
          </cell>
        </row>
        <row r="22465">
          <cell r="C22465" t="str">
            <v>PV</v>
          </cell>
          <cell r="D22465">
            <v>1.9</v>
          </cell>
          <cell r="H22465" t="str">
            <v>solar PV</v>
          </cell>
        </row>
        <row r="22466">
          <cell r="C22466" t="str">
            <v>PV</v>
          </cell>
          <cell r="D22466">
            <v>3.7</v>
          </cell>
          <cell r="H22466" t="str">
            <v>solar PV</v>
          </cell>
        </row>
        <row r="22467">
          <cell r="C22467" t="str">
            <v>PV</v>
          </cell>
          <cell r="D22467">
            <v>1</v>
          </cell>
          <cell r="H22467" t="str">
            <v>solar PV</v>
          </cell>
        </row>
        <row r="22468">
          <cell r="C22468" t="str">
            <v>PV</v>
          </cell>
          <cell r="D22468">
            <v>1</v>
          </cell>
          <cell r="H22468" t="str">
            <v>solar PV</v>
          </cell>
        </row>
        <row r="22469">
          <cell r="C22469" t="str">
            <v>PV</v>
          </cell>
          <cell r="D22469">
            <v>1</v>
          </cell>
          <cell r="H22469" t="str">
            <v>solar PV</v>
          </cell>
        </row>
        <row r="22470">
          <cell r="C22470" t="str">
            <v>BT</v>
          </cell>
          <cell r="D22470">
            <v>20</v>
          </cell>
          <cell r="H22470" t="str">
            <v>geothermal</v>
          </cell>
        </row>
        <row r="22471">
          <cell r="C22471" t="str">
            <v>PV</v>
          </cell>
          <cell r="D22471">
            <v>1.4</v>
          </cell>
          <cell r="H22471" t="str">
            <v>solar PV</v>
          </cell>
        </row>
        <row r="22472">
          <cell r="C22472" t="str">
            <v>PV</v>
          </cell>
          <cell r="D22472">
            <v>2.1</v>
          </cell>
          <cell r="H22472" t="str">
            <v>solar PV</v>
          </cell>
        </row>
        <row r="22473">
          <cell r="C22473" t="str">
            <v>PV</v>
          </cell>
          <cell r="D22473">
            <v>2</v>
          </cell>
          <cell r="H22473" t="str">
            <v>solar PV</v>
          </cell>
        </row>
        <row r="22474">
          <cell r="C22474" t="str">
            <v>PV</v>
          </cell>
          <cell r="D22474">
            <v>2</v>
          </cell>
          <cell r="H22474" t="str">
            <v>solar PV</v>
          </cell>
        </row>
        <row r="22475">
          <cell r="C22475" t="str">
            <v>PV</v>
          </cell>
          <cell r="D22475">
            <v>1</v>
          </cell>
          <cell r="H22475" t="str">
            <v>solar PV</v>
          </cell>
        </row>
        <row r="22476">
          <cell r="C22476" t="str">
            <v>PV</v>
          </cell>
          <cell r="D22476">
            <v>1</v>
          </cell>
          <cell r="H22476" t="str">
            <v>solar PV</v>
          </cell>
        </row>
        <row r="22477">
          <cell r="C22477" t="str">
            <v>PV</v>
          </cell>
          <cell r="D22477">
            <v>1</v>
          </cell>
          <cell r="H22477" t="str">
            <v>solar PV</v>
          </cell>
        </row>
        <row r="22478">
          <cell r="C22478" t="str">
            <v>PV</v>
          </cell>
          <cell r="D22478">
            <v>1</v>
          </cell>
          <cell r="H22478" t="str">
            <v>solar PV</v>
          </cell>
        </row>
        <row r="22479">
          <cell r="C22479" t="str">
            <v>PV</v>
          </cell>
          <cell r="D22479">
            <v>1</v>
          </cell>
          <cell r="H22479" t="str">
            <v>solar PV</v>
          </cell>
        </row>
        <row r="22480">
          <cell r="C22480" t="str">
            <v>PV</v>
          </cell>
          <cell r="D22480">
            <v>2</v>
          </cell>
          <cell r="H22480" t="str">
            <v>solar PV</v>
          </cell>
        </row>
        <row r="22481">
          <cell r="C22481" t="str">
            <v>PV</v>
          </cell>
          <cell r="D22481">
            <v>4</v>
          </cell>
          <cell r="H22481" t="str">
            <v>solar PV</v>
          </cell>
        </row>
        <row r="22482">
          <cell r="C22482" t="str">
            <v>PV</v>
          </cell>
          <cell r="D22482">
            <v>5</v>
          </cell>
          <cell r="H22482" t="str">
            <v>solar PV</v>
          </cell>
        </row>
        <row r="22483">
          <cell r="C22483" t="str">
            <v>PV</v>
          </cell>
          <cell r="D22483">
            <v>1</v>
          </cell>
          <cell r="H22483" t="str">
            <v>solar PV</v>
          </cell>
        </row>
        <row r="22484">
          <cell r="C22484" t="str">
            <v>PV</v>
          </cell>
          <cell r="D22484">
            <v>1</v>
          </cell>
          <cell r="H22484" t="str">
            <v>solar PV</v>
          </cell>
        </row>
        <row r="22485">
          <cell r="C22485" t="str">
            <v>PV</v>
          </cell>
          <cell r="D22485">
            <v>1.1000000000000001</v>
          </cell>
          <cell r="H22485" t="str">
            <v>solar PV</v>
          </cell>
        </row>
        <row r="22486">
          <cell r="C22486" t="str">
            <v>PV</v>
          </cell>
          <cell r="D22486">
            <v>4.0999999999999996</v>
          </cell>
          <cell r="H22486" t="str">
            <v>solar PV</v>
          </cell>
        </row>
        <row r="22487">
          <cell r="C22487" t="str">
            <v>PV</v>
          </cell>
          <cell r="D22487">
            <v>5</v>
          </cell>
          <cell r="H22487" t="str">
            <v>solar PV</v>
          </cell>
        </row>
        <row r="22488">
          <cell r="C22488" t="str">
            <v>PV</v>
          </cell>
          <cell r="D22488">
            <v>3.5</v>
          </cell>
          <cell r="H22488" t="str">
            <v>solar PV</v>
          </cell>
        </row>
        <row r="22489">
          <cell r="C22489" t="str">
            <v>PV</v>
          </cell>
          <cell r="D22489">
            <v>1.9</v>
          </cell>
          <cell r="H22489" t="str">
            <v>solar PV</v>
          </cell>
        </row>
        <row r="22490">
          <cell r="C22490" t="str">
            <v>PV</v>
          </cell>
          <cell r="D22490">
            <v>1.2</v>
          </cell>
          <cell r="H22490" t="str">
            <v>solar PV</v>
          </cell>
        </row>
        <row r="22491">
          <cell r="C22491" t="str">
            <v>PV</v>
          </cell>
          <cell r="D22491">
            <v>3</v>
          </cell>
          <cell r="H22491" t="str">
            <v>solar PV</v>
          </cell>
        </row>
        <row r="22492">
          <cell r="C22492" t="str">
            <v>WT</v>
          </cell>
          <cell r="D22492">
            <v>2.5</v>
          </cell>
          <cell r="H22492" t="str">
            <v>onshore wind</v>
          </cell>
        </row>
        <row r="22493">
          <cell r="C22493" t="str">
            <v>BA</v>
          </cell>
          <cell r="D22493">
            <v>1.6</v>
          </cell>
          <cell r="H22493" t="str">
            <v>other</v>
          </cell>
        </row>
        <row r="22494">
          <cell r="C22494" t="str">
            <v>PV</v>
          </cell>
          <cell r="D22494">
            <v>3.3</v>
          </cell>
          <cell r="H22494" t="str">
            <v>solar PV</v>
          </cell>
        </row>
        <row r="22495">
          <cell r="C22495" t="str">
            <v>PV</v>
          </cell>
          <cell r="D22495">
            <v>1</v>
          </cell>
          <cell r="H22495" t="str">
            <v>solar PV</v>
          </cell>
        </row>
        <row r="22496">
          <cell r="C22496" t="str">
            <v>PV</v>
          </cell>
          <cell r="D22496">
            <v>1</v>
          </cell>
          <cell r="H22496" t="str">
            <v>solar PV</v>
          </cell>
        </row>
        <row r="22497">
          <cell r="C22497" t="str">
            <v>PV</v>
          </cell>
          <cell r="D22497">
            <v>1</v>
          </cell>
          <cell r="H22497" t="str">
            <v>solar PV</v>
          </cell>
        </row>
        <row r="22498">
          <cell r="C22498" t="str">
            <v>PV</v>
          </cell>
          <cell r="D22498">
            <v>1</v>
          </cell>
          <cell r="H22498" t="str">
            <v>solar PV</v>
          </cell>
        </row>
        <row r="22499">
          <cell r="C22499" t="str">
            <v>PV</v>
          </cell>
          <cell r="D22499">
            <v>1.5</v>
          </cell>
          <cell r="H22499" t="str">
            <v>solar PV</v>
          </cell>
        </row>
        <row r="22500">
          <cell r="C22500" t="str">
            <v>PV</v>
          </cell>
          <cell r="D22500">
            <v>2</v>
          </cell>
          <cell r="H22500" t="str">
            <v>solar PV</v>
          </cell>
        </row>
        <row r="22501">
          <cell r="C22501" t="str">
            <v>PV</v>
          </cell>
          <cell r="D22501">
            <v>3</v>
          </cell>
          <cell r="H22501" t="str">
            <v>solar PV</v>
          </cell>
        </row>
        <row r="22502">
          <cell r="C22502" t="str">
            <v>PV</v>
          </cell>
          <cell r="D22502">
            <v>2</v>
          </cell>
          <cell r="H22502" t="str">
            <v>solar PV</v>
          </cell>
        </row>
        <row r="22503">
          <cell r="C22503" t="str">
            <v>PV</v>
          </cell>
          <cell r="D22503">
            <v>2</v>
          </cell>
          <cell r="H22503" t="str">
            <v>solar PV</v>
          </cell>
        </row>
        <row r="22504">
          <cell r="C22504" t="str">
            <v>PV</v>
          </cell>
          <cell r="D22504">
            <v>2</v>
          </cell>
          <cell r="H22504" t="str">
            <v>solar PV</v>
          </cell>
        </row>
        <row r="22505">
          <cell r="C22505" t="str">
            <v>PV</v>
          </cell>
          <cell r="D22505">
            <v>1.4</v>
          </cell>
          <cell r="H22505" t="str">
            <v>solar PV</v>
          </cell>
        </row>
        <row r="22506">
          <cell r="C22506" t="str">
            <v>BA</v>
          </cell>
          <cell r="D22506">
            <v>1</v>
          </cell>
          <cell r="H22506" t="str">
            <v>other</v>
          </cell>
        </row>
        <row r="22507">
          <cell r="C22507" t="str">
            <v>PV</v>
          </cell>
          <cell r="D22507">
            <v>1</v>
          </cell>
          <cell r="H22507" t="str">
            <v>solar PV</v>
          </cell>
        </row>
        <row r="22508">
          <cell r="C22508" t="str">
            <v>GT</v>
          </cell>
          <cell r="D22508">
            <v>14</v>
          </cell>
          <cell r="H22508" t="str">
            <v>natural gas peaker</v>
          </cell>
        </row>
        <row r="22509">
          <cell r="C22509" t="str">
            <v>WT</v>
          </cell>
          <cell r="D22509">
            <v>8.4</v>
          </cell>
          <cell r="H22509" t="str">
            <v>onshore wind</v>
          </cell>
        </row>
        <row r="22510">
          <cell r="C22510" t="str">
            <v>WT</v>
          </cell>
          <cell r="D22510">
            <v>5.2</v>
          </cell>
          <cell r="H22510" t="str">
            <v>onshore wind</v>
          </cell>
        </row>
        <row r="22511">
          <cell r="C22511" t="str">
            <v>WT</v>
          </cell>
          <cell r="D22511">
            <v>3.9</v>
          </cell>
          <cell r="H22511" t="str">
            <v>onshore wind</v>
          </cell>
        </row>
        <row r="22512">
          <cell r="C22512" t="str">
            <v>FC</v>
          </cell>
          <cell r="D22512">
            <v>1.4</v>
          </cell>
          <cell r="H22512" t="str">
            <v>other</v>
          </cell>
        </row>
        <row r="22513">
          <cell r="C22513" t="str">
            <v>FC</v>
          </cell>
          <cell r="D22513">
            <v>2.8</v>
          </cell>
          <cell r="H22513" t="str">
            <v>other</v>
          </cell>
        </row>
        <row r="22514">
          <cell r="C22514" t="str">
            <v>PV</v>
          </cell>
          <cell r="D22514">
            <v>1.9</v>
          </cell>
          <cell r="H22514" t="str">
            <v>solar PV</v>
          </cell>
        </row>
        <row r="22515">
          <cell r="C22515" t="str">
            <v>PV</v>
          </cell>
          <cell r="D22515">
            <v>2.2000000000000002</v>
          </cell>
          <cell r="H22515" t="str">
            <v>solar PV</v>
          </cell>
        </row>
        <row r="22516">
          <cell r="C22516" t="str">
            <v>PV</v>
          </cell>
          <cell r="D22516">
            <v>5</v>
          </cell>
          <cell r="H22516" t="str">
            <v>solar PV</v>
          </cell>
        </row>
        <row r="22517">
          <cell r="C22517" t="str">
            <v>PV</v>
          </cell>
          <cell r="D22517">
            <v>4.9000000000000004</v>
          </cell>
          <cell r="H22517" t="str">
            <v>solar PV</v>
          </cell>
        </row>
        <row r="22518">
          <cell r="C22518" t="str">
            <v>PV</v>
          </cell>
          <cell r="D22518">
            <v>1</v>
          </cell>
          <cell r="H22518" t="str">
            <v>solar PV</v>
          </cell>
        </row>
        <row r="22519">
          <cell r="C22519" t="str">
            <v>PV</v>
          </cell>
          <cell r="D22519">
            <v>1</v>
          </cell>
          <cell r="H22519" t="str">
            <v>solar PV</v>
          </cell>
        </row>
        <row r="22520">
          <cell r="C22520" t="str">
            <v>PV</v>
          </cell>
          <cell r="D22520">
            <v>0.5</v>
          </cell>
          <cell r="H22520" t="str">
            <v>solar PV</v>
          </cell>
        </row>
        <row r="22521">
          <cell r="C22521" t="str">
            <v>PV</v>
          </cell>
          <cell r="D22521">
            <v>0.5</v>
          </cell>
          <cell r="H22521" t="str">
            <v>solar PV</v>
          </cell>
        </row>
        <row r="22522">
          <cell r="C22522" t="str">
            <v>IC</v>
          </cell>
          <cell r="D22522">
            <v>1.8</v>
          </cell>
          <cell r="H22522" t="str">
            <v>petroleum</v>
          </cell>
        </row>
        <row r="22523">
          <cell r="C22523" t="str">
            <v>IC</v>
          </cell>
          <cell r="D22523">
            <v>1.8</v>
          </cell>
          <cell r="H22523" t="str">
            <v>petroleum</v>
          </cell>
        </row>
        <row r="22524">
          <cell r="C22524" t="str">
            <v>PV</v>
          </cell>
          <cell r="D22524">
            <v>2.2000000000000002</v>
          </cell>
          <cell r="H22524" t="str">
            <v>solar PV</v>
          </cell>
        </row>
        <row r="22525">
          <cell r="C22525" t="str">
            <v>PV</v>
          </cell>
          <cell r="D22525">
            <v>2</v>
          </cell>
          <cell r="H22525" t="str">
            <v>solar PV</v>
          </cell>
        </row>
        <row r="22526">
          <cell r="C22526" t="str">
            <v>GT</v>
          </cell>
          <cell r="D22526">
            <v>4.0999999999999996</v>
          </cell>
          <cell r="H22526" t="str">
            <v>natural gas peaker</v>
          </cell>
        </row>
        <row r="22527">
          <cell r="C22527" t="str">
            <v>PV</v>
          </cell>
          <cell r="D22527">
            <v>1</v>
          </cell>
          <cell r="H22527" t="str">
            <v>solar PV</v>
          </cell>
        </row>
        <row r="22528">
          <cell r="C22528" t="str">
            <v>PV</v>
          </cell>
          <cell r="D22528">
            <v>1</v>
          </cell>
          <cell r="H22528" t="str">
            <v>solar PV</v>
          </cell>
        </row>
        <row r="22529">
          <cell r="C22529" t="str">
            <v>GT</v>
          </cell>
          <cell r="D22529">
            <v>5.2</v>
          </cell>
          <cell r="H22529" t="str">
            <v>natural gas peaker</v>
          </cell>
        </row>
        <row r="22530">
          <cell r="C22530" t="str">
            <v>GT</v>
          </cell>
          <cell r="D22530">
            <v>4.3</v>
          </cell>
          <cell r="H22530" t="str">
            <v>natural gas peaker</v>
          </cell>
        </row>
        <row r="22531">
          <cell r="C22531" t="str">
            <v>PV</v>
          </cell>
          <cell r="D22531">
            <v>1.7</v>
          </cell>
          <cell r="H22531" t="str">
            <v>solar PV</v>
          </cell>
        </row>
        <row r="22532">
          <cell r="C22532" t="str">
            <v>GT</v>
          </cell>
          <cell r="D22532">
            <v>2.7</v>
          </cell>
          <cell r="H22532" t="str">
            <v>natural gas peaker</v>
          </cell>
        </row>
        <row r="22533">
          <cell r="C22533" t="str">
            <v>PV</v>
          </cell>
          <cell r="D22533">
            <v>2.4</v>
          </cell>
          <cell r="H22533" t="str">
            <v>solar PV</v>
          </cell>
        </row>
        <row r="22534">
          <cell r="C22534" t="str">
            <v>PV</v>
          </cell>
          <cell r="D22534">
            <v>2</v>
          </cell>
          <cell r="H22534" t="str">
            <v>solar PV</v>
          </cell>
        </row>
        <row r="22535">
          <cell r="C22535" t="str">
            <v>PV</v>
          </cell>
          <cell r="D22535">
            <v>1.3</v>
          </cell>
          <cell r="H22535" t="str">
            <v>solar PV</v>
          </cell>
        </row>
        <row r="22536">
          <cell r="C22536" t="str">
            <v>PV</v>
          </cell>
          <cell r="D22536">
            <v>1.2</v>
          </cell>
          <cell r="H22536" t="str">
            <v>solar PV</v>
          </cell>
        </row>
        <row r="22537">
          <cell r="C22537" t="str">
            <v>GT</v>
          </cell>
          <cell r="D22537">
            <v>5.4</v>
          </cell>
          <cell r="H22537" t="str">
            <v>natural gas peaker</v>
          </cell>
        </row>
        <row r="22538">
          <cell r="C22538" t="str">
            <v>IC</v>
          </cell>
          <cell r="D22538">
            <v>2.7</v>
          </cell>
          <cell r="H22538" t="str">
            <v>natural gas peaker</v>
          </cell>
        </row>
        <row r="22539">
          <cell r="C22539" t="str">
            <v>IC</v>
          </cell>
          <cell r="D22539">
            <v>2.7</v>
          </cell>
          <cell r="H22539" t="str">
            <v>natural gas peaker</v>
          </cell>
        </row>
        <row r="22540">
          <cell r="C22540" t="str">
            <v>PV</v>
          </cell>
          <cell r="D22540">
            <v>10</v>
          </cell>
          <cell r="H22540" t="str">
            <v>solar PV</v>
          </cell>
        </row>
        <row r="22541">
          <cell r="C22541" t="str">
            <v>PV</v>
          </cell>
          <cell r="D22541">
            <v>1.1000000000000001</v>
          </cell>
          <cell r="H22541" t="str">
            <v>solar PV</v>
          </cell>
        </row>
        <row r="22542">
          <cell r="C22542" t="str">
            <v>PV</v>
          </cell>
          <cell r="D22542">
            <v>2</v>
          </cell>
          <cell r="H22542" t="str">
            <v>solar PV</v>
          </cell>
        </row>
        <row r="22543">
          <cell r="C22543" t="str">
            <v>PV</v>
          </cell>
          <cell r="D22543">
            <v>1.4</v>
          </cell>
          <cell r="H22543" t="str">
            <v>solar PV</v>
          </cell>
        </row>
        <row r="22544">
          <cell r="C22544" t="str">
            <v>PV</v>
          </cell>
          <cell r="D22544">
            <v>1.9</v>
          </cell>
          <cell r="H22544" t="str">
            <v>solar PV</v>
          </cell>
        </row>
        <row r="22545">
          <cell r="C22545" t="str">
            <v>PV</v>
          </cell>
          <cell r="D22545">
            <v>2</v>
          </cell>
          <cell r="H22545" t="str">
            <v>solar PV</v>
          </cell>
        </row>
        <row r="22546">
          <cell r="C22546" t="str">
            <v>PV</v>
          </cell>
          <cell r="D22546">
            <v>2</v>
          </cell>
          <cell r="H22546" t="str">
            <v>solar PV</v>
          </cell>
        </row>
        <row r="22547">
          <cell r="C22547" t="str">
            <v>PV</v>
          </cell>
          <cell r="D22547">
            <v>2</v>
          </cell>
          <cell r="H22547" t="str">
            <v>solar PV</v>
          </cell>
        </row>
        <row r="22548">
          <cell r="C22548" t="str">
            <v>PV</v>
          </cell>
          <cell r="D22548">
            <v>2</v>
          </cell>
          <cell r="H22548" t="str">
            <v>solar PV</v>
          </cell>
        </row>
        <row r="22549">
          <cell r="C22549" t="str">
            <v>PV</v>
          </cell>
          <cell r="D22549">
            <v>1</v>
          </cell>
          <cell r="H22549" t="str">
            <v>solar PV</v>
          </cell>
        </row>
        <row r="22550">
          <cell r="C22550" t="str">
            <v>PV</v>
          </cell>
          <cell r="D22550">
            <v>1.3</v>
          </cell>
          <cell r="H22550" t="str">
            <v>solar PV</v>
          </cell>
        </row>
        <row r="22551">
          <cell r="C22551" t="str">
            <v>PV</v>
          </cell>
          <cell r="D22551">
            <v>1.2</v>
          </cell>
          <cell r="H22551" t="str">
            <v>solar PV</v>
          </cell>
        </row>
        <row r="22552">
          <cell r="C22552" t="str">
            <v>PV</v>
          </cell>
          <cell r="D22552">
            <v>1</v>
          </cell>
          <cell r="H22552" t="str">
            <v>solar PV</v>
          </cell>
        </row>
        <row r="22553">
          <cell r="C22553" t="str">
            <v>IC</v>
          </cell>
          <cell r="D22553">
            <v>0.5</v>
          </cell>
          <cell r="H22553" t="str">
            <v>petroleum</v>
          </cell>
        </row>
        <row r="22554">
          <cell r="C22554" t="str">
            <v>IC</v>
          </cell>
          <cell r="D22554">
            <v>0.5</v>
          </cell>
          <cell r="H22554" t="str">
            <v>petroleum</v>
          </cell>
        </row>
        <row r="22555">
          <cell r="C22555" t="str">
            <v>IC</v>
          </cell>
          <cell r="D22555">
            <v>0.5</v>
          </cell>
          <cell r="H22555" t="str">
            <v>petroleum</v>
          </cell>
        </row>
        <row r="22556">
          <cell r="C22556" t="str">
            <v>IC</v>
          </cell>
          <cell r="D22556">
            <v>3</v>
          </cell>
          <cell r="H22556" t="str">
            <v>natural gas peaker</v>
          </cell>
        </row>
        <row r="22557">
          <cell r="C22557" t="str">
            <v>IC</v>
          </cell>
          <cell r="D22557">
            <v>3</v>
          </cell>
          <cell r="H22557" t="str">
            <v>natural gas peaker</v>
          </cell>
        </row>
        <row r="22558">
          <cell r="C22558" t="str">
            <v>PV</v>
          </cell>
          <cell r="D22558">
            <v>1</v>
          </cell>
          <cell r="H22558" t="str">
            <v>solar PV</v>
          </cell>
        </row>
        <row r="22559">
          <cell r="C22559" t="str">
            <v>PV</v>
          </cell>
          <cell r="D22559">
            <v>1</v>
          </cell>
          <cell r="H22559" t="str">
            <v>solar PV</v>
          </cell>
        </row>
        <row r="22560">
          <cell r="C22560" t="str">
            <v>IC</v>
          </cell>
          <cell r="D22560">
            <v>0.4</v>
          </cell>
          <cell r="H22560" t="str">
            <v>petroleum</v>
          </cell>
        </row>
        <row r="22561">
          <cell r="C22561" t="str">
            <v>IC</v>
          </cell>
          <cell r="D22561">
            <v>0.6</v>
          </cell>
          <cell r="H22561" t="str">
            <v>petroleum</v>
          </cell>
        </row>
        <row r="22562">
          <cell r="C22562" t="str">
            <v>IC</v>
          </cell>
          <cell r="D22562">
            <v>0.3</v>
          </cell>
          <cell r="H22562" t="str">
            <v>petroleum</v>
          </cell>
        </row>
        <row r="22563">
          <cell r="C22563" t="str">
            <v>IC</v>
          </cell>
          <cell r="D22563">
            <v>0.1</v>
          </cell>
          <cell r="H22563" t="str">
            <v>petroleum</v>
          </cell>
        </row>
        <row r="22564">
          <cell r="C22564" t="str">
            <v>IC</v>
          </cell>
          <cell r="D22564">
            <v>0.1</v>
          </cell>
          <cell r="H22564" t="str">
            <v>petroleum</v>
          </cell>
        </row>
        <row r="22565">
          <cell r="C22565" t="str">
            <v>IC</v>
          </cell>
          <cell r="D22565">
            <v>1.5</v>
          </cell>
          <cell r="H22565" t="str">
            <v>petroleum</v>
          </cell>
        </row>
        <row r="22566">
          <cell r="C22566" t="str">
            <v>IC</v>
          </cell>
          <cell r="D22566">
            <v>0.2</v>
          </cell>
          <cell r="H22566" t="str">
            <v>petroleum</v>
          </cell>
        </row>
        <row r="22567">
          <cell r="C22567" t="str">
            <v>IC</v>
          </cell>
          <cell r="D22567">
            <v>0.3</v>
          </cell>
          <cell r="H22567" t="str">
            <v>petroleum</v>
          </cell>
        </row>
        <row r="22568">
          <cell r="C22568" t="str">
            <v>IC</v>
          </cell>
          <cell r="D22568">
            <v>0.3</v>
          </cell>
          <cell r="H22568" t="str">
            <v>petroleum</v>
          </cell>
        </row>
        <row r="22569">
          <cell r="C22569" t="str">
            <v>IC</v>
          </cell>
          <cell r="D22569">
            <v>0.1</v>
          </cell>
          <cell r="H22569" t="str">
            <v>petroleum</v>
          </cell>
        </row>
        <row r="22570">
          <cell r="C22570" t="str">
            <v>IC</v>
          </cell>
          <cell r="D22570">
            <v>0.4</v>
          </cell>
          <cell r="H22570" t="str">
            <v>petroleum</v>
          </cell>
        </row>
        <row r="22571">
          <cell r="C22571" t="str">
            <v>IC</v>
          </cell>
          <cell r="D22571">
            <v>0.6</v>
          </cell>
          <cell r="H22571" t="str">
            <v>petroleum</v>
          </cell>
        </row>
        <row r="22572">
          <cell r="C22572" t="str">
            <v>IC</v>
          </cell>
          <cell r="D22572">
            <v>0.4</v>
          </cell>
          <cell r="H22572" t="str">
            <v>petroleum</v>
          </cell>
        </row>
        <row r="22573">
          <cell r="C22573" t="str">
            <v>IC</v>
          </cell>
          <cell r="D22573">
            <v>0.2</v>
          </cell>
          <cell r="H22573" t="str">
            <v>petroleum</v>
          </cell>
        </row>
        <row r="22574">
          <cell r="C22574" t="str">
            <v>IC</v>
          </cell>
          <cell r="D22574">
            <v>0.3</v>
          </cell>
          <cell r="H22574" t="str">
            <v>petroleum</v>
          </cell>
        </row>
        <row r="22575">
          <cell r="C22575" t="str">
            <v>IC</v>
          </cell>
          <cell r="D22575">
            <v>0.8</v>
          </cell>
          <cell r="H22575" t="str">
            <v>petroleum</v>
          </cell>
        </row>
        <row r="22576">
          <cell r="C22576" t="str">
            <v>IC</v>
          </cell>
          <cell r="D22576">
            <v>0.6</v>
          </cell>
          <cell r="H22576" t="str">
            <v>petroleum</v>
          </cell>
        </row>
        <row r="22577">
          <cell r="C22577" t="str">
            <v>IC</v>
          </cell>
          <cell r="D22577">
            <v>0.2</v>
          </cell>
          <cell r="H22577" t="str">
            <v>petroleum</v>
          </cell>
        </row>
        <row r="22578">
          <cell r="C22578" t="str">
            <v>IC</v>
          </cell>
          <cell r="D22578">
            <v>0.6</v>
          </cell>
          <cell r="H22578" t="str">
            <v>petroleum</v>
          </cell>
        </row>
        <row r="22579">
          <cell r="C22579" t="str">
            <v>IC</v>
          </cell>
          <cell r="D22579">
            <v>0.8</v>
          </cell>
          <cell r="H22579" t="str">
            <v>petroleum</v>
          </cell>
        </row>
        <row r="22580">
          <cell r="C22580" t="str">
            <v>PV</v>
          </cell>
          <cell r="D22580">
            <v>10</v>
          </cell>
          <cell r="H22580" t="str">
            <v>solar PV</v>
          </cell>
        </row>
        <row r="22581">
          <cell r="C22581" t="str">
            <v>PV</v>
          </cell>
          <cell r="D22581">
            <v>1</v>
          </cell>
          <cell r="H22581" t="str">
            <v>solar PV</v>
          </cell>
        </row>
        <row r="22582">
          <cell r="C22582" t="str">
            <v>PV</v>
          </cell>
          <cell r="D22582">
            <v>2.9</v>
          </cell>
          <cell r="H22582" t="str">
            <v>solar PV</v>
          </cell>
        </row>
        <row r="22583">
          <cell r="C22583" t="str">
            <v>PV</v>
          </cell>
          <cell r="D22583">
            <v>1</v>
          </cell>
          <cell r="H22583" t="str">
            <v>solar PV</v>
          </cell>
        </row>
        <row r="22584">
          <cell r="C22584" t="str">
            <v>PV</v>
          </cell>
          <cell r="D22584">
            <v>1</v>
          </cell>
          <cell r="H22584" t="str">
            <v>solar PV</v>
          </cell>
        </row>
        <row r="22585">
          <cell r="C22585" t="str">
            <v>PV</v>
          </cell>
          <cell r="D22585">
            <v>1</v>
          </cell>
          <cell r="H22585" t="str">
            <v>solar PV</v>
          </cell>
        </row>
        <row r="22586">
          <cell r="C22586" t="str">
            <v>PV</v>
          </cell>
          <cell r="D22586">
            <v>2</v>
          </cell>
          <cell r="H22586" t="str">
            <v>solar PV</v>
          </cell>
        </row>
        <row r="22587">
          <cell r="C22587" t="str">
            <v>PV</v>
          </cell>
          <cell r="D22587">
            <v>2</v>
          </cell>
          <cell r="H22587" t="str">
            <v>solar PV</v>
          </cell>
        </row>
        <row r="22588">
          <cell r="C22588" t="str">
            <v>PV</v>
          </cell>
          <cell r="D22588">
            <v>1</v>
          </cell>
          <cell r="H22588" t="str">
            <v>solar PV</v>
          </cell>
        </row>
        <row r="22589">
          <cell r="C22589" t="str">
            <v>PV</v>
          </cell>
          <cell r="D22589">
            <v>1</v>
          </cell>
          <cell r="H22589" t="str">
            <v>solar PV</v>
          </cell>
        </row>
        <row r="22590">
          <cell r="C22590" t="str">
            <v>PV</v>
          </cell>
          <cell r="D22590">
            <v>1</v>
          </cell>
          <cell r="H22590" t="str">
            <v>solar PV</v>
          </cell>
        </row>
        <row r="22591">
          <cell r="C22591" t="str">
            <v>PV</v>
          </cell>
          <cell r="D22591">
            <v>1</v>
          </cell>
          <cell r="H22591" t="str">
            <v>solar PV</v>
          </cell>
        </row>
        <row r="22592">
          <cell r="C22592" t="str">
            <v>PV</v>
          </cell>
          <cell r="D22592">
            <v>1</v>
          </cell>
          <cell r="H22592" t="str">
            <v>solar PV</v>
          </cell>
        </row>
        <row r="22593">
          <cell r="C22593" t="str">
            <v>PV</v>
          </cell>
          <cell r="D22593">
            <v>1</v>
          </cell>
          <cell r="H22593" t="str">
            <v>solar PV</v>
          </cell>
        </row>
        <row r="22594">
          <cell r="C22594" t="str">
            <v>PV</v>
          </cell>
          <cell r="D22594">
            <v>1</v>
          </cell>
          <cell r="H22594" t="str">
            <v>solar PV</v>
          </cell>
        </row>
        <row r="22595">
          <cell r="C22595" t="str">
            <v>IC</v>
          </cell>
          <cell r="D22595">
            <v>1</v>
          </cell>
          <cell r="H22595" t="str">
            <v>petroleum</v>
          </cell>
        </row>
        <row r="22596">
          <cell r="C22596" t="str">
            <v>PV</v>
          </cell>
          <cell r="D22596">
            <v>50</v>
          </cell>
          <cell r="H22596" t="str">
            <v>solar PV</v>
          </cell>
        </row>
        <row r="22597">
          <cell r="C22597" t="str">
            <v>IC</v>
          </cell>
          <cell r="D22597">
            <v>0.2</v>
          </cell>
          <cell r="H22597" t="str">
            <v>petroleum</v>
          </cell>
        </row>
        <row r="22598">
          <cell r="C22598" t="str">
            <v>IC</v>
          </cell>
          <cell r="D22598">
            <v>0.3</v>
          </cell>
          <cell r="H22598" t="str">
            <v>petroleum</v>
          </cell>
        </row>
        <row r="22599">
          <cell r="C22599" t="str">
            <v>IC</v>
          </cell>
          <cell r="D22599">
            <v>0.5</v>
          </cell>
          <cell r="H22599" t="str">
            <v>petroleum</v>
          </cell>
        </row>
        <row r="22600">
          <cell r="C22600" t="str">
            <v>IC</v>
          </cell>
          <cell r="D22600">
            <v>0.4</v>
          </cell>
          <cell r="H22600" t="str">
            <v>petroleum</v>
          </cell>
        </row>
        <row r="22601">
          <cell r="C22601" t="str">
            <v>IC</v>
          </cell>
          <cell r="D22601">
            <v>0.8</v>
          </cell>
          <cell r="H22601" t="str">
            <v>petroleum</v>
          </cell>
        </row>
        <row r="22602">
          <cell r="C22602" t="str">
            <v>IC</v>
          </cell>
          <cell r="D22602">
            <v>0.3</v>
          </cell>
          <cell r="H22602" t="str">
            <v>petroleum</v>
          </cell>
        </row>
        <row r="22603">
          <cell r="C22603" t="str">
            <v>PV</v>
          </cell>
          <cell r="D22603">
            <v>1</v>
          </cell>
          <cell r="H22603" t="str">
            <v>solar PV</v>
          </cell>
        </row>
        <row r="22604">
          <cell r="C22604" t="str">
            <v>PV</v>
          </cell>
          <cell r="D22604">
            <v>1.1000000000000001</v>
          </cell>
          <cell r="H22604" t="str">
            <v>solar PV</v>
          </cell>
        </row>
        <row r="22605">
          <cell r="C22605" t="str">
            <v>PV</v>
          </cell>
          <cell r="D22605">
            <v>2</v>
          </cell>
          <cell r="H22605" t="str">
            <v>solar PV</v>
          </cell>
        </row>
        <row r="22606">
          <cell r="C22606" t="str">
            <v>PV</v>
          </cell>
          <cell r="D22606">
            <v>1</v>
          </cell>
          <cell r="H22606" t="str">
            <v>solar PV</v>
          </cell>
        </row>
        <row r="22607">
          <cell r="C22607" t="str">
            <v>IC</v>
          </cell>
          <cell r="D22607">
            <v>0.2</v>
          </cell>
          <cell r="H22607" t="str">
            <v>petroleum</v>
          </cell>
        </row>
        <row r="22608">
          <cell r="C22608" t="str">
            <v>IC</v>
          </cell>
          <cell r="D22608">
            <v>0.3</v>
          </cell>
          <cell r="H22608" t="str">
            <v>petroleum</v>
          </cell>
        </row>
        <row r="22609">
          <cell r="C22609" t="str">
            <v>IC</v>
          </cell>
          <cell r="D22609">
            <v>0.3</v>
          </cell>
          <cell r="H22609" t="str">
            <v>petroleum</v>
          </cell>
        </row>
        <row r="22610">
          <cell r="C22610" t="str">
            <v>IC</v>
          </cell>
          <cell r="D22610">
            <v>0.2</v>
          </cell>
          <cell r="H22610" t="str">
            <v>petroleum</v>
          </cell>
        </row>
        <row r="22611">
          <cell r="C22611" t="str">
            <v>FC</v>
          </cell>
          <cell r="D22611">
            <v>3.5</v>
          </cell>
          <cell r="H22611" t="str">
            <v>other</v>
          </cell>
        </row>
        <row r="22612">
          <cell r="C22612" t="str">
            <v>FC</v>
          </cell>
          <cell r="D22612">
            <v>1</v>
          </cell>
          <cell r="H22612" t="str">
            <v>other</v>
          </cell>
        </row>
        <row r="22613">
          <cell r="C22613" t="str">
            <v>FC</v>
          </cell>
          <cell r="D22613">
            <v>2</v>
          </cell>
          <cell r="H22613" t="str">
            <v>other</v>
          </cell>
        </row>
        <row r="22614">
          <cell r="C22614" t="str">
            <v>FC</v>
          </cell>
          <cell r="D22614">
            <v>1</v>
          </cell>
          <cell r="H22614" t="str">
            <v>other</v>
          </cell>
        </row>
        <row r="22615">
          <cell r="C22615" t="str">
            <v>FC</v>
          </cell>
          <cell r="D22615">
            <v>1.2</v>
          </cell>
          <cell r="H22615" t="str">
            <v>other</v>
          </cell>
        </row>
        <row r="22616">
          <cell r="C22616" t="str">
            <v>BA</v>
          </cell>
          <cell r="D22616">
            <v>1.5</v>
          </cell>
          <cell r="H22616" t="str">
            <v>other</v>
          </cell>
        </row>
        <row r="22617">
          <cell r="C22617" t="str">
            <v>BA</v>
          </cell>
          <cell r="D22617">
            <v>1.2</v>
          </cell>
          <cell r="H22617" t="str">
            <v>other</v>
          </cell>
        </row>
        <row r="22618">
          <cell r="C22618" t="str">
            <v>BA</v>
          </cell>
          <cell r="D22618">
            <v>2.5</v>
          </cell>
          <cell r="H22618" t="str">
            <v>other</v>
          </cell>
        </row>
        <row r="22619">
          <cell r="C22619" t="str">
            <v>BA</v>
          </cell>
          <cell r="D22619">
            <v>1</v>
          </cell>
          <cell r="H22619" t="str">
            <v>other</v>
          </cell>
        </row>
        <row r="22620">
          <cell r="C22620" t="str">
            <v>BA</v>
          </cell>
          <cell r="D22620">
            <v>2</v>
          </cell>
          <cell r="H22620" t="str">
            <v>other</v>
          </cell>
        </row>
        <row r="22621">
          <cell r="C22621" t="str">
            <v>BA</v>
          </cell>
          <cell r="D22621">
            <v>1</v>
          </cell>
          <cell r="H22621" t="str">
            <v>other</v>
          </cell>
        </row>
        <row r="22622">
          <cell r="C22622" t="str">
            <v>BA</v>
          </cell>
          <cell r="D22622">
            <v>1.5</v>
          </cell>
          <cell r="H22622" t="str">
            <v>other</v>
          </cell>
        </row>
        <row r="22623">
          <cell r="C22623" t="str">
            <v>BA</v>
          </cell>
          <cell r="D22623">
            <v>4.9000000000000004</v>
          </cell>
          <cell r="H22623" t="str">
            <v>other</v>
          </cell>
        </row>
        <row r="22624">
          <cell r="C22624" t="str">
            <v>BA</v>
          </cell>
          <cell r="D22624">
            <v>1.3</v>
          </cell>
          <cell r="H22624" t="str">
            <v>other</v>
          </cell>
        </row>
        <row r="22625">
          <cell r="C22625" t="str">
            <v>IC</v>
          </cell>
          <cell r="D22625">
            <v>0.8</v>
          </cell>
          <cell r="H22625" t="str">
            <v>petroleum</v>
          </cell>
        </row>
        <row r="22626">
          <cell r="C22626" t="str">
            <v>IC</v>
          </cell>
          <cell r="D22626">
            <v>0.8</v>
          </cell>
          <cell r="H22626" t="str">
            <v>petroleum</v>
          </cell>
        </row>
        <row r="22627">
          <cell r="C22627" t="str">
            <v>PV</v>
          </cell>
          <cell r="D22627">
            <v>2.2000000000000002</v>
          </cell>
          <cell r="H22627" t="str">
            <v>solar PV</v>
          </cell>
        </row>
        <row r="22628">
          <cell r="C22628" t="str">
            <v>GT</v>
          </cell>
          <cell r="D22628">
            <v>33</v>
          </cell>
          <cell r="H22628" t="str">
            <v>natural gas peaker</v>
          </cell>
        </row>
        <row r="22629">
          <cell r="C22629" t="str">
            <v>GT</v>
          </cell>
          <cell r="D22629">
            <v>31</v>
          </cell>
          <cell r="H22629" t="str">
            <v>natural gas peaker</v>
          </cell>
        </row>
        <row r="22630">
          <cell r="C22630" t="str">
            <v>PV</v>
          </cell>
          <cell r="D22630">
            <v>1.1000000000000001</v>
          </cell>
          <cell r="H22630" t="str">
            <v>solar PV</v>
          </cell>
        </row>
        <row r="22631">
          <cell r="C22631" t="str">
            <v>GT</v>
          </cell>
          <cell r="D22631">
            <v>26</v>
          </cell>
          <cell r="H22631" t="str">
            <v>natural gas peaker</v>
          </cell>
        </row>
        <row r="22632">
          <cell r="C22632" t="str">
            <v>GT</v>
          </cell>
          <cell r="D22632">
            <v>26</v>
          </cell>
          <cell r="H22632" t="str">
            <v>natural gas peaker</v>
          </cell>
        </row>
        <row r="22633">
          <cell r="C22633" t="str">
            <v>FC</v>
          </cell>
          <cell r="D22633">
            <v>2</v>
          </cell>
          <cell r="H22633" t="str">
            <v>other</v>
          </cell>
        </row>
        <row r="22634">
          <cell r="C22634" t="str">
            <v>FC</v>
          </cell>
          <cell r="D22634">
            <v>2.6</v>
          </cell>
          <cell r="H22634" t="str">
            <v>other</v>
          </cell>
        </row>
        <row r="22635">
          <cell r="C22635" t="str">
            <v>IC</v>
          </cell>
          <cell r="D22635">
            <v>0.8</v>
          </cell>
          <cell r="H22635" t="str">
            <v>petroleum</v>
          </cell>
        </row>
        <row r="22636">
          <cell r="C22636" t="str">
            <v>IC</v>
          </cell>
          <cell r="D22636">
            <v>0.8</v>
          </cell>
          <cell r="H22636" t="str">
            <v>petroleum</v>
          </cell>
        </row>
        <row r="22637">
          <cell r="C22637" t="str">
            <v>IC</v>
          </cell>
          <cell r="D22637">
            <v>0.8</v>
          </cell>
          <cell r="H22637" t="str">
            <v>petroleum</v>
          </cell>
        </row>
        <row r="22638">
          <cell r="C22638" t="str">
            <v>IC</v>
          </cell>
          <cell r="D22638">
            <v>0.8</v>
          </cell>
          <cell r="H22638" t="str">
            <v>petroleum</v>
          </cell>
        </row>
        <row r="22639">
          <cell r="C22639" t="str">
            <v>IC</v>
          </cell>
          <cell r="D22639">
            <v>0.6</v>
          </cell>
          <cell r="H22639" t="str">
            <v>petroleum</v>
          </cell>
        </row>
        <row r="22640">
          <cell r="C22640" t="str">
            <v>IC</v>
          </cell>
          <cell r="D22640">
            <v>0.7</v>
          </cell>
          <cell r="H22640" t="str">
            <v>petroleum</v>
          </cell>
        </row>
        <row r="22641">
          <cell r="C22641" t="str">
            <v>IC</v>
          </cell>
          <cell r="D22641">
            <v>0.6</v>
          </cell>
          <cell r="H22641" t="str">
            <v>petroleum</v>
          </cell>
        </row>
        <row r="22642">
          <cell r="C22642" t="str">
            <v>IC</v>
          </cell>
          <cell r="D22642">
            <v>0.3</v>
          </cell>
          <cell r="H22642" t="str">
            <v>petroleum</v>
          </cell>
        </row>
        <row r="22643">
          <cell r="C22643" t="str">
            <v>IC</v>
          </cell>
          <cell r="D22643">
            <v>0.8</v>
          </cell>
          <cell r="H22643" t="str">
            <v>petroleum</v>
          </cell>
        </row>
        <row r="22644">
          <cell r="C22644" t="str">
            <v>IC</v>
          </cell>
          <cell r="D22644">
            <v>1</v>
          </cell>
          <cell r="H22644" t="str">
            <v>petroleum</v>
          </cell>
        </row>
        <row r="22645">
          <cell r="C22645" t="str">
            <v>IC</v>
          </cell>
          <cell r="D22645">
            <v>1</v>
          </cell>
          <cell r="H22645" t="str">
            <v>petroleum</v>
          </cell>
        </row>
        <row r="22646">
          <cell r="C22646" t="str">
            <v>IC</v>
          </cell>
          <cell r="D22646">
            <v>1</v>
          </cell>
          <cell r="H22646" t="str">
            <v>petroleum</v>
          </cell>
        </row>
        <row r="22647">
          <cell r="C22647" t="str">
            <v>IC</v>
          </cell>
          <cell r="D22647">
            <v>0.1</v>
          </cell>
          <cell r="H22647" t="str">
            <v>petroleum</v>
          </cell>
        </row>
        <row r="22648">
          <cell r="C22648" t="str">
            <v>IC</v>
          </cell>
          <cell r="D22648">
            <v>1</v>
          </cell>
          <cell r="H22648" t="str">
            <v>petroleum</v>
          </cell>
        </row>
        <row r="22649">
          <cell r="C22649" t="str">
            <v>IC</v>
          </cell>
          <cell r="D22649">
            <v>1</v>
          </cell>
          <cell r="H22649" t="str">
            <v>petroleum</v>
          </cell>
        </row>
        <row r="22650">
          <cell r="C22650" t="str">
            <v>IC</v>
          </cell>
          <cell r="D22650">
            <v>1.2</v>
          </cell>
          <cell r="H22650" t="str">
            <v>petroleum</v>
          </cell>
        </row>
        <row r="22651">
          <cell r="C22651" t="str">
            <v>IC</v>
          </cell>
          <cell r="D22651">
            <v>1.2</v>
          </cell>
          <cell r="H22651" t="str">
            <v>petroleum</v>
          </cell>
        </row>
        <row r="22652">
          <cell r="C22652" t="str">
            <v>IC</v>
          </cell>
          <cell r="D22652">
            <v>1.2</v>
          </cell>
          <cell r="H22652" t="str">
            <v>petroleum</v>
          </cell>
        </row>
        <row r="22653">
          <cell r="C22653" t="str">
            <v>IC</v>
          </cell>
          <cell r="D22653">
            <v>0.9</v>
          </cell>
          <cell r="H22653" t="str">
            <v>petroleum</v>
          </cell>
        </row>
        <row r="22654">
          <cell r="C22654" t="str">
            <v>IC</v>
          </cell>
          <cell r="D22654">
            <v>0.3</v>
          </cell>
          <cell r="H22654" t="str">
            <v>petroleum</v>
          </cell>
        </row>
        <row r="22655">
          <cell r="C22655" t="str">
            <v>IC</v>
          </cell>
          <cell r="D22655">
            <v>0.9</v>
          </cell>
          <cell r="H22655" t="str">
            <v>petroleum</v>
          </cell>
        </row>
        <row r="22656">
          <cell r="C22656" t="str">
            <v>IC</v>
          </cell>
          <cell r="D22656">
            <v>0.2</v>
          </cell>
          <cell r="H22656" t="str">
            <v>petroleum</v>
          </cell>
        </row>
        <row r="22657">
          <cell r="C22657" t="str">
            <v>IC</v>
          </cell>
          <cell r="D22657">
            <v>1</v>
          </cell>
          <cell r="H22657" t="str">
            <v>petroleum</v>
          </cell>
        </row>
        <row r="22658">
          <cell r="C22658" t="str">
            <v>IC</v>
          </cell>
          <cell r="D22658">
            <v>0.5</v>
          </cell>
          <cell r="H22658" t="str">
            <v>petroleum</v>
          </cell>
        </row>
        <row r="22659">
          <cell r="C22659" t="str">
            <v>FC</v>
          </cell>
          <cell r="D22659">
            <v>1.8</v>
          </cell>
          <cell r="H22659" t="str">
            <v>other</v>
          </cell>
        </row>
        <row r="22660">
          <cell r="C22660" t="str">
            <v>FC</v>
          </cell>
          <cell r="D22660">
            <v>1.1000000000000001</v>
          </cell>
          <cell r="H22660" t="str">
            <v>other</v>
          </cell>
        </row>
        <row r="22661">
          <cell r="C22661" t="str">
            <v>FC</v>
          </cell>
          <cell r="D22661">
            <v>1</v>
          </cell>
          <cell r="H22661" t="str">
            <v>other</v>
          </cell>
        </row>
        <row r="22662">
          <cell r="C22662" t="str">
            <v>PV</v>
          </cell>
          <cell r="D22662">
            <v>4</v>
          </cell>
          <cell r="H22662" t="str">
            <v>solar PV</v>
          </cell>
        </row>
        <row r="22663">
          <cell r="C22663" t="str">
            <v>PV</v>
          </cell>
          <cell r="D22663">
            <v>2</v>
          </cell>
          <cell r="H22663" t="str">
            <v>solar PV</v>
          </cell>
        </row>
        <row r="22664">
          <cell r="C22664" t="str">
            <v>PV</v>
          </cell>
          <cell r="D22664">
            <v>1.8</v>
          </cell>
          <cell r="H22664" t="str">
            <v>solar PV</v>
          </cell>
        </row>
        <row r="22665">
          <cell r="C22665" t="str">
            <v>IC</v>
          </cell>
          <cell r="D22665">
            <v>0.6</v>
          </cell>
          <cell r="H22665" t="str">
            <v>petroleum</v>
          </cell>
        </row>
        <row r="22666">
          <cell r="C22666" t="str">
            <v>IC</v>
          </cell>
          <cell r="D22666">
            <v>0.5</v>
          </cell>
          <cell r="H22666" t="str">
            <v>petroleum</v>
          </cell>
        </row>
        <row r="22667">
          <cell r="C22667" t="str">
            <v>PV</v>
          </cell>
          <cell r="D22667">
            <v>24</v>
          </cell>
          <cell r="H22667" t="str">
            <v>solar PV</v>
          </cell>
        </row>
        <row r="22668">
          <cell r="C22668" t="str">
            <v>IC</v>
          </cell>
          <cell r="D22668">
            <v>1.5</v>
          </cell>
          <cell r="H22668" t="str">
            <v>petroleum</v>
          </cell>
        </row>
        <row r="22669">
          <cell r="C22669" t="str">
            <v>IC</v>
          </cell>
          <cell r="D22669">
            <v>1</v>
          </cell>
          <cell r="H22669" t="str">
            <v>petroleum</v>
          </cell>
        </row>
        <row r="22670">
          <cell r="C22670" t="str">
            <v>IC</v>
          </cell>
          <cell r="D22670">
            <v>1</v>
          </cell>
          <cell r="H22670" t="str">
            <v>petroleum</v>
          </cell>
        </row>
        <row r="22671">
          <cell r="C22671" t="str">
            <v>IC</v>
          </cell>
          <cell r="D22671">
            <v>1</v>
          </cell>
          <cell r="H22671" t="str">
            <v>petroleum</v>
          </cell>
        </row>
        <row r="22672">
          <cell r="C22672" t="str">
            <v>IC</v>
          </cell>
          <cell r="D22672">
            <v>1</v>
          </cell>
          <cell r="H22672" t="str">
            <v>petroleum</v>
          </cell>
        </row>
        <row r="22673">
          <cell r="C22673" t="str">
            <v>IC</v>
          </cell>
          <cell r="D22673">
            <v>0.4</v>
          </cell>
          <cell r="H22673" t="str">
            <v>petroleum</v>
          </cell>
        </row>
        <row r="22674">
          <cell r="C22674" t="str">
            <v>PV</v>
          </cell>
          <cell r="D22674">
            <v>2.7</v>
          </cell>
          <cell r="H22674" t="str">
            <v>solar PV</v>
          </cell>
        </row>
        <row r="22675">
          <cell r="C22675" t="str">
            <v>GT</v>
          </cell>
          <cell r="D22675">
            <v>1.2</v>
          </cell>
          <cell r="H22675" t="str">
            <v>natural gas peaker</v>
          </cell>
        </row>
        <row r="22676">
          <cell r="C22676" t="str">
            <v>IC</v>
          </cell>
          <cell r="D22676">
            <v>2.6</v>
          </cell>
          <cell r="H22676" t="str">
            <v>natural gas peaker</v>
          </cell>
        </row>
        <row r="22677">
          <cell r="C22677" t="str">
            <v>PV</v>
          </cell>
          <cell r="D22677">
            <v>0.9</v>
          </cell>
          <cell r="H22677" t="str">
            <v>solar PV</v>
          </cell>
        </row>
        <row r="22678">
          <cell r="C22678" t="str">
            <v>PV</v>
          </cell>
          <cell r="D22678">
            <v>3.5</v>
          </cell>
          <cell r="H22678" t="str">
            <v>solar PV</v>
          </cell>
        </row>
        <row r="22679">
          <cell r="C22679" t="str">
            <v>PV</v>
          </cell>
          <cell r="D22679">
            <v>1</v>
          </cell>
          <cell r="H22679" t="str">
            <v>solar PV</v>
          </cell>
        </row>
        <row r="22680">
          <cell r="C22680" t="str">
            <v>FC</v>
          </cell>
          <cell r="D22680">
            <v>1.2</v>
          </cell>
          <cell r="H22680" t="str">
            <v>other</v>
          </cell>
        </row>
        <row r="22681">
          <cell r="C22681" t="str">
            <v>FC</v>
          </cell>
          <cell r="D22681">
            <v>1</v>
          </cell>
          <cell r="H22681" t="str">
            <v>other</v>
          </cell>
        </row>
        <row r="22682">
          <cell r="C22682" t="str">
            <v>FC</v>
          </cell>
          <cell r="D22682">
            <v>1.3</v>
          </cell>
          <cell r="H22682" t="str">
            <v>other</v>
          </cell>
        </row>
        <row r="22683">
          <cell r="C22683" t="str">
            <v>FC</v>
          </cell>
          <cell r="D22683">
            <v>0.9</v>
          </cell>
          <cell r="H22683" t="str">
            <v>other</v>
          </cell>
        </row>
        <row r="22684">
          <cell r="C22684" t="str">
            <v>FC</v>
          </cell>
          <cell r="D22684">
            <v>0.3</v>
          </cell>
          <cell r="H22684" t="str">
            <v>other</v>
          </cell>
        </row>
        <row r="22685">
          <cell r="C22685" t="str">
            <v>FC</v>
          </cell>
          <cell r="D22685">
            <v>1.5</v>
          </cell>
          <cell r="H22685" t="str">
            <v>other</v>
          </cell>
        </row>
        <row r="22686">
          <cell r="C22686" t="str">
            <v>FC</v>
          </cell>
          <cell r="D22686">
            <v>2</v>
          </cell>
          <cell r="H22686" t="str">
            <v>other</v>
          </cell>
        </row>
        <row r="22687">
          <cell r="C22687" t="str">
            <v>FC</v>
          </cell>
          <cell r="D22687">
            <v>1.2</v>
          </cell>
          <cell r="H22687" t="str">
            <v>other</v>
          </cell>
        </row>
        <row r="22688">
          <cell r="C22688" t="str">
            <v>FC</v>
          </cell>
          <cell r="D22688">
            <v>1.2</v>
          </cell>
          <cell r="H22688" t="str">
            <v>other</v>
          </cell>
        </row>
        <row r="22689">
          <cell r="C22689" t="str">
            <v>FC</v>
          </cell>
          <cell r="D22689">
            <v>2</v>
          </cell>
          <cell r="H22689" t="str">
            <v>other</v>
          </cell>
        </row>
        <row r="22690">
          <cell r="C22690" t="str">
            <v>FC</v>
          </cell>
          <cell r="D22690">
            <v>1.4</v>
          </cell>
          <cell r="H22690" t="str">
            <v>other</v>
          </cell>
        </row>
        <row r="22691">
          <cell r="C22691" t="str">
            <v>FC</v>
          </cell>
          <cell r="D22691">
            <v>1.8</v>
          </cell>
          <cell r="H22691" t="str">
            <v>other</v>
          </cell>
        </row>
        <row r="22692">
          <cell r="C22692" t="str">
            <v>FC</v>
          </cell>
          <cell r="D22692">
            <v>2.5</v>
          </cell>
          <cell r="H22692" t="str">
            <v>other</v>
          </cell>
        </row>
        <row r="22693">
          <cell r="C22693" t="str">
            <v>FC</v>
          </cell>
          <cell r="D22693">
            <v>2</v>
          </cell>
          <cell r="H22693" t="str">
            <v>other</v>
          </cell>
        </row>
        <row r="22694">
          <cell r="C22694" t="str">
            <v>FC</v>
          </cell>
          <cell r="D22694">
            <v>2</v>
          </cell>
          <cell r="H22694" t="str">
            <v>other</v>
          </cell>
        </row>
        <row r="22695">
          <cell r="C22695" t="str">
            <v>IC</v>
          </cell>
          <cell r="D22695">
            <v>0.8</v>
          </cell>
          <cell r="H22695" t="str">
            <v>biomass</v>
          </cell>
        </row>
        <row r="22696">
          <cell r="C22696" t="str">
            <v>IC</v>
          </cell>
          <cell r="D22696">
            <v>1.6</v>
          </cell>
          <cell r="H22696" t="str">
            <v>biomass</v>
          </cell>
        </row>
        <row r="22697">
          <cell r="C22697" t="str">
            <v>IC</v>
          </cell>
          <cell r="D22697">
            <v>1.6</v>
          </cell>
          <cell r="H22697" t="str">
            <v>biomass</v>
          </cell>
        </row>
        <row r="22698">
          <cell r="C22698" t="str">
            <v>FC</v>
          </cell>
          <cell r="D22698">
            <v>1.1000000000000001</v>
          </cell>
          <cell r="H22698" t="str">
            <v>other</v>
          </cell>
        </row>
        <row r="22699">
          <cell r="C22699" t="str">
            <v>FC</v>
          </cell>
          <cell r="D22699">
            <v>2</v>
          </cell>
          <cell r="H22699" t="str">
            <v>other</v>
          </cell>
        </row>
        <row r="22700">
          <cell r="C22700" t="str">
            <v>FC</v>
          </cell>
          <cell r="D22700">
            <v>1.3</v>
          </cell>
          <cell r="H22700" t="str">
            <v>other</v>
          </cell>
        </row>
        <row r="22701">
          <cell r="C22701" t="str">
            <v>FC</v>
          </cell>
          <cell r="D22701">
            <v>1.3</v>
          </cell>
          <cell r="H22701" t="str">
            <v>other</v>
          </cell>
        </row>
        <row r="22702">
          <cell r="C22702" t="str">
            <v>FC</v>
          </cell>
          <cell r="D22702">
            <v>2.5</v>
          </cell>
          <cell r="H22702" t="str">
            <v>other</v>
          </cell>
        </row>
        <row r="22703">
          <cell r="C22703" t="str">
            <v>FC</v>
          </cell>
          <cell r="D22703">
            <v>1.5</v>
          </cell>
          <cell r="H22703" t="str">
            <v>other</v>
          </cell>
        </row>
        <row r="22704">
          <cell r="C22704" t="str">
            <v>FC</v>
          </cell>
          <cell r="D22704">
            <v>1.6</v>
          </cell>
          <cell r="H22704" t="str">
            <v>other</v>
          </cell>
        </row>
        <row r="22705">
          <cell r="C22705" t="str">
            <v>FC</v>
          </cell>
          <cell r="D22705">
            <v>1</v>
          </cell>
          <cell r="H22705" t="str">
            <v>other</v>
          </cell>
        </row>
        <row r="22706">
          <cell r="C22706" t="str">
            <v>FC</v>
          </cell>
          <cell r="D22706">
            <v>1.5</v>
          </cell>
          <cell r="H22706" t="str">
            <v>other</v>
          </cell>
        </row>
        <row r="22707">
          <cell r="C22707" t="str">
            <v>FC</v>
          </cell>
          <cell r="D22707">
            <v>0.5</v>
          </cell>
          <cell r="H22707" t="str">
            <v>other</v>
          </cell>
        </row>
        <row r="22708">
          <cell r="C22708" t="str">
            <v>PV</v>
          </cell>
          <cell r="D22708">
            <v>1.9</v>
          </cell>
          <cell r="H22708" t="str">
            <v>solar PV</v>
          </cell>
        </row>
        <row r="22709">
          <cell r="C22709" t="str">
            <v>PV</v>
          </cell>
          <cell r="D22709">
            <v>2</v>
          </cell>
          <cell r="H22709" t="str">
            <v>solar PV</v>
          </cell>
        </row>
        <row r="22710">
          <cell r="C22710" t="str">
            <v>PV</v>
          </cell>
          <cell r="D22710">
            <v>2</v>
          </cell>
          <cell r="H22710" t="str">
            <v>solar PV</v>
          </cell>
        </row>
        <row r="22711">
          <cell r="C22711" t="str">
            <v>PV</v>
          </cell>
          <cell r="D22711">
            <v>2</v>
          </cell>
          <cell r="H22711" t="str">
            <v>solar PV</v>
          </cell>
        </row>
        <row r="22712">
          <cell r="C22712" t="str">
            <v>IC</v>
          </cell>
          <cell r="D22712">
            <v>1.3</v>
          </cell>
          <cell r="H22712" t="str">
            <v>biomass</v>
          </cell>
        </row>
        <row r="22713">
          <cell r="C22713" t="str">
            <v>IC</v>
          </cell>
          <cell r="D22713">
            <v>1.3</v>
          </cell>
          <cell r="H22713" t="str">
            <v>biomass</v>
          </cell>
        </row>
        <row r="22714">
          <cell r="C22714" t="str">
            <v>PV</v>
          </cell>
          <cell r="D22714">
            <v>1.1000000000000001</v>
          </cell>
          <cell r="H22714" t="str">
            <v>solar PV</v>
          </cell>
        </row>
        <row r="22715">
          <cell r="C22715" t="str">
            <v>PV</v>
          </cell>
          <cell r="D22715">
            <v>2</v>
          </cell>
          <cell r="H22715" t="str">
            <v>solar PV</v>
          </cell>
        </row>
        <row r="22716">
          <cell r="C22716" t="str">
            <v>PV</v>
          </cell>
          <cell r="D22716">
            <v>1.6</v>
          </cell>
          <cell r="H22716" t="str">
            <v>solar PV</v>
          </cell>
        </row>
        <row r="22717">
          <cell r="C22717" t="str">
            <v>ST</v>
          </cell>
          <cell r="D22717">
            <v>0.9</v>
          </cell>
          <cell r="H22717" t="str">
            <v>natural gas peaker</v>
          </cell>
        </row>
        <row r="22718">
          <cell r="C22718" t="str">
            <v>ST</v>
          </cell>
          <cell r="D22718">
            <v>3.9</v>
          </cell>
          <cell r="H22718" t="str">
            <v>natural gas peaker</v>
          </cell>
        </row>
        <row r="22719">
          <cell r="C22719" t="str">
            <v>ST</v>
          </cell>
          <cell r="D22719">
            <v>3.9</v>
          </cell>
          <cell r="H22719" t="str">
            <v>natural gas peaker</v>
          </cell>
        </row>
        <row r="22720">
          <cell r="C22720" t="str">
            <v>ST</v>
          </cell>
          <cell r="D22720">
            <v>3.8</v>
          </cell>
          <cell r="H22720" t="str">
            <v>natural gas peaker</v>
          </cell>
        </row>
        <row r="22721">
          <cell r="C22721" t="str">
            <v>ST</v>
          </cell>
          <cell r="D22721">
            <v>4</v>
          </cell>
          <cell r="H22721" t="str">
            <v>natural gas peaker</v>
          </cell>
        </row>
        <row r="22722">
          <cell r="C22722" t="str">
            <v>PV</v>
          </cell>
          <cell r="D22722">
            <v>5</v>
          </cell>
          <cell r="H22722" t="str">
            <v>solar PV</v>
          </cell>
        </row>
        <row r="22723">
          <cell r="C22723" t="str">
            <v>ST</v>
          </cell>
          <cell r="D22723">
            <v>3.9</v>
          </cell>
          <cell r="H22723" t="str">
            <v>natural gas peaker</v>
          </cell>
        </row>
        <row r="22724">
          <cell r="C22724" t="str">
            <v>ST</v>
          </cell>
          <cell r="D22724">
            <v>5.4</v>
          </cell>
          <cell r="H22724" t="str">
            <v>biomass</v>
          </cell>
        </row>
        <row r="22725">
          <cell r="C22725" t="str">
            <v>PV</v>
          </cell>
          <cell r="D22725">
            <v>8.1</v>
          </cell>
          <cell r="H22725" t="str">
            <v>solar PV</v>
          </cell>
        </row>
        <row r="22726">
          <cell r="C22726" t="str">
            <v>ST</v>
          </cell>
          <cell r="D22726">
            <v>3.6</v>
          </cell>
          <cell r="H22726" t="str">
            <v>natural gas peaker</v>
          </cell>
        </row>
        <row r="22727">
          <cell r="C22727" t="str">
            <v>ST</v>
          </cell>
          <cell r="D22727">
            <v>5</v>
          </cell>
          <cell r="H22727" t="str">
            <v>natural gas peaker</v>
          </cell>
        </row>
        <row r="22728">
          <cell r="C22728" t="str">
            <v>ST</v>
          </cell>
          <cell r="D22728">
            <v>3.5</v>
          </cell>
          <cell r="H22728" t="str">
            <v>natural gas peaker</v>
          </cell>
        </row>
        <row r="22729">
          <cell r="C22729" t="str">
            <v>ST</v>
          </cell>
          <cell r="D22729">
            <v>3.5</v>
          </cell>
          <cell r="H22729" t="str">
            <v>natural gas peaker</v>
          </cell>
        </row>
        <row r="22730">
          <cell r="C22730" t="str">
            <v>ST</v>
          </cell>
          <cell r="D22730">
            <v>5</v>
          </cell>
          <cell r="H22730" t="str">
            <v>natural gas peaker</v>
          </cell>
        </row>
        <row r="22731">
          <cell r="C22731" t="str">
            <v>ST</v>
          </cell>
          <cell r="D22731">
            <v>3.6</v>
          </cell>
          <cell r="H22731" t="str">
            <v>natural gas peaker</v>
          </cell>
        </row>
        <row r="22732">
          <cell r="C22732" t="str">
            <v>ST</v>
          </cell>
          <cell r="D22732">
            <v>3.5</v>
          </cell>
          <cell r="H22732" t="str">
            <v>natural gas peaker</v>
          </cell>
        </row>
        <row r="22733">
          <cell r="C22733" t="str">
            <v>PV</v>
          </cell>
          <cell r="D22733">
            <v>1.4</v>
          </cell>
          <cell r="H22733" t="str">
            <v>solar PV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CA6D-8D7F-4548-9CBC-F87556949926}">
  <dimension ref="A1:G38"/>
  <sheetViews>
    <sheetView tabSelected="1" workbookViewId="0">
      <selection activeCell="G34" sqref="G34"/>
    </sheetView>
  </sheetViews>
  <sheetFormatPr defaultColWidth="11.7109375" defaultRowHeight="14.25"/>
  <cols>
    <col min="1" max="1" width="13.85546875" style="84" customWidth="1"/>
    <col min="2" max="3" width="14.42578125" style="84" customWidth="1"/>
    <col min="4" max="4" width="11.5703125" style="84" customWidth="1"/>
    <col min="5" max="5" width="14.5703125" style="84" customWidth="1"/>
    <col min="6" max="6" width="14.42578125" style="84" customWidth="1"/>
    <col min="7" max="7" width="11.42578125" style="84" customWidth="1"/>
    <col min="8" max="16384" width="11.7109375" style="84"/>
  </cols>
  <sheetData>
    <row r="1" spans="1:7" ht="208.9" customHeight="1">
      <c r="A1" s="93" t="s">
        <v>168</v>
      </c>
      <c r="B1" s="94"/>
      <c r="C1" s="94"/>
      <c r="D1" s="94"/>
      <c r="E1" s="94"/>
      <c r="F1" s="94"/>
      <c r="G1" s="94"/>
    </row>
    <row r="2" spans="1:7" ht="208.9" customHeight="1">
      <c r="A2" s="93" t="s">
        <v>169</v>
      </c>
      <c r="B2" s="94" t="s">
        <v>169</v>
      </c>
      <c r="C2" s="94" t="s">
        <v>169</v>
      </c>
      <c r="D2" s="94" t="s">
        <v>169</v>
      </c>
      <c r="E2" s="94" t="s">
        <v>169</v>
      </c>
      <c r="F2" s="94" t="s">
        <v>169</v>
      </c>
      <c r="G2" s="94" t="s">
        <v>169</v>
      </c>
    </row>
    <row r="3" spans="1:7" ht="30.95" customHeight="1">
      <c r="A3" s="95"/>
      <c r="B3" s="96" t="s">
        <v>170</v>
      </c>
      <c r="C3" s="95"/>
      <c r="D3" s="95"/>
      <c r="E3" s="97" t="s">
        <v>171</v>
      </c>
      <c r="F3" s="98"/>
      <c r="G3" s="98"/>
    </row>
    <row r="4" spans="1:7" ht="63" customHeight="1">
      <c r="A4" s="95"/>
      <c r="B4" s="86" t="s">
        <v>172</v>
      </c>
      <c r="C4" s="86" t="s">
        <v>173</v>
      </c>
      <c r="D4" s="86" t="s">
        <v>174</v>
      </c>
      <c r="E4" s="87" t="s">
        <v>172</v>
      </c>
      <c r="F4" s="87" t="s">
        <v>173</v>
      </c>
      <c r="G4" s="87" t="s">
        <v>174</v>
      </c>
    </row>
    <row r="5" spans="1:7" ht="17.25" customHeight="1">
      <c r="A5" s="86" t="s">
        <v>175</v>
      </c>
      <c r="B5" s="89">
        <v>4000</v>
      </c>
      <c r="C5" s="89">
        <v>2500</v>
      </c>
      <c r="D5" s="85"/>
      <c r="E5" s="90">
        <v>8000</v>
      </c>
      <c r="F5" s="90">
        <v>3000</v>
      </c>
      <c r="G5" s="88"/>
    </row>
    <row r="6" spans="1:7" ht="17.25" customHeight="1">
      <c r="A6" s="86" t="s">
        <v>176</v>
      </c>
      <c r="B6" s="89">
        <v>4000</v>
      </c>
      <c r="C6" s="89">
        <v>2500</v>
      </c>
      <c r="D6" s="89">
        <v>10</v>
      </c>
      <c r="E6" s="90">
        <v>5000</v>
      </c>
      <c r="F6" s="90">
        <v>4600</v>
      </c>
      <c r="G6" s="90">
        <v>10</v>
      </c>
    </row>
    <row r="7" spans="1:7" ht="17.25" customHeight="1">
      <c r="A7" s="86" t="s">
        <v>177</v>
      </c>
      <c r="B7" s="89">
        <v>7000</v>
      </c>
      <c r="C7" s="89">
        <v>11000</v>
      </c>
      <c r="D7" s="89">
        <v>10</v>
      </c>
      <c r="E7" s="90">
        <v>9800</v>
      </c>
      <c r="F7" s="90">
        <v>13600</v>
      </c>
      <c r="G7" s="91">
        <v>10.4</v>
      </c>
    </row>
    <row r="8" spans="1:7" ht="17.25" customHeight="1">
      <c r="A8" s="86" t="s">
        <v>178</v>
      </c>
      <c r="B8" s="89">
        <v>500</v>
      </c>
      <c r="C8" s="89">
        <v>5500</v>
      </c>
      <c r="D8" s="85"/>
      <c r="E8" s="90">
        <v>1000</v>
      </c>
      <c r="F8" s="90">
        <v>5700</v>
      </c>
      <c r="G8" s="88"/>
    </row>
    <row r="9" spans="1:7" ht="17.25" customHeight="1">
      <c r="A9" s="86" t="s">
        <v>179</v>
      </c>
      <c r="B9" s="89">
        <v>450</v>
      </c>
      <c r="C9" s="89">
        <v>1850</v>
      </c>
      <c r="D9" s="85"/>
      <c r="E9" s="90">
        <v>950</v>
      </c>
      <c r="F9" s="90">
        <v>1950</v>
      </c>
      <c r="G9" s="88"/>
    </row>
    <row r="10" spans="1:7" ht="17.25" customHeight="1">
      <c r="A10" s="86" t="s">
        <v>180</v>
      </c>
      <c r="B10" s="89">
        <v>5000</v>
      </c>
      <c r="C10" s="89">
        <v>5000</v>
      </c>
      <c r="D10" s="89">
        <v>10</v>
      </c>
      <c r="E10" s="90">
        <v>8000</v>
      </c>
      <c r="F10" s="90">
        <v>6000</v>
      </c>
      <c r="G10" s="90">
        <v>10</v>
      </c>
    </row>
    <row r="11" spans="1:7" ht="17.25" customHeight="1">
      <c r="A11" s="86" t="s">
        <v>181</v>
      </c>
      <c r="B11" s="89">
        <v>5700</v>
      </c>
      <c r="C11" s="89">
        <v>2500</v>
      </c>
      <c r="D11" s="85"/>
      <c r="E11" s="90">
        <v>8600</v>
      </c>
      <c r="F11" s="90">
        <v>3100</v>
      </c>
      <c r="G11" s="88"/>
    </row>
    <row r="12" spans="1:7" ht="17.25" customHeight="1">
      <c r="A12" s="86" t="s">
        <v>182</v>
      </c>
      <c r="B12" s="89">
        <v>500</v>
      </c>
      <c r="C12" s="89">
        <v>4500</v>
      </c>
      <c r="D12" s="89">
        <v>10</v>
      </c>
      <c r="E12" s="90">
        <v>1500</v>
      </c>
      <c r="F12" s="90">
        <v>6000</v>
      </c>
      <c r="G12" s="90">
        <v>10</v>
      </c>
    </row>
    <row r="13" spans="1:7" ht="17.25" customHeight="1">
      <c r="A13" s="86" t="s">
        <v>183</v>
      </c>
      <c r="B13" s="89">
        <v>500</v>
      </c>
      <c r="C13" s="89">
        <v>100</v>
      </c>
      <c r="D13" s="85"/>
      <c r="E13" s="90">
        <v>900</v>
      </c>
      <c r="F13" s="90">
        <v>100</v>
      </c>
      <c r="G13" s="88"/>
    </row>
    <row r="14" spans="1:7" ht="17.25" customHeight="1">
      <c r="A14" s="86" t="s">
        <v>184</v>
      </c>
      <c r="B14" s="89">
        <v>500</v>
      </c>
      <c r="C14" s="85"/>
      <c r="D14" s="85"/>
      <c r="E14" s="90">
        <v>750</v>
      </c>
      <c r="F14" s="88"/>
      <c r="G14" s="88"/>
    </row>
    <row r="15" spans="1:7" ht="17.25" customHeight="1">
      <c r="A15" s="86" t="s">
        <v>185</v>
      </c>
      <c r="B15" s="85"/>
      <c r="C15" s="89">
        <v>200</v>
      </c>
      <c r="D15" s="89">
        <v>30</v>
      </c>
      <c r="E15" s="88"/>
      <c r="F15" s="90">
        <v>250</v>
      </c>
      <c r="G15" s="90">
        <v>30</v>
      </c>
    </row>
    <row r="16" spans="1:7" ht="17.25" customHeight="1">
      <c r="A16" s="86" t="s">
        <v>186</v>
      </c>
      <c r="B16" s="89">
        <v>500</v>
      </c>
      <c r="C16" s="89">
        <v>250</v>
      </c>
      <c r="D16" s="89">
        <v>5</v>
      </c>
      <c r="E16" s="90">
        <v>800</v>
      </c>
      <c r="F16" s="90">
        <v>350</v>
      </c>
      <c r="G16" s="90">
        <v>5</v>
      </c>
    </row>
    <row r="17" spans="1:7" ht="17.25" customHeight="1">
      <c r="A17" s="86" t="s">
        <v>187</v>
      </c>
      <c r="B17" s="89">
        <v>3000</v>
      </c>
      <c r="C17" s="85"/>
      <c r="D17" s="89">
        <v>15</v>
      </c>
      <c r="E17" s="90">
        <v>4000</v>
      </c>
      <c r="F17" s="88"/>
      <c r="G17" s="90">
        <v>15</v>
      </c>
    </row>
    <row r="18" spans="1:7" ht="17.25" customHeight="1">
      <c r="A18" s="86" t="s">
        <v>188</v>
      </c>
      <c r="B18" s="89">
        <v>3700</v>
      </c>
      <c r="C18" s="85"/>
      <c r="D18" s="85"/>
      <c r="E18" s="90">
        <v>4400</v>
      </c>
      <c r="F18" s="88"/>
      <c r="G18" s="88"/>
    </row>
    <row r="19" spans="1:7" ht="30.95" customHeight="1">
      <c r="A19" s="95"/>
      <c r="B19" s="99" t="s">
        <v>189</v>
      </c>
      <c r="C19" s="95"/>
      <c r="D19" s="95"/>
      <c r="E19" s="100" t="s">
        <v>190</v>
      </c>
      <c r="F19" s="98"/>
      <c r="G19" s="98"/>
    </row>
    <row r="20" spans="1:7" ht="62.85" customHeight="1">
      <c r="A20" s="95"/>
      <c r="B20" s="86" t="s">
        <v>172</v>
      </c>
      <c r="C20" s="86" t="s">
        <v>173</v>
      </c>
      <c r="D20" s="86" t="s">
        <v>174</v>
      </c>
      <c r="E20" s="87" t="s">
        <v>172</v>
      </c>
      <c r="F20" s="87" t="s">
        <v>173</v>
      </c>
      <c r="G20" s="87" t="s">
        <v>174</v>
      </c>
    </row>
    <row r="21" spans="1:7" ht="17.25" customHeight="1">
      <c r="A21" s="86" t="s">
        <v>191</v>
      </c>
      <c r="B21" s="89">
        <v>6200</v>
      </c>
      <c r="C21" s="85"/>
      <c r="D21" s="85"/>
      <c r="E21" s="90">
        <v>7400</v>
      </c>
      <c r="F21" s="88"/>
      <c r="G21" s="88"/>
    </row>
    <row r="22" spans="1:7" ht="17.25" customHeight="1">
      <c r="A22" s="86" t="s">
        <v>192</v>
      </c>
      <c r="B22" s="89">
        <v>4000</v>
      </c>
      <c r="C22" s="85"/>
      <c r="D22" s="85"/>
      <c r="E22" s="90">
        <v>4200</v>
      </c>
      <c r="F22" s="88"/>
      <c r="G22" s="88"/>
    </row>
    <row r="23" spans="1:7" ht="17.25" customHeight="1">
      <c r="A23" s="86" t="s">
        <v>193</v>
      </c>
      <c r="B23" s="89">
        <v>3000</v>
      </c>
      <c r="C23" s="85"/>
      <c r="D23" s="85"/>
      <c r="E23" s="90">
        <v>3600</v>
      </c>
      <c r="F23" s="88"/>
      <c r="G23" s="88"/>
    </row>
    <row r="24" spans="1:7" ht="17.25" customHeight="1">
      <c r="A24" s="86" t="s">
        <v>194</v>
      </c>
      <c r="B24" s="89">
        <v>3000</v>
      </c>
      <c r="C24" s="85"/>
      <c r="D24" s="85"/>
      <c r="E24" s="90">
        <v>4800</v>
      </c>
      <c r="F24" s="90">
        <v>50</v>
      </c>
      <c r="G24" s="88"/>
    </row>
    <row r="25" spans="1:7" ht="17.25" customHeight="1">
      <c r="A25" s="86" t="s">
        <v>195</v>
      </c>
      <c r="B25" s="89">
        <v>6000</v>
      </c>
      <c r="C25" s="89">
        <v>200</v>
      </c>
      <c r="D25" s="89">
        <v>20</v>
      </c>
      <c r="E25" s="90">
        <v>8500</v>
      </c>
      <c r="F25" s="90">
        <v>250</v>
      </c>
      <c r="G25" s="90">
        <v>20</v>
      </c>
    </row>
    <row r="26" spans="1:7" ht="17.25" customHeight="1">
      <c r="A26" s="86" t="s">
        <v>196</v>
      </c>
      <c r="B26" s="89">
        <v>2700</v>
      </c>
      <c r="C26" s="85"/>
      <c r="D26" s="85"/>
      <c r="E26" s="90">
        <v>3700</v>
      </c>
      <c r="F26" s="88"/>
      <c r="G26" s="88"/>
    </row>
    <row r="27" spans="1:7" ht="17.25" customHeight="1">
      <c r="A27" s="86" t="s">
        <v>197</v>
      </c>
      <c r="B27" s="89">
        <v>3000</v>
      </c>
      <c r="C27" s="85"/>
      <c r="D27" s="85"/>
      <c r="E27" s="90">
        <v>5200</v>
      </c>
      <c r="F27" s="88"/>
      <c r="G27" s="88"/>
    </row>
    <row r="28" spans="1:7" ht="17.25" customHeight="1">
      <c r="A28" s="86" t="s">
        <v>198</v>
      </c>
      <c r="B28" s="89">
        <v>1000</v>
      </c>
      <c r="C28" s="89">
        <v>1000</v>
      </c>
      <c r="D28" s="85"/>
      <c r="E28" s="90">
        <v>8000</v>
      </c>
      <c r="F28" s="90">
        <v>1200</v>
      </c>
      <c r="G28" s="88"/>
    </row>
    <row r="29" spans="1:7" ht="17.25" customHeight="1">
      <c r="A29" s="86" t="s">
        <v>199</v>
      </c>
      <c r="B29" s="89">
        <v>1000</v>
      </c>
      <c r="C29" s="89">
        <v>1000</v>
      </c>
      <c r="D29" s="85"/>
      <c r="E29" s="90">
        <v>1200</v>
      </c>
      <c r="F29" s="90">
        <v>1500</v>
      </c>
      <c r="G29" s="88"/>
    </row>
    <row r="30" spans="1:7" ht="17.25" customHeight="1">
      <c r="A30" s="86" t="s">
        <v>200</v>
      </c>
      <c r="B30" s="89">
        <v>1000</v>
      </c>
      <c r="C30" s="89">
        <v>1600</v>
      </c>
      <c r="D30" s="85"/>
      <c r="E30" s="90">
        <v>1300</v>
      </c>
      <c r="F30" s="90">
        <v>2250</v>
      </c>
      <c r="G30" s="88"/>
    </row>
    <row r="31" spans="1:7" ht="17.25" customHeight="1">
      <c r="A31" s="86" t="s">
        <v>201</v>
      </c>
      <c r="B31" s="89">
        <v>2000</v>
      </c>
      <c r="C31" s="85"/>
      <c r="D31" s="89">
        <v>10</v>
      </c>
      <c r="E31" s="90">
        <v>2500</v>
      </c>
      <c r="F31" s="88"/>
      <c r="G31" s="91">
        <v>10.3</v>
      </c>
    </row>
    <row r="32" spans="1:7" ht="17.25" customHeight="1">
      <c r="A32" s="86" t="s">
        <v>202</v>
      </c>
      <c r="B32" s="89">
        <v>400</v>
      </c>
      <c r="C32" s="85"/>
      <c r="D32" s="89">
        <v>10</v>
      </c>
      <c r="E32" s="90">
        <v>500</v>
      </c>
      <c r="F32" s="88"/>
      <c r="G32" s="90">
        <v>10</v>
      </c>
    </row>
    <row r="33" spans="1:7" ht="17.25" customHeight="1">
      <c r="A33" s="86" t="s">
        <v>203</v>
      </c>
      <c r="B33" s="89">
        <v>500</v>
      </c>
      <c r="C33" s="85"/>
      <c r="D33" s="89">
        <v>10</v>
      </c>
      <c r="E33" s="90">
        <v>600</v>
      </c>
      <c r="F33" s="88"/>
      <c r="G33" s="90">
        <v>10</v>
      </c>
    </row>
    <row r="34" spans="1:7" ht="17.25" customHeight="1">
      <c r="A34" s="86" t="s">
        <v>204</v>
      </c>
      <c r="B34" s="89">
        <v>100</v>
      </c>
      <c r="C34" s="85"/>
      <c r="D34" s="89">
        <v>10</v>
      </c>
      <c r="E34" s="90">
        <v>250</v>
      </c>
      <c r="F34" s="88"/>
      <c r="G34" s="90">
        <v>10</v>
      </c>
    </row>
    <row r="35" spans="1:7" ht="17.25" customHeight="1">
      <c r="A35" s="86" t="s">
        <v>205</v>
      </c>
      <c r="B35" s="89">
        <v>2000</v>
      </c>
      <c r="C35" s="89">
        <v>50</v>
      </c>
      <c r="D35" s="85"/>
      <c r="E35" s="90">
        <v>2800</v>
      </c>
      <c r="F35" s="90">
        <v>60</v>
      </c>
      <c r="G35" s="88"/>
    </row>
    <row r="36" spans="1:7" ht="17.25" customHeight="1">
      <c r="A36" s="86" t="s">
        <v>206</v>
      </c>
      <c r="B36" s="89">
        <v>1400</v>
      </c>
      <c r="C36" s="85"/>
      <c r="D36" s="85"/>
      <c r="E36" s="90">
        <v>3600</v>
      </c>
      <c r="F36" s="88"/>
      <c r="G36" s="88"/>
    </row>
    <row r="37" spans="1:7" ht="17.25" customHeight="1">
      <c r="A37" s="86" t="s">
        <v>207</v>
      </c>
      <c r="B37" s="89">
        <v>0</v>
      </c>
      <c r="C37" s="89">
        <v>250</v>
      </c>
      <c r="D37" s="89">
        <v>350</v>
      </c>
      <c r="E37" s="88"/>
      <c r="F37" s="90">
        <v>250</v>
      </c>
      <c r="G37" s="92">
        <v>376.58</v>
      </c>
    </row>
    <row r="38" spans="1:7" ht="17.25" customHeight="1">
      <c r="A38" s="86" t="s">
        <v>208</v>
      </c>
      <c r="B38" s="89">
        <v>72650</v>
      </c>
      <c r="C38" s="89">
        <v>40000</v>
      </c>
      <c r="D38" s="89">
        <v>500</v>
      </c>
      <c r="E38" s="90">
        <v>111850</v>
      </c>
      <c r="F38" s="90">
        <v>50210</v>
      </c>
      <c r="G38" s="92">
        <v>527.28</v>
      </c>
    </row>
  </sheetData>
  <mergeCells count="7">
    <mergeCell ref="A1:G2"/>
    <mergeCell ref="A3:A4"/>
    <mergeCell ref="B3:D3"/>
    <mergeCell ref="E3:G3"/>
    <mergeCell ref="A19:A20"/>
    <mergeCell ref="B19:D19"/>
    <mergeCell ref="E19:G19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3D49-7BE6-476D-89A4-2E59D0FAC6AF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FD95-19AE-4E9F-B615-DEC360D33DE1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C917-37A4-43F1-962C-00A769D62BAF}">
  <dimension ref="A1:Z38"/>
  <sheetViews>
    <sheetView zoomScaleNormal="100" workbookViewId="0">
      <selection activeCell="K44" sqref="K44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CB57-925E-430F-879D-AD031A454383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56E6-5301-4FFC-880B-06F02DA8E524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6BD2-72B8-4136-9F09-E60C1149B26A}">
  <dimension ref="A1:Z38"/>
  <sheetViews>
    <sheetView zoomScaleNormal="100" workbookViewId="0">
      <selection activeCell="H20" sqref="H20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15A3-AFF1-42FB-9783-10DBD5F2E435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A27D-B0E3-4A07-8F6D-409B6305F0B5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E2C0-9B43-42DB-8611-6E55EBE294E7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4" t="s">
        <v>5</v>
      </c>
      <c r="B5" s="1"/>
      <c r="C5" s="1"/>
      <c r="D5" s="1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6"/>
      <c r="V5" s="1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2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6"/>
      <c r="V6" s="1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2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6"/>
      <c r="V7" s="1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6"/>
      <c r="V8" s="1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2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6"/>
      <c r="V9" s="1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2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6"/>
      <c r="V10" s="1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2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6"/>
      <c r="V11" s="1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2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6"/>
      <c r="V12" s="1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2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6"/>
      <c r="V13" s="1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2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6"/>
      <c r="V14" s="1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2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1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2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6"/>
      <c r="V16" s="1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2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6"/>
      <c r="V17" s="1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2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6"/>
      <c r="V18" s="1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6"/>
      <c r="V19" s="1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1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2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6"/>
      <c r="V21" s="1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2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6"/>
      <c r="V22" s="1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2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6"/>
      <c r="V23" s="1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2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6"/>
      <c r="V24" s="1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2" t="s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6"/>
      <c r="V25" s="1"/>
      <c r="X25" s="5">
        <f t="shared" si="0"/>
        <v>0</v>
      </c>
      <c r="Y25">
        <f t="shared" si="1"/>
        <v>0</v>
      </c>
      <c r="Z25">
        <f t="shared" si="2"/>
        <v>0</v>
      </c>
    </row>
    <row r="26" spans="1:26" ht="12.75" customHeight="1">
      <c r="A26" s="2" t="s">
        <v>23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6"/>
      <c r="V26" s="1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2" t="s">
        <v>24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6"/>
      <c r="V27" s="1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6"/>
      <c r="V28" s="1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2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6"/>
      <c r="V29" s="1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6"/>
      <c r="V30" s="1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2" t="s">
        <v>28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6"/>
      <c r="V31" s="1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2" t="s">
        <v>29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6"/>
      <c r="V32" s="1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2" t="s">
        <v>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6"/>
      <c r="V33" s="1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6"/>
      <c r="V34" s="1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2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6"/>
      <c r="V35" s="1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6"/>
      <c r="V36" s="1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C6AD-EB81-4E8D-87B4-9272B4EDFE40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4" t="s">
        <v>5</v>
      </c>
      <c r="B5" s="1"/>
      <c r="C5" s="1"/>
      <c r="D5" s="1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6"/>
      <c r="V5" s="1"/>
      <c r="X5" s="5">
        <f t="shared" ref="X5:X36" si="0">B5-C5-E5-S5-T5-U5-V5</f>
        <v>0</v>
      </c>
      <c r="Y5">
        <f>E5-F5-I5-L5-M5</f>
        <v>0</v>
      </c>
      <c r="Z5">
        <f>M5-SUM(N5:R5)</f>
        <v>0</v>
      </c>
    </row>
    <row r="6" spans="1:26" ht="12.75" customHeight="1">
      <c r="A6" s="2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6"/>
      <c r="V6" s="1"/>
      <c r="X6" s="5">
        <f t="shared" si="0"/>
        <v>0</v>
      </c>
      <c r="Y6">
        <f t="shared" ref="Y6:Y36" si="1">E6-F6-I6-L6-M6</f>
        <v>0</v>
      </c>
      <c r="Z6">
        <f t="shared" ref="Z6:Z36" si="2">M6-SUM(N6:R6)</f>
        <v>0</v>
      </c>
    </row>
    <row r="7" spans="1:26" ht="12.75" customHeight="1">
      <c r="A7" s="2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6"/>
      <c r="V7" s="1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6"/>
      <c r="V8" s="1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2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6"/>
      <c r="V9" s="1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2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6"/>
      <c r="V10" s="1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2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6"/>
      <c r="V11" s="1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2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6"/>
      <c r="V12" s="1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2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6"/>
      <c r="V13" s="1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2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6"/>
      <c r="V14" s="1"/>
      <c r="X14" s="5">
        <f t="shared" si="0"/>
        <v>0</v>
      </c>
      <c r="Y14">
        <f t="shared" si="1"/>
        <v>0</v>
      </c>
      <c r="Z14">
        <f t="shared" si="2"/>
        <v>0</v>
      </c>
    </row>
    <row r="15" spans="1:26" ht="12.75" customHeight="1">
      <c r="A15" s="2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V15" s="1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2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6"/>
      <c r="V16" s="1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2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6"/>
      <c r="V17" s="1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2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6"/>
      <c r="V18" s="1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6"/>
      <c r="V19" s="1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"/>
      <c r="V20" s="1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2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6"/>
      <c r="V21" s="1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2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6"/>
      <c r="V22" s="1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2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6"/>
      <c r="V23" s="1"/>
      <c r="X23" s="5">
        <f t="shared" si="0"/>
        <v>0</v>
      </c>
      <c r="Y23">
        <f t="shared" si="1"/>
        <v>0</v>
      </c>
      <c r="Z23">
        <f t="shared" si="2"/>
        <v>0</v>
      </c>
    </row>
    <row r="24" spans="1:26" ht="12.75" customHeight="1">
      <c r="A24" s="2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6"/>
      <c r="V24" s="1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2" t="s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6"/>
      <c r="V25" s="1"/>
      <c r="X25" s="5">
        <f t="shared" si="0"/>
        <v>0</v>
      </c>
      <c r="Y25">
        <f t="shared" si="1"/>
        <v>0</v>
      </c>
      <c r="Z25">
        <f t="shared" si="2"/>
        <v>0</v>
      </c>
    </row>
    <row r="26" spans="1:26" ht="12.75" customHeight="1">
      <c r="A26" s="2" t="s">
        <v>23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6"/>
      <c r="V26" s="1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2" t="s">
        <v>24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6"/>
      <c r="V27" s="1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6"/>
      <c r="V28" s="1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2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6"/>
      <c r="V29" s="1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6"/>
      <c r="V30" s="1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2" t="s">
        <v>28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6"/>
      <c r="V31" s="1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2" t="s">
        <v>29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6"/>
      <c r="V32" s="1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2" t="s">
        <v>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6"/>
      <c r="V33" s="1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6"/>
      <c r="V34" s="1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2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6"/>
      <c r="V35" s="1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6"/>
      <c r="V36" s="1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E2:R2"/>
    <mergeCell ref="D3:D4"/>
    <mergeCell ref="E3:E4"/>
    <mergeCell ref="F3:H3"/>
    <mergeCell ref="I3:K3"/>
    <mergeCell ref="L3:L4"/>
    <mergeCell ref="M3:R3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9478-0FC5-451E-BCD2-6639BD399DC2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4" t="s">
        <v>5</v>
      </c>
      <c r="B5" s="1"/>
      <c r="C5" s="1"/>
      <c r="D5" s="1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2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2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2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2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2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2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2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2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X14" s="5">
        <f t="shared" si="0"/>
        <v>0</v>
      </c>
      <c r="Y14">
        <f t="shared" si="1"/>
        <v>0</v>
      </c>
      <c r="Z14">
        <f t="shared" si="2"/>
        <v>0</v>
      </c>
    </row>
    <row r="15" spans="1:26" ht="12.75" customHeight="1">
      <c r="A15" s="2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2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2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2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2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2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2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2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2" t="s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X25" s="5">
        <f t="shared" si="0"/>
        <v>0</v>
      </c>
      <c r="Y25">
        <f t="shared" si="1"/>
        <v>0</v>
      </c>
      <c r="Z25">
        <f t="shared" si="2"/>
        <v>0</v>
      </c>
    </row>
    <row r="26" spans="1:26" ht="12.75" customHeight="1">
      <c r="A26" s="2" t="s">
        <v>23</v>
      </c>
      <c r="B26" s="1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2" t="s">
        <v>24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2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2" t="s">
        <v>28</v>
      </c>
      <c r="B31" s="1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2" t="s">
        <v>29</v>
      </c>
      <c r="B32" s="1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2" t="s">
        <v>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2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T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>U5-SUM(U6:U36)</f>
        <v>0</v>
      </c>
      <c r="V38">
        <f>V5-SUM(V6:V36)</f>
        <v>0</v>
      </c>
    </row>
  </sheetData>
  <mergeCells count="16">
    <mergeCell ref="E2:R2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2E7F-DEDD-4746-93E8-9F18BC5DD1F6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4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2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X6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2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X7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X8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2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X9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2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X10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2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2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2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X13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2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X14">
        <f t="shared" si="0"/>
        <v>0</v>
      </c>
      <c r="Y14">
        <f t="shared" si="1"/>
        <v>0</v>
      </c>
      <c r="Z14">
        <f t="shared" si="2"/>
        <v>0</v>
      </c>
    </row>
    <row r="15" spans="1:26" ht="12.75" customHeight="1">
      <c r="A15" s="2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X1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2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X16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2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X17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2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X18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X19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X20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2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X21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2" t="s">
        <v>19</v>
      </c>
      <c r="B22" s="1"/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X22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2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X23">
        <f t="shared" si="0"/>
        <v>0</v>
      </c>
      <c r="Y23">
        <f t="shared" si="1"/>
        <v>0</v>
      </c>
      <c r="Z23">
        <f t="shared" si="2"/>
        <v>0</v>
      </c>
    </row>
    <row r="24" spans="1:26" ht="12.75" customHeight="1">
      <c r="A24" s="2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X24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2" t="s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X25">
        <f t="shared" si="0"/>
        <v>0</v>
      </c>
      <c r="Y25">
        <f t="shared" si="1"/>
        <v>0</v>
      </c>
      <c r="Z25">
        <f t="shared" si="2"/>
        <v>0</v>
      </c>
    </row>
    <row r="26" spans="1:26" ht="12.75" customHeight="1">
      <c r="A26" s="2" t="s">
        <v>23</v>
      </c>
      <c r="B26" s="1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X26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2" t="s">
        <v>24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X27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X28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2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X29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X30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2" t="s">
        <v>28</v>
      </c>
      <c r="B31" s="1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X31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2" t="s">
        <v>29</v>
      </c>
      <c r="B32" s="1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X32">
        <f t="shared" si="0"/>
        <v>0</v>
      </c>
      <c r="Y32">
        <f t="shared" si="1"/>
        <v>0</v>
      </c>
      <c r="Z32">
        <f t="shared" si="2"/>
        <v>0</v>
      </c>
    </row>
    <row r="33" spans="1:26" ht="12.75" customHeight="1">
      <c r="A33" s="2" t="s">
        <v>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X33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X34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2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X3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X36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T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>U5-SUM(U6:U36)</f>
        <v>0</v>
      </c>
      <c r="V38">
        <f>V5-SUM(V6:V36)</f>
        <v>0</v>
      </c>
    </row>
  </sheetData>
  <mergeCells count="16">
    <mergeCell ref="E2:R2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0B45-1F10-4994-8EEC-B00041085975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4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>
        <f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2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X6">
        <f t="shared" ref="X6:X36" si="0">B6-C6-E6-S6-T6-U6-V6</f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2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X7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X8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2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X9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2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X10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2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2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2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X13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2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X14">
        <f t="shared" si="0"/>
        <v>0</v>
      </c>
      <c r="Y14">
        <f t="shared" si="1"/>
        <v>0</v>
      </c>
      <c r="Z14">
        <f t="shared" si="2"/>
        <v>0</v>
      </c>
    </row>
    <row r="15" spans="1:26" ht="12.75" customHeight="1">
      <c r="A15" s="2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X1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2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X16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2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X17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2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X18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X19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X20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2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X21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2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X22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2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X23">
        <f t="shared" si="0"/>
        <v>0</v>
      </c>
      <c r="Y23">
        <f t="shared" si="1"/>
        <v>0</v>
      </c>
      <c r="Z23">
        <f t="shared" si="2"/>
        <v>0</v>
      </c>
    </row>
    <row r="24" spans="1:26" ht="12.75" customHeight="1">
      <c r="A24" s="2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X24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2" t="s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X25">
        <f t="shared" si="0"/>
        <v>0</v>
      </c>
      <c r="Y25">
        <f t="shared" si="1"/>
        <v>0</v>
      </c>
      <c r="Z25">
        <f t="shared" si="2"/>
        <v>0</v>
      </c>
    </row>
    <row r="26" spans="1:26" ht="12.75" customHeight="1">
      <c r="A26" s="2" t="s">
        <v>23</v>
      </c>
      <c r="B26" s="1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X26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2" t="s">
        <v>24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X27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X28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2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X29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X30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2" t="s">
        <v>28</v>
      </c>
      <c r="B31" s="1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X31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2" t="s">
        <v>29</v>
      </c>
      <c r="B32" s="1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X32">
        <f t="shared" si="0"/>
        <v>0</v>
      </c>
      <c r="Y32">
        <f t="shared" si="1"/>
        <v>0</v>
      </c>
      <c r="Z32">
        <f t="shared" si="2"/>
        <v>0</v>
      </c>
    </row>
    <row r="33" spans="1:26" ht="12.75" customHeight="1">
      <c r="A33" s="2" t="s">
        <v>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X33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X34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2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X3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X36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>U5-SUM(U6:U36)</f>
        <v>0</v>
      </c>
      <c r="V38">
        <f t="shared" si="3"/>
        <v>0</v>
      </c>
    </row>
  </sheetData>
  <mergeCells count="16">
    <mergeCell ref="E2:R2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3690-43B4-40DD-A82F-94DFE292EC89}">
  <dimension ref="A1:Z38"/>
  <sheetViews>
    <sheetView zoomScaleNormal="100" workbookViewId="0">
      <selection activeCell="P23" sqref="P23"/>
    </sheetView>
  </sheetViews>
  <sheetFormatPr defaultRowHeight="12.75"/>
  <cols>
    <col min="1" max="22" width="7.5703125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4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>
        <f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2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X6">
        <f t="shared" ref="X6:X8" si="0">B6-C6-E6-S6-T6-U6-V6</f>
        <v>0</v>
      </c>
      <c r="Y6">
        <f t="shared" ref="Y6:Y8" si="1">E6-F6-I6-L6-M6</f>
        <v>0</v>
      </c>
      <c r="Z6">
        <f t="shared" ref="Z6:Z8" si="2">M6-N6-O6-P6</f>
        <v>0</v>
      </c>
    </row>
    <row r="7" spans="1:26" ht="12.75" customHeight="1">
      <c r="A7" s="2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X7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X8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2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X9">
        <f t="shared" ref="X9:X36" si="3">B9-C9-E9-S9-T9-U9-V9</f>
        <v>0</v>
      </c>
      <c r="Y9">
        <f t="shared" ref="Y9:Y36" si="4">E9-F9-I9-L9-M9</f>
        <v>0</v>
      </c>
      <c r="Z9">
        <f t="shared" ref="Z9:Z36" si="5">M9-N9-O9-P9</f>
        <v>0</v>
      </c>
    </row>
    <row r="10" spans="1:26" ht="12.75" customHeight="1">
      <c r="A10" s="2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X10">
        <f t="shared" si="3"/>
        <v>0</v>
      </c>
      <c r="Y10">
        <f t="shared" si="4"/>
        <v>0</v>
      </c>
      <c r="Z10">
        <f t="shared" si="5"/>
        <v>0</v>
      </c>
    </row>
    <row r="11" spans="1:26" ht="12.75" customHeight="1">
      <c r="A11" s="2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>
        <f t="shared" si="3"/>
        <v>0</v>
      </c>
      <c r="Y11">
        <f t="shared" si="4"/>
        <v>0</v>
      </c>
      <c r="Z11">
        <f t="shared" si="5"/>
        <v>0</v>
      </c>
    </row>
    <row r="12" spans="1:26" ht="12.75" customHeight="1">
      <c r="A12" s="2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>
        <f t="shared" si="3"/>
        <v>0</v>
      </c>
      <c r="Y12">
        <f t="shared" si="4"/>
        <v>0</v>
      </c>
      <c r="Z12">
        <f t="shared" si="5"/>
        <v>0</v>
      </c>
    </row>
    <row r="13" spans="1:26" ht="12.75" customHeight="1">
      <c r="A13" s="2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X13">
        <f t="shared" si="3"/>
        <v>0</v>
      </c>
      <c r="Y13">
        <f t="shared" si="4"/>
        <v>0</v>
      </c>
      <c r="Z13">
        <f t="shared" si="5"/>
        <v>0</v>
      </c>
    </row>
    <row r="14" spans="1:26" ht="12.75" customHeight="1">
      <c r="A14" s="2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X14">
        <f t="shared" si="3"/>
        <v>0</v>
      </c>
      <c r="Y14">
        <f t="shared" si="4"/>
        <v>0</v>
      </c>
      <c r="Z14">
        <f t="shared" si="5"/>
        <v>0</v>
      </c>
    </row>
    <row r="15" spans="1:26" ht="12.75" customHeight="1">
      <c r="A15" s="2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X15">
        <f t="shared" si="3"/>
        <v>0</v>
      </c>
      <c r="Y15">
        <f t="shared" si="4"/>
        <v>0</v>
      </c>
      <c r="Z15">
        <f t="shared" si="5"/>
        <v>0</v>
      </c>
    </row>
    <row r="16" spans="1:26" ht="12.75" customHeight="1">
      <c r="A16" s="2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X16">
        <f t="shared" si="3"/>
        <v>0</v>
      </c>
      <c r="Y16">
        <f t="shared" si="4"/>
        <v>0</v>
      </c>
      <c r="Z16">
        <f t="shared" si="5"/>
        <v>0</v>
      </c>
    </row>
    <row r="17" spans="1:26" ht="12.75" customHeight="1">
      <c r="A17" s="2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X17">
        <f t="shared" si="3"/>
        <v>0</v>
      </c>
      <c r="Y17">
        <f t="shared" si="4"/>
        <v>0</v>
      </c>
      <c r="Z17">
        <f t="shared" si="5"/>
        <v>0</v>
      </c>
    </row>
    <row r="18" spans="1:26" ht="12.75" customHeight="1">
      <c r="A18" s="2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X18">
        <f t="shared" si="3"/>
        <v>0</v>
      </c>
      <c r="Y18">
        <f t="shared" si="4"/>
        <v>0</v>
      </c>
      <c r="Z18">
        <f t="shared" si="5"/>
        <v>0</v>
      </c>
    </row>
    <row r="19" spans="1:26" ht="12.75" customHeight="1">
      <c r="A19" s="2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X19">
        <f t="shared" si="3"/>
        <v>0</v>
      </c>
      <c r="Y19">
        <f t="shared" si="4"/>
        <v>0</v>
      </c>
      <c r="Z19">
        <f t="shared" si="5"/>
        <v>0</v>
      </c>
    </row>
    <row r="20" spans="1:26" ht="12.75" customHeight="1">
      <c r="A20" s="2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X20">
        <f t="shared" si="3"/>
        <v>0</v>
      </c>
      <c r="Y20">
        <f t="shared" si="4"/>
        <v>0</v>
      </c>
      <c r="Z20">
        <f t="shared" si="5"/>
        <v>0</v>
      </c>
    </row>
    <row r="21" spans="1:26" ht="12.75" customHeight="1">
      <c r="A21" s="2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X21">
        <f t="shared" si="3"/>
        <v>0</v>
      </c>
      <c r="Y21">
        <f t="shared" si="4"/>
        <v>0</v>
      </c>
      <c r="Z21">
        <f t="shared" si="5"/>
        <v>0</v>
      </c>
    </row>
    <row r="22" spans="1:26" ht="12.75" customHeight="1">
      <c r="A22" s="2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X22">
        <f t="shared" si="3"/>
        <v>0</v>
      </c>
      <c r="Y22">
        <f t="shared" si="4"/>
        <v>0</v>
      </c>
      <c r="Z22">
        <f t="shared" si="5"/>
        <v>0</v>
      </c>
    </row>
    <row r="23" spans="1:26" ht="12.75" customHeight="1">
      <c r="A23" s="2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X23">
        <f t="shared" si="3"/>
        <v>0</v>
      </c>
      <c r="Y23">
        <f t="shared" si="4"/>
        <v>0</v>
      </c>
      <c r="Z23">
        <f t="shared" si="5"/>
        <v>0</v>
      </c>
    </row>
    <row r="24" spans="1:26" ht="12.75" customHeight="1">
      <c r="A24" s="2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X24">
        <f t="shared" si="3"/>
        <v>0</v>
      </c>
      <c r="Y24">
        <f t="shared" si="4"/>
        <v>0</v>
      </c>
      <c r="Z24">
        <f t="shared" si="5"/>
        <v>0</v>
      </c>
    </row>
    <row r="25" spans="1:26" ht="12.75" customHeight="1">
      <c r="A25" s="2" t="s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X25">
        <f t="shared" si="3"/>
        <v>0</v>
      </c>
      <c r="Y25">
        <f t="shared" si="4"/>
        <v>0</v>
      </c>
      <c r="Z25">
        <f t="shared" si="5"/>
        <v>0</v>
      </c>
    </row>
    <row r="26" spans="1:26" ht="12.75" customHeight="1">
      <c r="A26" s="2" t="s">
        <v>23</v>
      </c>
      <c r="B26" s="1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X26">
        <f t="shared" si="3"/>
        <v>0</v>
      </c>
      <c r="Y26">
        <f t="shared" si="4"/>
        <v>0</v>
      </c>
      <c r="Z26">
        <f t="shared" si="5"/>
        <v>0</v>
      </c>
    </row>
    <row r="27" spans="1:26" ht="12.75" customHeight="1">
      <c r="A27" s="2" t="s">
        <v>24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X27">
        <f t="shared" si="3"/>
        <v>0</v>
      </c>
      <c r="Y27">
        <f t="shared" si="4"/>
        <v>0</v>
      </c>
      <c r="Z27">
        <f t="shared" si="5"/>
        <v>0</v>
      </c>
    </row>
    <row r="28" spans="1:26" ht="12.75" customHeight="1">
      <c r="A28" s="2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X28">
        <f t="shared" si="3"/>
        <v>0</v>
      </c>
      <c r="Y28">
        <f t="shared" si="4"/>
        <v>0</v>
      </c>
      <c r="Z28">
        <f t="shared" si="5"/>
        <v>0</v>
      </c>
    </row>
    <row r="29" spans="1:26" ht="12.75" customHeight="1">
      <c r="A29" s="2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X29">
        <f t="shared" si="3"/>
        <v>0</v>
      </c>
      <c r="Y29">
        <f t="shared" si="4"/>
        <v>0</v>
      </c>
      <c r="Z29">
        <f t="shared" si="5"/>
        <v>0</v>
      </c>
    </row>
    <row r="30" spans="1:26" ht="12.75" customHeight="1">
      <c r="A30" s="2" t="s">
        <v>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X30">
        <f t="shared" si="3"/>
        <v>0</v>
      </c>
      <c r="Y30">
        <f t="shared" si="4"/>
        <v>0</v>
      </c>
      <c r="Z30">
        <f t="shared" si="5"/>
        <v>0</v>
      </c>
    </row>
    <row r="31" spans="1:26" ht="12.75" customHeight="1">
      <c r="A31" s="2" t="s">
        <v>28</v>
      </c>
      <c r="B31" s="1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X31">
        <f t="shared" si="3"/>
        <v>0</v>
      </c>
      <c r="Y31">
        <f t="shared" si="4"/>
        <v>0</v>
      </c>
      <c r="Z31">
        <f t="shared" si="5"/>
        <v>0</v>
      </c>
    </row>
    <row r="32" spans="1:26" ht="12.75" customHeight="1">
      <c r="A32" s="2" t="s">
        <v>29</v>
      </c>
      <c r="B32" s="1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X32">
        <f t="shared" si="3"/>
        <v>0</v>
      </c>
      <c r="Y32">
        <f t="shared" si="4"/>
        <v>0</v>
      </c>
      <c r="Z32">
        <f t="shared" si="5"/>
        <v>0</v>
      </c>
    </row>
    <row r="33" spans="1:26" ht="12.75" customHeight="1">
      <c r="A33" s="2" t="s">
        <v>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X33">
        <f t="shared" si="3"/>
        <v>0</v>
      </c>
      <c r="Y33">
        <f t="shared" si="4"/>
        <v>0</v>
      </c>
      <c r="Z33">
        <f t="shared" si="5"/>
        <v>0</v>
      </c>
    </row>
    <row r="34" spans="1:26" ht="12.75" customHeight="1">
      <c r="A34" s="2" t="s">
        <v>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X34">
        <f t="shared" si="3"/>
        <v>0</v>
      </c>
      <c r="Y34">
        <f t="shared" si="4"/>
        <v>0</v>
      </c>
      <c r="Z34">
        <f t="shared" si="5"/>
        <v>0</v>
      </c>
    </row>
    <row r="35" spans="1:26" ht="12.75" customHeight="1">
      <c r="A35" s="2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X35">
        <f t="shared" si="3"/>
        <v>0</v>
      </c>
      <c r="Y35">
        <f t="shared" si="4"/>
        <v>0</v>
      </c>
      <c r="Z35">
        <f t="shared" si="5"/>
        <v>0</v>
      </c>
    </row>
    <row r="36" spans="1:26" ht="12.75" customHeight="1">
      <c r="A36" s="2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X36">
        <f t="shared" si="3"/>
        <v>0</v>
      </c>
      <c r="Y36">
        <f t="shared" si="4"/>
        <v>0</v>
      </c>
      <c r="Z36">
        <f t="shared" si="5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6">D5-SUM(D6:D36)</f>
        <v>0</v>
      </c>
      <c r="E38">
        <f t="shared" si="6"/>
        <v>0</v>
      </c>
      <c r="F38">
        <f t="shared" si="6"/>
        <v>0</v>
      </c>
      <c r="H38">
        <f t="shared" si="6"/>
        <v>0</v>
      </c>
      <c r="I38">
        <f t="shared" si="6"/>
        <v>0</v>
      </c>
      <c r="J38">
        <f t="shared" si="6"/>
        <v>0</v>
      </c>
      <c r="L38">
        <f t="shared" si="6"/>
        <v>0</v>
      </c>
      <c r="M38">
        <f t="shared" si="6"/>
        <v>0</v>
      </c>
      <c r="N38">
        <f t="shared" si="6"/>
        <v>0</v>
      </c>
      <c r="O38">
        <f t="shared" si="6"/>
        <v>0</v>
      </c>
      <c r="P38">
        <f t="shared" si="6"/>
        <v>0</v>
      </c>
      <c r="S38">
        <f t="shared" si="6"/>
        <v>0</v>
      </c>
      <c r="T38">
        <f t="shared" si="6"/>
        <v>0</v>
      </c>
      <c r="U38">
        <f>U5-SUM(U6:U36)</f>
        <v>0</v>
      </c>
      <c r="V38">
        <f t="shared" si="6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2997-3FFD-45B2-AB18-9443A29608C2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4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>
        <f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2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X6">
        <f t="shared" ref="X6:X36" si="0">B6-C6-E6-S6-T6-U6-V6</f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2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X7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X8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2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X9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2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X10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2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2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2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X13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2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X14">
        <f t="shared" si="0"/>
        <v>0</v>
      </c>
      <c r="Y14">
        <f t="shared" si="1"/>
        <v>0</v>
      </c>
      <c r="Z14">
        <f t="shared" si="2"/>
        <v>0</v>
      </c>
    </row>
    <row r="15" spans="1:26" ht="12.75" customHeight="1">
      <c r="A15" s="2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X1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2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X16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2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X17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2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X18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X19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X20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2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X21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2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X22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2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X23">
        <f t="shared" si="0"/>
        <v>0</v>
      </c>
      <c r="Y23">
        <f t="shared" si="1"/>
        <v>0</v>
      </c>
      <c r="Z23">
        <f t="shared" si="2"/>
        <v>0</v>
      </c>
    </row>
    <row r="24" spans="1:26" ht="12.75" customHeight="1">
      <c r="A24" s="2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X24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2" t="s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X25">
        <f t="shared" si="0"/>
        <v>0</v>
      </c>
      <c r="Y25">
        <f t="shared" si="1"/>
        <v>0</v>
      </c>
      <c r="Z25">
        <f t="shared" si="2"/>
        <v>0</v>
      </c>
    </row>
    <row r="26" spans="1:26" ht="12.75" customHeight="1">
      <c r="A26" s="2" t="s">
        <v>23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X26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2" t="s">
        <v>24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X27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X28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2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X29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X30">
        <f t="shared" si="0"/>
        <v>0</v>
      </c>
      <c r="Y30">
        <f>E30-F30-I30-L30-M30</f>
        <v>0</v>
      </c>
      <c r="Z30">
        <f t="shared" si="2"/>
        <v>0</v>
      </c>
    </row>
    <row r="31" spans="1:26" ht="12.75" customHeight="1">
      <c r="A31" s="2" t="s">
        <v>28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X31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2" t="s">
        <v>29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X32">
        <f t="shared" si="0"/>
        <v>0</v>
      </c>
      <c r="Y32">
        <f t="shared" si="1"/>
        <v>0</v>
      </c>
      <c r="Z32">
        <f t="shared" si="2"/>
        <v>0</v>
      </c>
    </row>
    <row r="33" spans="1:26" ht="12.75" customHeight="1">
      <c r="A33" s="2" t="s">
        <v>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X33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X34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2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X3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X36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 t="shared" ref="C38:V38" si="3">C5-SUM(C6:C36)</f>
        <v>0</v>
      </c>
      <c r="D38">
        <f t="shared" si="3"/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61C2-CC6F-4DDD-8B96-D8995A7C571D}">
  <dimension ref="A1:Z38"/>
  <sheetViews>
    <sheetView zoomScaleNormal="100" workbookViewId="0">
      <selection activeCell="M22" sqref="M22"/>
    </sheetView>
  </sheetViews>
  <sheetFormatPr defaultRowHeight="12.75"/>
  <cols>
    <col min="1" max="22" width="7.5703125" customWidth="1"/>
  </cols>
  <sheetData>
    <row r="1" spans="1:26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6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26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</row>
    <row r="4" spans="1:26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</row>
    <row r="5" spans="1:26" ht="12.75" customHeight="1">
      <c r="A5" s="4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>
        <f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2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X6">
        <f t="shared" ref="X6:X36" si="0">B6-C6-E6-S6-T6-U6-V6</f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2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X7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X8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2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X9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2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X10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2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2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2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X13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2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X14">
        <f t="shared" si="0"/>
        <v>0</v>
      </c>
      <c r="Y14">
        <f t="shared" si="1"/>
        <v>0</v>
      </c>
      <c r="Z14">
        <f t="shared" si="2"/>
        <v>0</v>
      </c>
    </row>
    <row r="15" spans="1:26" ht="12.75" customHeight="1">
      <c r="A15" s="2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X1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2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X16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2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X17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2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X18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X19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X20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2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X21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2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X22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2" t="s">
        <v>20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X23">
        <f t="shared" si="0"/>
        <v>0</v>
      </c>
      <c r="Y23">
        <f t="shared" si="1"/>
        <v>0</v>
      </c>
      <c r="Z23">
        <f t="shared" si="2"/>
        <v>0</v>
      </c>
    </row>
    <row r="24" spans="1:26" ht="12.75" customHeight="1">
      <c r="A24" s="2" t="s">
        <v>21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X24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2" t="s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X25">
        <f t="shared" si="0"/>
        <v>0</v>
      </c>
      <c r="Y25">
        <f t="shared" si="1"/>
        <v>0</v>
      </c>
      <c r="Z25">
        <f t="shared" si="2"/>
        <v>0</v>
      </c>
    </row>
    <row r="26" spans="1:26" ht="12.75" customHeight="1">
      <c r="A26" s="2" t="s">
        <v>23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X26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2" t="s">
        <v>24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X27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X28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2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X29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X30">
        <f t="shared" si="0"/>
        <v>0</v>
      </c>
      <c r="Y30">
        <f>E30-F30-I30-L30-M30</f>
        <v>0</v>
      </c>
      <c r="Z30">
        <f t="shared" si="2"/>
        <v>0</v>
      </c>
    </row>
    <row r="31" spans="1:26" ht="12.75" customHeight="1">
      <c r="A31" s="2" t="s">
        <v>28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X31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2" t="s">
        <v>29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X32">
        <f t="shared" si="0"/>
        <v>0</v>
      </c>
      <c r="Y32">
        <f t="shared" si="1"/>
        <v>0</v>
      </c>
      <c r="Z32">
        <f t="shared" si="2"/>
        <v>0</v>
      </c>
    </row>
    <row r="33" spans="1:26" ht="12.75" customHeight="1">
      <c r="A33" s="2" t="s">
        <v>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X33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X34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2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X3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X36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 t="shared" ref="C38:V38" si="3">C5-SUM(C6:C36)</f>
        <v>0</v>
      </c>
      <c r="D38">
        <f t="shared" si="3"/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"/>
  <sheetViews>
    <sheetView workbookViewId="0">
      <selection activeCell="F5" sqref="F5:F36"/>
    </sheetView>
  </sheetViews>
  <sheetFormatPr defaultRowHeight="12.75"/>
  <cols>
    <col min="1" max="22" width="7.5703125" customWidth="1"/>
  </cols>
  <sheetData>
    <row r="1" spans="1:34" ht="12.75" customHeight="1">
      <c r="A1" s="104" t="s">
        <v>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34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</row>
    <row r="3" spans="1:34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  <c r="AB3" s="27" t="s">
        <v>55</v>
      </c>
      <c r="AC3" s="23" t="s">
        <v>56</v>
      </c>
      <c r="AD3" s="23" t="s">
        <v>51</v>
      </c>
      <c r="AE3" s="23" t="s">
        <v>52</v>
      </c>
      <c r="AF3" s="23" t="s">
        <v>53</v>
      </c>
      <c r="AG3" s="23" t="s">
        <v>54</v>
      </c>
    </row>
    <row r="4" spans="1:34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  <c r="AB4" s="2" t="s">
        <v>50</v>
      </c>
      <c r="AC4" s="10" t="s">
        <v>49</v>
      </c>
      <c r="AD4" s="10" t="s">
        <v>49</v>
      </c>
      <c r="AE4" s="10" t="s">
        <v>49</v>
      </c>
      <c r="AF4" s="10" t="s">
        <v>49</v>
      </c>
      <c r="AG4" s="10" t="s">
        <v>49</v>
      </c>
    </row>
    <row r="5" spans="1:34">
      <c r="A5" s="4" t="s">
        <v>5</v>
      </c>
      <c r="B5" s="29">
        <v>160522</v>
      </c>
      <c r="C5" s="29">
        <v>30010</v>
      </c>
      <c r="D5" s="29"/>
      <c r="E5" s="29">
        <v>105580</v>
      </c>
      <c r="F5" s="29">
        <v>94654</v>
      </c>
      <c r="G5" s="29"/>
      <c r="H5" s="29"/>
      <c r="I5" s="29">
        <v>7011</v>
      </c>
      <c r="J5" s="29"/>
      <c r="K5" s="29"/>
      <c r="L5" s="29">
        <v>210</v>
      </c>
      <c r="M5" s="29">
        <v>4220</v>
      </c>
      <c r="N5" s="29"/>
      <c r="O5" s="29">
        <v>576</v>
      </c>
      <c r="P5" s="29">
        <v>776</v>
      </c>
      <c r="Q5" s="29">
        <v>45</v>
      </c>
      <c r="R5" s="29"/>
      <c r="S5" s="29">
        <v>3364</v>
      </c>
      <c r="T5" s="29">
        <v>14744</v>
      </c>
      <c r="U5" s="29">
        <v>6819</v>
      </c>
      <c r="V5" s="29">
        <v>5</v>
      </c>
      <c r="X5">
        <f>B5-C5-E5-S5-T5-U5-V5</f>
        <v>0</v>
      </c>
      <c r="Y5">
        <f>E5-F5-I5-L5-M5</f>
        <v>-515</v>
      </c>
      <c r="Z5">
        <f>M5-N5-O5-P5</f>
        <v>2868</v>
      </c>
      <c r="AB5" s="24" t="s">
        <v>5</v>
      </c>
      <c r="AC5" s="14">
        <v>12143</v>
      </c>
      <c r="AD5" s="15">
        <v>1179</v>
      </c>
      <c r="AE5" s="15">
        <v>5048</v>
      </c>
      <c r="AF5" s="15">
        <v>2024</v>
      </c>
      <c r="AG5" s="16">
        <v>3171</v>
      </c>
      <c r="AH5">
        <f>AC5-AD5-AE5-AF5-AG5</f>
        <v>721</v>
      </c>
    </row>
    <row r="6" spans="1:34">
      <c r="A6" s="2" t="s">
        <v>6</v>
      </c>
      <c r="B6" s="30">
        <v>1092</v>
      </c>
      <c r="C6" s="29">
        <v>98</v>
      </c>
      <c r="D6" s="29"/>
      <c r="E6" s="30">
        <v>970</v>
      </c>
      <c r="F6" s="30">
        <v>85</v>
      </c>
      <c r="G6" s="29"/>
      <c r="H6" s="29"/>
      <c r="I6" s="30">
        <v>850</v>
      </c>
      <c r="J6" s="30"/>
      <c r="K6" s="29"/>
      <c r="L6" s="29">
        <v>22</v>
      </c>
      <c r="M6" s="30">
        <v>15</v>
      </c>
      <c r="N6" s="30"/>
      <c r="O6" s="29">
        <v>13</v>
      </c>
      <c r="P6" s="29"/>
      <c r="Q6" s="30">
        <v>1</v>
      </c>
      <c r="R6" s="30"/>
      <c r="S6" s="30"/>
      <c r="T6" s="29">
        <v>19</v>
      </c>
      <c r="U6" s="29">
        <v>5</v>
      </c>
      <c r="V6" s="30"/>
      <c r="X6">
        <f t="shared" ref="X6:X36" si="0">B6-C6-E6-S6-T6-U6-V6</f>
        <v>0</v>
      </c>
      <c r="Y6">
        <f t="shared" ref="Y6:Y36" si="1">E6-F6-I6-L6-M6</f>
        <v>-2</v>
      </c>
      <c r="Z6">
        <f>M6-N6-O6-P6</f>
        <v>2</v>
      </c>
      <c r="AB6" s="25" t="s">
        <v>6</v>
      </c>
      <c r="AC6" s="17">
        <v>32</v>
      </c>
      <c r="AD6" s="18"/>
      <c r="AE6" s="19">
        <v>6</v>
      </c>
      <c r="AF6" s="19">
        <v>7</v>
      </c>
      <c r="AG6" s="20">
        <v>18</v>
      </c>
      <c r="AH6">
        <f t="shared" ref="AH6:AH36" si="2">AC6-AD6-AE6-AF6-AG6</f>
        <v>1</v>
      </c>
    </row>
    <row r="7" spans="1:34">
      <c r="A7" s="2" t="s">
        <v>7</v>
      </c>
      <c r="B7" s="30">
        <v>1458</v>
      </c>
      <c r="C7" s="29"/>
      <c r="D7" s="29"/>
      <c r="E7" s="30">
        <v>1377</v>
      </c>
      <c r="F7" s="30">
        <v>1076</v>
      </c>
      <c r="G7" s="29"/>
      <c r="H7" s="29"/>
      <c r="I7" s="30">
        <v>277</v>
      </c>
      <c r="J7" s="30"/>
      <c r="K7" s="29"/>
      <c r="L7" s="29"/>
      <c r="M7" s="30">
        <v>25</v>
      </c>
      <c r="N7" s="30"/>
      <c r="O7" s="29">
        <v>10</v>
      </c>
      <c r="P7" s="29"/>
      <c r="Q7" s="30"/>
      <c r="R7" s="30"/>
      <c r="S7" s="30"/>
      <c r="T7" s="29">
        <v>28</v>
      </c>
      <c r="U7" s="29">
        <v>54</v>
      </c>
      <c r="V7" s="30"/>
      <c r="X7">
        <f t="shared" si="0"/>
        <v>-1</v>
      </c>
      <c r="Y7">
        <f t="shared" si="1"/>
        <v>-1</v>
      </c>
      <c r="Z7">
        <f t="shared" ref="Z7:Z36" si="3">M7-N7-O7-P7</f>
        <v>15</v>
      </c>
      <c r="AB7" s="25" t="s">
        <v>7</v>
      </c>
      <c r="AC7" s="17">
        <v>143</v>
      </c>
      <c r="AD7" s="18"/>
      <c r="AE7" s="19">
        <v>95</v>
      </c>
      <c r="AF7" s="18"/>
      <c r="AG7" s="20">
        <v>48</v>
      </c>
      <c r="AH7">
        <f t="shared" si="2"/>
        <v>0</v>
      </c>
    </row>
    <row r="8" spans="1:34">
      <c r="A8" s="2" t="s">
        <v>8</v>
      </c>
      <c r="B8" s="30">
        <v>6211</v>
      </c>
      <c r="C8" s="29">
        <v>165</v>
      </c>
      <c r="D8" s="29"/>
      <c r="E8" s="29">
        <v>4503</v>
      </c>
      <c r="F8" s="30">
        <v>4251</v>
      </c>
      <c r="G8" s="29"/>
      <c r="H8" s="29"/>
      <c r="I8" s="29">
        <v>3</v>
      </c>
      <c r="J8" s="30"/>
      <c r="K8" s="29"/>
      <c r="L8" s="29"/>
      <c r="M8" s="29">
        <v>257</v>
      </c>
      <c r="N8" s="30"/>
      <c r="O8" s="29">
        <v>16</v>
      </c>
      <c r="P8" s="29">
        <v>38</v>
      </c>
      <c r="Q8" s="29">
        <v>1</v>
      </c>
      <c r="R8" s="30"/>
      <c r="S8" s="30"/>
      <c r="T8" s="29">
        <v>1138</v>
      </c>
      <c r="U8" s="29">
        <v>404</v>
      </c>
      <c r="V8" s="29">
        <v>2</v>
      </c>
      <c r="X8">
        <f t="shared" si="0"/>
        <v>-1</v>
      </c>
      <c r="Y8">
        <f t="shared" si="1"/>
        <v>-8</v>
      </c>
      <c r="Z8">
        <f t="shared" si="3"/>
        <v>203</v>
      </c>
      <c r="AB8" s="25" t="s">
        <v>8</v>
      </c>
      <c r="AC8" s="17">
        <v>631</v>
      </c>
      <c r="AD8" s="18"/>
      <c r="AE8" s="19">
        <v>170</v>
      </c>
      <c r="AF8" s="19">
        <v>228</v>
      </c>
      <c r="AG8" s="20">
        <v>232</v>
      </c>
      <c r="AH8">
        <f t="shared" si="2"/>
        <v>1</v>
      </c>
    </row>
    <row r="9" spans="1:34">
      <c r="A9" s="2" t="s">
        <v>9</v>
      </c>
      <c r="B9" s="30">
        <v>7599</v>
      </c>
      <c r="C9" s="29">
        <v>235</v>
      </c>
      <c r="D9" s="29"/>
      <c r="E9" s="30">
        <v>6309</v>
      </c>
      <c r="F9" s="30">
        <v>6003</v>
      </c>
      <c r="G9" s="29"/>
      <c r="H9" s="29"/>
      <c r="I9" s="30">
        <v>279</v>
      </c>
      <c r="J9" s="30"/>
      <c r="K9" s="29"/>
      <c r="L9" s="29"/>
      <c r="M9" s="30">
        <v>46</v>
      </c>
      <c r="N9" s="30"/>
      <c r="O9" s="29">
        <v>11</v>
      </c>
      <c r="P9" s="29">
        <v>19</v>
      </c>
      <c r="Q9" s="30">
        <v>15</v>
      </c>
      <c r="R9" s="30"/>
      <c r="S9" s="30"/>
      <c r="T9" s="29">
        <v>771</v>
      </c>
      <c r="U9" s="29">
        <v>284</v>
      </c>
      <c r="V9" s="30"/>
      <c r="X9">
        <f t="shared" si="0"/>
        <v>0</v>
      </c>
      <c r="Y9">
        <f t="shared" si="1"/>
        <v>-19</v>
      </c>
      <c r="Z9">
        <f t="shared" si="3"/>
        <v>16</v>
      </c>
      <c r="AB9" s="25" t="s">
        <v>9</v>
      </c>
      <c r="AC9" s="17">
        <v>793</v>
      </c>
      <c r="AD9" s="18"/>
      <c r="AE9" s="19">
        <v>374</v>
      </c>
      <c r="AF9" s="19">
        <v>173</v>
      </c>
      <c r="AG9" s="20">
        <v>246</v>
      </c>
      <c r="AH9">
        <f t="shared" si="2"/>
        <v>0</v>
      </c>
    </row>
    <row r="10" spans="1:34">
      <c r="A10" s="2" t="s">
        <v>2</v>
      </c>
      <c r="B10" s="30">
        <v>11030</v>
      </c>
      <c r="C10" s="29">
        <v>238</v>
      </c>
      <c r="D10" s="29"/>
      <c r="E10" s="30">
        <v>7601</v>
      </c>
      <c r="F10" s="30">
        <v>7542</v>
      </c>
      <c r="G10" s="29"/>
      <c r="H10" s="29"/>
      <c r="I10" s="30">
        <v>42</v>
      </c>
      <c r="J10" s="30"/>
      <c r="K10" s="29"/>
      <c r="L10" s="29"/>
      <c r="M10" s="30">
        <v>25</v>
      </c>
      <c r="N10" s="30"/>
      <c r="O10" s="29">
        <v>4</v>
      </c>
      <c r="P10" s="29">
        <v>12</v>
      </c>
      <c r="Q10" s="30"/>
      <c r="R10" s="30"/>
      <c r="S10" s="30"/>
      <c r="T10" s="29">
        <v>2556</v>
      </c>
      <c r="U10" s="29">
        <v>636</v>
      </c>
      <c r="V10" s="30"/>
      <c r="X10">
        <f t="shared" si="0"/>
        <v>-1</v>
      </c>
      <c r="Y10">
        <f t="shared" si="1"/>
        <v>-8</v>
      </c>
      <c r="Z10">
        <f t="shared" si="3"/>
        <v>9</v>
      </c>
      <c r="AB10" s="25" t="s">
        <v>2</v>
      </c>
      <c r="AC10" s="17">
        <v>473</v>
      </c>
      <c r="AD10" s="18"/>
      <c r="AE10" s="19">
        <v>366</v>
      </c>
      <c r="AF10" s="19">
        <v>81</v>
      </c>
      <c r="AG10" s="20">
        <v>26</v>
      </c>
      <c r="AH10">
        <f t="shared" si="2"/>
        <v>0</v>
      </c>
    </row>
    <row r="11" spans="1:34">
      <c r="A11" s="2" t="s">
        <v>10</v>
      </c>
      <c r="B11" s="29">
        <v>4572</v>
      </c>
      <c r="C11" s="29">
        <v>277</v>
      </c>
      <c r="D11" s="29"/>
      <c r="E11" s="30">
        <v>3109</v>
      </c>
      <c r="F11" s="29">
        <v>3024</v>
      </c>
      <c r="G11" s="29"/>
      <c r="H11" s="29"/>
      <c r="I11" s="30">
        <v>4</v>
      </c>
      <c r="J11" s="29"/>
      <c r="K11" s="29"/>
      <c r="L11" s="29">
        <v>15</v>
      </c>
      <c r="M11" s="30">
        <v>72</v>
      </c>
      <c r="N11" s="29"/>
      <c r="O11" s="29">
        <v>3</v>
      </c>
      <c r="P11" s="29">
        <v>5</v>
      </c>
      <c r="Q11" s="30"/>
      <c r="R11" s="29"/>
      <c r="S11" s="29">
        <v>448</v>
      </c>
      <c r="T11" s="29">
        <v>694</v>
      </c>
      <c r="U11" s="29">
        <v>45</v>
      </c>
      <c r="V11" s="30"/>
      <c r="X11">
        <f t="shared" si="0"/>
        <v>-1</v>
      </c>
      <c r="Y11">
        <f t="shared" si="1"/>
        <v>-6</v>
      </c>
      <c r="Z11">
        <f t="shared" si="3"/>
        <v>64</v>
      </c>
      <c r="AB11" s="25" t="s">
        <v>10</v>
      </c>
      <c r="AC11" s="17">
        <v>147</v>
      </c>
      <c r="AD11" s="18"/>
      <c r="AE11" s="19">
        <v>1</v>
      </c>
      <c r="AF11" s="19">
        <v>14</v>
      </c>
      <c r="AG11" s="20">
        <v>21</v>
      </c>
      <c r="AH11">
        <f t="shared" si="2"/>
        <v>111</v>
      </c>
    </row>
    <row r="12" spans="1:34">
      <c r="A12" s="2" t="s">
        <v>3</v>
      </c>
      <c r="B12" s="30">
        <v>2684</v>
      </c>
      <c r="C12" s="29">
        <v>353</v>
      </c>
      <c r="D12" s="29"/>
      <c r="E12" s="30">
        <v>1775</v>
      </c>
      <c r="F12" s="30">
        <v>1688</v>
      </c>
      <c r="G12" s="29"/>
      <c r="H12" s="29"/>
      <c r="I12" s="30">
        <v>0</v>
      </c>
      <c r="J12" s="30"/>
      <c r="K12" s="29"/>
      <c r="L12" s="29"/>
      <c r="M12" s="30">
        <v>88</v>
      </c>
      <c r="N12" s="30"/>
      <c r="O12" s="29">
        <v>12</v>
      </c>
      <c r="P12" s="29">
        <v>40</v>
      </c>
      <c r="Q12" s="30">
        <v>0</v>
      </c>
      <c r="R12" s="30"/>
      <c r="S12" s="30"/>
      <c r="T12" s="29">
        <v>505</v>
      </c>
      <c r="U12" s="29">
        <v>52</v>
      </c>
      <c r="V12" s="30"/>
      <c r="X12">
        <f t="shared" si="0"/>
        <v>-1</v>
      </c>
      <c r="Y12">
        <f t="shared" si="1"/>
        <v>-1</v>
      </c>
      <c r="Z12">
        <f t="shared" si="3"/>
        <v>36</v>
      </c>
      <c r="AB12" s="25" t="s">
        <v>3</v>
      </c>
      <c r="AC12" s="17">
        <v>84</v>
      </c>
      <c r="AD12" s="18"/>
      <c r="AE12" s="19">
        <v>11</v>
      </c>
      <c r="AF12" s="19">
        <v>22</v>
      </c>
      <c r="AG12" s="20">
        <v>52</v>
      </c>
      <c r="AH12">
        <f t="shared" si="2"/>
        <v>-1</v>
      </c>
    </row>
    <row r="13" spans="1:34">
      <c r="A13" s="2" t="s">
        <v>4</v>
      </c>
      <c r="B13" s="30">
        <v>2767</v>
      </c>
      <c r="C13" s="29">
        <v>95</v>
      </c>
      <c r="D13" s="29"/>
      <c r="E13" s="30">
        <v>2099</v>
      </c>
      <c r="F13" s="30">
        <v>1991</v>
      </c>
      <c r="G13" s="29"/>
      <c r="H13" s="29"/>
      <c r="I13" s="30">
        <v>12</v>
      </c>
      <c r="J13" s="30"/>
      <c r="K13" s="29"/>
      <c r="L13" s="29">
        <v>2</v>
      </c>
      <c r="M13" s="30">
        <v>99</v>
      </c>
      <c r="N13" s="30"/>
      <c r="O13" s="29">
        <v>7</v>
      </c>
      <c r="P13" s="29">
        <v>73</v>
      </c>
      <c r="Q13" s="30">
        <v>0</v>
      </c>
      <c r="R13" s="30"/>
      <c r="S13" s="30"/>
      <c r="T13" s="29">
        <v>561</v>
      </c>
      <c r="U13" s="29">
        <v>12</v>
      </c>
      <c r="V13" s="30"/>
      <c r="X13">
        <f t="shared" si="0"/>
        <v>0</v>
      </c>
      <c r="Y13">
        <f t="shared" si="1"/>
        <v>-5</v>
      </c>
      <c r="Z13">
        <f t="shared" si="3"/>
        <v>19</v>
      </c>
      <c r="AB13" s="25" t="s">
        <v>4</v>
      </c>
      <c r="AC13" s="17">
        <v>139</v>
      </c>
      <c r="AD13" s="18"/>
      <c r="AE13" s="19">
        <v>59</v>
      </c>
      <c r="AF13" s="19">
        <v>66</v>
      </c>
      <c r="AG13" s="20">
        <v>14</v>
      </c>
      <c r="AH13">
        <f t="shared" si="2"/>
        <v>0</v>
      </c>
    </row>
    <row r="14" spans="1:34">
      <c r="A14" s="2" t="s">
        <v>11</v>
      </c>
      <c r="B14" s="30">
        <v>2341</v>
      </c>
      <c r="C14" s="29"/>
      <c r="D14" s="29"/>
      <c r="E14" s="30">
        <v>2263</v>
      </c>
      <c r="F14" s="30">
        <v>1509</v>
      </c>
      <c r="G14" s="29"/>
      <c r="H14" s="29"/>
      <c r="I14" s="30">
        <v>570</v>
      </c>
      <c r="J14" s="30"/>
      <c r="K14" s="29"/>
      <c r="L14" s="29">
        <v>86</v>
      </c>
      <c r="M14" s="30">
        <v>98</v>
      </c>
      <c r="N14" s="30"/>
      <c r="O14" s="29">
        <v>22</v>
      </c>
      <c r="P14" s="29"/>
      <c r="Q14" s="30">
        <v>2</v>
      </c>
      <c r="R14" s="30"/>
      <c r="S14" s="30"/>
      <c r="T14" s="29">
        <v>71</v>
      </c>
      <c r="U14" s="29">
        <v>7</v>
      </c>
      <c r="V14" s="30"/>
      <c r="X14">
        <f t="shared" si="0"/>
        <v>0</v>
      </c>
      <c r="Y14">
        <f t="shared" si="1"/>
        <v>0</v>
      </c>
      <c r="Z14">
        <f t="shared" si="3"/>
        <v>76</v>
      </c>
      <c r="AB14" s="25" t="s">
        <v>11</v>
      </c>
      <c r="AC14" s="17">
        <v>45</v>
      </c>
      <c r="AD14" s="18"/>
      <c r="AE14" s="19">
        <v>11</v>
      </c>
      <c r="AF14" s="19">
        <v>20</v>
      </c>
      <c r="AG14" s="20">
        <v>15</v>
      </c>
      <c r="AH14">
        <f t="shared" si="2"/>
        <v>-1</v>
      </c>
    </row>
    <row r="15" spans="1:34">
      <c r="A15" s="2" t="s">
        <v>12</v>
      </c>
      <c r="B15" s="29">
        <v>9987</v>
      </c>
      <c r="C15" s="29">
        <v>110</v>
      </c>
      <c r="D15" s="29"/>
      <c r="E15" s="29">
        <v>8711</v>
      </c>
      <c r="F15" s="29">
        <v>7448</v>
      </c>
      <c r="G15" s="29"/>
      <c r="H15" s="29"/>
      <c r="I15" s="29">
        <v>957</v>
      </c>
      <c r="J15" s="29"/>
      <c r="K15" s="29"/>
      <c r="L15" s="29"/>
      <c r="M15" s="29">
        <v>322</v>
      </c>
      <c r="N15" s="29"/>
      <c r="O15" s="29">
        <v>79</v>
      </c>
      <c r="P15" s="29">
        <v>44</v>
      </c>
      <c r="Q15" s="29">
        <v>2</v>
      </c>
      <c r="R15" s="29"/>
      <c r="S15" s="29">
        <v>212</v>
      </c>
      <c r="T15" s="29">
        <v>561</v>
      </c>
      <c r="U15" s="29">
        <v>394</v>
      </c>
      <c r="V15" s="29"/>
      <c r="X15">
        <f t="shared" si="0"/>
        <v>-1</v>
      </c>
      <c r="Y15">
        <f t="shared" si="1"/>
        <v>-16</v>
      </c>
      <c r="Z15">
        <f t="shared" si="3"/>
        <v>199</v>
      </c>
      <c r="AB15" s="25" t="s">
        <v>12</v>
      </c>
      <c r="AC15" s="17">
        <v>645</v>
      </c>
      <c r="AD15" s="18"/>
      <c r="AE15" s="19">
        <v>380</v>
      </c>
      <c r="AF15" s="19">
        <v>95</v>
      </c>
      <c r="AG15" s="20">
        <v>170</v>
      </c>
      <c r="AH15">
        <f t="shared" si="2"/>
        <v>0</v>
      </c>
    </row>
    <row r="16" spans="1:34">
      <c r="A16" s="2" t="s">
        <v>13</v>
      </c>
      <c r="B16" s="29">
        <v>7927</v>
      </c>
      <c r="C16" s="29">
        <v>939</v>
      </c>
      <c r="D16" s="29"/>
      <c r="E16" s="30">
        <v>6044</v>
      </c>
      <c r="F16" s="29">
        <v>4629</v>
      </c>
      <c r="G16" s="29"/>
      <c r="H16" s="29"/>
      <c r="I16" s="30">
        <v>1228</v>
      </c>
      <c r="J16" s="29"/>
      <c r="K16" s="29"/>
      <c r="L16" s="29">
        <v>6</v>
      </c>
      <c r="M16" s="30">
        <v>200</v>
      </c>
      <c r="N16" s="29"/>
      <c r="O16" s="29">
        <v>102</v>
      </c>
      <c r="P16" s="29">
        <v>19</v>
      </c>
      <c r="Q16" s="30">
        <v>1</v>
      </c>
      <c r="R16" s="29"/>
      <c r="S16" s="29">
        <v>657</v>
      </c>
      <c r="T16" s="29">
        <v>118</v>
      </c>
      <c r="U16" s="29">
        <v>169</v>
      </c>
      <c r="V16" s="30"/>
      <c r="X16">
        <f t="shared" si="0"/>
        <v>0</v>
      </c>
      <c r="Y16">
        <f t="shared" si="1"/>
        <v>-19</v>
      </c>
      <c r="Z16">
        <f t="shared" si="3"/>
        <v>79</v>
      </c>
      <c r="AB16" s="25" t="s">
        <v>13</v>
      </c>
      <c r="AC16" s="17">
        <v>496</v>
      </c>
      <c r="AD16" s="19">
        <v>177</v>
      </c>
      <c r="AE16" s="19">
        <v>64</v>
      </c>
      <c r="AF16" s="19">
        <v>27</v>
      </c>
      <c r="AG16" s="20">
        <v>228</v>
      </c>
      <c r="AH16">
        <f t="shared" si="2"/>
        <v>0</v>
      </c>
    </row>
    <row r="17" spans="1:34">
      <c r="A17" s="2" t="s">
        <v>14</v>
      </c>
      <c r="B17" s="30">
        <v>5598</v>
      </c>
      <c r="C17" s="29">
        <v>241</v>
      </c>
      <c r="D17" s="29"/>
      <c r="E17" s="30">
        <v>4894</v>
      </c>
      <c r="F17" s="30">
        <v>4669</v>
      </c>
      <c r="G17" s="29"/>
      <c r="H17" s="29"/>
      <c r="I17" s="30">
        <v>11</v>
      </c>
      <c r="J17" s="30"/>
      <c r="K17" s="29"/>
      <c r="L17" s="29"/>
      <c r="M17" s="30">
        <v>236</v>
      </c>
      <c r="N17" s="30"/>
      <c r="O17" s="29">
        <v>29</v>
      </c>
      <c r="P17" s="29">
        <v>66</v>
      </c>
      <c r="Q17" s="30">
        <v>1</v>
      </c>
      <c r="R17" s="30"/>
      <c r="S17" s="30"/>
      <c r="T17" s="29">
        <v>177</v>
      </c>
      <c r="U17" s="29">
        <v>287</v>
      </c>
      <c r="V17" s="30"/>
      <c r="X17">
        <f t="shared" si="0"/>
        <v>-1</v>
      </c>
      <c r="Y17">
        <f t="shared" si="1"/>
        <v>-22</v>
      </c>
      <c r="Z17">
        <f t="shared" si="3"/>
        <v>141</v>
      </c>
      <c r="AB17" s="25" t="s">
        <v>14</v>
      </c>
      <c r="AC17" s="17">
        <v>503</v>
      </c>
      <c r="AD17" s="19">
        <v>5</v>
      </c>
      <c r="AE17" s="19">
        <v>301</v>
      </c>
      <c r="AF17" s="19">
        <v>45</v>
      </c>
      <c r="AG17" s="20">
        <v>153</v>
      </c>
      <c r="AH17">
        <f t="shared" si="2"/>
        <v>-1</v>
      </c>
    </row>
    <row r="18" spans="1:34">
      <c r="A18" s="2" t="s">
        <v>15</v>
      </c>
      <c r="B18" s="29">
        <v>4807</v>
      </c>
      <c r="C18" s="29">
        <v>918</v>
      </c>
      <c r="D18" s="29"/>
      <c r="E18" s="30">
        <v>2893</v>
      </c>
      <c r="F18" s="29">
        <v>2394</v>
      </c>
      <c r="G18" s="29"/>
      <c r="H18" s="29"/>
      <c r="I18" s="30">
        <v>387</v>
      </c>
      <c r="J18" s="29"/>
      <c r="K18" s="29"/>
      <c r="L18" s="29"/>
      <c r="M18" s="30">
        <v>121</v>
      </c>
      <c r="N18" s="29"/>
      <c r="O18" s="29">
        <v>30</v>
      </c>
      <c r="P18" s="29">
        <v>5</v>
      </c>
      <c r="Q18" s="30">
        <v>1</v>
      </c>
      <c r="R18" s="29"/>
      <c r="S18" s="29">
        <v>762</v>
      </c>
      <c r="T18" s="29">
        <v>214</v>
      </c>
      <c r="U18" s="29">
        <v>20</v>
      </c>
      <c r="V18" s="30"/>
      <c r="X18">
        <f t="shared" si="0"/>
        <v>0</v>
      </c>
      <c r="Y18">
        <f t="shared" si="1"/>
        <v>-9</v>
      </c>
      <c r="Z18">
        <f t="shared" si="3"/>
        <v>86</v>
      </c>
      <c r="AB18" s="25" t="s">
        <v>15</v>
      </c>
      <c r="AC18" s="17">
        <v>338</v>
      </c>
      <c r="AD18" s="19">
        <v>6</v>
      </c>
      <c r="AE18" s="19">
        <v>33</v>
      </c>
      <c r="AF18" s="19">
        <v>62</v>
      </c>
      <c r="AG18" s="20">
        <v>20</v>
      </c>
      <c r="AH18">
        <f t="shared" si="2"/>
        <v>217</v>
      </c>
    </row>
    <row r="19" spans="1:34">
      <c r="A19" s="2" t="s">
        <v>16</v>
      </c>
      <c r="B19" s="30">
        <v>2610</v>
      </c>
      <c r="C19" s="29">
        <v>412</v>
      </c>
      <c r="D19" s="29"/>
      <c r="E19" s="30">
        <v>1913</v>
      </c>
      <c r="F19" s="30">
        <v>1721</v>
      </c>
      <c r="G19" s="29"/>
      <c r="H19" s="29"/>
      <c r="I19" s="30">
        <v>10</v>
      </c>
      <c r="J19" s="30"/>
      <c r="K19" s="29"/>
      <c r="L19" s="29"/>
      <c r="M19" s="30">
        <v>187</v>
      </c>
      <c r="N19" s="30"/>
      <c r="O19" s="29">
        <v>7</v>
      </c>
      <c r="P19" s="29">
        <v>20</v>
      </c>
      <c r="Q19" s="30">
        <v>0</v>
      </c>
      <c r="R19" s="30"/>
      <c r="S19" s="30"/>
      <c r="T19" s="29">
        <v>108</v>
      </c>
      <c r="U19" s="29">
        <v>178</v>
      </c>
      <c r="V19" s="30"/>
      <c r="X19">
        <f t="shared" si="0"/>
        <v>-1</v>
      </c>
      <c r="Y19">
        <f t="shared" si="1"/>
        <v>-5</v>
      </c>
      <c r="Z19">
        <f t="shared" si="3"/>
        <v>160</v>
      </c>
      <c r="AB19" s="25" t="s">
        <v>16</v>
      </c>
      <c r="AC19" s="17">
        <v>400</v>
      </c>
      <c r="AD19" s="19">
        <v>121</v>
      </c>
      <c r="AE19" s="19">
        <v>115</v>
      </c>
      <c r="AF19" s="19">
        <v>27</v>
      </c>
      <c r="AG19" s="20">
        <v>137</v>
      </c>
      <c r="AH19">
        <f t="shared" si="2"/>
        <v>0</v>
      </c>
    </row>
    <row r="20" spans="1:34">
      <c r="A20" s="2" t="s">
        <v>17</v>
      </c>
      <c r="B20" s="30">
        <v>10817</v>
      </c>
      <c r="C20" s="30">
        <v>101</v>
      </c>
      <c r="D20" s="30"/>
      <c r="E20" s="30">
        <v>9521</v>
      </c>
      <c r="F20" s="30">
        <v>9015</v>
      </c>
      <c r="G20" s="30"/>
      <c r="H20" s="30"/>
      <c r="I20" s="30">
        <v>6</v>
      </c>
      <c r="J20" s="30"/>
      <c r="K20" s="30"/>
      <c r="L20" s="30"/>
      <c r="M20" s="30">
        <v>519</v>
      </c>
      <c r="N20" s="30"/>
      <c r="O20" s="30">
        <v>56</v>
      </c>
      <c r="P20" s="30">
        <v>117</v>
      </c>
      <c r="Q20" s="30">
        <v>6</v>
      </c>
      <c r="R20" s="30"/>
      <c r="S20" s="30"/>
      <c r="T20" s="30">
        <v>839</v>
      </c>
      <c r="U20" s="30">
        <v>356</v>
      </c>
      <c r="V20" s="30"/>
      <c r="X20">
        <f t="shared" si="0"/>
        <v>0</v>
      </c>
      <c r="Y20">
        <f t="shared" si="1"/>
        <v>-19</v>
      </c>
      <c r="Z20">
        <f t="shared" si="3"/>
        <v>346</v>
      </c>
      <c r="AB20" s="25" t="s">
        <v>17</v>
      </c>
      <c r="AC20" s="17">
        <v>1281</v>
      </c>
      <c r="AD20" s="18"/>
      <c r="AE20" s="19">
        <v>883</v>
      </c>
      <c r="AF20" s="19">
        <v>111</v>
      </c>
      <c r="AG20" s="20">
        <v>286</v>
      </c>
      <c r="AH20">
        <f t="shared" si="2"/>
        <v>1</v>
      </c>
    </row>
    <row r="21" spans="1:34">
      <c r="A21" s="2" t="s">
        <v>18</v>
      </c>
      <c r="B21" s="30">
        <v>7165</v>
      </c>
      <c r="C21" s="29">
        <v>389</v>
      </c>
      <c r="D21" s="29"/>
      <c r="E21" s="30">
        <v>6422</v>
      </c>
      <c r="F21" s="30">
        <v>6164</v>
      </c>
      <c r="G21" s="29"/>
      <c r="H21" s="29"/>
      <c r="I21" s="30">
        <v>161</v>
      </c>
      <c r="J21" s="30"/>
      <c r="K21" s="29"/>
      <c r="L21" s="29"/>
      <c r="M21" s="30">
        <v>106</v>
      </c>
      <c r="N21" s="30"/>
      <c r="O21" s="29">
        <v>8</v>
      </c>
      <c r="P21" s="29">
        <v>39</v>
      </c>
      <c r="Q21" s="30"/>
      <c r="R21" s="30"/>
      <c r="S21" s="30"/>
      <c r="T21" s="29">
        <v>104</v>
      </c>
      <c r="U21" s="29">
        <v>250</v>
      </c>
      <c r="V21" s="30"/>
      <c r="X21">
        <f t="shared" si="0"/>
        <v>0</v>
      </c>
      <c r="Y21">
        <f t="shared" si="1"/>
        <v>-9</v>
      </c>
      <c r="Z21">
        <f t="shared" si="3"/>
        <v>59</v>
      </c>
      <c r="AB21" s="25" t="s">
        <v>18</v>
      </c>
      <c r="AC21" s="17">
        <v>387</v>
      </c>
      <c r="AD21" s="18"/>
      <c r="AE21" s="19">
        <v>102</v>
      </c>
      <c r="AF21" s="19">
        <v>34</v>
      </c>
      <c r="AG21" s="20">
        <v>250</v>
      </c>
      <c r="AH21">
        <f t="shared" si="2"/>
        <v>1</v>
      </c>
    </row>
    <row r="22" spans="1:34">
      <c r="A22" s="2" t="s">
        <v>19</v>
      </c>
      <c r="B22" s="30">
        <v>6604</v>
      </c>
      <c r="C22" s="29">
        <v>3552</v>
      </c>
      <c r="D22" s="29"/>
      <c r="E22" s="30">
        <v>2685</v>
      </c>
      <c r="F22" s="30">
        <v>2405</v>
      </c>
      <c r="G22" s="29"/>
      <c r="H22" s="29"/>
      <c r="I22" s="30">
        <v>76</v>
      </c>
      <c r="J22" s="30"/>
      <c r="K22" s="29"/>
      <c r="L22" s="29"/>
      <c r="M22" s="30">
        <v>213</v>
      </c>
      <c r="N22" s="30"/>
      <c r="O22" s="29">
        <v>21</v>
      </c>
      <c r="P22" s="29">
        <v>43</v>
      </c>
      <c r="Q22" s="30">
        <v>1</v>
      </c>
      <c r="R22" s="30"/>
      <c r="S22" s="30"/>
      <c r="T22" s="29">
        <v>201</v>
      </c>
      <c r="U22" s="29">
        <v>166</v>
      </c>
      <c r="V22" s="30"/>
      <c r="X22">
        <f t="shared" si="0"/>
        <v>0</v>
      </c>
      <c r="Y22">
        <f t="shared" si="1"/>
        <v>-9</v>
      </c>
      <c r="Z22">
        <f t="shared" si="3"/>
        <v>149</v>
      </c>
      <c r="AB22" s="25" t="s">
        <v>19</v>
      </c>
      <c r="AC22" s="17">
        <v>376</v>
      </c>
      <c r="AD22" s="19">
        <v>13</v>
      </c>
      <c r="AE22" s="19">
        <v>122</v>
      </c>
      <c r="AF22" s="19">
        <v>83</v>
      </c>
      <c r="AG22" s="20">
        <v>158</v>
      </c>
      <c r="AH22">
        <f t="shared" si="2"/>
        <v>0</v>
      </c>
    </row>
    <row r="23" spans="1:34">
      <c r="A23" s="2" t="s">
        <v>20</v>
      </c>
      <c r="B23" s="30">
        <v>3774</v>
      </c>
      <c r="C23" s="29">
        <v>1236</v>
      </c>
      <c r="D23" s="29"/>
      <c r="E23" s="29">
        <v>2311</v>
      </c>
      <c r="F23" s="30">
        <v>2113</v>
      </c>
      <c r="G23" s="29"/>
      <c r="H23" s="29"/>
      <c r="I23" s="29">
        <v>10</v>
      </c>
      <c r="J23" s="30"/>
      <c r="K23" s="29"/>
      <c r="L23" s="29">
        <v>7</v>
      </c>
      <c r="M23" s="29">
        <v>191</v>
      </c>
      <c r="N23" s="30"/>
      <c r="O23" s="29">
        <v>10</v>
      </c>
      <c r="P23" s="29">
        <v>21</v>
      </c>
      <c r="Q23" s="29">
        <v>9</v>
      </c>
      <c r="R23" s="30"/>
      <c r="S23" s="30"/>
      <c r="T23" s="29">
        <v>217</v>
      </c>
      <c r="U23" s="29">
        <v>10</v>
      </c>
      <c r="V23" s="29"/>
      <c r="X23">
        <f t="shared" si="0"/>
        <v>0</v>
      </c>
      <c r="Y23">
        <f t="shared" si="1"/>
        <v>-10</v>
      </c>
      <c r="Z23">
        <f t="shared" si="3"/>
        <v>160</v>
      </c>
      <c r="AB23" s="25" t="s">
        <v>20</v>
      </c>
      <c r="AC23" s="17">
        <v>135</v>
      </c>
      <c r="AD23" s="19">
        <v>27</v>
      </c>
      <c r="AE23" s="19">
        <v>9</v>
      </c>
      <c r="AF23" s="19">
        <v>86</v>
      </c>
      <c r="AG23" s="20">
        <v>13</v>
      </c>
      <c r="AH23">
        <f t="shared" si="2"/>
        <v>0</v>
      </c>
    </row>
    <row r="24" spans="1:34">
      <c r="A24" s="2" t="s">
        <v>21</v>
      </c>
      <c r="B24" s="29">
        <v>9933</v>
      </c>
      <c r="C24" s="29">
        <v>954</v>
      </c>
      <c r="D24" s="29"/>
      <c r="E24" s="29">
        <v>7709</v>
      </c>
      <c r="F24" s="29">
        <v>5992</v>
      </c>
      <c r="G24" s="29"/>
      <c r="H24" s="29"/>
      <c r="I24" s="29">
        <v>1569</v>
      </c>
      <c r="J24" s="29"/>
      <c r="K24" s="29"/>
      <c r="L24" s="29">
        <v>33</v>
      </c>
      <c r="M24" s="29">
        <v>128</v>
      </c>
      <c r="N24" s="29"/>
      <c r="O24" s="29">
        <v>62</v>
      </c>
      <c r="P24" s="29">
        <v>16</v>
      </c>
      <c r="Q24" s="29">
        <v>4</v>
      </c>
      <c r="R24" s="29"/>
      <c r="S24" s="29">
        <v>938</v>
      </c>
      <c r="T24" s="29">
        <v>268</v>
      </c>
      <c r="U24" s="29">
        <v>63</v>
      </c>
      <c r="V24" s="29">
        <v>1</v>
      </c>
      <c r="X24">
        <f t="shared" si="0"/>
        <v>0</v>
      </c>
      <c r="Y24">
        <f t="shared" si="1"/>
        <v>-13</v>
      </c>
      <c r="Z24">
        <f t="shared" si="3"/>
        <v>50</v>
      </c>
      <c r="AB24" s="25" t="s">
        <v>21</v>
      </c>
      <c r="AC24" s="17">
        <v>300</v>
      </c>
      <c r="AD24" s="19">
        <v>96</v>
      </c>
      <c r="AE24" s="19">
        <v>60</v>
      </c>
      <c r="AF24" s="19">
        <v>16</v>
      </c>
      <c r="AG24" s="20">
        <v>19</v>
      </c>
      <c r="AH24">
        <f t="shared" si="2"/>
        <v>109</v>
      </c>
    </row>
    <row r="25" spans="1:34">
      <c r="A25" s="2" t="s">
        <v>22</v>
      </c>
      <c r="B25" s="30">
        <v>3931</v>
      </c>
      <c r="C25" s="30">
        <v>1493</v>
      </c>
      <c r="D25" s="30"/>
      <c r="E25" s="30">
        <v>2140</v>
      </c>
      <c r="F25" s="30">
        <v>1615</v>
      </c>
      <c r="G25" s="30"/>
      <c r="H25" s="30"/>
      <c r="I25" s="30">
        <v>12</v>
      </c>
      <c r="J25" s="30"/>
      <c r="K25" s="30"/>
      <c r="L25" s="30"/>
      <c r="M25" s="30">
        <v>558</v>
      </c>
      <c r="N25" s="30"/>
      <c r="O25" s="30">
        <v>8</v>
      </c>
      <c r="P25" s="30">
        <v>155</v>
      </c>
      <c r="Q25" s="30"/>
      <c r="R25" s="30"/>
      <c r="S25" s="30">
        <v>217</v>
      </c>
      <c r="T25" s="30">
        <v>70</v>
      </c>
      <c r="U25" s="30">
        <v>12</v>
      </c>
      <c r="V25" s="30"/>
      <c r="X25">
        <f t="shared" si="0"/>
        <v>-1</v>
      </c>
      <c r="Y25">
        <f>E25-F25-I25-L25-M25</f>
        <v>-45</v>
      </c>
      <c r="Z25">
        <f t="shared" si="3"/>
        <v>395</v>
      </c>
      <c r="AB25" s="25" t="s">
        <v>22</v>
      </c>
      <c r="AC25" s="17">
        <v>798</v>
      </c>
      <c r="AD25" s="19">
        <v>14</v>
      </c>
      <c r="AE25" s="19">
        <v>528</v>
      </c>
      <c r="AF25" s="19">
        <v>35</v>
      </c>
      <c r="AG25" s="20">
        <v>4</v>
      </c>
      <c r="AH25">
        <f t="shared" si="2"/>
        <v>217</v>
      </c>
    </row>
    <row r="26" spans="1:34">
      <c r="A26" s="2" t="s">
        <v>23</v>
      </c>
      <c r="B26" s="29">
        <v>711</v>
      </c>
      <c r="C26" s="29">
        <v>62</v>
      </c>
      <c r="D26" s="29"/>
      <c r="E26" s="30">
        <v>463</v>
      </c>
      <c r="F26" s="29">
        <v>376</v>
      </c>
      <c r="G26" s="29"/>
      <c r="H26" s="29"/>
      <c r="I26" s="30">
        <v>72</v>
      </c>
      <c r="J26" s="29"/>
      <c r="K26" s="29"/>
      <c r="L26" s="29"/>
      <c r="M26" s="30">
        <v>16</v>
      </c>
      <c r="N26" s="29"/>
      <c r="O26" s="29">
        <v>7</v>
      </c>
      <c r="P26" s="29"/>
      <c r="Q26" s="30">
        <v>0</v>
      </c>
      <c r="R26" s="29"/>
      <c r="S26" s="29">
        <v>130</v>
      </c>
      <c r="T26" s="29">
        <v>31</v>
      </c>
      <c r="U26" s="29">
        <v>24</v>
      </c>
      <c r="V26" s="30"/>
      <c r="X26">
        <f t="shared" si="0"/>
        <v>1</v>
      </c>
      <c r="Y26">
        <f t="shared" si="1"/>
        <v>-1</v>
      </c>
      <c r="Z26">
        <f t="shared" si="3"/>
        <v>9</v>
      </c>
      <c r="AB26" s="25" t="s">
        <v>23</v>
      </c>
      <c r="AC26" s="17">
        <v>66</v>
      </c>
      <c r="AD26" s="18"/>
      <c r="AE26" s="18"/>
      <c r="AF26" s="18"/>
      <c r="AG26" s="20">
        <v>1</v>
      </c>
      <c r="AH26">
        <f t="shared" si="2"/>
        <v>65</v>
      </c>
    </row>
    <row r="27" spans="1:34">
      <c r="A27" s="2" t="s">
        <v>24</v>
      </c>
      <c r="B27" s="30">
        <v>2066</v>
      </c>
      <c r="C27" s="29">
        <v>581</v>
      </c>
      <c r="D27" s="29"/>
      <c r="E27" s="30">
        <v>1457</v>
      </c>
      <c r="F27" s="30">
        <v>1256</v>
      </c>
      <c r="G27" s="29"/>
      <c r="H27" s="29"/>
      <c r="I27" s="30">
        <v>162</v>
      </c>
      <c r="J27" s="30"/>
      <c r="K27" s="29"/>
      <c r="L27" s="29"/>
      <c r="M27" s="30">
        <v>44</v>
      </c>
      <c r="N27" s="30"/>
      <c r="O27" s="29">
        <v>10</v>
      </c>
      <c r="P27" s="29">
        <v>4</v>
      </c>
      <c r="Q27" s="30">
        <v>0</v>
      </c>
      <c r="R27" s="30"/>
      <c r="S27" s="30"/>
      <c r="T27" s="29">
        <v>28</v>
      </c>
      <c r="U27" s="29"/>
      <c r="V27" s="30"/>
      <c r="X27">
        <f t="shared" si="0"/>
        <v>0</v>
      </c>
      <c r="Y27">
        <f t="shared" si="1"/>
        <v>-5</v>
      </c>
      <c r="Z27">
        <f t="shared" si="3"/>
        <v>30</v>
      </c>
      <c r="AB27" s="25" t="s">
        <v>24</v>
      </c>
      <c r="AC27" s="17">
        <v>154</v>
      </c>
      <c r="AD27" s="19">
        <v>11</v>
      </c>
      <c r="AE27" s="19">
        <v>132</v>
      </c>
      <c r="AF27" s="19">
        <v>10</v>
      </c>
      <c r="AG27" s="20">
        <v>1</v>
      </c>
      <c r="AH27">
        <f t="shared" si="2"/>
        <v>0</v>
      </c>
    </row>
    <row r="28" spans="1:34">
      <c r="A28" s="2" t="s">
        <v>25</v>
      </c>
      <c r="B28" s="30">
        <v>8661</v>
      </c>
      <c r="C28" s="29">
        <v>6834</v>
      </c>
      <c r="D28" s="29"/>
      <c r="E28" s="30">
        <v>1608</v>
      </c>
      <c r="F28" s="30">
        <v>1399</v>
      </c>
      <c r="G28" s="29"/>
      <c r="H28" s="29"/>
      <c r="I28" s="30">
        <v>122</v>
      </c>
      <c r="J28" s="30"/>
      <c r="K28" s="29"/>
      <c r="L28" s="29"/>
      <c r="M28" s="30">
        <v>121</v>
      </c>
      <c r="N28" s="30"/>
      <c r="O28" s="29">
        <v>27</v>
      </c>
      <c r="P28" s="29">
        <v>3</v>
      </c>
      <c r="Q28" s="30"/>
      <c r="R28" s="30"/>
      <c r="S28" s="30"/>
      <c r="T28" s="29">
        <v>125</v>
      </c>
      <c r="U28" s="29">
        <v>94</v>
      </c>
      <c r="V28" s="30"/>
      <c r="X28">
        <f t="shared" si="0"/>
        <v>0</v>
      </c>
      <c r="Y28">
        <f t="shared" si="1"/>
        <v>-34</v>
      </c>
      <c r="Z28">
        <f t="shared" si="3"/>
        <v>91</v>
      </c>
      <c r="AB28" s="25" t="s">
        <v>25</v>
      </c>
      <c r="AC28" s="17">
        <v>489</v>
      </c>
      <c r="AD28" s="19">
        <v>308</v>
      </c>
      <c r="AE28" s="19">
        <v>30</v>
      </c>
      <c r="AF28" s="19">
        <v>68</v>
      </c>
      <c r="AG28" s="20">
        <v>83</v>
      </c>
      <c r="AH28">
        <f t="shared" si="2"/>
        <v>0</v>
      </c>
    </row>
    <row r="29" spans="1:34">
      <c r="A29" s="2" t="s">
        <v>26</v>
      </c>
      <c r="B29" s="30">
        <v>5272</v>
      </c>
      <c r="C29" s="29">
        <v>1850</v>
      </c>
      <c r="D29" s="29"/>
      <c r="E29" s="30">
        <v>3014</v>
      </c>
      <c r="F29" s="30">
        <v>3005</v>
      </c>
      <c r="G29" s="29"/>
      <c r="H29" s="29"/>
      <c r="I29" s="30"/>
      <c r="J29" s="30"/>
      <c r="K29" s="29"/>
      <c r="L29" s="29"/>
      <c r="M29" s="30">
        <v>8</v>
      </c>
      <c r="N29" s="30"/>
      <c r="O29" s="29">
        <v>2</v>
      </c>
      <c r="P29" s="29">
        <v>6</v>
      </c>
      <c r="Q29" s="30"/>
      <c r="R29" s="30"/>
      <c r="S29" s="30"/>
      <c r="T29" s="29">
        <v>362</v>
      </c>
      <c r="U29" s="29">
        <v>46</v>
      </c>
      <c r="V29" s="30"/>
      <c r="X29">
        <f t="shared" si="0"/>
        <v>0</v>
      </c>
      <c r="Y29">
        <f t="shared" si="1"/>
        <v>1</v>
      </c>
      <c r="Z29">
        <f t="shared" si="3"/>
        <v>0</v>
      </c>
      <c r="AB29" s="25" t="s">
        <v>26</v>
      </c>
      <c r="AC29" s="17">
        <v>359</v>
      </c>
      <c r="AD29" s="19">
        <v>9</v>
      </c>
      <c r="AE29" s="19">
        <v>318</v>
      </c>
      <c r="AF29" s="19">
        <v>32</v>
      </c>
      <c r="AG29" s="22"/>
      <c r="AH29">
        <f t="shared" si="2"/>
        <v>0</v>
      </c>
    </row>
    <row r="30" spans="1:34">
      <c r="A30" s="2" t="s">
        <v>27</v>
      </c>
      <c r="B30" s="30">
        <v>8236</v>
      </c>
      <c r="C30" s="30">
        <v>5895</v>
      </c>
      <c r="D30" s="30"/>
      <c r="E30" s="30">
        <v>1396</v>
      </c>
      <c r="F30" s="30">
        <v>1301</v>
      </c>
      <c r="G30" s="30"/>
      <c r="H30" s="30"/>
      <c r="I30" s="30">
        <v>2</v>
      </c>
      <c r="J30" s="30"/>
      <c r="K30" s="30"/>
      <c r="L30" s="30"/>
      <c r="M30" s="30">
        <v>309</v>
      </c>
      <c r="N30" s="30"/>
      <c r="O30" s="30">
        <v>10</v>
      </c>
      <c r="P30" s="30">
        <v>20</v>
      </c>
      <c r="Q30" s="30"/>
      <c r="R30" s="30"/>
      <c r="S30" s="30"/>
      <c r="T30" s="30">
        <v>737</v>
      </c>
      <c r="U30" s="30">
        <v>208</v>
      </c>
      <c r="V30" s="30"/>
      <c r="X30">
        <f t="shared" si="0"/>
        <v>0</v>
      </c>
      <c r="Y30">
        <f t="shared" si="1"/>
        <v>-216</v>
      </c>
      <c r="Z30">
        <f t="shared" si="3"/>
        <v>279</v>
      </c>
      <c r="AB30" s="25" t="s">
        <v>27</v>
      </c>
      <c r="AC30" s="17">
        <v>289</v>
      </c>
      <c r="AD30" s="19">
        <v>180</v>
      </c>
      <c r="AE30" s="18"/>
      <c r="AF30" s="19">
        <v>97</v>
      </c>
      <c r="AG30" s="20">
        <v>12</v>
      </c>
      <c r="AH30">
        <f t="shared" si="2"/>
        <v>0</v>
      </c>
    </row>
    <row r="31" spans="1:34">
      <c r="A31" s="2" t="s">
        <v>28</v>
      </c>
      <c r="B31" s="30">
        <v>229</v>
      </c>
      <c r="C31" s="29">
        <v>153</v>
      </c>
      <c r="D31" s="29"/>
      <c r="E31" s="29">
        <v>40</v>
      </c>
      <c r="F31" s="30"/>
      <c r="G31" s="29"/>
      <c r="H31" s="29"/>
      <c r="I31" s="29"/>
      <c r="J31" s="30"/>
      <c r="K31" s="29"/>
      <c r="L31" s="29">
        <v>39</v>
      </c>
      <c r="M31" s="29">
        <v>2</v>
      </c>
      <c r="N31" s="30"/>
      <c r="O31" s="29"/>
      <c r="P31" s="29"/>
      <c r="Q31" s="29"/>
      <c r="R31" s="30"/>
      <c r="S31" s="30"/>
      <c r="T31" s="29">
        <v>1</v>
      </c>
      <c r="U31" s="29">
        <v>33</v>
      </c>
      <c r="V31" s="29">
        <v>2</v>
      </c>
      <c r="X31">
        <f t="shared" si="0"/>
        <v>0</v>
      </c>
      <c r="Y31">
        <f t="shared" si="1"/>
        <v>-1</v>
      </c>
      <c r="Z31">
        <f t="shared" si="3"/>
        <v>2</v>
      </c>
      <c r="AB31" s="25" t="s">
        <v>28</v>
      </c>
      <c r="AC31" s="17">
        <v>60</v>
      </c>
      <c r="AD31" s="19">
        <v>41</v>
      </c>
      <c r="AE31" s="19">
        <v>3</v>
      </c>
      <c r="AF31" s="18"/>
      <c r="AG31" s="20">
        <v>16</v>
      </c>
      <c r="AH31">
        <f t="shared" si="2"/>
        <v>0</v>
      </c>
    </row>
    <row r="32" spans="1:34">
      <c r="A32" s="2" t="s">
        <v>29</v>
      </c>
      <c r="B32" s="30">
        <v>3686</v>
      </c>
      <c r="C32" s="29">
        <v>232</v>
      </c>
      <c r="D32" s="29"/>
      <c r="E32" s="30">
        <v>3036</v>
      </c>
      <c r="F32" s="30">
        <v>2997</v>
      </c>
      <c r="G32" s="29"/>
      <c r="H32" s="29"/>
      <c r="I32" s="30"/>
      <c r="J32" s="30"/>
      <c r="K32" s="29"/>
      <c r="L32" s="29"/>
      <c r="M32" s="30">
        <v>46</v>
      </c>
      <c r="N32" s="30"/>
      <c r="O32" s="29">
        <v>2</v>
      </c>
      <c r="P32" s="29"/>
      <c r="Q32" s="30"/>
      <c r="R32" s="30"/>
      <c r="S32" s="30"/>
      <c r="T32" s="29">
        <v>179</v>
      </c>
      <c r="U32" s="29">
        <v>239</v>
      </c>
      <c r="V32" s="30"/>
      <c r="X32">
        <f t="shared" si="0"/>
        <v>0</v>
      </c>
      <c r="Y32">
        <f t="shared" si="1"/>
        <v>-7</v>
      </c>
      <c r="Z32">
        <f t="shared" si="3"/>
        <v>44</v>
      </c>
      <c r="AB32" s="25" t="s">
        <v>29</v>
      </c>
      <c r="AC32" s="17">
        <v>450</v>
      </c>
      <c r="AD32" s="19">
        <v>15</v>
      </c>
      <c r="AE32" s="19">
        <v>149</v>
      </c>
      <c r="AF32" s="19">
        <v>91</v>
      </c>
      <c r="AG32" s="20">
        <v>194</v>
      </c>
      <c r="AH32">
        <f t="shared" si="2"/>
        <v>1</v>
      </c>
    </row>
    <row r="33" spans="1:34">
      <c r="A33" s="2" t="s">
        <v>30</v>
      </c>
      <c r="B33" s="30">
        <v>4703</v>
      </c>
      <c r="C33" s="31">
        <v>743</v>
      </c>
      <c r="D33" s="31"/>
      <c r="E33" s="30">
        <v>2002</v>
      </c>
      <c r="F33" s="30">
        <v>1966</v>
      </c>
      <c r="G33" s="31"/>
      <c r="H33" s="31"/>
      <c r="I33" s="30">
        <v>7</v>
      </c>
      <c r="J33" s="30"/>
      <c r="K33" s="31"/>
      <c r="L33" s="31"/>
      <c r="M33" s="30">
        <v>29</v>
      </c>
      <c r="N33" s="30"/>
      <c r="O33" s="31">
        <v>5</v>
      </c>
      <c r="P33" s="31">
        <v>3</v>
      </c>
      <c r="Q33" s="30"/>
      <c r="R33" s="30"/>
      <c r="S33" s="30"/>
      <c r="T33" s="31">
        <v>1277</v>
      </c>
      <c r="U33" s="31">
        <v>681</v>
      </c>
      <c r="V33" s="30"/>
      <c r="X33">
        <f t="shared" si="0"/>
        <v>0</v>
      </c>
      <c r="Y33">
        <f t="shared" si="1"/>
        <v>0</v>
      </c>
      <c r="Z33">
        <f t="shared" si="3"/>
        <v>21</v>
      </c>
      <c r="AB33" s="25" t="s">
        <v>30</v>
      </c>
      <c r="AC33" s="17">
        <v>152</v>
      </c>
      <c r="AD33" s="19">
        <v>9</v>
      </c>
      <c r="AE33" s="19">
        <v>40</v>
      </c>
      <c r="AF33" s="19">
        <v>25</v>
      </c>
      <c r="AG33" s="20">
        <v>78</v>
      </c>
      <c r="AH33">
        <f t="shared" si="2"/>
        <v>0</v>
      </c>
    </row>
    <row r="34" spans="1:34">
      <c r="A34" s="2" t="s">
        <v>31</v>
      </c>
      <c r="B34" s="30">
        <v>2297</v>
      </c>
      <c r="C34" s="30">
        <v>1168</v>
      </c>
      <c r="D34" s="30"/>
      <c r="E34" s="30">
        <v>381</v>
      </c>
      <c r="F34" s="30">
        <v>370</v>
      </c>
      <c r="G34" s="30"/>
      <c r="H34" s="30"/>
      <c r="I34" s="30">
        <v>33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>
        <v>69</v>
      </c>
      <c r="U34" s="30">
        <v>680</v>
      </c>
      <c r="V34" s="30"/>
      <c r="X34">
        <f t="shared" si="0"/>
        <v>-1</v>
      </c>
      <c r="Y34">
        <f t="shared" si="1"/>
        <v>-22</v>
      </c>
      <c r="Z34">
        <f t="shared" si="3"/>
        <v>0</v>
      </c>
      <c r="AB34" s="25" t="s">
        <v>31</v>
      </c>
      <c r="AC34" s="17">
        <v>319</v>
      </c>
      <c r="AD34" s="19">
        <v>46</v>
      </c>
      <c r="AE34" s="19">
        <v>113</v>
      </c>
      <c r="AF34" s="19">
        <v>30</v>
      </c>
      <c r="AG34" s="20">
        <v>131</v>
      </c>
      <c r="AH34">
        <f t="shared" si="2"/>
        <v>-1</v>
      </c>
    </row>
    <row r="35" spans="1:34">
      <c r="A35" s="2" t="s">
        <v>32</v>
      </c>
      <c r="B35" s="30">
        <v>3670</v>
      </c>
      <c r="C35" s="29">
        <v>42</v>
      </c>
      <c r="D35" s="29"/>
      <c r="E35" s="30">
        <v>2164</v>
      </c>
      <c r="F35" s="30">
        <v>2008</v>
      </c>
      <c r="G35" s="29"/>
      <c r="H35" s="29"/>
      <c r="I35" s="30">
        <v>81</v>
      </c>
      <c r="J35" s="30"/>
      <c r="K35" s="29"/>
      <c r="L35" s="29"/>
      <c r="M35" s="30">
        <v>75</v>
      </c>
      <c r="N35" s="30"/>
      <c r="O35" s="29">
        <v>2</v>
      </c>
      <c r="P35" s="29">
        <v>5</v>
      </c>
      <c r="Q35" s="30"/>
      <c r="R35" s="30"/>
      <c r="S35" s="30"/>
      <c r="T35" s="29">
        <v>942</v>
      </c>
      <c r="U35" s="29">
        <v>522</v>
      </c>
      <c r="V35" s="30"/>
      <c r="X35">
        <f t="shared" si="0"/>
        <v>0</v>
      </c>
      <c r="Y35">
        <f t="shared" si="1"/>
        <v>0</v>
      </c>
      <c r="Z35">
        <f t="shared" si="3"/>
        <v>68</v>
      </c>
      <c r="AB35" s="25" t="s">
        <v>32</v>
      </c>
      <c r="AC35" s="17">
        <v>574</v>
      </c>
      <c r="AD35" s="18"/>
      <c r="AE35" s="19">
        <v>180</v>
      </c>
      <c r="AF35" s="19">
        <v>177</v>
      </c>
      <c r="AG35" s="20">
        <v>217</v>
      </c>
      <c r="AH35">
        <f t="shared" si="2"/>
        <v>0</v>
      </c>
    </row>
    <row r="36" spans="1:34" ht="13.5" customHeight="1">
      <c r="A36" s="2" t="s">
        <v>33</v>
      </c>
      <c r="B36" s="30">
        <v>8083</v>
      </c>
      <c r="C36" s="29">
        <v>644</v>
      </c>
      <c r="D36" s="29"/>
      <c r="E36" s="30">
        <v>4771</v>
      </c>
      <c r="F36" s="30">
        <v>4642</v>
      </c>
      <c r="G36" s="29"/>
      <c r="H36" s="29"/>
      <c r="I36" s="30">
        <v>68</v>
      </c>
      <c r="J36" s="30"/>
      <c r="K36" s="29"/>
      <c r="L36" s="29"/>
      <c r="M36" s="30">
        <v>65</v>
      </c>
      <c r="N36" s="30"/>
      <c r="O36" s="29"/>
      <c r="P36" s="29">
        <v>3</v>
      </c>
      <c r="Q36" s="30"/>
      <c r="R36" s="30"/>
      <c r="S36" s="30"/>
      <c r="T36" s="29">
        <v>1776</v>
      </c>
      <c r="U36" s="29">
        <v>892</v>
      </c>
      <c r="V36" s="30"/>
      <c r="X36">
        <f t="shared" si="0"/>
        <v>0</v>
      </c>
      <c r="Y36">
        <f t="shared" si="1"/>
        <v>-4</v>
      </c>
      <c r="Z36">
        <f t="shared" si="3"/>
        <v>62</v>
      </c>
      <c r="AB36" s="26" t="s">
        <v>33</v>
      </c>
      <c r="AC36" s="12">
        <v>1085</v>
      </c>
      <c r="AD36" s="13">
        <v>98</v>
      </c>
      <c r="AE36" s="13">
        <v>394</v>
      </c>
      <c r="AF36" s="13">
        <v>262</v>
      </c>
      <c r="AG36" s="21">
        <v>330</v>
      </c>
      <c r="AH36">
        <f t="shared" si="2"/>
        <v>1</v>
      </c>
    </row>
    <row r="38" spans="1:34">
      <c r="B38">
        <f>B5-SUM(B6:B36)</f>
        <v>1</v>
      </c>
      <c r="C38">
        <f t="shared" ref="C38:V38" si="4">C5-SUM(C6:C36)</f>
        <v>0</v>
      </c>
      <c r="D38">
        <f t="shared" si="4"/>
        <v>0</v>
      </c>
      <c r="E38">
        <f t="shared" si="4"/>
        <v>-1</v>
      </c>
      <c r="F38">
        <f t="shared" si="4"/>
        <v>0</v>
      </c>
      <c r="H38">
        <f t="shared" si="4"/>
        <v>0</v>
      </c>
      <c r="I38">
        <f t="shared" si="4"/>
        <v>0</v>
      </c>
      <c r="J38">
        <f t="shared" si="4"/>
        <v>0</v>
      </c>
      <c r="L38">
        <f t="shared" si="4"/>
        <v>0</v>
      </c>
      <c r="M38">
        <f t="shared" si="4"/>
        <v>-1</v>
      </c>
      <c r="N38">
        <f t="shared" si="4"/>
        <v>0</v>
      </c>
      <c r="O38">
        <f t="shared" si="4"/>
        <v>1</v>
      </c>
      <c r="P38">
        <f t="shared" si="4"/>
        <v>0</v>
      </c>
      <c r="S38">
        <f t="shared" si="4"/>
        <v>0</v>
      </c>
      <c r="T38">
        <f t="shared" si="4"/>
        <v>-3</v>
      </c>
      <c r="U38">
        <f t="shared" si="4"/>
        <v>-4</v>
      </c>
      <c r="V38">
        <f t="shared" si="4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AC60-E4A1-4B8F-A1CE-6D5CA2BFAEE8}">
  <dimension ref="A1:AE38"/>
  <sheetViews>
    <sheetView workbookViewId="0">
      <selection activeCell="F5" sqref="F5:F36"/>
    </sheetView>
  </sheetViews>
  <sheetFormatPr defaultRowHeight="12.75"/>
  <cols>
    <col min="1" max="22" width="7.5703125" customWidth="1"/>
    <col min="31" max="31" width="7.5703125" customWidth="1"/>
  </cols>
  <sheetData>
    <row r="1" spans="1:31" ht="12.75" customHeight="1">
      <c r="A1" s="104" t="s">
        <v>62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X1" s="112" t="s">
        <v>67</v>
      </c>
      <c r="Y1" s="106"/>
      <c r="Z1" s="106"/>
      <c r="AA1" s="106"/>
      <c r="AB1" s="106"/>
      <c r="AC1" s="106"/>
      <c r="AD1" s="106"/>
      <c r="AE1" s="106"/>
    </row>
    <row r="2" spans="1:31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  <c r="X2" s="105" t="s">
        <v>35</v>
      </c>
      <c r="Y2" s="105" t="s">
        <v>64</v>
      </c>
      <c r="Z2" s="105" t="s">
        <v>65</v>
      </c>
      <c r="AA2" s="105" t="s">
        <v>38</v>
      </c>
      <c r="AB2" s="105" t="s">
        <v>39</v>
      </c>
      <c r="AC2" s="111" t="s">
        <v>1</v>
      </c>
      <c r="AD2" s="105" t="s">
        <v>40</v>
      </c>
      <c r="AE2" s="111" t="s">
        <v>63</v>
      </c>
    </row>
    <row r="3" spans="1:31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  <c r="X3" s="105"/>
      <c r="Y3" s="106"/>
      <c r="Z3" s="106"/>
      <c r="AA3" s="105"/>
      <c r="AB3" s="105"/>
      <c r="AC3" s="111"/>
      <c r="AD3" s="105"/>
      <c r="AE3" s="111"/>
    </row>
    <row r="4" spans="1:31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  <c r="X4" s="105"/>
      <c r="Y4" s="106"/>
      <c r="Z4" s="106"/>
      <c r="AA4" s="105"/>
      <c r="AB4" s="105"/>
      <c r="AC4" s="111"/>
      <c r="AD4" s="105"/>
      <c r="AE4" s="111"/>
    </row>
    <row r="5" spans="1:31">
      <c r="A5" s="4" t="s">
        <v>5</v>
      </c>
      <c r="B5" s="29">
        <v>171249</v>
      </c>
      <c r="C5" s="29">
        <v>31071</v>
      </c>
      <c r="D5" s="1"/>
      <c r="E5" s="29">
        <v>109992</v>
      </c>
      <c r="F5" s="41">
        <v>98130</v>
      </c>
      <c r="G5" s="1"/>
      <c r="H5" s="1"/>
      <c r="I5" s="41">
        <v>7570</v>
      </c>
      <c r="J5" s="1"/>
      <c r="K5" s="1"/>
      <c r="L5" s="41">
        <v>197</v>
      </c>
      <c r="M5" s="41">
        <v>4598</v>
      </c>
      <c r="N5" s="1"/>
      <c r="O5" s="41">
        <v>731</v>
      </c>
      <c r="P5" s="41">
        <v>872</v>
      </c>
      <c r="Q5" s="41">
        <v>47</v>
      </c>
      <c r="R5" s="1"/>
      <c r="S5" s="29">
        <v>3582</v>
      </c>
      <c r="T5" s="29">
        <v>16322</v>
      </c>
      <c r="U5" s="29">
        <v>10277</v>
      </c>
      <c r="V5" s="29">
        <v>5</v>
      </c>
      <c r="X5" s="7">
        <v>177708</v>
      </c>
      <c r="Y5" s="7">
        <v>34359</v>
      </c>
      <c r="Z5" s="7">
        <v>110495</v>
      </c>
      <c r="AA5" s="7">
        <v>3582</v>
      </c>
      <c r="AB5" s="7">
        <v>16325</v>
      </c>
      <c r="AC5" s="7">
        <v>12942</v>
      </c>
      <c r="AD5" s="7">
        <v>7</v>
      </c>
      <c r="AE5" s="41">
        <v>3658</v>
      </c>
    </row>
    <row r="6" spans="1:31">
      <c r="A6" s="2" t="s">
        <v>6</v>
      </c>
      <c r="B6" s="29">
        <v>1198</v>
      </c>
      <c r="C6" s="29">
        <v>98</v>
      </c>
      <c r="D6" s="1"/>
      <c r="E6" s="29">
        <v>1076</v>
      </c>
      <c r="F6" s="41">
        <v>85</v>
      </c>
      <c r="G6" s="1"/>
      <c r="H6" s="1"/>
      <c r="I6" s="41">
        <v>950</v>
      </c>
      <c r="J6" s="1"/>
      <c r="K6" s="1"/>
      <c r="L6" s="41">
        <v>22</v>
      </c>
      <c r="M6" s="41">
        <v>20</v>
      </c>
      <c r="N6" s="1"/>
      <c r="O6" s="41">
        <v>20</v>
      </c>
      <c r="P6" s="32"/>
      <c r="Q6" s="41">
        <v>1</v>
      </c>
      <c r="R6" s="1"/>
      <c r="S6" s="30"/>
      <c r="T6" s="29">
        <v>19</v>
      </c>
      <c r="U6" s="29">
        <v>5</v>
      </c>
      <c r="V6" s="30"/>
      <c r="X6" s="7">
        <v>1219</v>
      </c>
      <c r="Y6" s="7">
        <v>98</v>
      </c>
      <c r="Z6" s="7">
        <v>1077</v>
      </c>
      <c r="AA6" s="39"/>
      <c r="AB6" s="7">
        <v>19</v>
      </c>
      <c r="AC6" s="7">
        <v>25</v>
      </c>
      <c r="AD6" s="39"/>
      <c r="AE6" s="41">
        <v>22</v>
      </c>
    </row>
    <row r="7" spans="1:31">
      <c r="A7" s="2" t="s">
        <v>7</v>
      </c>
      <c r="B7" s="29">
        <v>1483</v>
      </c>
      <c r="C7" s="30"/>
      <c r="D7" s="1"/>
      <c r="E7" s="29">
        <v>1400</v>
      </c>
      <c r="F7" s="41">
        <v>1072</v>
      </c>
      <c r="G7" s="1"/>
      <c r="H7" s="1"/>
      <c r="I7" s="41">
        <v>304</v>
      </c>
      <c r="J7" s="1"/>
      <c r="K7" s="1"/>
      <c r="L7" s="33"/>
      <c r="M7" s="41">
        <v>27</v>
      </c>
      <c r="N7" s="1"/>
      <c r="O7" s="41">
        <v>10</v>
      </c>
      <c r="P7" s="33"/>
      <c r="Q7" s="36"/>
      <c r="R7" s="1"/>
      <c r="S7" s="30"/>
      <c r="T7" s="29">
        <v>28</v>
      </c>
      <c r="U7" s="29">
        <v>55</v>
      </c>
      <c r="V7" s="30"/>
      <c r="X7" s="7">
        <v>1499</v>
      </c>
      <c r="Y7" s="7">
        <v>1</v>
      </c>
      <c r="Z7" s="7">
        <v>1402</v>
      </c>
      <c r="AA7" s="39"/>
      <c r="AB7" s="7">
        <v>29</v>
      </c>
      <c r="AC7" s="7">
        <v>68</v>
      </c>
      <c r="AD7" s="39"/>
      <c r="AE7" s="41">
        <v>15</v>
      </c>
    </row>
    <row r="8" spans="1:31">
      <c r="A8" s="2" t="s">
        <v>8</v>
      </c>
      <c r="B8" s="29">
        <v>6576</v>
      </c>
      <c r="C8" s="29">
        <v>165</v>
      </c>
      <c r="D8" s="1"/>
      <c r="E8" s="29">
        <v>4566</v>
      </c>
      <c r="F8" s="41">
        <v>4282</v>
      </c>
      <c r="G8" s="1"/>
      <c r="H8" s="1"/>
      <c r="I8" s="41">
        <v>3</v>
      </c>
      <c r="J8" s="1"/>
      <c r="K8" s="1"/>
      <c r="L8" s="33"/>
      <c r="M8" s="41">
        <v>289</v>
      </c>
      <c r="N8" s="1"/>
      <c r="O8" s="41">
        <v>24</v>
      </c>
      <c r="P8" s="33">
        <v>44</v>
      </c>
      <c r="Q8" s="41">
        <v>1</v>
      </c>
      <c r="R8" s="1"/>
      <c r="S8" s="30"/>
      <c r="T8" s="29">
        <v>1181</v>
      </c>
      <c r="U8" s="29">
        <v>662</v>
      </c>
      <c r="V8" s="29">
        <v>2</v>
      </c>
      <c r="X8" s="7">
        <v>6807</v>
      </c>
      <c r="Y8" s="7">
        <v>182</v>
      </c>
      <c r="Z8" s="7">
        <v>4574</v>
      </c>
      <c r="AA8" s="39"/>
      <c r="AB8" s="7">
        <v>1181</v>
      </c>
      <c r="AC8" s="7">
        <v>868</v>
      </c>
      <c r="AD8" s="7">
        <v>2</v>
      </c>
      <c r="AE8" s="41">
        <v>351</v>
      </c>
    </row>
    <row r="9" spans="1:31">
      <c r="A9" s="2" t="s">
        <v>9</v>
      </c>
      <c r="B9" s="29">
        <v>7992</v>
      </c>
      <c r="C9" s="29">
        <v>235</v>
      </c>
      <c r="D9" s="1"/>
      <c r="E9" s="29">
        <v>6352</v>
      </c>
      <c r="F9" s="41">
        <v>5887</v>
      </c>
      <c r="G9" s="1"/>
      <c r="H9" s="1"/>
      <c r="I9" s="41">
        <v>291</v>
      </c>
      <c r="J9" s="1"/>
      <c r="K9" s="1"/>
      <c r="L9" s="33"/>
      <c r="M9" s="41">
        <v>189</v>
      </c>
      <c r="N9" s="1"/>
      <c r="O9" s="41">
        <v>11</v>
      </c>
      <c r="P9" s="33">
        <v>30</v>
      </c>
      <c r="Q9" s="41">
        <v>9</v>
      </c>
      <c r="R9" s="1"/>
      <c r="S9" s="30"/>
      <c r="T9" s="29">
        <v>872</v>
      </c>
      <c r="U9" s="29">
        <v>534</v>
      </c>
      <c r="V9" s="30"/>
      <c r="X9" s="7">
        <v>8073</v>
      </c>
      <c r="Y9" s="7">
        <v>244</v>
      </c>
      <c r="Z9" s="7">
        <v>6366</v>
      </c>
      <c r="AA9" s="39"/>
      <c r="AB9" s="7">
        <v>872</v>
      </c>
      <c r="AC9" s="7">
        <v>590</v>
      </c>
      <c r="AD9" s="39"/>
      <c r="AE9" s="41">
        <v>60</v>
      </c>
    </row>
    <row r="10" spans="1:31">
      <c r="A10" s="2" t="s">
        <v>2</v>
      </c>
      <c r="B10" s="29">
        <v>11810</v>
      </c>
      <c r="C10" s="29">
        <v>238</v>
      </c>
      <c r="D10" s="1"/>
      <c r="E10" s="29">
        <v>8162</v>
      </c>
      <c r="F10" s="41">
        <v>8103</v>
      </c>
      <c r="G10" s="1"/>
      <c r="H10" s="1"/>
      <c r="I10" s="41">
        <v>42</v>
      </c>
      <c r="J10" s="1"/>
      <c r="K10" s="1"/>
      <c r="L10" s="33"/>
      <c r="M10" s="41">
        <v>25</v>
      </c>
      <c r="N10" s="1"/>
      <c r="O10" s="41">
        <v>4</v>
      </c>
      <c r="P10" s="33">
        <v>12</v>
      </c>
      <c r="Q10" s="36"/>
      <c r="R10" s="1"/>
      <c r="S10" s="30"/>
      <c r="T10" s="29">
        <v>2669</v>
      </c>
      <c r="U10" s="29">
        <v>740</v>
      </c>
      <c r="V10" s="30"/>
      <c r="X10" s="7">
        <v>11826</v>
      </c>
      <c r="Y10" s="7">
        <v>242</v>
      </c>
      <c r="Z10" s="7">
        <v>8170</v>
      </c>
      <c r="AA10" s="39"/>
      <c r="AB10" s="7">
        <v>2670</v>
      </c>
      <c r="AC10" s="7">
        <v>743</v>
      </c>
      <c r="AD10" s="39"/>
      <c r="AE10" s="41">
        <v>2</v>
      </c>
    </row>
    <row r="11" spans="1:31">
      <c r="A11" s="2" t="s">
        <v>10</v>
      </c>
      <c r="B11" s="29">
        <v>4824</v>
      </c>
      <c r="C11" s="29">
        <v>279</v>
      </c>
      <c r="D11" s="1"/>
      <c r="E11" s="29">
        <v>3188</v>
      </c>
      <c r="F11" s="41">
        <v>3093</v>
      </c>
      <c r="G11" s="1"/>
      <c r="H11" s="1"/>
      <c r="I11" s="41">
        <v>5</v>
      </c>
      <c r="J11" s="1"/>
      <c r="K11" s="1"/>
      <c r="L11" s="41">
        <v>15</v>
      </c>
      <c r="M11" s="41">
        <v>80</v>
      </c>
      <c r="N11" s="1"/>
      <c r="O11" s="41">
        <v>8</v>
      </c>
      <c r="P11" s="41">
        <v>7</v>
      </c>
      <c r="Q11" s="36"/>
      <c r="R11" s="1"/>
      <c r="S11" s="29">
        <v>448</v>
      </c>
      <c r="T11" s="29">
        <v>710</v>
      </c>
      <c r="U11" s="29">
        <v>200</v>
      </c>
      <c r="V11" s="30"/>
      <c r="X11" s="7">
        <v>4869</v>
      </c>
      <c r="Y11" s="7">
        <v>295</v>
      </c>
      <c r="Z11" s="7">
        <v>3193</v>
      </c>
      <c r="AA11" s="7">
        <v>448</v>
      </c>
      <c r="AB11" s="7">
        <v>711</v>
      </c>
      <c r="AC11" s="7">
        <v>223</v>
      </c>
      <c r="AD11" s="39"/>
      <c r="AE11" s="41">
        <v>38</v>
      </c>
    </row>
    <row r="12" spans="1:31">
      <c r="A12" s="2" t="s">
        <v>3</v>
      </c>
      <c r="B12" s="29">
        <v>2804</v>
      </c>
      <c r="C12" s="29">
        <v>353</v>
      </c>
      <c r="D12" s="1"/>
      <c r="E12" s="29">
        <v>1817</v>
      </c>
      <c r="F12" s="41">
        <v>1728</v>
      </c>
      <c r="G12" s="1"/>
      <c r="H12" s="1"/>
      <c r="I12" s="41">
        <v>0.5</v>
      </c>
      <c r="J12" s="1"/>
      <c r="K12" s="1"/>
      <c r="L12" s="33"/>
      <c r="M12" s="41">
        <v>91</v>
      </c>
      <c r="N12" s="1"/>
      <c r="O12" s="41">
        <v>13</v>
      </c>
      <c r="P12" s="33">
        <v>40</v>
      </c>
      <c r="Q12" s="41">
        <v>0.3</v>
      </c>
      <c r="R12" s="1"/>
      <c r="S12" s="30"/>
      <c r="T12" s="29">
        <v>505</v>
      </c>
      <c r="U12" s="29">
        <v>130</v>
      </c>
      <c r="V12" s="30"/>
      <c r="X12" s="7">
        <v>2864</v>
      </c>
      <c r="Y12" s="7">
        <v>380</v>
      </c>
      <c r="Z12" s="7">
        <v>1820</v>
      </c>
      <c r="AA12" s="39"/>
      <c r="AB12" s="7">
        <v>505</v>
      </c>
      <c r="AC12" s="7">
        <v>159</v>
      </c>
      <c r="AD12" s="39"/>
      <c r="AE12" s="41">
        <v>52</v>
      </c>
    </row>
    <row r="13" spans="1:31">
      <c r="A13" s="2" t="s">
        <v>4</v>
      </c>
      <c r="B13" s="29">
        <v>2936</v>
      </c>
      <c r="C13" s="29">
        <v>97</v>
      </c>
      <c r="D13" s="1"/>
      <c r="E13" s="29">
        <v>2197</v>
      </c>
      <c r="F13" s="41">
        <v>2078</v>
      </c>
      <c r="G13" s="1"/>
      <c r="H13" s="1"/>
      <c r="I13" s="41">
        <v>12</v>
      </c>
      <c r="J13" s="1"/>
      <c r="K13" s="1"/>
      <c r="L13" s="41">
        <v>2</v>
      </c>
      <c r="M13" s="41">
        <v>110</v>
      </c>
      <c r="N13" s="1"/>
      <c r="O13" s="41">
        <v>8</v>
      </c>
      <c r="P13" s="41">
        <v>82</v>
      </c>
      <c r="Q13" s="41">
        <v>0.4</v>
      </c>
      <c r="R13" s="1"/>
      <c r="S13" s="30"/>
      <c r="T13" s="29">
        <v>570</v>
      </c>
      <c r="U13" s="29">
        <v>73</v>
      </c>
      <c r="V13" s="30"/>
      <c r="X13" s="7">
        <v>2969</v>
      </c>
      <c r="Y13" s="7">
        <v>103</v>
      </c>
      <c r="Z13" s="7">
        <v>2201</v>
      </c>
      <c r="AA13" s="39"/>
      <c r="AB13" s="7">
        <v>570</v>
      </c>
      <c r="AC13" s="7">
        <v>94</v>
      </c>
      <c r="AD13" s="39"/>
      <c r="AE13" s="41">
        <v>30</v>
      </c>
    </row>
    <row r="14" spans="1:31">
      <c r="A14" s="2" t="s">
        <v>11</v>
      </c>
      <c r="B14" s="29">
        <v>2348</v>
      </c>
      <c r="C14" s="30"/>
      <c r="D14" s="1"/>
      <c r="E14" s="29">
        <v>2270</v>
      </c>
      <c r="F14" s="41">
        <v>1509</v>
      </c>
      <c r="G14" s="1"/>
      <c r="H14" s="1"/>
      <c r="I14" s="41">
        <v>573</v>
      </c>
      <c r="J14" s="1"/>
      <c r="K14" s="1"/>
      <c r="L14" s="41">
        <v>86</v>
      </c>
      <c r="M14" s="41">
        <v>102</v>
      </c>
      <c r="N14" s="1"/>
      <c r="O14" s="41">
        <v>26</v>
      </c>
      <c r="P14" s="32"/>
      <c r="Q14" s="41">
        <v>2</v>
      </c>
      <c r="R14" s="1"/>
      <c r="S14" s="30"/>
      <c r="T14" s="29">
        <v>71</v>
      </c>
      <c r="U14" s="29">
        <v>7</v>
      </c>
      <c r="V14" s="30"/>
      <c r="X14" s="7">
        <v>2400</v>
      </c>
      <c r="Y14" s="39"/>
      <c r="Z14" s="7">
        <v>2271</v>
      </c>
      <c r="AA14" s="39"/>
      <c r="AB14" s="7">
        <v>71</v>
      </c>
      <c r="AC14" s="7">
        <v>58</v>
      </c>
      <c r="AD14" s="39"/>
      <c r="AE14" s="41">
        <v>59</v>
      </c>
    </row>
    <row r="15" spans="1:31">
      <c r="A15" s="2" t="s">
        <v>12</v>
      </c>
      <c r="B15" s="29">
        <v>11112</v>
      </c>
      <c r="C15" s="29">
        <v>260</v>
      </c>
      <c r="D15" s="1"/>
      <c r="E15" s="29">
        <v>9414</v>
      </c>
      <c r="F15" s="41">
        <v>7741</v>
      </c>
      <c r="G15" s="1"/>
      <c r="H15" s="1"/>
      <c r="I15" s="41">
        <v>1348</v>
      </c>
      <c r="J15" s="1"/>
      <c r="K15" s="1"/>
      <c r="L15" s="33"/>
      <c r="M15" s="41">
        <v>340</v>
      </c>
      <c r="N15" s="1"/>
      <c r="O15" s="41">
        <v>91</v>
      </c>
      <c r="P15" s="33">
        <v>50</v>
      </c>
      <c r="Q15" s="41">
        <v>4</v>
      </c>
      <c r="R15" s="1"/>
      <c r="S15" s="29">
        <v>212</v>
      </c>
      <c r="T15" s="29">
        <v>655</v>
      </c>
      <c r="U15" s="29">
        <v>571</v>
      </c>
      <c r="V15" s="29"/>
      <c r="X15" s="7">
        <v>11469</v>
      </c>
      <c r="Y15" s="7">
        <v>265</v>
      </c>
      <c r="Z15" s="7">
        <v>9430</v>
      </c>
      <c r="AA15" s="7">
        <v>212</v>
      </c>
      <c r="AB15" s="7">
        <v>656</v>
      </c>
      <c r="AC15" s="7">
        <v>907</v>
      </c>
      <c r="AD15" s="7"/>
      <c r="AE15" s="41">
        <v>327</v>
      </c>
    </row>
    <row r="16" spans="1:31">
      <c r="A16" s="2" t="s">
        <v>13</v>
      </c>
      <c r="B16" s="29">
        <v>8175</v>
      </c>
      <c r="C16" s="29">
        <v>941</v>
      </c>
      <c r="D16" s="1"/>
      <c r="E16" s="29">
        <v>6117</v>
      </c>
      <c r="F16" s="41">
        <v>4663</v>
      </c>
      <c r="G16" s="1"/>
      <c r="H16" s="1"/>
      <c r="I16" s="41">
        <v>1230</v>
      </c>
      <c r="J16" s="1"/>
      <c r="K16" s="1"/>
      <c r="L16" s="41">
        <v>6</v>
      </c>
      <c r="M16" s="41">
        <v>235</v>
      </c>
      <c r="N16" s="1"/>
      <c r="O16" s="41">
        <v>133</v>
      </c>
      <c r="P16" s="41">
        <v>21</v>
      </c>
      <c r="Q16" s="41">
        <v>4</v>
      </c>
      <c r="R16" s="1"/>
      <c r="S16" s="29">
        <v>657</v>
      </c>
      <c r="T16" s="29">
        <v>132</v>
      </c>
      <c r="U16" s="29">
        <v>328</v>
      </c>
      <c r="V16" s="30"/>
      <c r="X16" s="7">
        <v>8899</v>
      </c>
      <c r="Y16" s="7">
        <v>1160</v>
      </c>
      <c r="Z16" s="7">
        <v>6134</v>
      </c>
      <c r="AA16" s="7">
        <v>657</v>
      </c>
      <c r="AB16" s="7">
        <v>133</v>
      </c>
      <c r="AC16" s="7">
        <v>814</v>
      </c>
      <c r="AD16" s="7">
        <v>0.4</v>
      </c>
      <c r="AE16" s="41">
        <v>499</v>
      </c>
    </row>
    <row r="17" spans="1:31">
      <c r="A17" s="2" t="s">
        <v>14</v>
      </c>
      <c r="B17" s="29">
        <v>6099</v>
      </c>
      <c r="C17" s="29">
        <v>242</v>
      </c>
      <c r="D17" s="1"/>
      <c r="E17" s="29">
        <v>5031</v>
      </c>
      <c r="F17" s="41">
        <v>4760</v>
      </c>
      <c r="G17" s="1"/>
      <c r="H17" s="1"/>
      <c r="I17" s="41">
        <v>12</v>
      </c>
      <c r="J17" s="1"/>
      <c r="K17" s="1"/>
      <c r="L17" s="33"/>
      <c r="M17" s="41">
        <v>281</v>
      </c>
      <c r="N17" s="1"/>
      <c r="O17" s="41">
        <v>43</v>
      </c>
      <c r="P17" s="33">
        <v>75</v>
      </c>
      <c r="Q17" s="41">
        <v>1</v>
      </c>
      <c r="R17" s="1"/>
      <c r="S17" s="30"/>
      <c r="T17" s="29">
        <v>217</v>
      </c>
      <c r="U17" s="29">
        <v>608</v>
      </c>
      <c r="V17" s="30"/>
      <c r="X17" s="7">
        <v>6468</v>
      </c>
      <c r="Y17" s="7">
        <v>310</v>
      </c>
      <c r="Z17" s="7">
        <v>5053</v>
      </c>
      <c r="AA17" s="39"/>
      <c r="AB17" s="7">
        <v>217</v>
      </c>
      <c r="AC17" s="7">
        <v>888</v>
      </c>
      <c r="AD17" s="39"/>
      <c r="AE17" s="41">
        <v>323</v>
      </c>
    </row>
    <row r="18" spans="1:31">
      <c r="A18" s="2" t="s">
        <v>15</v>
      </c>
      <c r="B18" s="29">
        <v>5164</v>
      </c>
      <c r="C18" s="29">
        <v>917</v>
      </c>
      <c r="D18" s="1"/>
      <c r="E18" s="29">
        <v>3064</v>
      </c>
      <c r="F18" s="41">
        <v>2545</v>
      </c>
      <c r="G18" s="1"/>
      <c r="H18" s="1"/>
      <c r="I18" s="41">
        <v>390</v>
      </c>
      <c r="J18" s="1"/>
      <c r="K18" s="1"/>
      <c r="L18" s="41">
        <v>1</v>
      </c>
      <c r="M18" s="41">
        <v>138</v>
      </c>
      <c r="N18" s="1"/>
      <c r="O18" s="41">
        <v>39</v>
      </c>
      <c r="P18" s="41">
        <v>5</v>
      </c>
      <c r="Q18" s="41">
        <v>0.4</v>
      </c>
      <c r="R18" s="1"/>
      <c r="S18" s="29">
        <v>871</v>
      </c>
      <c r="T18" s="29">
        <v>252</v>
      </c>
      <c r="U18" s="29">
        <v>60</v>
      </c>
      <c r="V18" s="30"/>
      <c r="X18" s="7">
        <v>5597</v>
      </c>
      <c r="Y18" s="7">
        <v>1307</v>
      </c>
      <c r="Z18" s="7">
        <v>3074</v>
      </c>
      <c r="AA18" s="7">
        <v>871</v>
      </c>
      <c r="AB18" s="7">
        <v>252</v>
      </c>
      <c r="AC18" s="7">
        <v>92</v>
      </c>
      <c r="AD18" s="39"/>
      <c r="AE18" s="40">
        <v>109</v>
      </c>
    </row>
    <row r="19" spans="1:31">
      <c r="A19" s="2" t="s">
        <v>16</v>
      </c>
      <c r="B19" s="29">
        <v>2796</v>
      </c>
      <c r="C19" s="29">
        <v>412</v>
      </c>
      <c r="D19" s="1"/>
      <c r="E19" s="29">
        <v>1928</v>
      </c>
      <c r="F19" s="41">
        <v>1721</v>
      </c>
      <c r="G19" s="1"/>
      <c r="H19" s="1"/>
      <c r="I19" s="41">
        <v>10</v>
      </c>
      <c r="J19" s="1"/>
      <c r="K19" s="1"/>
      <c r="L19" s="33"/>
      <c r="M19" s="41">
        <v>202</v>
      </c>
      <c r="N19" s="1"/>
      <c r="O19" s="41">
        <v>9</v>
      </c>
      <c r="P19" s="33">
        <v>20</v>
      </c>
      <c r="Q19" s="41">
        <v>1</v>
      </c>
      <c r="R19" s="1"/>
      <c r="S19" s="30"/>
      <c r="T19" s="29">
        <v>169</v>
      </c>
      <c r="U19" s="29">
        <v>287</v>
      </c>
      <c r="V19" s="30"/>
      <c r="X19" s="7">
        <v>3167</v>
      </c>
      <c r="Y19" s="7">
        <v>615</v>
      </c>
      <c r="Z19" s="7">
        <v>1934</v>
      </c>
      <c r="AA19" s="39"/>
      <c r="AB19" s="7">
        <v>169</v>
      </c>
      <c r="AC19" s="7">
        <v>449</v>
      </c>
      <c r="AD19" s="39"/>
      <c r="AE19" s="41">
        <v>172</v>
      </c>
    </row>
    <row r="20" spans="1:31">
      <c r="A20" s="2" t="s">
        <v>17</v>
      </c>
      <c r="B20" s="30">
        <v>12117</v>
      </c>
      <c r="C20" s="30">
        <v>101</v>
      </c>
      <c r="D20" s="1"/>
      <c r="E20" s="30">
        <v>10314</v>
      </c>
      <c r="F20" s="41">
        <v>9762</v>
      </c>
      <c r="G20" s="1"/>
      <c r="H20" s="1"/>
      <c r="I20" s="41">
        <v>5</v>
      </c>
      <c r="J20" s="1"/>
      <c r="K20" s="1"/>
      <c r="L20" s="33"/>
      <c r="M20" s="41">
        <v>567</v>
      </c>
      <c r="N20" s="1"/>
      <c r="O20" s="41">
        <v>80</v>
      </c>
      <c r="P20" s="33">
        <v>131</v>
      </c>
      <c r="Q20" s="41">
        <v>5</v>
      </c>
      <c r="R20" s="1"/>
      <c r="S20" s="30"/>
      <c r="T20" s="30">
        <v>1061</v>
      </c>
      <c r="U20" s="30">
        <v>640</v>
      </c>
      <c r="V20" s="30"/>
      <c r="X20" s="7">
        <v>12556</v>
      </c>
      <c r="Y20" s="7">
        <v>108</v>
      </c>
      <c r="Z20" s="7">
        <v>10335</v>
      </c>
      <c r="AA20" s="7"/>
      <c r="AB20" s="7">
        <v>1061</v>
      </c>
      <c r="AC20" s="7">
        <v>1052</v>
      </c>
      <c r="AD20" s="39"/>
      <c r="AE20" s="41">
        <v>474</v>
      </c>
    </row>
    <row r="21" spans="1:31">
      <c r="A21" s="2" t="s">
        <v>18</v>
      </c>
      <c r="B21" s="29">
        <v>7687</v>
      </c>
      <c r="C21" s="29">
        <v>389</v>
      </c>
      <c r="D21" s="1"/>
      <c r="E21" s="29">
        <v>6533</v>
      </c>
      <c r="F21" s="41">
        <v>6239</v>
      </c>
      <c r="G21" s="1"/>
      <c r="H21" s="1"/>
      <c r="I21" s="41">
        <v>164</v>
      </c>
      <c r="J21" s="1"/>
      <c r="K21" s="1"/>
      <c r="L21" s="33"/>
      <c r="M21" s="41">
        <v>141</v>
      </c>
      <c r="N21" s="1"/>
      <c r="O21" s="41">
        <v>6</v>
      </c>
      <c r="P21" s="33">
        <v>43</v>
      </c>
      <c r="Q21" s="41">
        <v>4</v>
      </c>
      <c r="R21" s="1"/>
      <c r="S21" s="30"/>
      <c r="T21" s="29">
        <v>233</v>
      </c>
      <c r="U21" s="29">
        <v>532</v>
      </c>
      <c r="V21" s="30"/>
      <c r="X21" s="7">
        <v>7880</v>
      </c>
      <c r="Y21" s="7">
        <v>399</v>
      </c>
      <c r="Z21" s="7">
        <v>6544</v>
      </c>
      <c r="AA21" s="39"/>
      <c r="AB21" s="7">
        <v>233</v>
      </c>
      <c r="AC21" s="7">
        <v>703</v>
      </c>
      <c r="AD21" s="39"/>
      <c r="AE21" s="41">
        <v>211</v>
      </c>
    </row>
    <row r="22" spans="1:31">
      <c r="A22" s="2" t="s">
        <v>19</v>
      </c>
      <c r="B22" s="29">
        <v>6890</v>
      </c>
      <c r="C22" s="29">
        <v>3558</v>
      </c>
      <c r="D22" s="1"/>
      <c r="E22" s="29">
        <v>2777</v>
      </c>
      <c r="F22" s="41">
        <v>2450</v>
      </c>
      <c r="G22" s="1"/>
      <c r="H22" s="1"/>
      <c r="I22" s="41">
        <v>96</v>
      </c>
      <c r="J22" s="1"/>
      <c r="K22" s="1"/>
      <c r="L22" s="33"/>
      <c r="M22" s="41">
        <v>241</v>
      </c>
      <c r="N22" s="1"/>
      <c r="O22" s="41">
        <v>24</v>
      </c>
      <c r="P22" s="33">
        <v>48</v>
      </c>
      <c r="Q22" s="41">
        <v>1</v>
      </c>
      <c r="R22" s="1"/>
      <c r="S22" s="30"/>
      <c r="T22" s="29">
        <v>253</v>
      </c>
      <c r="U22" s="29">
        <v>301</v>
      </c>
      <c r="V22" s="30"/>
      <c r="X22" s="7">
        <v>7124</v>
      </c>
      <c r="Y22" s="7">
        <v>3671</v>
      </c>
      <c r="Z22" s="7">
        <v>2787</v>
      </c>
      <c r="AA22" s="39"/>
      <c r="AB22" s="7">
        <v>253</v>
      </c>
      <c r="AC22" s="7">
        <v>413</v>
      </c>
      <c r="AD22" s="39"/>
      <c r="AE22" s="41">
        <v>177</v>
      </c>
    </row>
    <row r="23" spans="1:31">
      <c r="A23" s="2" t="s">
        <v>20</v>
      </c>
      <c r="B23" s="29">
        <v>3879</v>
      </c>
      <c r="C23" s="29">
        <v>1247</v>
      </c>
      <c r="D23" s="1"/>
      <c r="E23" s="29">
        <v>2255</v>
      </c>
      <c r="F23" s="41">
        <v>2053</v>
      </c>
      <c r="G23" s="1"/>
      <c r="H23" s="1"/>
      <c r="I23" s="41">
        <v>3</v>
      </c>
      <c r="J23" s="1"/>
      <c r="K23" s="1"/>
      <c r="L23" s="41">
        <v>7</v>
      </c>
      <c r="M23" s="41">
        <v>204</v>
      </c>
      <c r="N23" s="1"/>
      <c r="O23" s="41">
        <v>9</v>
      </c>
      <c r="P23" s="41">
        <v>36</v>
      </c>
      <c r="Q23" s="41">
        <v>1</v>
      </c>
      <c r="R23" s="1"/>
      <c r="S23" s="30"/>
      <c r="T23" s="29">
        <v>263</v>
      </c>
      <c r="U23" s="29">
        <v>113</v>
      </c>
      <c r="V23" s="29"/>
      <c r="X23" s="7">
        <v>4277</v>
      </c>
      <c r="Y23" s="7">
        <v>1570</v>
      </c>
      <c r="Z23" s="7">
        <v>2267</v>
      </c>
      <c r="AA23" s="39"/>
      <c r="AB23" s="7">
        <v>263</v>
      </c>
      <c r="AC23" s="7">
        <v>176</v>
      </c>
      <c r="AD23" s="7"/>
      <c r="AE23" s="41">
        <v>90</v>
      </c>
    </row>
    <row r="24" spans="1:31">
      <c r="A24" s="2" t="s">
        <v>21</v>
      </c>
      <c r="B24" s="29">
        <v>10356</v>
      </c>
      <c r="C24" s="29">
        <v>989</v>
      </c>
      <c r="D24" s="1"/>
      <c r="E24" s="29">
        <v>7755</v>
      </c>
      <c r="F24" s="41">
        <v>6035</v>
      </c>
      <c r="G24" s="1"/>
      <c r="H24" s="1"/>
      <c r="I24" s="41">
        <v>1571</v>
      </c>
      <c r="J24" s="1"/>
      <c r="K24" s="1"/>
      <c r="L24" s="33">
        <v>21</v>
      </c>
      <c r="M24" s="41">
        <v>141</v>
      </c>
      <c r="N24" s="1"/>
      <c r="O24" s="41">
        <v>77</v>
      </c>
      <c r="P24" s="33">
        <v>22</v>
      </c>
      <c r="Q24" s="41">
        <v>7</v>
      </c>
      <c r="R24" s="1"/>
      <c r="S24" s="29">
        <v>1046</v>
      </c>
      <c r="T24" s="29">
        <v>335</v>
      </c>
      <c r="U24" s="29">
        <v>229</v>
      </c>
      <c r="V24" s="29">
        <v>1</v>
      </c>
      <c r="X24" s="7">
        <v>10968</v>
      </c>
      <c r="Y24" s="7">
        <v>1486</v>
      </c>
      <c r="Z24" s="7">
        <v>7768</v>
      </c>
      <c r="AA24" s="7">
        <v>1046</v>
      </c>
      <c r="AB24" s="7">
        <v>335</v>
      </c>
      <c r="AC24" s="7">
        <v>332</v>
      </c>
      <c r="AD24" s="7">
        <v>2</v>
      </c>
      <c r="AE24" s="41">
        <v>122</v>
      </c>
    </row>
    <row r="25" spans="1:31">
      <c r="A25" s="2" t="s">
        <v>22</v>
      </c>
      <c r="B25" s="30">
        <v>4114</v>
      </c>
      <c r="C25" s="30">
        <v>1497</v>
      </c>
      <c r="D25" s="1"/>
      <c r="E25" s="30">
        <v>2181</v>
      </c>
      <c r="F25" s="41">
        <v>1797</v>
      </c>
      <c r="G25" s="1"/>
      <c r="H25" s="1"/>
      <c r="I25" s="41">
        <v>35</v>
      </c>
      <c r="J25" s="1"/>
      <c r="K25" s="1"/>
      <c r="L25" s="33"/>
      <c r="M25" s="41">
        <v>386</v>
      </c>
      <c r="N25" s="1"/>
      <c r="O25" s="41">
        <v>9</v>
      </c>
      <c r="P25" s="33">
        <v>155</v>
      </c>
      <c r="Q25" s="41">
        <v>2</v>
      </c>
      <c r="R25" s="1"/>
      <c r="S25" s="30">
        <v>217</v>
      </c>
      <c r="T25" s="30">
        <v>150</v>
      </c>
      <c r="U25" s="30">
        <v>69</v>
      </c>
      <c r="V25" s="30"/>
      <c r="X25" s="39">
        <v>4332</v>
      </c>
      <c r="Y25" s="39">
        <v>1669</v>
      </c>
      <c r="Z25" s="39">
        <v>2217</v>
      </c>
      <c r="AA25" s="7">
        <v>217</v>
      </c>
      <c r="AB25" s="7">
        <v>150</v>
      </c>
      <c r="AC25" s="7">
        <v>78</v>
      </c>
      <c r="AD25" s="39"/>
      <c r="AE25" s="41">
        <v>373</v>
      </c>
    </row>
    <row r="26" spans="1:31">
      <c r="A26" s="2" t="s">
        <v>23</v>
      </c>
      <c r="B26" s="29">
        <v>745</v>
      </c>
      <c r="C26" s="29">
        <v>84</v>
      </c>
      <c r="D26" s="1"/>
      <c r="E26" s="29">
        <v>464</v>
      </c>
      <c r="F26" s="41">
        <v>376</v>
      </c>
      <c r="G26" s="1"/>
      <c r="H26" s="1"/>
      <c r="I26" s="41">
        <v>73</v>
      </c>
      <c r="J26" s="1"/>
      <c r="K26" s="1"/>
      <c r="L26" s="33"/>
      <c r="M26" s="41">
        <v>17</v>
      </c>
      <c r="N26" s="1"/>
      <c r="O26" s="41">
        <v>8</v>
      </c>
      <c r="P26" s="33"/>
      <c r="Q26" s="41">
        <v>0.3</v>
      </c>
      <c r="R26" s="1"/>
      <c r="S26" s="29">
        <v>130</v>
      </c>
      <c r="T26" s="29">
        <v>34</v>
      </c>
      <c r="U26" s="29">
        <v>33</v>
      </c>
      <c r="V26" s="30"/>
      <c r="X26" s="7">
        <v>786</v>
      </c>
      <c r="Y26" s="7">
        <v>114</v>
      </c>
      <c r="Z26" s="7">
        <v>465</v>
      </c>
      <c r="AA26" s="7">
        <v>130</v>
      </c>
      <c r="AB26" s="7">
        <v>34</v>
      </c>
      <c r="AC26" s="7">
        <v>43</v>
      </c>
      <c r="AD26" s="7"/>
      <c r="AE26" s="41">
        <v>11</v>
      </c>
    </row>
    <row r="27" spans="1:31">
      <c r="A27" s="2" t="s">
        <v>24</v>
      </c>
      <c r="B27" s="29">
        <v>2209</v>
      </c>
      <c r="C27" s="29">
        <v>626</v>
      </c>
      <c r="D27" s="1"/>
      <c r="E27" s="29">
        <v>1540</v>
      </c>
      <c r="F27" s="41">
        <v>1332</v>
      </c>
      <c r="G27" s="1"/>
      <c r="H27" s="1"/>
      <c r="I27" s="41">
        <v>168</v>
      </c>
      <c r="J27" s="1"/>
      <c r="K27" s="1"/>
      <c r="L27" s="33"/>
      <c r="M27" s="41">
        <v>45</v>
      </c>
      <c r="N27" s="1"/>
      <c r="O27" s="41">
        <v>10</v>
      </c>
      <c r="P27" s="33">
        <v>7</v>
      </c>
      <c r="Q27" s="41">
        <v>1</v>
      </c>
      <c r="R27" s="1"/>
      <c r="S27" s="30"/>
      <c r="T27" s="29">
        <v>33</v>
      </c>
      <c r="U27" s="29">
        <v>10</v>
      </c>
      <c r="V27" s="30"/>
      <c r="X27" s="7">
        <v>2326</v>
      </c>
      <c r="Y27" s="7">
        <v>736</v>
      </c>
      <c r="Z27" s="7">
        <v>1544</v>
      </c>
      <c r="AA27" s="39"/>
      <c r="AB27" s="7">
        <v>33</v>
      </c>
      <c r="AC27" s="7">
        <v>12</v>
      </c>
      <c r="AD27" s="39"/>
      <c r="AE27" s="41">
        <v>12</v>
      </c>
    </row>
    <row r="28" spans="1:31">
      <c r="A28" s="2" t="s">
        <v>25</v>
      </c>
      <c r="B28" s="29">
        <v>9264</v>
      </c>
      <c r="C28" s="29">
        <v>7291</v>
      </c>
      <c r="D28" s="1"/>
      <c r="E28" s="29">
        <v>1630</v>
      </c>
      <c r="F28" s="41">
        <v>1336</v>
      </c>
      <c r="G28" s="1"/>
      <c r="H28" s="1"/>
      <c r="I28" s="41">
        <v>126</v>
      </c>
      <c r="J28" s="1"/>
      <c r="K28" s="1"/>
      <c r="L28" s="33"/>
      <c r="M28" s="41">
        <v>200</v>
      </c>
      <c r="N28" s="1"/>
      <c r="O28" s="41">
        <v>39</v>
      </c>
      <c r="P28" s="33">
        <v>3</v>
      </c>
      <c r="Q28" s="41">
        <v>2</v>
      </c>
      <c r="R28" s="1"/>
      <c r="S28" s="30"/>
      <c r="T28" s="29">
        <v>210</v>
      </c>
      <c r="U28" s="29">
        <v>132</v>
      </c>
      <c r="V28" s="30"/>
      <c r="X28" s="7">
        <v>9721</v>
      </c>
      <c r="Y28" s="7">
        <v>7714</v>
      </c>
      <c r="Z28" s="7">
        <v>1662</v>
      </c>
      <c r="AA28" s="39"/>
      <c r="AB28" s="7">
        <v>210</v>
      </c>
      <c r="AC28" s="7">
        <v>135</v>
      </c>
      <c r="AD28" s="39"/>
      <c r="AE28" s="41">
        <v>19</v>
      </c>
    </row>
    <row r="29" spans="1:31">
      <c r="A29" s="2" t="s">
        <v>26</v>
      </c>
      <c r="B29" s="29">
        <v>5539</v>
      </c>
      <c r="C29" s="29">
        <v>1880</v>
      </c>
      <c r="D29" s="1"/>
      <c r="E29" s="29">
        <v>3160</v>
      </c>
      <c r="F29" s="41">
        <v>3146</v>
      </c>
      <c r="G29" s="1"/>
      <c r="H29" s="1"/>
      <c r="I29" s="33"/>
      <c r="J29" s="1"/>
      <c r="K29" s="1"/>
      <c r="L29" s="33"/>
      <c r="M29" s="41">
        <v>15</v>
      </c>
      <c r="N29" s="1"/>
      <c r="O29" s="33">
        <v>9</v>
      </c>
      <c r="P29" s="33">
        <v>6</v>
      </c>
      <c r="Q29" s="36"/>
      <c r="R29" s="1"/>
      <c r="S29" s="30"/>
      <c r="T29" s="29">
        <v>363</v>
      </c>
      <c r="U29" s="29">
        <v>135</v>
      </c>
      <c r="V29" s="30"/>
      <c r="X29" s="7">
        <v>5778</v>
      </c>
      <c r="Y29" s="7">
        <v>2119</v>
      </c>
      <c r="Z29" s="7">
        <v>3160</v>
      </c>
      <c r="AA29" s="39"/>
      <c r="AB29" s="7">
        <v>363</v>
      </c>
      <c r="AC29" s="7">
        <v>135</v>
      </c>
      <c r="AD29" s="39"/>
      <c r="AE29" s="32"/>
    </row>
    <row r="30" spans="1:31">
      <c r="A30" s="2" t="s">
        <v>27</v>
      </c>
      <c r="B30" s="30">
        <v>8545</v>
      </c>
      <c r="C30" s="30">
        <v>6084</v>
      </c>
      <c r="D30" s="1"/>
      <c r="E30" s="30">
        <v>1398</v>
      </c>
      <c r="F30" s="41">
        <v>1301</v>
      </c>
      <c r="G30" s="1"/>
      <c r="H30" s="1"/>
      <c r="I30" s="41">
        <v>2</v>
      </c>
      <c r="J30" s="1"/>
      <c r="K30" s="1"/>
      <c r="L30" s="33"/>
      <c r="M30" s="41">
        <v>310</v>
      </c>
      <c r="N30" s="1"/>
      <c r="O30" s="41">
        <v>12</v>
      </c>
      <c r="P30" s="33">
        <v>20</v>
      </c>
      <c r="Q30" s="36"/>
      <c r="R30" s="1"/>
      <c r="S30" s="30"/>
      <c r="T30" s="30">
        <v>825</v>
      </c>
      <c r="U30" s="30">
        <v>238</v>
      </c>
      <c r="V30" s="30"/>
      <c r="X30" s="7">
        <v>8957</v>
      </c>
      <c r="Y30" s="7">
        <v>6281</v>
      </c>
      <c r="Z30" s="7">
        <v>1613</v>
      </c>
      <c r="AA30" s="39"/>
      <c r="AB30" s="7">
        <v>825</v>
      </c>
      <c r="AC30" s="7">
        <v>238</v>
      </c>
      <c r="AD30" s="39"/>
      <c r="AE30" s="41">
        <v>0.5</v>
      </c>
    </row>
    <row r="31" spans="1:31">
      <c r="A31" s="2" t="s">
        <v>28</v>
      </c>
      <c r="B31" s="29">
        <v>276</v>
      </c>
      <c r="C31" s="29">
        <v>155</v>
      </c>
      <c r="D31" s="1"/>
      <c r="E31" s="29">
        <v>39</v>
      </c>
      <c r="F31" s="33"/>
      <c r="G31" s="1"/>
      <c r="H31" s="1"/>
      <c r="I31" s="33"/>
      <c r="J31" s="1"/>
      <c r="K31" s="1"/>
      <c r="L31" s="41">
        <v>38</v>
      </c>
      <c r="M31" s="41">
        <v>2</v>
      </c>
      <c r="N31" s="1"/>
      <c r="O31" s="33"/>
      <c r="P31" s="32"/>
      <c r="Q31" s="37"/>
      <c r="R31" s="1"/>
      <c r="S31" s="30"/>
      <c r="T31" s="29">
        <v>1</v>
      </c>
      <c r="U31" s="29">
        <v>79</v>
      </c>
      <c r="V31" s="29">
        <v>2</v>
      </c>
      <c r="X31" s="7">
        <v>281</v>
      </c>
      <c r="Y31" s="7">
        <v>158</v>
      </c>
      <c r="Z31" s="7">
        <v>40</v>
      </c>
      <c r="AA31" s="39"/>
      <c r="AB31" s="7">
        <v>1</v>
      </c>
      <c r="AC31" s="7">
        <v>79</v>
      </c>
      <c r="AD31" s="7">
        <v>3</v>
      </c>
      <c r="AE31" s="38"/>
    </row>
    <row r="32" spans="1:31">
      <c r="A32" s="2" t="s">
        <v>29</v>
      </c>
      <c r="B32" s="29">
        <v>4100</v>
      </c>
      <c r="C32" s="29">
        <v>269</v>
      </c>
      <c r="D32" s="1"/>
      <c r="E32" s="29">
        <v>3137</v>
      </c>
      <c r="F32" s="41">
        <v>3087</v>
      </c>
      <c r="G32" s="1"/>
      <c r="H32" s="1"/>
      <c r="I32" s="41"/>
      <c r="J32" s="1"/>
      <c r="K32" s="1"/>
      <c r="L32" s="33"/>
      <c r="M32" s="41">
        <v>56</v>
      </c>
      <c r="N32" s="1"/>
      <c r="O32" s="41">
        <v>3</v>
      </c>
      <c r="P32" s="33">
        <v>3</v>
      </c>
      <c r="Q32" s="36"/>
      <c r="R32" s="1"/>
      <c r="S32" s="30"/>
      <c r="T32" s="29">
        <v>288</v>
      </c>
      <c r="U32" s="29">
        <v>406</v>
      </c>
      <c r="V32" s="30"/>
      <c r="X32" s="7">
        <v>4192</v>
      </c>
      <c r="Y32" s="7">
        <v>326</v>
      </c>
      <c r="Z32" s="7">
        <v>3144</v>
      </c>
      <c r="AA32" s="39"/>
      <c r="AB32" s="7">
        <v>288</v>
      </c>
      <c r="AC32" s="7">
        <v>434</v>
      </c>
      <c r="AD32" s="39"/>
      <c r="AE32" s="41">
        <v>51</v>
      </c>
    </row>
    <row r="33" spans="1:31">
      <c r="A33" s="2" t="s">
        <v>30</v>
      </c>
      <c r="B33" s="31">
        <v>4861</v>
      </c>
      <c r="C33" s="31">
        <v>751</v>
      </c>
      <c r="D33" s="1"/>
      <c r="E33" s="31">
        <v>2059</v>
      </c>
      <c r="F33" s="41">
        <v>2020</v>
      </c>
      <c r="G33" s="1"/>
      <c r="H33" s="1"/>
      <c r="I33" s="41">
        <v>6</v>
      </c>
      <c r="J33" s="1"/>
      <c r="K33" s="1"/>
      <c r="L33" s="33"/>
      <c r="M33" s="41">
        <v>33</v>
      </c>
      <c r="N33" s="1"/>
      <c r="O33" s="41">
        <v>6</v>
      </c>
      <c r="P33" s="33">
        <v>3</v>
      </c>
      <c r="Q33" s="36"/>
      <c r="R33" s="1"/>
      <c r="S33" s="30"/>
      <c r="T33" s="31">
        <v>1282</v>
      </c>
      <c r="U33" s="31">
        <v>769</v>
      </c>
      <c r="V33" s="30"/>
      <c r="X33" s="7">
        <v>4995</v>
      </c>
      <c r="Y33" s="7">
        <v>868</v>
      </c>
      <c r="Z33" s="7">
        <v>2059</v>
      </c>
      <c r="AA33" s="39"/>
      <c r="AB33" s="7">
        <v>1282</v>
      </c>
      <c r="AC33" s="7">
        <v>786</v>
      </c>
      <c r="AD33" s="39"/>
      <c r="AE33" s="41">
        <v>18</v>
      </c>
    </row>
    <row r="34" spans="1:31">
      <c r="A34" s="2" t="s">
        <v>31</v>
      </c>
      <c r="B34" s="30">
        <v>2493</v>
      </c>
      <c r="C34" s="30">
        <v>1168</v>
      </c>
      <c r="D34" s="1"/>
      <c r="E34" s="30">
        <v>378</v>
      </c>
      <c r="F34" s="41">
        <v>375</v>
      </c>
      <c r="G34" s="1"/>
      <c r="H34" s="1"/>
      <c r="I34" s="41"/>
      <c r="J34" s="1"/>
      <c r="K34" s="1"/>
      <c r="L34" s="33"/>
      <c r="M34" s="41">
        <v>24</v>
      </c>
      <c r="N34" s="1"/>
      <c r="O34" s="41">
        <v>0.4</v>
      </c>
      <c r="P34" s="33"/>
      <c r="Q34" s="41"/>
      <c r="R34" s="1"/>
      <c r="S34" s="30"/>
      <c r="T34" s="30">
        <v>162</v>
      </c>
      <c r="U34" s="30">
        <v>785</v>
      </c>
      <c r="V34" s="30"/>
      <c r="X34" s="7">
        <v>2543</v>
      </c>
      <c r="Y34" s="7">
        <v>1191</v>
      </c>
      <c r="Z34" s="7">
        <v>399</v>
      </c>
      <c r="AA34" s="39"/>
      <c r="AB34" s="7">
        <v>162</v>
      </c>
      <c r="AC34" s="7">
        <v>791</v>
      </c>
      <c r="AD34" s="39"/>
      <c r="AE34" s="41">
        <v>5</v>
      </c>
    </row>
    <row r="35" spans="1:31">
      <c r="A35" s="2" t="s">
        <v>32</v>
      </c>
      <c r="B35" s="29">
        <v>4178</v>
      </c>
      <c r="C35" s="29">
        <v>42</v>
      </c>
      <c r="D35" s="1"/>
      <c r="E35" s="29">
        <v>2582</v>
      </c>
      <c r="F35" s="41">
        <v>2432</v>
      </c>
      <c r="G35" s="1"/>
      <c r="H35" s="1"/>
      <c r="I35" s="41">
        <v>70</v>
      </c>
      <c r="J35" s="1"/>
      <c r="K35" s="1"/>
      <c r="L35" s="33"/>
      <c r="M35" s="41">
        <v>82</v>
      </c>
      <c r="N35" s="1"/>
      <c r="O35" s="41">
        <v>2</v>
      </c>
      <c r="P35" s="33">
        <v>6</v>
      </c>
      <c r="Q35" s="36"/>
      <c r="R35" s="1"/>
      <c r="S35" s="30"/>
      <c r="T35" s="29">
        <v>942</v>
      </c>
      <c r="U35" s="29">
        <v>612</v>
      </c>
      <c r="V35" s="30"/>
      <c r="X35" s="7">
        <v>4188</v>
      </c>
      <c r="Y35" s="7">
        <v>43</v>
      </c>
      <c r="Z35" s="7">
        <v>2583</v>
      </c>
      <c r="AA35" s="39"/>
      <c r="AB35" s="7">
        <v>942</v>
      </c>
      <c r="AC35" s="7">
        <v>620</v>
      </c>
      <c r="AD35" s="39"/>
      <c r="AE35" s="41">
        <v>33</v>
      </c>
    </row>
    <row r="36" spans="1:31" ht="13.5" customHeight="1">
      <c r="A36" s="2" t="s">
        <v>33</v>
      </c>
      <c r="B36" s="29">
        <v>8679</v>
      </c>
      <c r="C36" s="29">
        <v>702</v>
      </c>
      <c r="D36" s="1"/>
      <c r="E36" s="29">
        <v>5207</v>
      </c>
      <c r="F36" s="41">
        <v>5122</v>
      </c>
      <c r="G36" s="1"/>
      <c r="H36" s="1"/>
      <c r="I36" s="41">
        <v>83</v>
      </c>
      <c r="J36" s="1"/>
      <c r="K36" s="1"/>
      <c r="L36" s="35"/>
      <c r="M36" s="41">
        <v>2</v>
      </c>
      <c r="N36" s="1"/>
      <c r="O36" s="32"/>
      <c r="P36" s="35">
        <v>2</v>
      </c>
      <c r="Q36" s="41">
        <v>0.2</v>
      </c>
      <c r="R36" s="1"/>
      <c r="S36" s="30"/>
      <c r="T36" s="29">
        <v>1836</v>
      </c>
      <c r="U36" s="29">
        <v>934</v>
      </c>
      <c r="V36" s="30"/>
      <c r="X36" s="7">
        <v>8679</v>
      </c>
      <c r="Y36" s="7">
        <v>702</v>
      </c>
      <c r="Z36" s="7">
        <v>5207</v>
      </c>
      <c r="AA36" s="39"/>
      <c r="AB36" s="7">
        <v>1836</v>
      </c>
      <c r="AC36" s="7">
        <v>934</v>
      </c>
      <c r="AD36" s="39"/>
      <c r="AE36" s="41">
        <v>1</v>
      </c>
    </row>
    <row r="38" spans="1:31">
      <c r="B38">
        <f>B5-SUM(B6:B36)</f>
        <v>0</v>
      </c>
      <c r="C38">
        <f t="shared" ref="C38:V38" si="0">C5-SUM(C6:C36)</f>
        <v>1</v>
      </c>
      <c r="D38">
        <f t="shared" si="0"/>
        <v>0</v>
      </c>
      <c r="E38">
        <f t="shared" si="0"/>
        <v>1</v>
      </c>
      <c r="F38">
        <f t="shared" si="0"/>
        <v>0</v>
      </c>
      <c r="H38">
        <f t="shared" si="0"/>
        <v>0</v>
      </c>
      <c r="I38">
        <f t="shared" si="0"/>
        <v>-2.5</v>
      </c>
      <c r="J38">
        <f t="shared" si="0"/>
        <v>0</v>
      </c>
      <c r="L38">
        <f t="shared" si="0"/>
        <v>-1</v>
      </c>
      <c r="M38">
        <f t="shared" si="0"/>
        <v>3</v>
      </c>
      <c r="N38">
        <f t="shared" si="0"/>
        <v>0</v>
      </c>
      <c r="O38">
        <f t="shared" si="0"/>
        <v>-2.3999999999999773</v>
      </c>
      <c r="P38">
        <f t="shared" si="0"/>
        <v>1</v>
      </c>
      <c r="S38">
        <f t="shared" si="0"/>
        <v>1</v>
      </c>
      <c r="T38">
        <f t="shared" si="0"/>
        <v>1</v>
      </c>
      <c r="U38">
        <f t="shared" si="0"/>
        <v>0</v>
      </c>
      <c r="V38">
        <f t="shared" si="0"/>
        <v>0</v>
      </c>
    </row>
  </sheetData>
  <mergeCells count="25">
    <mergeCell ref="A1:V1"/>
    <mergeCell ref="X1:AE1"/>
    <mergeCell ref="A2:A4"/>
    <mergeCell ref="B2:B4"/>
    <mergeCell ref="C2:D2"/>
    <mergeCell ref="E2:R2"/>
    <mergeCell ref="S2:S4"/>
    <mergeCell ref="T2:T4"/>
    <mergeCell ref="U2:U4"/>
    <mergeCell ref="V2:V4"/>
    <mergeCell ref="AD2:AD4"/>
    <mergeCell ref="AE2:AE4"/>
    <mergeCell ref="C3:C4"/>
    <mergeCell ref="D3:D4"/>
    <mergeCell ref="E3:E4"/>
    <mergeCell ref="F3:H3"/>
    <mergeCell ref="Z2:Z4"/>
    <mergeCell ref="AA2:AA4"/>
    <mergeCell ref="AB2:AB4"/>
    <mergeCell ref="AC2:AC4"/>
    <mergeCell ref="I3:K3"/>
    <mergeCell ref="L3:L4"/>
    <mergeCell ref="M3:R3"/>
    <mergeCell ref="X2:X4"/>
    <mergeCell ref="Y2:Y4"/>
  </mergeCells>
  <phoneticPr fontId="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B5A2-B9C3-4DE7-8168-9FF3324DBF3B}">
  <dimension ref="A1:AE38"/>
  <sheetViews>
    <sheetView workbookViewId="0">
      <selection activeCell="F5" sqref="F5:F36"/>
    </sheetView>
  </sheetViews>
  <sheetFormatPr defaultRowHeight="12.75"/>
  <cols>
    <col min="1" max="22" width="7.5703125" customWidth="1"/>
    <col min="31" max="31" width="7.5703125" customWidth="1"/>
  </cols>
  <sheetData>
    <row r="1" spans="1:31" ht="12.75" customHeight="1">
      <c r="A1" s="104" t="s">
        <v>62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X1" s="112" t="s">
        <v>67</v>
      </c>
      <c r="Y1" s="106"/>
      <c r="Z1" s="106"/>
      <c r="AA1" s="106"/>
      <c r="AB1" s="106"/>
      <c r="AC1" s="106"/>
      <c r="AD1" s="106"/>
      <c r="AE1" s="106"/>
    </row>
    <row r="2" spans="1:31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  <c r="X2" s="105" t="s">
        <v>35</v>
      </c>
      <c r="Y2" s="105" t="s">
        <v>64</v>
      </c>
      <c r="Z2" s="105" t="s">
        <v>65</v>
      </c>
      <c r="AA2" s="105" t="s">
        <v>38</v>
      </c>
      <c r="AB2" s="105" t="s">
        <v>39</v>
      </c>
      <c r="AC2" s="111" t="s">
        <v>1</v>
      </c>
      <c r="AD2" s="105" t="s">
        <v>40</v>
      </c>
      <c r="AE2" s="111" t="s">
        <v>63</v>
      </c>
    </row>
    <row r="3" spans="1:31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  <c r="X3" s="105"/>
      <c r="Y3" s="106"/>
      <c r="Z3" s="106"/>
      <c r="AA3" s="105"/>
      <c r="AB3" s="105"/>
      <c r="AC3" s="111"/>
      <c r="AD3" s="105"/>
      <c r="AE3" s="111"/>
    </row>
    <row r="4" spans="1:31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  <c r="X4" s="105"/>
      <c r="Y4" s="106"/>
      <c r="Z4" s="106"/>
      <c r="AA4" s="105"/>
      <c r="AB4" s="105"/>
      <c r="AC4" s="111"/>
      <c r="AD4" s="105"/>
      <c r="AE4" s="111"/>
    </row>
    <row r="5" spans="1:31">
      <c r="A5" s="4" t="s">
        <v>5</v>
      </c>
      <c r="B5" s="29">
        <v>181753</v>
      </c>
      <c r="C5" s="29">
        <v>31861</v>
      </c>
      <c r="D5" s="1"/>
      <c r="E5" s="41">
        <v>114408</v>
      </c>
      <c r="F5" s="41">
        <v>100835</v>
      </c>
      <c r="G5" s="1"/>
      <c r="H5" s="1"/>
      <c r="I5" s="41">
        <v>8375</v>
      </c>
      <c r="J5" s="1"/>
      <c r="K5" s="1"/>
      <c r="L5" s="41">
        <v>173</v>
      </c>
      <c r="M5" s="41">
        <v>5024</v>
      </c>
      <c r="N5" s="1"/>
      <c r="O5" s="41">
        <v>58</v>
      </c>
      <c r="P5" s="41">
        <v>898</v>
      </c>
      <c r="Q5" s="41">
        <v>991</v>
      </c>
      <c r="R5" s="1"/>
      <c r="S5" s="29">
        <v>4466</v>
      </c>
      <c r="T5" s="29">
        <v>18423</v>
      </c>
      <c r="U5" s="29">
        <v>12885</v>
      </c>
      <c r="V5" s="29">
        <v>19</v>
      </c>
      <c r="X5" s="7">
        <v>190012</v>
      </c>
      <c r="Y5" s="7">
        <v>35259</v>
      </c>
      <c r="Z5" s="7">
        <v>114408</v>
      </c>
      <c r="AA5" s="7">
        <v>4466</v>
      </c>
      <c r="AB5" s="7">
        <v>18427</v>
      </c>
      <c r="AC5" s="7">
        <v>17433</v>
      </c>
      <c r="AD5" s="7">
        <v>37</v>
      </c>
      <c r="AE5" s="32">
        <v>5027</v>
      </c>
    </row>
    <row r="6" spans="1:31">
      <c r="A6" s="2" t="s">
        <v>6</v>
      </c>
      <c r="B6" s="29">
        <v>1242</v>
      </c>
      <c r="C6" s="29">
        <v>98</v>
      </c>
      <c r="D6" s="1"/>
      <c r="E6" s="41">
        <v>1119</v>
      </c>
      <c r="F6" s="41">
        <v>85</v>
      </c>
      <c r="G6" s="1"/>
      <c r="H6" s="1"/>
      <c r="I6" s="41">
        <v>985</v>
      </c>
      <c r="J6" s="1"/>
      <c r="K6" s="1"/>
      <c r="L6" s="41">
        <v>22</v>
      </c>
      <c r="M6" s="41">
        <v>27</v>
      </c>
      <c r="N6" s="1"/>
      <c r="O6" s="36"/>
      <c r="P6" s="41">
        <v>27</v>
      </c>
      <c r="Q6" s="32"/>
      <c r="R6" s="1"/>
      <c r="S6" s="30"/>
      <c r="T6" s="29">
        <v>19</v>
      </c>
      <c r="U6" s="29">
        <v>8</v>
      </c>
      <c r="V6" s="30"/>
      <c r="X6" s="7">
        <v>1276</v>
      </c>
      <c r="Y6" s="7">
        <v>98</v>
      </c>
      <c r="Z6" s="7">
        <v>1119</v>
      </c>
      <c r="AA6" s="39"/>
      <c r="AB6" s="7">
        <v>19</v>
      </c>
      <c r="AC6" s="7">
        <v>40</v>
      </c>
      <c r="AD6" s="39"/>
      <c r="AE6" s="32">
        <v>35</v>
      </c>
    </row>
    <row r="7" spans="1:31">
      <c r="A7" s="2" t="s">
        <v>7</v>
      </c>
      <c r="B7" s="29">
        <v>1686</v>
      </c>
      <c r="C7" s="30"/>
      <c r="D7" s="1"/>
      <c r="E7" s="41">
        <v>1529</v>
      </c>
      <c r="F7" s="41">
        <v>1187</v>
      </c>
      <c r="G7" s="1"/>
      <c r="H7" s="1"/>
      <c r="I7" s="41">
        <v>317</v>
      </c>
      <c r="J7" s="1"/>
      <c r="K7" s="1"/>
      <c r="L7" s="33"/>
      <c r="M7" s="41">
        <v>25</v>
      </c>
      <c r="N7" s="1"/>
      <c r="O7" s="36"/>
      <c r="P7" s="41">
        <v>10</v>
      </c>
      <c r="Q7" s="33"/>
      <c r="R7" s="1"/>
      <c r="S7" s="30"/>
      <c r="T7" s="29">
        <v>52</v>
      </c>
      <c r="U7" s="29">
        <v>108</v>
      </c>
      <c r="V7" s="30"/>
      <c r="X7" s="7">
        <v>1709</v>
      </c>
      <c r="Y7" s="7">
        <v>1</v>
      </c>
      <c r="Z7" s="7">
        <v>1529</v>
      </c>
      <c r="AA7" s="39"/>
      <c r="AB7" s="7">
        <v>52</v>
      </c>
      <c r="AC7" s="7">
        <v>128</v>
      </c>
      <c r="AD7" s="39"/>
      <c r="AE7" s="32">
        <v>31</v>
      </c>
    </row>
    <row r="8" spans="1:31">
      <c r="A8" s="2" t="s">
        <v>8</v>
      </c>
      <c r="B8" s="29">
        <v>7027</v>
      </c>
      <c r="C8" s="29">
        <v>165</v>
      </c>
      <c r="D8" s="1"/>
      <c r="E8" s="41">
        <v>4617</v>
      </c>
      <c r="F8" s="41">
        <v>4308</v>
      </c>
      <c r="G8" s="1"/>
      <c r="H8" s="1"/>
      <c r="I8" s="41">
        <v>3</v>
      </c>
      <c r="J8" s="1"/>
      <c r="K8" s="1"/>
      <c r="L8" s="33"/>
      <c r="M8" s="41">
        <v>306</v>
      </c>
      <c r="N8" s="1"/>
      <c r="O8" s="41">
        <v>1</v>
      </c>
      <c r="P8" s="41">
        <v>27</v>
      </c>
      <c r="Q8" s="33">
        <v>47</v>
      </c>
      <c r="R8" s="1"/>
      <c r="S8" s="30"/>
      <c r="T8" s="29">
        <v>1391</v>
      </c>
      <c r="U8" s="29">
        <v>859</v>
      </c>
      <c r="V8" s="29">
        <v>3</v>
      </c>
      <c r="X8" s="7">
        <v>7427</v>
      </c>
      <c r="Y8" s="7">
        <v>182</v>
      </c>
      <c r="Z8" s="7">
        <v>4617</v>
      </c>
      <c r="AA8" s="39"/>
      <c r="AB8" s="7">
        <v>1391</v>
      </c>
      <c r="AC8" s="7">
        <v>1234</v>
      </c>
      <c r="AD8" s="7">
        <v>3</v>
      </c>
      <c r="AE8" s="32">
        <v>378</v>
      </c>
    </row>
    <row r="9" spans="1:31">
      <c r="A9" s="2" t="s">
        <v>9</v>
      </c>
      <c r="B9" s="29">
        <v>8555</v>
      </c>
      <c r="C9" s="29">
        <v>214</v>
      </c>
      <c r="D9" s="1"/>
      <c r="E9" s="41">
        <v>6628</v>
      </c>
      <c r="F9" s="41">
        <v>6108</v>
      </c>
      <c r="G9" s="1"/>
      <c r="H9" s="1"/>
      <c r="I9" s="41">
        <v>301</v>
      </c>
      <c r="J9" s="1"/>
      <c r="K9" s="1"/>
      <c r="L9" s="33"/>
      <c r="M9" s="41">
        <v>218</v>
      </c>
      <c r="N9" s="1"/>
      <c r="O9" s="41">
        <v>10</v>
      </c>
      <c r="P9" s="41">
        <v>11</v>
      </c>
      <c r="Q9" s="33">
        <v>30</v>
      </c>
      <c r="R9" s="1"/>
      <c r="S9" s="30"/>
      <c r="T9" s="29">
        <v>1043</v>
      </c>
      <c r="U9" s="29">
        <v>686</v>
      </c>
      <c r="V9" s="30"/>
      <c r="X9" s="7">
        <v>8758</v>
      </c>
      <c r="Y9" s="7">
        <v>223</v>
      </c>
      <c r="Z9" s="7">
        <v>6628</v>
      </c>
      <c r="AA9" s="39"/>
      <c r="AB9" s="7">
        <v>1043</v>
      </c>
      <c r="AC9" s="7">
        <v>864</v>
      </c>
      <c r="AD9" s="39"/>
      <c r="AE9" s="32">
        <v>183</v>
      </c>
    </row>
    <row r="10" spans="1:31">
      <c r="A10" s="2" t="s">
        <v>2</v>
      </c>
      <c r="B10" s="29">
        <v>12264</v>
      </c>
      <c r="C10" s="29">
        <v>238</v>
      </c>
      <c r="D10" s="1"/>
      <c r="E10" s="41">
        <v>8229</v>
      </c>
      <c r="F10" s="41">
        <v>8158</v>
      </c>
      <c r="G10" s="1"/>
      <c r="H10" s="1"/>
      <c r="I10" s="41">
        <v>42</v>
      </c>
      <c r="J10" s="1"/>
      <c r="K10" s="1"/>
      <c r="L10" s="33"/>
      <c r="M10" s="41">
        <v>29</v>
      </c>
      <c r="N10" s="1"/>
      <c r="O10" s="36"/>
      <c r="P10" s="41">
        <v>7</v>
      </c>
      <c r="Q10" s="33">
        <v>12</v>
      </c>
      <c r="R10" s="1"/>
      <c r="S10" s="30"/>
      <c r="T10" s="29">
        <v>2868</v>
      </c>
      <c r="U10" s="29">
        <v>933</v>
      </c>
      <c r="V10" s="30"/>
      <c r="X10" s="7">
        <v>12285</v>
      </c>
      <c r="Y10" s="7">
        <v>242</v>
      </c>
      <c r="Z10" s="7">
        <v>8229</v>
      </c>
      <c r="AA10" s="39"/>
      <c r="AB10" s="7">
        <v>2868</v>
      </c>
      <c r="AC10" s="7">
        <v>946</v>
      </c>
      <c r="AD10" s="39"/>
      <c r="AE10" s="32">
        <v>13</v>
      </c>
    </row>
    <row r="11" spans="1:31">
      <c r="A11" s="2" t="s">
        <v>10</v>
      </c>
      <c r="B11" s="29">
        <v>5116</v>
      </c>
      <c r="C11" s="29">
        <v>283</v>
      </c>
      <c r="D11" s="1"/>
      <c r="E11" s="41">
        <v>3383</v>
      </c>
      <c r="F11" s="41">
        <v>3283</v>
      </c>
      <c r="G11" s="1"/>
      <c r="H11" s="1"/>
      <c r="I11" s="41">
        <v>5</v>
      </c>
      <c r="J11" s="1"/>
      <c r="K11" s="1"/>
      <c r="L11" s="41">
        <v>15</v>
      </c>
      <c r="M11" s="41">
        <v>81</v>
      </c>
      <c r="N11" s="1"/>
      <c r="O11" s="36"/>
      <c r="P11" s="32">
        <v>8</v>
      </c>
      <c r="Q11" s="41">
        <v>7</v>
      </c>
      <c r="R11" s="1"/>
      <c r="S11" s="29">
        <v>448</v>
      </c>
      <c r="T11" s="29">
        <v>760</v>
      </c>
      <c r="U11" s="29">
        <v>248</v>
      </c>
      <c r="V11" s="30"/>
      <c r="X11" s="7">
        <v>5192</v>
      </c>
      <c r="Y11" s="7">
        <v>299</v>
      </c>
      <c r="Z11" s="7">
        <v>3383</v>
      </c>
      <c r="AA11" s="7">
        <v>448</v>
      </c>
      <c r="AB11" s="7">
        <v>761</v>
      </c>
      <c r="AC11" s="7">
        <v>302</v>
      </c>
      <c r="AD11" s="39"/>
      <c r="AE11" s="32">
        <v>83</v>
      </c>
    </row>
    <row r="12" spans="1:31">
      <c r="A12" s="2" t="s">
        <v>3</v>
      </c>
      <c r="B12" s="29">
        <v>2986</v>
      </c>
      <c r="C12" s="29">
        <v>357</v>
      </c>
      <c r="D12" s="1"/>
      <c r="E12" s="41">
        <v>1892</v>
      </c>
      <c r="F12" s="41">
        <v>1788</v>
      </c>
      <c r="G12" s="1"/>
      <c r="H12" s="1"/>
      <c r="I12" s="41">
        <v>0.5</v>
      </c>
      <c r="J12" s="1"/>
      <c r="K12" s="1"/>
      <c r="L12" s="33"/>
      <c r="M12" s="41">
        <v>103</v>
      </c>
      <c r="N12" s="1"/>
      <c r="O12" s="41">
        <v>0.3</v>
      </c>
      <c r="P12" s="41">
        <v>16</v>
      </c>
      <c r="Q12" s="33">
        <v>49</v>
      </c>
      <c r="R12" s="1"/>
      <c r="S12" s="30"/>
      <c r="T12" s="29">
        <v>514</v>
      </c>
      <c r="U12" s="29">
        <v>226</v>
      </c>
      <c r="V12" s="30"/>
      <c r="X12" s="7">
        <v>3055</v>
      </c>
      <c r="Y12" s="7">
        <v>385</v>
      </c>
      <c r="Z12" s="7">
        <v>1892</v>
      </c>
      <c r="AA12" s="39"/>
      <c r="AB12" s="7">
        <v>514</v>
      </c>
      <c r="AC12" s="7">
        <v>265</v>
      </c>
      <c r="AD12" s="39"/>
      <c r="AE12" s="32">
        <v>62</v>
      </c>
    </row>
    <row r="13" spans="1:31">
      <c r="A13" s="2" t="s">
        <v>4</v>
      </c>
      <c r="B13" s="29">
        <v>3046</v>
      </c>
      <c r="C13" s="29">
        <v>97</v>
      </c>
      <c r="D13" s="1"/>
      <c r="E13" s="41">
        <v>2212</v>
      </c>
      <c r="F13" s="41">
        <v>2082</v>
      </c>
      <c r="G13" s="1"/>
      <c r="H13" s="1"/>
      <c r="I13" s="41">
        <v>12</v>
      </c>
      <c r="J13" s="1"/>
      <c r="K13" s="1"/>
      <c r="L13" s="41">
        <v>2</v>
      </c>
      <c r="M13" s="41">
        <v>116</v>
      </c>
      <c r="N13" s="1"/>
      <c r="O13" s="41">
        <v>0.4</v>
      </c>
      <c r="P13" s="41">
        <v>11</v>
      </c>
      <c r="Q13" s="41">
        <v>85</v>
      </c>
      <c r="R13" s="1"/>
      <c r="S13" s="30"/>
      <c r="T13" s="29">
        <v>598</v>
      </c>
      <c r="U13" s="29">
        <v>144</v>
      </c>
      <c r="V13" s="30"/>
      <c r="X13" s="7">
        <v>3129</v>
      </c>
      <c r="Y13" s="7">
        <v>104</v>
      </c>
      <c r="Z13" s="7">
        <v>2212</v>
      </c>
      <c r="AA13" s="39"/>
      <c r="AB13" s="7">
        <v>598</v>
      </c>
      <c r="AC13" s="7">
        <v>215</v>
      </c>
      <c r="AD13" s="39"/>
      <c r="AE13" s="32">
        <v>74</v>
      </c>
    </row>
    <row r="14" spans="1:31">
      <c r="A14" s="2" t="s">
        <v>11</v>
      </c>
      <c r="B14" s="29">
        <v>2447</v>
      </c>
      <c r="C14" s="30"/>
      <c r="D14" s="1"/>
      <c r="E14" s="41">
        <v>2365</v>
      </c>
      <c r="F14" s="41">
        <v>1511</v>
      </c>
      <c r="G14" s="1"/>
      <c r="H14" s="1"/>
      <c r="I14" s="41">
        <v>662</v>
      </c>
      <c r="J14" s="1"/>
      <c r="K14" s="1"/>
      <c r="L14" s="41">
        <v>86</v>
      </c>
      <c r="M14" s="41">
        <v>106</v>
      </c>
      <c r="N14" s="1"/>
      <c r="O14" s="41">
        <v>2</v>
      </c>
      <c r="P14" s="41">
        <v>26</v>
      </c>
      <c r="Q14" s="32"/>
      <c r="R14" s="1"/>
      <c r="S14" s="30"/>
      <c r="T14" s="29">
        <v>71</v>
      </c>
      <c r="U14" s="29">
        <v>13</v>
      </c>
      <c r="V14" s="30"/>
      <c r="X14" s="7">
        <v>2525</v>
      </c>
      <c r="Y14" s="39"/>
      <c r="Z14" s="7">
        <v>2365</v>
      </c>
      <c r="AA14" s="39"/>
      <c r="AB14" s="7">
        <v>71</v>
      </c>
      <c r="AC14" s="7">
        <v>89</v>
      </c>
      <c r="AD14" s="39"/>
      <c r="AE14" s="32">
        <v>82</v>
      </c>
    </row>
    <row r="15" spans="1:31">
      <c r="A15" s="2" t="s">
        <v>12</v>
      </c>
      <c r="B15" s="29">
        <v>12079</v>
      </c>
      <c r="C15" s="29">
        <v>260</v>
      </c>
      <c r="D15" s="1"/>
      <c r="E15" s="41">
        <v>9749</v>
      </c>
      <c r="F15" s="41">
        <v>7885</v>
      </c>
      <c r="G15" s="1"/>
      <c r="H15" s="1"/>
      <c r="I15" s="41">
        <v>1502</v>
      </c>
      <c r="J15" s="1"/>
      <c r="K15" s="1"/>
      <c r="L15" s="33"/>
      <c r="M15" s="41">
        <v>362</v>
      </c>
      <c r="N15" s="1"/>
      <c r="O15" s="41">
        <v>7</v>
      </c>
      <c r="P15" s="41">
        <v>103</v>
      </c>
      <c r="Q15" s="33">
        <v>52</v>
      </c>
      <c r="R15" s="1"/>
      <c r="S15" s="29">
        <v>437</v>
      </c>
      <c r="T15" s="29">
        <v>864</v>
      </c>
      <c r="U15" s="29">
        <v>776</v>
      </c>
      <c r="V15" s="29">
        <v>10</v>
      </c>
      <c r="X15" s="7">
        <v>12657</v>
      </c>
      <c r="Y15" s="7">
        <v>265</v>
      </c>
      <c r="Z15" s="7">
        <v>9749</v>
      </c>
      <c r="AA15" s="7">
        <v>437</v>
      </c>
      <c r="AB15" s="7">
        <v>865</v>
      </c>
      <c r="AC15" s="7">
        <v>1332</v>
      </c>
      <c r="AD15" s="7">
        <v>10</v>
      </c>
      <c r="AE15" s="32">
        <v>540</v>
      </c>
    </row>
    <row r="16" spans="1:31">
      <c r="A16" s="2" t="s">
        <v>13</v>
      </c>
      <c r="B16" s="29">
        <v>8564</v>
      </c>
      <c r="C16" s="29">
        <v>943</v>
      </c>
      <c r="D16" s="1"/>
      <c r="E16" s="41">
        <v>6209</v>
      </c>
      <c r="F16" s="41">
        <v>4680</v>
      </c>
      <c r="G16" s="1"/>
      <c r="H16" s="1"/>
      <c r="I16" s="41">
        <v>1259</v>
      </c>
      <c r="J16" s="1"/>
      <c r="K16" s="1"/>
      <c r="L16" s="41">
        <v>2</v>
      </c>
      <c r="M16" s="41">
        <v>267</v>
      </c>
      <c r="N16" s="1"/>
      <c r="O16" s="41">
        <v>5</v>
      </c>
      <c r="P16" s="41">
        <v>141</v>
      </c>
      <c r="Q16" s="41">
        <v>22</v>
      </c>
      <c r="R16" s="1"/>
      <c r="S16" s="29">
        <v>908</v>
      </c>
      <c r="T16" s="29">
        <v>148</v>
      </c>
      <c r="U16" s="29">
        <v>376</v>
      </c>
      <c r="V16" s="30"/>
      <c r="X16" s="7">
        <v>9565</v>
      </c>
      <c r="Y16" s="7">
        <v>1161</v>
      </c>
      <c r="Z16" s="7">
        <v>6209</v>
      </c>
      <c r="AA16" s="7">
        <v>908</v>
      </c>
      <c r="AB16" s="7">
        <v>148</v>
      </c>
      <c r="AC16" s="7">
        <v>1138</v>
      </c>
      <c r="AD16" s="7">
        <v>1</v>
      </c>
      <c r="AE16" s="32">
        <v>777</v>
      </c>
    </row>
    <row r="17" spans="1:31">
      <c r="A17" s="2" t="s">
        <v>14</v>
      </c>
      <c r="B17" s="29">
        <v>6623</v>
      </c>
      <c r="C17" s="29">
        <v>243</v>
      </c>
      <c r="D17" s="1"/>
      <c r="E17" s="41">
        <v>5413</v>
      </c>
      <c r="F17" s="41">
        <v>5071</v>
      </c>
      <c r="G17" s="1"/>
      <c r="H17" s="1"/>
      <c r="I17" s="41">
        <v>14</v>
      </c>
      <c r="J17" s="1"/>
      <c r="K17" s="1"/>
      <c r="L17" s="33"/>
      <c r="M17" s="41">
        <v>329</v>
      </c>
      <c r="N17" s="1"/>
      <c r="O17" s="41">
        <v>1</v>
      </c>
      <c r="P17" s="41">
        <v>51</v>
      </c>
      <c r="Q17" s="33">
        <v>111</v>
      </c>
      <c r="R17" s="1"/>
      <c r="S17" s="30"/>
      <c r="T17" s="29">
        <v>246</v>
      </c>
      <c r="U17" s="29">
        <v>743</v>
      </c>
      <c r="V17" s="30"/>
      <c r="X17" s="7">
        <v>7089</v>
      </c>
      <c r="Y17" s="7">
        <v>312</v>
      </c>
      <c r="Z17" s="7">
        <v>5413</v>
      </c>
      <c r="AA17" s="39"/>
      <c r="AB17" s="7">
        <v>246</v>
      </c>
      <c r="AC17" s="7">
        <v>1118</v>
      </c>
      <c r="AD17" s="39"/>
      <c r="AE17" s="32">
        <v>441</v>
      </c>
    </row>
    <row r="18" spans="1:31">
      <c r="A18" s="2" t="s">
        <v>15</v>
      </c>
      <c r="B18" s="29">
        <v>5281</v>
      </c>
      <c r="C18" s="29">
        <v>926</v>
      </c>
      <c r="D18" s="1"/>
      <c r="E18" s="41">
        <v>3128</v>
      </c>
      <c r="F18" s="41">
        <v>2574</v>
      </c>
      <c r="G18" s="1"/>
      <c r="H18" s="1"/>
      <c r="I18" s="41">
        <v>391</v>
      </c>
      <c r="J18" s="1"/>
      <c r="K18" s="1"/>
      <c r="L18" s="41">
        <v>1</v>
      </c>
      <c r="M18" s="41">
        <v>163</v>
      </c>
      <c r="N18" s="1"/>
      <c r="O18" s="41">
        <v>0.6</v>
      </c>
      <c r="P18" s="41">
        <v>44</v>
      </c>
      <c r="Q18" s="41">
        <v>5</v>
      </c>
      <c r="R18" s="1"/>
      <c r="S18" s="29">
        <v>871</v>
      </c>
      <c r="T18" s="29">
        <v>300</v>
      </c>
      <c r="U18" s="29">
        <v>67</v>
      </c>
      <c r="V18" s="30"/>
      <c r="X18" s="7">
        <v>5770</v>
      </c>
      <c r="Y18" s="7">
        <v>1322</v>
      </c>
      <c r="Z18" s="7">
        <v>3128</v>
      </c>
      <c r="AA18" s="7">
        <v>871</v>
      </c>
      <c r="AB18" s="7">
        <v>300</v>
      </c>
      <c r="AC18" s="7">
        <v>148</v>
      </c>
      <c r="AD18" s="39"/>
      <c r="AE18" s="40">
        <v>111</v>
      </c>
    </row>
    <row r="19" spans="1:31">
      <c r="A19" s="2" t="s">
        <v>16</v>
      </c>
      <c r="B19" s="29">
        <v>3112</v>
      </c>
      <c r="C19" s="29">
        <v>419</v>
      </c>
      <c r="D19" s="1"/>
      <c r="E19" s="41">
        <v>2165</v>
      </c>
      <c r="F19" s="41">
        <v>1925</v>
      </c>
      <c r="G19" s="1"/>
      <c r="H19" s="1"/>
      <c r="I19" s="41">
        <v>10</v>
      </c>
      <c r="J19" s="1"/>
      <c r="K19" s="1"/>
      <c r="L19" s="33"/>
      <c r="M19" s="41">
        <v>230</v>
      </c>
      <c r="N19" s="1"/>
      <c r="O19" s="41">
        <v>1</v>
      </c>
      <c r="P19" s="41">
        <v>12</v>
      </c>
      <c r="Q19" s="33">
        <v>21</v>
      </c>
      <c r="R19" s="1"/>
      <c r="S19" s="30"/>
      <c r="T19" s="29">
        <v>225</v>
      </c>
      <c r="U19" s="29">
        <v>309</v>
      </c>
      <c r="V19" s="30"/>
      <c r="X19" s="7">
        <v>3554</v>
      </c>
      <c r="Y19" s="7">
        <v>627</v>
      </c>
      <c r="Z19" s="7">
        <v>2165</v>
      </c>
      <c r="AA19" s="39"/>
      <c r="AB19" s="7">
        <v>225</v>
      </c>
      <c r="AC19" s="7">
        <v>536</v>
      </c>
      <c r="AD19" s="39"/>
      <c r="AE19" s="32">
        <v>242</v>
      </c>
    </row>
    <row r="20" spans="1:31">
      <c r="A20" s="2" t="s">
        <v>17</v>
      </c>
      <c r="B20" s="30">
        <v>12422</v>
      </c>
      <c r="C20" s="30">
        <v>102</v>
      </c>
      <c r="D20" s="1"/>
      <c r="E20" s="41">
        <v>10367</v>
      </c>
      <c r="F20" s="41">
        <v>9723</v>
      </c>
      <c r="G20" s="1"/>
      <c r="H20" s="1"/>
      <c r="I20" s="41">
        <v>8</v>
      </c>
      <c r="J20" s="1"/>
      <c r="K20" s="1"/>
      <c r="L20" s="33"/>
      <c r="M20" s="41">
        <v>636</v>
      </c>
      <c r="N20" s="1"/>
      <c r="O20" s="41">
        <v>8</v>
      </c>
      <c r="P20" s="41">
        <v>108</v>
      </c>
      <c r="Q20" s="33">
        <v>148</v>
      </c>
      <c r="R20" s="1"/>
      <c r="S20" s="30">
        <v>125</v>
      </c>
      <c r="T20" s="30">
        <v>1146</v>
      </c>
      <c r="U20" s="30">
        <v>708</v>
      </c>
      <c r="V20" s="30"/>
      <c r="X20" s="7">
        <v>13107</v>
      </c>
      <c r="Y20" s="7">
        <v>108</v>
      </c>
      <c r="Z20" s="7">
        <v>10367</v>
      </c>
      <c r="AA20" s="7">
        <v>125</v>
      </c>
      <c r="AB20" s="7">
        <v>1146</v>
      </c>
      <c r="AC20" s="7">
        <v>1361</v>
      </c>
      <c r="AD20" s="39"/>
      <c r="AE20" s="32">
        <v>713</v>
      </c>
    </row>
    <row r="21" spans="1:31">
      <c r="A21" s="2" t="s">
        <v>18</v>
      </c>
      <c r="B21" s="29">
        <v>8271</v>
      </c>
      <c r="C21" s="29">
        <v>391</v>
      </c>
      <c r="D21" s="1"/>
      <c r="E21" s="41">
        <v>6821</v>
      </c>
      <c r="F21" s="41">
        <v>6446</v>
      </c>
      <c r="G21" s="1"/>
      <c r="H21" s="1"/>
      <c r="I21" s="41">
        <v>229</v>
      </c>
      <c r="J21" s="1"/>
      <c r="K21" s="1"/>
      <c r="L21" s="33"/>
      <c r="M21" s="41">
        <v>146</v>
      </c>
      <c r="N21" s="1"/>
      <c r="O21" s="41">
        <v>4</v>
      </c>
      <c r="P21" s="41">
        <v>13</v>
      </c>
      <c r="Q21" s="33">
        <v>44</v>
      </c>
      <c r="R21" s="1"/>
      <c r="S21" s="30"/>
      <c r="T21" s="29">
        <v>468</v>
      </c>
      <c r="U21" s="29">
        <v>602</v>
      </c>
      <c r="V21" s="30"/>
      <c r="X21" s="7">
        <v>8680</v>
      </c>
      <c r="Y21" s="7">
        <v>401</v>
      </c>
      <c r="Z21" s="7">
        <v>6821</v>
      </c>
      <c r="AA21" s="39"/>
      <c r="AB21" s="7">
        <v>468</v>
      </c>
      <c r="AC21" s="7">
        <v>991</v>
      </c>
      <c r="AD21" s="39"/>
      <c r="AE21" s="32">
        <v>391</v>
      </c>
    </row>
    <row r="22" spans="1:31">
      <c r="A22" s="2" t="s">
        <v>19</v>
      </c>
      <c r="B22" s="29">
        <v>7106</v>
      </c>
      <c r="C22" s="29">
        <v>3563</v>
      </c>
      <c r="D22" s="1"/>
      <c r="E22" s="41">
        <v>2884</v>
      </c>
      <c r="F22" s="41">
        <v>2546</v>
      </c>
      <c r="G22" s="1"/>
      <c r="H22" s="1"/>
      <c r="I22" s="41">
        <v>94</v>
      </c>
      <c r="J22" s="1"/>
      <c r="K22" s="1"/>
      <c r="L22" s="33"/>
      <c r="M22" s="41">
        <v>244</v>
      </c>
      <c r="N22" s="1"/>
      <c r="O22" s="41">
        <v>2</v>
      </c>
      <c r="P22" s="41">
        <v>24</v>
      </c>
      <c r="Q22" s="33">
        <v>48</v>
      </c>
      <c r="R22" s="1"/>
      <c r="S22" s="30"/>
      <c r="T22" s="29">
        <v>331</v>
      </c>
      <c r="U22" s="29">
        <v>338</v>
      </c>
      <c r="V22" s="30"/>
      <c r="X22" s="7">
        <v>7401</v>
      </c>
      <c r="Y22" s="7">
        <v>3675</v>
      </c>
      <c r="Z22" s="7">
        <v>2884</v>
      </c>
      <c r="AA22" s="39"/>
      <c r="AB22" s="7">
        <v>331</v>
      </c>
      <c r="AC22" s="7">
        <v>510</v>
      </c>
      <c r="AD22" s="39"/>
      <c r="AE22" s="32">
        <v>175</v>
      </c>
    </row>
    <row r="23" spans="1:31">
      <c r="A23" s="2" t="s">
        <v>20</v>
      </c>
      <c r="B23" s="29">
        <v>4040</v>
      </c>
      <c r="C23" s="29">
        <v>1264</v>
      </c>
      <c r="D23" s="1"/>
      <c r="E23" s="41">
        <v>2284</v>
      </c>
      <c r="F23" s="41">
        <v>2046</v>
      </c>
      <c r="G23" s="1"/>
      <c r="H23" s="1"/>
      <c r="I23" s="41">
        <v>7</v>
      </c>
      <c r="J23" s="1"/>
      <c r="K23" s="1"/>
      <c r="L23" s="41">
        <v>7</v>
      </c>
      <c r="M23" s="41">
        <v>224</v>
      </c>
      <c r="N23" s="1"/>
      <c r="O23" s="41">
        <v>3</v>
      </c>
      <c r="P23" s="41">
        <v>24</v>
      </c>
      <c r="Q23" s="41">
        <v>41</v>
      </c>
      <c r="R23" s="1"/>
      <c r="S23" s="30"/>
      <c r="T23" s="29">
        <v>348</v>
      </c>
      <c r="U23" s="29">
        <v>160</v>
      </c>
      <c r="V23" s="29"/>
      <c r="X23" s="7">
        <v>4522</v>
      </c>
      <c r="Y23" s="7">
        <v>1598</v>
      </c>
      <c r="Z23" s="7">
        <v>2284</v>
      </c>
      <c r="AA23" s="39"/>
      <c r="AB23" s="7">
        <v>348</v>
      </c>
      <c r="AC23" s="7">
        <v>292</v>
      </c>
      <c r="AD23" s="7">
        <v>6</v>
      </c>
      <c r="AE23" s="32">
        <v>166</v>
      </c>
    </row>
    <row r="24" spans="1:31">
      <c r="A24" s="2" t="s">
        <v>21</v>
      </c>
      <c r="B24" s="29">
        <v>11266</v>
      </c>
      <c r="C24" s="29">
        <v>1079</v>
      </c>
      <c r="D24" s="1"/>
      <c r="E24" s="41">
        <v>8137</v>
      </c>
      <c r="F24" s="41">
        <v>5994</v>
      </c>
      <c r="G24" s="1"/>
      <c r="H24" s="1"/>
      <c r="I24" s="41">
        <v>1963</v>
      </c>
      <c r="J24" s="1"/>
      <c r="K24" s="1"/>
      <c r="L24" s="33"/>
      <c r="M24" s="41">
        <v>180</v>
      </c>
      <c r="N24" s="1"/>
      <c r="O24" s="41">
        <v>9</v>
      </c>
      <c r="P24" s="41">
        <v>110</v>
      </c>
      <c r="Q24" s="33">
        <v>22</v>
      </c>
      <c r="R24" s="1"/>
      <c r="S24" s="29">
        <v>1330</v>
      </c>
      <c r="T24" s="29">
        <v>357</v>
      </c>
      <c r="U24" s="29">
        <v>370</v>
      </c>
      <c r="V24" s="29">
        <v>1</v>
      </c>
      <c r="X24" s="7">
        <v>11929</v>
      </c>
      <c r="Y24" s="7">
        <v>1576</v>
      </c>
      <c r="Z24" s="7">
        <v>8137</v>
      </c>
      <c r="AA24" s="7">
        <v>1330</v>
      </c>
      <c r="AB24" s="7">
        <v>357</v>
      </c>
      <c r="AC24" s="7">
        <v>527</v>
      </c>
      <c r="AD24" s="7">
        <v>2</v>
      </c>
      <c r="AE24" s="32">
        <v>209</v>
      </c>
    </row>
    <row r="25" spans="1:31">
      <c r="A25" s="2" t="s">
        <v>22</v>
      </c>
      <c r="B25" s="30">
        <v>4279</v>
      </c>
      <c r="C25" s="30">
        <v>1503</v>
      </c>
      <c r="D25" s="1"/>
      <c r="E25" s="41">
        <v>2288</v>
      </c>
      <c r="F25" s="41">
        <v>1858</v>
      </c>
      <c r="G25" s="1"/>
      <c r="H25" s="1"/>
      <c r="I25" s="41">
        <v>35</v>
      </c>
      <c r="J25" s="1"/>
      <c r="K25" s="1"/>
      <c r="L25" s="33"/>
      <c r="M25" s="41">
        <v>395</v>
      </c>
      <c r="N25" s="1"/>
      <c r="O25" s="41">
        <v>2</v>
      </c>
      <c r="P25" s="41">
        <v>12</v>
      </c>
      <c r="Q25" s="33">
        <v>162</v>
      </c>
      <c r="R25" s="1"/>
      <c r="S25" s="30">
        <v>217</v>
      </c>
      <c r="T25" s="30">
        <v>208</v>
      </c>
      <c r="U25" s="30">
        <v>99</v>
      </c>
      <c r="V25" s="30"/>
      <c r="X25" s="39">
        <v>4513</v>
      </c>
      <c r="Y25" s="39">
        <v>1677</v>
      </c>
      <c r="Z25" s="39">
        <v>2288</v>
      </c>
      <c r="AA25" s="7">
        <v>217</v>
      </c>
      <c r="AB25" s="7">
        <v>208</v>
      </c>
      <c r="AC25" s="7">
        <v>124</v>
      </c>
      <c r="AD25" s="39"/>
      <c r="AE25" s="32">
        <v>29</v>
      </c>
    </row>
    <row r="26" spans="1:31">
      <c r="A26" s="2" t="s">
        <v>23</v>
      </c>
      <c r="B26" s="29">
        <v>878</v>
      </c>
      <c r="C26" s="29">
        <v>125</v>
      </c>
      <c r="D26" s="1"/>
      <c r="E26" s="41">
        <v>465</v>
      </c>
      <c r="F26" s="41">
        <v>352</v>
      </c>
      <c r="G26" s="1"/>
      <c r="H26" s="1"/>
      <c r="I26" s="41">
        <v>73</v>
      </c>
      <c r="J26" s="1"/>
      <c r="K26" s="1"/>
      <c r="L26" s="33"/>
      <c r="M26" s="41">
        <v>41</v>
      </c>
      <c r="N26" s="1"/>
      <c r="O26" s="41">
        <v>0.3</v>
      </c>
      <c r="P26" s="41">
        <v>8</v>
      </c>
      <c r="Q26" s="33">
        <v>24</v>
      </c>
      <c r="R26" s="1"/>
      <c r="S26" s="29">
        <v>130</v>
      </c>
      <c r="T26" s="29">
        <v>34</v>
      </c>
      <c r="U26" s="29">
        <v>125</v>
      </c>
      <c r="V26" s="30"/>
      <c r="X26" s="7">
        <v>919</v>
      </c>
      <c r="Y26" s="7">
        <v>154</v>
      </c>
      <c r="Z26" s="7">
        <v>465</v>
      </c>
      <c r="AA26" s="7">
        <v>130</v>
      </c>
      <c r="AB26" s="7">
        <v>34</v>
      </c>
      <c r="AC26" s="7">
        <v>136</v>
      </c>
      <c r="AD26" s="7">
        <v>11</v>
      </c>
      <c r="AE26" s="32">
        <v>13</v>
      </c>
    </row>
    <row r="27" spans="1:31">
      <c r="A27" s="2" t="s">
        <v>24</v>
      </c>
      <c r="B27" s="29">
        <v>2255</v>
      </c>
      <c r="C27" s="29">
        <v>635</v>
      </c>
      <c r="D27" s="1"/>
      <c r="E27" s="41">
        <v>1537</v>
      </c>
      <c r="F27" s="41">
        <v>1312</v>
      </c>
      <c r="G27" s="1"/>
      <c r="H27" s="1"/>
      <c r="I27" s="41">
        <v>168</v>
      </c>
      <c r="J27" s="1"/>
      <c r="K27" s="1"/>
      <c r="L27" s="33"/>
      <c r="M27" s="41">
        <v>57</v>
      </c>
      <c r="N27" s="1"/>
      <c r="O27" s="41">
        <v>1</v>
      </c>
      <c r="P27" s="41">
        <v>22</v>
      </c>
      <c r="Q27" s="33">
        <v>7</v>
      </c>
      <c r="R27" s="1"/>
      <c r="S27" s="30"/>
      <c r="T27" s="29">
        <v>50</v>
      </c>
      <c r="U27" s="29">
        <v>38</v>
      </c>
      <c r="V27" s="30"/>
      <c r="X27" s="7">
        <v>2386</v>
      </c>
      <c r="Y27" s="7">
        <v>756</v>
      </c>
      <c r="Z27" s="7">
        <v>1537</v>
      </c>
      <c r="AA27" s="39"/>
      <c r="AB27" s="7">
        <v>50</v>
      </c>
      <c r="AC27" s="7">
        <v>43</v>
      </c>
      <c r="AD27" s="39"/>
      <c r="AE27" s="32">
        <v>43</v>
      </c>
    </row>
    <row r="28" spans="1:31">
      <c r="A28" s="2" t="s">
        <v>25</v>
      </c>
      <c r="B28" s="29">
        <v>9365</v>
      </c>
      <c r="C28" s="29">
        <v>7395</v>
      </c>
      <c r="D28" s="1"/>
      <c r="E28" s="41">
        <v>1575</v>
      </c>
      <c r="F28" s="41">
        <v>1240</v>
      </c>
      <c r="G28" s="1"/>
      <c r="H28" s="1"/>
      <c r="I28" s="41">
        <v>126</v>
      </c>
      <c r="J28" s="1"/>
      <c r="K28" s="1"/>
      <c r="L28" s="33"/>
      <c r="M28" s="41">
        <v>209</v>
      </c>
      <c r="N28" s="1"/>
      <c r="O28" s="41">
        <v>3</v>
      </c>
      <c r="P28" s="41">
        <v>36</v>
      </c>
      <c r="Q28" s="33">
        <v>9</v>
      </c>
      <c r="R28" s="1"/>
      <c r="S28" s="30"/>
      <c r="T28" s="29">
        <v>253</v>
      </c>
      <c r="U28" s="29">
        <v>175</v>
      </c>
      <c r="V28" s="30"/>
      <c r="X28" s="7">
        <v>9833</v>
      </c>
      <c r="Y28" s="7">
        <v>7824</v>
      </c>
      <c r="Z28" s="7">
        <v>1575</v>
      </c>
      <c r="AA28" s="39"/>
      <c r="AB28" s="7">
        <v>253</v>
      </c>
      <c r="AC28" s="7">
        <v>181</v>
      </c>
      <c r="AD28" s="39"/>
      <c r="AE28" s="32">
        <v>13</v>
      </c>
    </row>
    <row r="29" spans="1:31">
      <c r="A29" s="2" t="s">
        <v>26</v>
      </c>
      <c r="B29" s="29">
        <v>5754</v>
      </c>
      <c r="C29" s="29">
        <v>1927</v>
      </c>
      <c r="D29" s="1"/>
      <c r="E29" s="41">
        <v>3263</v>
      </c>
      <c r="F29" s="41">
        <v>3242</v>
      </c>
      <c r="G29" s="1"/>
      <c r="H29" s="1"/>
      <c r="I29" s="33"/>
      <c r="J29" s="1"/>
      <c r="K29" s="1"/>
      <c r="L29" s="33"/>
      <c r="M29" s="41">
        <v>21</v>
      </c>
      <c r="N29" s="1"/>
      <c r="O29" s="36"/>
      <c r="P29" s="33">
        <v>12</v>
      </c>
      <c r="Q29" s="33">
        <v>9</v>
      </c>
      <c r="R29" s="1"/>
      <c r="S29" s="30"/>
      <c r="T29" s="29">
        <v>386</v>
      </c>
      <c r="U29" s="29">
        <v>178</v>
      </c>
      <c r="V29" s="30"/>
      <c r="X29" s="7">
        <v>6039</v>
      </c>
      <c r="Y29" s="7">
        <v>2212</v>
      </c>
      <c r="Z29" s="7">
        <v>3263</v>
      </c>
      <c r="AA29" s="39"/>
      <c r="AB29" s="7">
        <v>386</v>
      </c>
      <c r="AC29" s="7">
        <v>178</v>
      </c>
      <c r="AD29" s="39"/>
      <c r="AE29" s="32">
        <v>17</v>
      </c>
    </row>
    <row r="30" spans="1:31">
      <c r="A30" s="2" t="s">
        <v>27</v>
      </c>
      <c r="B30" s="30">
        <v>9113</v>
      </c>
      <c r="C30" s="30">
        <v>6448</v>
      </c>
      <c r="D30" s="1"/>
      <c r="E30" s="41">
        <v>1508</v>
      </c>
      <c r="F30" s="41">
        <v>1298</v>
      </c>
      <c r="G30" s="1"/>
      <c r="H30" s="1"/>
      <c r="I30" s="41">
        <v>3</v>
      </c>
      <c r="J30" s="1"/>
      <c r="K30" s="1"/>
      <c r="L30" s="33"/>
      <c r="M30" s="41">
        <v>207</v>
      </c>
      <c r="N30" s="1"/>
      <c r="O30" s="36"/>
      <c r="P30" s="41">
        <v>17</v>
      </c>
      <c r="Q30" s="33">
        <v>26</v>
      </c>
      <c r="R30" s="1"/>
      <c r="S30" s="30"/>
      <c r="T30" s="30">
        <v>857</v>
      </c>
      <c r="U30" s="30">
        <v>326</v>
      </c>
      <c r="V30" s="30"/>
      <c r="X30" s="7">
        <v>9341</v>
      </c>
      <c r="Y30" s="7">
        <v>6649</v>
      </c>
      <c r="Z30" s="7">
        <v>1508</v>
      </c>
      <c r="AA30" s="39"/>
      <c r="AB30" s="7">
        <v>857</v>
      </c>
      <c r="AC30" s="7">
        <v>326</v>
      </c>
      <c r="AD30" s="39"/>
      <c r="AE30" s="32">
        <v>14</v>
      </c>
    </row>
    <row r="31" spans="1:31">
      <c r="A31" s="2" t="s">
        <v>28</v>
      </c>
      <c r="B31" s="29">
        <v>300</v>
      </c>
      <c r="C31" s="29">
        <v>156</v>
      </c>
      <c r="D31" s="1"/>
      <c r="E31" s="41">
        <v>42</v>
      </c>
      <c r="F31" s="33"/>
      <c r="G31" s="1"/>
      <c r="H31" s="1"/>
      <c r="I31" s="33"/>
      <c r="J31" s="1"/>
      <c r="K31" s="1"/>
      <c r="L31" s="41">
        <v>38</v>
      </c>
      <c r="M31" s="41">
        <v>4</v>
      </c>
      <c r="N31" s="1"/>
      <c r="O31" s="37"/>
      <c r="P31" s="33">
        <v>2</v>
      </c>
      <c r="Q31" s="32"/>
      <c r="R31" s="1"/>
      <c r="S31" s="30"/>
      <c r="T31" s="29">
        <v>1</v>
      </c>
      <c r="U31" s="29">
        <v>98</v>
      </c>
      <c r="V31" s="29">
        <v>4</v>
      </c>
      <c r="X31" s="7">
        <v>304</v>
      </c>
      <c r="Y31" s="7">
        <v>160</v>
      </c>
      <c r="Z31" s="7">
        <v>42</v>
      </c>
      <c r="AA31" s="39"/>
      <c r="AB31" s="7">
        <v>1</v>
      </c>
      <c r="AC31" s="7">
        <v>98</v>
      </c>
      <c r="AD31" s="7">
        <v>4</v>
      </c>
      <c r="AE31" s="38"/>
    </row>
    <row r="32" spans="1:31">
      <c r="A32" s="2" t="s">
        <v>29</v>
      </c>
      <c r="B32" s="29">
        <v>5317</v>
      </c>
      <c r="C32" s="29">
        <v>325</v>
      </c>
      <c r="D32" s="1"/>
      <c r="E32" s="41">
        <v>3937</v>
      </c>
      <c r="F32" s="41">
        <v>3789</v>
      </c>
      <c r="G32" s="1"/>
      <c r="H32" s="1"/>
      <c r="I32" s="41">
        <v>11</v>
      </c>
      <c r="J32" s="1"/>
      <c r="K32" s="1"/>
      <c r="L32" s="33"/>
      <c r="M32" s="41">
        <v>137</v>
      </c>
      <c r="N32" s="1"/>
      <c r="O32" s="36"/>
      <c r="P32" s="41">
        <v>6</v>
      </c>
      <c r="Q32" s="33"/>
      <c r="R32" s="1"/>
      <c r="S32" s="30"/>
      <c r="T32" s="29">
        <v>405</v>
      </c>
      <c r="U32" s="29">
        <v>659</v>
      </c>
      <c r="V32" s="30"/>
      <c r="X32" s="7">
        <v>5443</v>
      </c>
      <c r="Y32" s="7">
        <v>385</v>
      </c>
      <c r="Z32" s="7">
        <v>3937</v>
      </c>
      <c r="AA32" s="39"/>
      <c r="AB32" s="7">
        <v>405</v>
      </c>
      <c r="AC32" s="7">
        <v>716</v>
      </c>
      <c r="AD32" s="39"/>
      <c r="AE32" s="32">
        <v>76</v>
      </c>
    </row>
    <row r="33" spans="1:31">
      <c r="A33" s="2" t="s">
        <v>30</v>
      </c>
      <c r="B33" s="31">
        <v>4926</v>
      </c>
      <c r="C33" s="31">
        <v>790</v>
      </c>
      <c r="D33" s="1"/>
      <c r="E33" s="41">
        <v>2064</v>
      </c>
      <c r="F33" s="41">
        <v>2021</v>
      </c>
      <c r="G33" s="1"/>
      <c r="H33" s="1"/>
      <c r="I33" s="41">
        <v>6</v>
      </c>
      <c r="J33" s="1"/>
      <c r="K33" s="1"/>
      <c r="L33" s="33"/>
      <c r="M33" s="41">
        <v>36</v>
      </c>
      <c r="N33" s="1"/>
      <c r="O33" s="36"/>
      <c r="P33" s="41">
        <v>7</v>
      </c>
      <c r="Q33" s="33">
        <v>3</v>
      </c>
      <c r="R33" s="1"/>
      <c r="S33" s="30"/>
      <c r="T33" s="31">
        <v>1282</v>
      </c>
      <c r="U33" s="31">
        <v>790</v>
      </c>
      <c r="V33" s="30"/>
      <c r="X33" s="7">
        <v>5113</v>
      </c>
      <c r="Y33" s="7">
        <v>927</v>
      </c>
      <c r="Z33" s="7">
        <v>2064</v>
      </c>
      <c r="AA33" s="39"/>
      <c r="AB33" s="7">
        <v>1282</v>
      </c>
      <c r="AC33" s="7">
        <v>839</v>
      </c>
      <c r="AD33" s="39"/>
      <c r="AE33" s="32">
        <v>49</v>
      </c>
    </row>
    <row r="34" spans="1:31">
      <c r="A34" s="2" t="s">
        <v>31</v>
      </c>
      <c r="B34" s="30">
        <v>2760</v>
      </c>
      <c r="C34" s="30">
        <v>1169</v>
      </c>
      <c r="D34" s="1"/>
      <c r="E34" s="41">
        <v>379</v>
      </c>
      <c r="F34" s="41">
        <v>375</v>
      </c>
      <c r="G34" s="1"/>
      <c r="H34" s="1"/>
      <c r="I34" s="41">
        <v>0.4</v>
      </c>
      <c r="J34" s="1"/>
      <c r="K34" s="1"/>
      <c r="L34" s="33"/>
      <c r="M34" s="41">
        <v>3</v>
      </c>
      <c r="N34" s="1"/>
      <c r="O34" s="41">
        <v>0.4</v>
      </c>
      <c r="P34" s="34"/>
      <c r="Q34" s="33"/>
      <c r="R34" s="1"/>
      <c r="S34" s="30"/>
      <c r="T34" s="30">
        <v>267</v>
      </c>
      <c r="U34" s="30">
        <v>946</v>
      </c>
      <c r="V34" s="30"/>
      <c r="X34" s="7">
        <v>2800</v>
      </c>
      <c r="Y34" s="7">
        <v>1192</v>
      </c>
      <c r="Z34" s="7">
        <v>379</v>
      </c>
      <c r="AA34" s="39"/>
      <c r="AB34" s="7">
        <v>267</v>
      </c>
      <c r="AC34" s="7">
        <v>962</v>
      </c>
      <c r="AD34" s="39"/>
      <c r="AE34" s="32">
        <v>10</v>
      </c>
    </row>
    <row r="35" spans="1:31">
      <c r="A35" s="2" t="s">
        <v>32</v>
      </c>
      <c r="B35" s="29">
        <v>4696</v>
      </c>
      <c r="C35" s="29">
        <v>42</v>
      </c>
      <c r="D35" s="1"/>
      <c r="E35" s="41">
        <v>2845</v>
      </c>
      <c r="F35" s="41">
        <v>2658</v>
      </c>
      <c r="G35" s="1"/>
      <c r="H35" s="1"/>
      <c r="I35" s="41">
        <v>70</v>
      </c>
      <c r="J35" s="1"/>
      <c r="K35" s="1"/>
      <c r="L35" s="33"/>
      <c r="M35" s="41">
        <v>117</v>
      </c>
      <c r="N35" s="1"/>
      <c r="O35" s="36"/>
      <c r="P35" s="41">
        <v>5</v>
      </c>
      <c r="Q35" s="33">
        <v>5</v>
      </c>
      <c r="R35" s="1"/>
      <c r="S35" s="30"/>
      <c r="T35" s="29">
        <v>1011</v>
      </c>
      <c r="U35" s="29">
        <v>799</v>
      </c>
      <c r="V35" s="30"/>
      <c r="X35" s="7">
        <v>4715</v>
      </c>
      <c r="Y35" s="7">
        <v>43</v>
      </c>
      <c r="Z35" s="7">
        <v>2845</v>
      </c>
      <c r="AA35" s="39"/>
      <c r="AB35" s="7">
        <v>1011</v>
      </c>
      <c r="AC35" s="7">
        <v>816</v>
      </c>
      <c r="AD35" s="39"/>
      <c r="AE35" s="32">
        <v>55</v>
      </c>
    </row>
    <row r="36" spans="1:31" ht="13.5" customHeight="1">
      <c r="A36" s="2" t="s">
        <v>33</v>
      </c>
      <c r="B36" s="29">
        <v>8978</v>
      </c>
      <c r="C36" s="29">
        <v>702</v>
      </c>
      <c r="D36" s="1"/>
      <c r="E36" s="41">
        <v>5377</v>
      </c>
      <c r="F36" s="41">
        <v>5292</v>
      </c>
      <c r="G36" s="1"/>
      <c r="H36" s="1"/>
      <c r="I36" s="41">
        <v>83</v>
      </c>
      <c r="J36" s="1"/>
      <c r="K36" s="1"/>
      <c r="L36" s="35"/>
      <c r="M36" s="41">
        <v>2</v>
      </c>
      <c r="N36" s="1"/>
      <c r="O36" s="36"/>
      <c r="P36" s="32"/>
      <c r="Q36" s="35">
        <v>2</v>
      </c>
      <c r="R36" s="1"/>
      <c r="S36" s="30"/>
      <c r="T36" s="29">
        <v>1921</v>
      </c>
      <c r="U36" s="29">
        <v>978</v>
      </c>
      <c r="V36" s="30"/>
      <c r="X36" s="7">
        <v>8978</v>
      </c>
      <c r="Y36" s="7">
        <v>702</v>
      </c>
      <c r="Z36" s="7">
        <v>5377</v>
      </c>
      <c r="AA36" s="39"/>
      <c r="AB36" s="7">
        <v>1921</v>
      </c>
      <c r="AC36" s="7">
        <v>978</v>
      </c>
      <c r="AD36" s="39"/>
      <c r="AE36" s="32">
        <v>2</v>
      </c>
    </row>
    <row r="38" spans="1:31">
      <c r="B38">
        <f>B5-SUM(B6:B36)</f>
        <v>-1</v>
      </c>
      <c r="C38">
        <f t="shared" ref="C38:V38" si="0">C5-SUM(C6:C36)</f>
        <v>2</v>
      </c>
      <c r="D38">
        <f t="shared" si="0"/>
        <v>0</v>
      </c>
      <c r="E38">
        <f t="shared" si="0"/>
        <v>-3</v>
      </c>
      <c r="F38">
        <f t="shared" si="0"/>
        <v>-2</v>
      </c>
      <c r="H38">
        <f t="shared" si="0"/>
        <v>0</v>
      </c>
      <c r="I38">
        <f t="shared" si="0"/>
        <v>-4.8999999999996362</v>
      </c>
      <c r="J38">
        <f t="shared" si="0"/>
        <v>0</v>
      </c>
      <c r="L38">
        <f t="shared" si="0"/>
        <v>0</v>
      </c>
      <c r="M38">
        <f t="shared" si="0"/>
        <v>3</v>
      </c>
      <c r="N38">
        <f t="shared" si="0"/>
        <v>0</v>
      </c>
      <c r="O38">
        <f t="shared" si="0"/>
        <v>-3</v>
      </c>
      <c r="P38">
        <f t="shared" si="0"/>
        <v>-2</v>
      </c>
      <c r="S38">
        <f t="shared" si="0"/>
        <v>0</v>
      </c>
      <c r="T38">
        <f t="shared" si="0"/>
        <v>-1</v>
      </c>
      <c r="U38">
        <f t="shared" si="0"/>
        <v>0</v>
      </c>
      <c r="V38">
        <f t="shared" si="0"/>
        <v>1</v>
      </c>
    </row>
  </sheetData>
  <mergeCells count="25"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I3:K3"/>
    <mergeCell ref="M3:R3"/>
    <mergeCell ref="E2:R2"/>
    <mergeCell ref="D3:D4"/>
    <mergeCell ref="E3:E4"/>
    <mergeCell ref="F3:H3"/>
    <mergeCell ref="L3:L4"/>
    <mergeCell ref="X1:AE1"/>
    <mergeCell ref="X2:X4"/>
    <mergeCell ref="Y2:Y4"/>
    <mergeCell ref="Z2:Z4"/>
    <mergeCell ref="AA2:AA4"/>
    <mergeCell ref="AB2:AB4"/>
    <mergeCell ref="AC2:AC4"/>
    <mergeCell ref="AD2:AD4"/>
    <mergeCell ref="AE2:AE4"/>
  </mergeCells>
  <phoneticPr fontId="4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5D99-3A26-416C-B726-A24D763B127F}">
  <dimension ref="A1:AE38"/>
  <sheetViews>
    <sheetView workbookViewId="0">
      <selection activeCell="N20" sqref="N20"/>
    </sheetView>
  </sheetViews>
  <sheetFormatPr defaultRowHeight="12.75"/>
  <cols>
    <col min="1" max="22" width="7.5703125" customWidth="1"/>
    <col min="31" max="31" width="7.5703125" customWidth="1"/>
  </cols>
  <sheetData>
    <row r="1" spans="1:31" ht="12.75" customHeight="1">
      <c r="A1" s="113" t="s">
        <v>66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X1" s="112" t="s">
        <v>67</v>
      </c>
      <c r="Y1" s="106"/>
      <c r="Z1" s="106"/>
      <c r="AA1" s="106"/>
      <c r="AB1" s="106"/>
      <c r="AC1" s="106"/>
      <c r="AD1" s="106"/>
      <c r="AE1" s="106"/>
    </row>
    <row r="2" spans="1:31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  <c r="X2" s="105" t="s">
        <v>35</v>
      </c>
      <c r="Y2" s="105" t="s">
        <v>64</v>
      </c>
      <c r="Z2" s="105" t="s">
        <v>65</v>
      </c>
      <c r="AA2" s="105" t="s">
        <v>38</v>
      </c>
      <c r="AB2" s="105" t="s">
        <v>39</v>
      </c>
      <c r="AC2" s="111" t="s">
        <v>1</v>
      </c>
      <c r="AD2" s="105" t="s">
        <v>40</v>
      </c>
      <c r="AE2" s="111" t="s">
        <v>63</v>
      </c>
    </row>
    <row r="3" spans="1:31" ht="12.75" customHeight="1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  <c r="X3" s="105"/>
      <c r="Y3" s="106"/>
      <c r="Z3" s="106"/>
      <c r="AA3" s="105"/>
      <c r="AB3" s="105"/>
      <c r="AC3" s="111"/>
      <c r="AD3" s="105"/>
      <c r="AE3" s="111"/>
    </row>
    <row r="4" spans="1:31" s="28" customFormat="1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  <c r="X4" s="105"/>
      <c r="Y4" s="106"/>
      <c r="Z4" s="106"/>
      <c r="AA4" s="105"/>
      <c r="AB4" s="105"/>
      <c r="AC4" s="111"/>
      <c r="AD4" s="105"/>
      <c r="AE4" s="111"/>
    </row>
    <row r="5" spans="1:31">
      <c r="A5" s="4" t="s">
        <v>5</v>
      </c>
      <c r="B5" s="29">
        <v>191499</v>
      </c>
      <c r="C5" s="1"/>
      <c r="D5" s="1"/>
      <c r="E5" s="32">
        <v>118957</v>
      </c>
      <c r="F5" s="32">
        <v>104063</v>
      </c>
      <c r="G5" s="1"/>
      <c r="H5" s="1"/>
      <c r="I5" s="32">
        <v>9024</v>
      </c>
      <c r="J5" s="1"/>
      <c r="K5" s="1"/>
      <c r="L5" s="32">
        <v>175</v>
      </c>
      <c r="M5" s="32">
        <v>5696</v>
      </c>
      <c r="N5" s="1"/>
      <c r="O5" s="32">
        <v>1173</v>
      </c>
      <c r="P5" s="32">
        <v>1117</v>
      </c>
      <c r="Q5" s="36">
        <v>71.2</v>
      </c>
      <c r="R5" s="1"/>
      <c r="S5" s="29">
        <v>4874</v>
      </c>
      <c r="T5" s="29">
        <v>20905</v>
      </c>
      <c r="U5" s="29">
        <v>14709</v>
      </c>
      <c r="V5" s="1"/>
      <c r="X5" s="7">
        <v>201006</v>
      </c>
      <c r="Y5" s="7">
        <v>35804</v>
      </c>
      <c r="Z5" s="7">
        <v>118957</v>
      </c>
      <c r="AA5" s="7">
        <v>4874</v>
      </c>
      <c r="AB5" s="7">
        <v>20915</v>
      </c>
      <c r="AC5" s="7">
        <v>20418</v>
      </c>
      <c r="AD5" s="7">
        <v>37</v>
      </c>
      <c r="AE5" s="32">
        <v>6180</v>
      </c>
    </row>
    <row r="6" spans="1:31">
      <c r="A6" s="2" t="s">
        <v>6</v>
      </c>
      <c r="B6" s="29">
        <v>1259</v>
      </c>
      <c r="C6" s="1"/>
      <c r="D6" s="1"/>
      <c r="E6" s="32">
        <v>1135</v>
      </c>
      <c r="F6" s="32">
        <v>85</v>
      </c>
      <c r="G6" s="1"/>
      <c r="H6" s="1"/>
      <c r="I6" s="32">
        <v>993</v>
      </c>
      <c r="J6" s="1"/>
      <c r="K6" s="1"/>
      <c r="L6" s="32">
        <v>22</v>
      </c>
      <c r="M6" s="32">
        <v>36</v>
      </c>
      <c r="N6" s="1"/>
      <c r="O6" s="32">
        <v>35</v>
      </c>
      <c r="P6" s="32"/>
      <c r="Q6" s="36"/>
      <c r="R6" s="1"/>
      <c r="S6" s="30"/>
      <c r="T6" s="29">
        <v>18</v>
      </c>
      <c r="U6" s="29">
        <v>8</v>
      </c>
      <c r="V6" s="1"/>
      <c r="X6" s="7">
        <v>1304</v>
      </c>
      <c r="Y6" s="7">
        <v>99</v>
      </c>
      <c r="Z6" s="7">
        <v>1135</v>
      </c>
      <c r="AA6" s="39"/>
      <c r="AB6" s="7">
        <v>19</v>
      </c>
      <c r="AC6" s="7">
        <v>51</v>
      </c>
      <c r="AD6" s="39"/>
      <c r="AE6" s="32">
        <v>46</v>
      </c>
    </row>
    <row r="7" spans="1:31">
      <c r="A7" s="2" t="s">
        <v>7</v>
      </c>
      <c r="B7" s="29">
        <v>1816</v>
      </c>
      <c r="C7" s="1"/>
      <c r="D7" s="1"/>
      <c r="E7" s="32">
        <v>1639</v>
      </c>
      <c r="F7" s="32">
        <v>1225</v>
      </c>
      <c r="G7" s="1"/>
      <c r="H7" s="1"/>
      <c r="I7" s="32">
        <v>382</v>
      </c>
      <c r="J7" s="1"/>
      <c r="K7" s="1"/>
      <c r="L7" s="33"/>
      <c r="M7" s="32">
        <v>32</v>
      </c>
      <c r="N7" s="1"/>
      <c r="O7" s="32">
        <v>12</v>
      </c>
      <c r="P7" s="33">
        <v>4</v>
      </c>
      <c r="Q7" s="36"/>
      <c r="R7" s="1"/>
      <c r="S7" s="30"/>
      <c r="T7" s="29">
        <v>59</v>
      </c>
      <c r="U7" s="29">
        <v>119</v>
      </c>
      <c r="V7" s="1"/>
      <c r="X7" s="7">
        <v>1842</v>
      </c>
      <c r="Y7" s="7">
        <v>1</v>
      </c>
      <c r="Z7" s="7">
        <v>1639</v>
      </c>
      <c r="AA7" s="39"/>
      <c r="AB7" s="7">
        <v>60</v>
      </c>
      <c r="AC7" s="7">
        <v>143</v>
      </c>
      <c r="AD7" s="39"/>
      <c r="AE7" s="32">
        <v>38</v>
      </c>
    </row>
    <row r="8" spans="1:31">
      <c r="A8" s="2" t="s">
        <v>8</v>
      </c>
      <c r="B8" s="29">
        <v>7784</v>
      </c>
      <c r="C8" s="1"/>
      <c r="D8" s="1"/>
      <c r="E8" s="32">
        <v>5021</v>
      </c>
      <c r="F8" s="32">
        <v>4705</v>
      </c>
      <c r="G8" s="1"/>
      <c r="H8" s="1"/>
      <c r="I8" s="32">
        <v>3</v>
      </c>
      <c r="J8" s="1"/>
      <c r="K8" s="1"/>
      <c r="L8" s="33"/>
      <c r="M8" s="32">
        <v>312</v>
      </c>
      <c r="N8" s="1"/>
      <c r="O8" s="32">
        <v>34</v>
      </c>
      <c r="P8" s="33">
        <v>53</v>
      </c>
      <c r="Q8" s="36">
        <v>0.7</v>
      </c>
      <c r="R8" s="1"/>
      <c r="S8" s="30"/>
      <c r="T8" s="29">
        <v>1639</v>
      </c>
      <c r="U8" s="29">
        <v>965</v>
      </c>
      <c r="V8" s="1"/>
      <c r="X8" s="7">
        <v>8319</v>
      </c>
      <c r="Y8" s="7">
        <v>182</v>
      </c>
      <c r="Z8" s="7">
        <v>5021</v>
      </c>
      <c r="AA8" s="39"/>
      <c r="AB8" s="7">
        <v>1639</v>
      </c>
      <c r="AC8" s="7">
        <v>1474</v>
      </c>
      <c r="AD8" s="7">
        <v>3</v>
      </c>
      <c r="AE8" s="32">
        <v>513</v>
      </c>
    </row>
    <row r="9" spans="1:31">
      <c r="A9" s="2" t="s">
        <v>9</v>
      </c>
      <c r="B9" s="29">
        <v>8997</v>
      </c>
      <c r="C9" s="1"/>
      <c r="D9" s="1"/>
      <c r="E9" s="32">
        <v>6687</v>
      </c>
      <c r="F9" s="32">
        <v>6112</v>
      </c>
      <c r="G9" s="1"/>
      <c r="H9" s="1"/>
      <c r="I9" s="32">
        <v>334</v>
      </c>
      <c r="J9" s="1"/>
      <c r="K9" s="1"/>
      <c r="L9" s="33"/>
      <c r="M9" s="32">
        <v>242</v>
      </c>
      <c r="N9" s="1"/>
      <c r="O9" s="32">
        <v>11</v>
      </c>
      <c r="P9" s="33">
        <v>35</v>
      </c>
      <c r="Q9" s="36">
        <v>11.4</v>
      </c>
      <c r="R9" s="1"/>
      <c r="S9" s="30"/>
      <c r="T9" s="29">
        <v>1251</v>
      </c>
      <c r="U9" s="29">
        <v>862</v>
      </c>
      <c r="V9" s="1"/>
      <c r="X9" s="7">
        <v>9249</v>
      </c>
      <c r="Y9" s="7">
        <v>223</v>
      </c>
      <c r="Z9" s="7">
        <v>6687</v>
      </c>
      <c r="AA9" s="39"/>
      <c r="AB9" s="7">
        <v>1251</v>
      </c>
      <c r="AC9" s="7">
        <v>1088</v>
      </c>
      <c r="AD9" s="39"/>
      <c r="AE9" s="32">
        <v>231</v>
      </c>
    </row>
    <row r="10" spans="1:31">
      <c r="A10" s="2" t="s">
        <v>2</v>
      </c>
      <c r="B10" s="29">
        <v>12837</v>
      </c>
      <c r="C10" s="1"/>
      <c r="D10" s="1"/>
      <c r="E10" s="32">
        <v>8721</v>
      </c>
      <c r="F10" s="32">
        <v>8643</v>
      </c>
      <c r="G10" s="1"/>
      <c r="H10" s="1"/>
      <c r="I10" s="32">
        <v>42</v>
      </c>
      <c r="J10" s="1"/>
      <c r="K10" s="1"/>
      <c r="L10" s="33"/>
      <c r="M10" s="32">
        <v>37</v>
      </c>
      <c r="N10" s="1"/>
      <c r="O10" s="32">
        <v>7</v>
      </c>
      <c r="P10" s="33">
        <v>13</v>
      </c>
      <c r="Q10" s="36">
        <v>0.1</v>
      </c>
      <c r="R10" s="1"/>
      <c r="S10" s="30"/>
      <c r="T10" s="29">
        <v>2918</v>
      </c>
      <c r="U10" s="29">
        <v>962</v>
      </c>
      <c r="V10" s="1"/>
      <c r="X10" s="7">
        <v>12931</v>
      </c>
      <c r="Y10" s="7">
        <v>239</v>
      </c>
      <c r="Z10" s="7">
        <v>8721</v>
      </c>
      <c r="AA10" s="39"/>
      <c r="AB10" s="7">
        <v>2920</v>
      </c>
      <c r="AC10" s="7">
        <v>1051</v>
      </c>
      <c r="AD10" s="39"/>
      <c r="AE10" s="32">
        <v>51</v>
      </c>
    </row>
    <row r="11" spans="1:31">
      <c r="A11" s="2" t="s">
        <v>10</v>
      </c>
      <c r="B11" s="29">
        <v>5280</v>
      </c>
      <c r="C11" s="1"/>
      <c r="D11" s="1"/>
      <c r="E11" s="32">
        <v>3446</v>
      </c>
      <c r="F11" s="32">
        <v>3328</v>
      </c>
      <c r="G11" s="1"/>
      <c r="H11" s="1"/>
      <c r="I11" s="32">
        <v>6</v>
      </c>
      <c r="J11" s="1"/>
      <c r="K11" s="1"/>
      <c r="L11" s="32">
        <v>15</v>
      </c>
      <c r="M11" s="32">
        <v>97</v>
      </c>
      <c r="N11" s="1"/>
      <c r="O11" s="32">
        <v>13</v>
      </c>
      <c r="P11" s="32">
        <v>14</v>
      </c>
      <c r="Q11" s="36"/>
      <c r="R11" s="1"/>
      <c r="S11" s="29">
        <v>448</v>
      </c>
      <c r="T11" s="29">
        <v>831</v>
      </c>
      <c r="U11" s="29">
        <v>276</v>
      </c>
      <c r="V11" s="1"/>
      <c r="X11" s="7">
        <v>5370</v>
      </c>
      <c r="Y11" s="7">
        <v>302</v>
      </c>
      <c r="Z11" s="7">
        <v>3446</v>
      </c>
      <c r="AA11" s="7">
        <v>448</v>
      </c>
      <c r="AB11" s="7">
        <v>832</v>
      </c>
      <c r="AC11" s="7">
        <v>343</v>
      </c>
      <c r="AD11" s="39"/>
      <c r="AE11" s="32">
        <v>97</v>
      </c>
    </row>
    <row r="12" spans="1:31">
      <c r="A12" s="2" t="s">
        <v>3</v>
      </c>
      <c r="B12" s="29">
        <v>3044</v>
      </c>
      <c r="C12" s="1"/>
      <c r="D12" s="1"/>
      <c r="E12" s="32">
        <v>1845</v>
      </c>
      <c r="F12" s="32">
        <v>1733</v>
      </c>
      <c r="G12" s="1"/>
      <c r="H12" s="1"/>
      <c r="I12" s="32">
        <v>1</v>
      </c>
      <c r="J12" s="1"/>
      <c r="K12" s="1"/>
      <c r="L12" s="33"/>
      <c r="M12" s="32">
        <v>112</v>
      </c>
      <c r="N12" s="1"/>
      <c r="O12" s="32">
        <v>19</v>
      </c>
      <c r="P12" s="33">
        <v>55</v>
      </c>
      <c r="Q12" s="36">
        <v>0.3</v>
      </c>
      <c r="R12" s="1"/>
      <c r="S12" s="30"/>
      <c r="T12" s="29">
        <v>557</v>
      </c>
      <c r="U12" s="29">
        <v>228</v>
      </c>
      <c r="V12" s="1"/>
      <c r="X12" s="7">
        <v>3122</v>
      </c>
      <c r="Y12" s="7">
        <v>445</v>
      </c>
      <c r="Z12" s="7">
        <v>1845</v>
      </c>
      <c r="AA12" s="39"/>
      <c r="AB12" s="7">
        <v>557</v>
      </c>
      <c r="AC12" s="7">
        <v>274</v>
      </c>
      <c r="AD12" s="39"/>
      <c r="AE12" s="32">
        <v>69</v>
      </c>
    </row>
    <row r="13" spans="1:31">
      <c r="A13" s="2" t="s">
        <v>4</v>
      </c>
      <c r="B13" s="29">
        <v>3157</v>
      </c>
      <c r="C13" s="1"/>
      <c r="D13" s="1"/>
      <c r="E13" s="32">
        <v>2253</v>
      </c>
      <c r="F13" s="32">
        <v>2097</v>
      </c>
      <c r="G13" s="1"/>
      <c r="H13" s="1"/>
      <c r="I13" s="32">
        <v>12</v>
      </c>
      <c r="J13" s="1"/>
      <c r="K13" s="1"/>
      <c r="L13" s="32">
        <v>2</v>
      </c>
      <c r="M13" s="32">
        <v>141</v>
      </c>
      <c r="N13" s="1"/>
      <c r="O13" s="32">
        <v>13</v>
      </c>
      <c r="P13" s="32">
        <v>101</v>
      </c>
      <c r="Q13" s="36">
        <v>0.6</v>
      </c>
      <c r="R13" s="1"/>
      <c r="S13" s="30"/>
      <c r="T13" s="29">
        <v>611</v>
      </c>
      <c r="U13" s="29">
        <v>198</v>
      </c>
      <c r="V13" s="1"/>
      <c r="X13" s="7">
        <v>3246</v>
      </c>
      <c r="Y13" s="7">
        <v>108</v>
      </c>
      <c r="Z13" s="7">
        <v>2253</v>
      </c>
      <c r="AA13" s="39"/>
      <c r="AB13" s="7">
        <v>611</v>
      </c>
      <c r="AC13" s="7">
        <v>274</v>
      </c>
      <c r="AD13" s="39"/>
      <c r="AE13" s="32">
        <v>79</v>
      </c>
    </row>
    <row r="14" spans="1:31">
      <c r="A14" s="2" t="s">
        <v>11</v>
      </c>
      <c r="B14" s="29">
        <v>2568</v>
      </c>
      <c r="C14" s="1"/>
      <c r="D14" s="1"/>
      <c r="E14" s="32">
        <v>2475</v>
      </c>
      <c r="F14" s="32">
        <v>1502</v>
      </c>
      <c r="G14" s="1"/>
      <c r="H14" s="1"/>
      <c r="I14" s="32">
        <v>765</v>
      </c>
      <c r="J14" s="1"/>
      <c r="K14" s="1"/>
      <c r="L14" s="32">
        <v>86</v>
      </c>
      <c r="M14" s="32">
        <v>121</v>
      </c>
      <c r="N14" s="1"/>
      <c r="O14" s="32">
        <v>41</v>
      </c>
      <c r="P14" s="32"/>
      <c r="Q14" s="36">
        <v>1.8</v>
      </c>
      <c r="R14" s="1"/>
      <c r="S14" s="30"/>
      <c r="T14" s="29">
        <v>81</v>
      </c>
      <c r="U14" s="29">
        <v>15</v>
      </c>
      <c r="V14" s="1"/>
      <c r="X14" s="7">
        <v>2664</v>
      </c>
      <c r="Y14" s="39"/>
      <c r="Z14" s="7">
        <v>2475</v>
      </c>
      <c r="AA14" s="39"/>
      <c r="AB14" s="7">
        <v>81</v>
      </c>
      <c r="AC14" s="7">
        <v>109</v>
      </c>
      <c r="AD14" s="39"/>
      <c r="AE14" s="32">
        <v>102</v>
      </c>
    </row>
    <row r="15" spans="1:31">
      <c r="A15" s="2" t="s">
        <v>12</v>
      </c>
      <c r="B15" s="29">
        <v>12595</v>
      </c>
      <c r="C15" s="1"/>
      <c r="D15" s="1"/>
      <c r="E15" s="32">
        <v>10050</v>
      </c>
      <c r="F15" s="32">
        <v>8028</v>
      </c>
      <c r="G15" s="1"/>
      <c r="H15" s="1"/>
      <c r="I15" s="32">
        <v>1610</v>
      </c>
      <c r="J15" s="1"/>
      <c r="K15" s="1"/>
      <c r="L15" s="33"/>
      <c r="M15" s="32">
        <v>411</v>
      </c>
      <c r="N15" s="1"/>
      <c r="O15" s="32">
        <v>130</v>
      </c>
      <c r="P15" s="33">
        <v>59</v>
      </c>
      <c r="Q15" s="36">
        <v>6.8</v>
      </c>
      <c r="R15" s="1"/>
      <c r="S15" s="29">
        <v>437</v>
      </c>
      <c r="T15" s="29">
        <v>1039</v>
      </c>
      <c r="U15" s="29">
        <v>815</v>
      </c>
      <c r="V15" s="1"/>
      <c r="X15" s="7">
        <v>13288</v>
      </c>
      <c r="Y15" s="7">
        <v>265</v>
      </c>
      <c r="Z15" s="7">
        <v>10050</v>
      </c>
      <c r="AA15" s="7">
        <v>437</v>
      </c>
      <c r="AB15" s="7">
        <v>1041</v>
      </c>
      <c r="AC15" s="7">
        <v>1486</v>
      </c>
      <c r="AD15" s="7">
        <v>10</v>
      </c>
      <c r="AE15" s="32">
        <v>664</v>
      </c>
    </row>
    <row r="16" spans="1:31">
      <c r="A16" s="2" t="s">
        <v>13</v>
      </c>
      <c r="B16" s="29">
        <v>8635</v>
      </c>
      <c r="C16" s="1"/>
      <c r="D16" s="1"/>
      <c r="E16" s="32">
        <v>6212</v>
      </c>
      <c r="F16" s="32">
        <v>4649</v>
      </c>
      <c r="G16" s="1"/>
      <c r="H16" s="1"/>
      <c r="I16" s="32">
        <v>1261</v>
      </c>
      <c r="J16" s="1"/>
      <c r="K16" s="1"/>
      <c r="L16" s="32">
        <v>2</v>
      </c>
      <c r="M16" s="32">
        <v>299</v>
      </c>
      <c r="N16" s="1"/>
      <c r="O16" s="32">
        <v>161</v>
      </c>
      <c r="P16" s="32">
        <v>24</v>
      </c>
      <c r="Q16" s="36">
        <v>5.6</v>
      </c>
      <c r="R16" s="1"/>
      <c r="S16" s="29">
        <v>908</v>
      </c>
      <c r="T16" s="29">
        <v>159</v>
      </c>
      <c r="U16" s="29">
        <v>428</v>
      </c>
      <c r="V16" s="1"/>
      <c r="X16" s="7">
        <v>9789</v>
      </c>
      <c r="Y16" s="7">
        <v>1170</v>
      </c>
      <c r="Z16" s="7">
        <v>6212</v>
      </c>
      <c r="AA16" s="7">
        <v>908</v>
      </c>
      <c r="AB16" s="7">
        <v>160</v>
      </c>
      <c r="AC16" s="7">
        <v>1339</v>
      </c>
      <c r="AD16" s="7">
        <v>1</v>
      </c>
      <c r="AE16" s="32">
        <v>925</v>
      </c>
    </row>
    <row r="17" spans="1:31">
      <c r="A17" s="2" t="s">
        <v>14</v>
      </c>
      <c r="B17" s="29">
        <v>6899</v>
      </c>
      <c r="C17" s="1"/>
      <c r="D17" s="1"/>
      <c r="E17" s="32">
        <v>5521</v>
      </c>
      <c r="F17" s="32">
        <v>5136</v>
      </c>
      <c r="G17" s="1"/>
      <c r="H17" s="1"/>
      <c r="I17" s="32">
        <v>14</v>
      </c>
      <c r="J17" s="1"/>
      <c r="K17" s="1"/>
      <c r="L17" s="33"/>
      <c r="M17" s="32">
        <v>372</v>
      </c>
      <c r="N17" s="1"/>
      <c r="O17" s="32">
        <v>64</v>
      </c>
      <c r="P17" s="33">
        <v>127</v>
      </c>
      <c r="Q17" s="36">
        <v>1.3</v>
      </c>
      <c r="R17" s="1"/>
      <c r="S17" s="30"/>
      <c r="T17" s="29">
        <v>274</v>
      </c>
      <c r="U17" s="29">
        <v>859</v>
      </c>
      <c r="V17" s="1"/>
      <c r="X17" s="7">
        <v>7394</v>
      </c>
      <c r="Y17" s="7">
        <v>345</v>
      </c>
      <c r="Z17" s="7">
        <v>5521</v>
      </c>
      <c r="AA17" s="39"/>
      <c r="AB17" s="7">
        <v>274</v>
      </c>
      <c r="AC17" s="7">
        <v>1254</v>
      </c>
      <c r="AD17" s="39"/>
      <c r="AE17" s="32">
        <v>480</v>
      </c>
    </row>
    <row r="18" spans="1:31">
      <c r="A18" s="2" t="s">
        <v>15</v>
      </c>
      <c r="B18" s="29">
        <v>5404</v>
      </c>
      <c r="C18" s="1"/>
      <c r="D18" s="1"/>
      <c r="E18" s="32">
        <v>3172</v>
      </c>
      <c r="F18" s="32">
        <v>2586</v>
      </c>
      <c r="G18" s="1"/>
      <c r="H18" s="1"/>
      <c r="I18" s="32">
        <v>391</v>
      </c>
      <c r="J18" s="1"/>
      <c r="K18" s="1"/>
      <c r="L18" s="32">
        <v>1</v>
      </c>
      <c r="M18" s="32">
        <v>192</v>
      </c>
      <c r="N18" s="1"/>
      <c r="O18" s="32">
        <v>51</v>
      </c>
      <c r="P18" s="32">
        <v>6</v>
      </c>
      <c r="Q18" s="36">
        <v>1</v>
      </c>
      <c r="R18" s="1"/>
      <c r="S18" s="29">
        <v>871</v>
      </c>
      <c r="T18" s="29">
        <v>376</v>
      </c>
      <c r="U18" s="29">
        <v>72</v>
      </c>
      <c r="V18" s="1"/>
      <c r="X18" s="7">
        <v>5909</v>
      </c>
      <c r="Y18" s="7">
        <v>1321</v>
      </c>
      <c r="Z18" s="7">
        <v>3172</v>
      </c>
      <c r="AA18" s="7">
        <v>871</v>
      </c>
      <c r="AB18" s="7">
        <v>376</v>
      </c>
      <c r="AC18" s="7">
        <v>169</v>
      </c>
      <c r="AD18" s="39"/>
      <c r="AE18" s="32">
        <v>131</v>
      </c>
    </row>
    <row r="19" spans="1:31">
      <c r="A19" s="2" t="s">
        <v>16</v>
      </c>
      <c r="B19" s="29">
        <v>3317</v>
      </c>
      <c r="C19" s="1"/>
      <c r="D19" s="1"/>
      <c r="E19" s="32">
        <v>2205</v>
      </c>
      <c r="F19" s="32">
        <v>1925</v>
      </c>
      <c r="G19" s="1"/>
      <c r="H19" s="1"/>
      <c r="I19" s="32">
        <v>13</v>
      </c>
      <c r="J19" s="1"/>
      <c r="K19" s="1"/>
      <c r="L19" s="33"/>
      <c r="M19" s="32">
        <v>268</v>
      </c>
      <c r="N19" s="1"/>
      <c r="O19" s="32">
        <v>17</v>
      </c>
      <c r="P19" s="33">
        <v>27</v>
      </c>
      <c r="Q19" s="36">
        <v>3.1</v>
      </c>
      <c r="R19" s="1"/>
      <c r="S19" s="30"/>
      <c r="T19" s="29">
        <v>286</v>
      </c>
      <c r="U19" s="29">
        <v>383</v>
      </c>
      <c r="V19" s="1"/>
      <c r="X19" s="7">
        <v>3782</v>
      </c>
      <c r="Y19" s="7">
        <v>661</v>
      </c>
      <c r="Z19" s="7">
        <v>2205</v>
      </c>
      <c r="AA19" s="39"/>
      <c r="AB19" s="7">
        <v>286</v>
      </c>
      <c r="AC19" s="7">
        <v>630</v>
      </c>
      <c r="AD19" s="39"/>
      <c r="AE19" s="32">
        <v>262</v>
      </c>
    </row>
    <row r="20" spans="1:31">
      <c r="A20" s="2" t="s">
        <v>17</v>
      </c>
      <c r="B20" s="30">
        <v>13144</v>
      </c>
      <c r="C20" s="1"/>
      <c r="D20" s="1"/>
      <c r="E20" s="32">
        <v>10713</v>
      </c>
      <c r="F20" s="32">
        <v>10029</v>
      </c>
      <c r="G20" s="1"/>
      <c r="H20" s="1"/>
      <c r="I20" s="32">
        <v>8</v>
      </c>
      <c r="J20" s="1"/>
      <c r="K20" s="1"/>
      <c r="L20" s="33"/>
      <c r="M20" s="32">
        <v>676</v>
      </c>
      <c r="N20" s="1"/>
      <c r="O20" s="32">
        <v>140</v>
      </c>
      <c r="P20" s="33">
        <v>146</v>
      </c>
      <c r="Q20" s="36">
        <v>6.7</v>
      </c>
      <c r="R20" s="1"/>
      <c r="S20" s="30">
        <v>250</v>
      </c>
      <c r="T20" s="30">
        <v>1354</v>
      </c>
      <c r="U20" s="30">
        <v>751</v>
      </c>
      <c r="V20" s="1"/>
      <c r="X20" s="7">
        <v>14044</v>
      </c>
      <c r="Y20" s="7">
        <v>108</v>
      </c>
      <c r="Z20" s="7">
        <v>10713</v>
      </c>
      <c r="AA20" s="7">
        <v>250</v>
      </c>
      <c r="AB20" s="7">
        <v>1354</v>
      </c>
      <c r="AC20" s="7">
        <v>1619</v>
      </c>
      <c r="AD20" s="39"/>
      <c r="AE20" s="32">
        <v>942</v>
      </c>
    </row>
    <row r="21" spans="1:31">
      <c r="A21" s="2" t="s">
        <v>18</v>
      </c>
      <c r="B21" s="29">
        <v>8833</v>
      </c>
      <c r="C21" s="1"/>
      <c r="D21" s="1"/>
      <c r="E21" s="32">
        <v>7050</v>
      </c>
      <c r="F21" s="32">
        <v>6579</v>
      </c>
      <c r="G21" s="1"/>
      <c r="H21" s="1"/>
      <c r="I21" s="32">
        <v>295</v>
      </c>
      <c r="J21" s="1"/>
      <c r="K21" s="1"/>
      <c r="L21" s="33"/>
      <c r="M21" s="32">
        <v>176</v>
      </c>
      <c r="N21" s="1"/>
      <c r="O21" s="32">
        <v>21</v>
      </c>
      <c r="P21" s="33">
        <v>52</v>
      </c>
      <c r="Q21" s="36">
        <v>3.6</v>
      </c>
      <c r="R21" s="1"/>
      <c r="S21" s="30"/>
      <c r="T21" s="29">
        <v>794</v>
      </c>
      <c r="U21" s="29">
        <v>602</v>
      </c>
      <c r="V21" s="1"/>
      <c r="X21" s="7">
        <v>9306</v>
      </c>
      <c r="Y21" s="7">
        <v>408</v>
      </c>
      <c r="Z21" s="7">
        <v>7050</v>
      </c>
      <c r="AA21" s="39"/>
      <c r="AB21" s="7">
        <v>794</v>
      </c>
      <c r="AC21" s="7">
        <v>1054</v>
      </c>
      <c r="AD21" s="39"/>
      <c r="AE21" s="32">
        <v>454</v>
      </c>
    </row>
    <row r="22" spans="1:31">
      <c r="A22" s="2" t="s">
        <v>19</v>
      </c>
      <c r="B22" s="29">
        <v>7541</v>
      </c>
      <c r="C22" s="1"/>
      <c r="D22" s="1"/>
      <c r="E22" s="32">
        <v>3157</v>
      </c>
      <c r="F22" s="32">
        <v>2777</v>
      </c>
      <c r="G22" s="1"/>
      <c r="H22" s="1"/>
      <c r="I22" s="32">
        <v>101</v>
      </c>
      <c r="J22" s="1"/>
      <c r="K22" s="1"/>
      <c r="L22" s="33"/>
      <c r="M22" s="32">
        <v>279</v>
      </c>
      <c r="N22" s="1"/>
      <c r="O22" s="32">
        <v>26</v>
      </c>
      <c r="P22" s="33">
        <v>62</v>
      </c>
      <c r="Q22" s="36">
        <v>3.3</v>
      </c>
      <c r="R22" s="1"/>
      <c r="S22" s="30"/>
      <c r="T22" s="29">
        <v>405</v>
      </c>
      <c r="U22" s="29">
        <v>425</v>
      </c>
      <c r="V22" s="1"/>
      <c r="X22" s="7">
        <v>7862</v>
      </c>
      <c r="Y22" s="7">
        <v>3679</v>
      </c>
      <c r="Z22" s="7">
        <v>3157</v>
      </c>
      <c r="AA22" s="39"/>
      <c r="AB22" s="7">
        <v>405</v>
      </c>
      <c r="AC22" s="7">
        <v>621</v>
      </c>
      <c r="AD22" s="39"/>
      <c r="AE22" s="32">
        <v>202</v>
      </c>
    </row>
    <row r="23" spans="1:31">
      <c r="A23" s="2" t="s">
        <v>20</v>
      </c>
      <c r="B23" s="29">
        <v>4160</v>
      </c>
      <c r="C23" s="1"/>
      <c r="D23" s="1"/>
      <c r="E23" s="32">
        <v>2280</v>
      </c>
      <c r="F23" s="32">
        <v>2039</v>
      </c>
      <c r="G23" s="1"/>
      <c r="H23" s="1"/>
      <c r="I23" s="32">
        <v>8</v>
      </c>
      <c r="J23" s="1"/>
      <c r="K23" s="1"/>
      <c r="L23" s="32">
        <v>7</v>
      </c>
      <c r="M23" s="32">
        <v>226</v>
      </c>
      <c r="N23" s="1"/>
      <c r="O23" s="32">
        <v>30</v>
      </c>
      <c r="P23" s="32">
        <v>43</v>
      </c>
      <c r="Q23" s="36">
        <v>2.7</v>
      </c>
      <c r="R23" s="1"/>
      <c r="S23" s="30"/>
      <c r="T23" s="29">
        <v>424</v>
      </c>
      <c r="U23" s="29">
        <v>188</v>
      </c>
      <c r="V23" s="1"/>
      <c r="X23" s="7">
        <v>4669</v>
      </c>
      <c r="Y23" s="7">
        <v>1612</v>
      </c>
      <c r="Z23" s="7">
        <v>2280</v>
      </c>
      <c r="AA23" s="39"/>
      <c r="AB23" s="7">
        <v>427</v>
      </c>
      <c r="AC23" s="7">
        <v>344</v>
      </c>
      <c r="AD23" s="7">
        <v>6</v>
      </c>
      <c r="AE23" s="32">
        <v>189</v>
      </c>
    </row>
    <row r="24" spans="1:31">
      <c r="A24" s="2" t="s">
        <v>21</v>
      </c>
      <c r="B24" s="29">
        <v>12134</v>
      </c>
      <c r="C24" s="1"/>
      <c r="D24" s="1"/>
      <c r="E24" s="32">
        <v>8628</v>
      </c>
      <c r="F24" s="32">
        <v>6141</v>
      </c>
      <c r="G24" s="1"/>
      <c r="H24" s="1"/>
      <c r="I24" s="32">
        <v>2217</v>
      </c>
      <c r="J24" s="1"/>
      <c r="K24" s="1"/>
      <c r="L24" s="33"/>
      <c r="M24" s="32">
        <v>271</v>
      </c>
      <c r="N24" s="1"/>
      <c r="O24" s="32">
        <v>192</v>
      </c>
      <c r="P24" s="33">
        <v>31</v>
      </c>
      <c r="Q24" s="36">
        <v>13.3</v>
      </c>
      <c r="R24" s="1"/>
      <c r="S24" s="29">
        <v>1614</v>
      </c>
      <c r="T24" s="29">
        <v>441</v>
      </c>
      <c r="U24" s="29">
        <v>382</v>
      </c>
      <c r="V24" s="1"/>
      <c r="X24" s="7">
        <v>12870</v>
      </c>
      <c r="Y24" s="7">
        <v>1576</v>
      </c>
      <c r="Z24" s="7">
        <v>8628</v>
      </c>
      <c r="AA24" s="7">
        <v>1614</v>
      </c>
      <c r="AB24" s="7">
        <v>441</v>
      </c>
      <c r="AC24" s="7">
        <v>610</v>
      </c>
      <c r="AD24" s="7">
        <v>2</v>
      </c>
      <c r="AE24" s="32">
        <v>256</v>
      </c>
    </row>
    <row r="25" spans="1:31">
      <c r="A25" s="2" t="s">
        <v>22</v>
      </c>
      <c r="B25" s="30">
        <v>4407</v>
      </c>
      <c r="C25" s="1"/>
      <c r="D25" s="1"/>
      <c r="E25" s="32">
        <v>2294</v>
      </c>
      <c r="F25" s="32">
        <v>1858</v>
      </c>
      <c r="G25" s="1"/>
      <c r="H25" s="1"/>
      <c r="I25" s="32">
        <v>35</v>
      </c>
      <c r="J25" s="1"/>
      <c r="K25" s="1"/>
      <c r="L25" s="33"/>
      <c r="M25" s="32">
        <v>402</v>
      </c>
      <c r="N25" s="1"/>
      <c r="O25" s="32">
        <v>16</v>
      </c>
      <c r="P25" s="33">
        <v>166</v>
      </c>
      <c r="Q25" s="36">
        <v>1.8</v>
      </c>
      <c r="R25" s="1"/>
      <c r="S25" s="30">
        <v>217</v>
      </c>
      <c r="T25" s="30">
        <v>287</v>
      </c>
      <c r="U25" s="30">
        <v>110</v>
      </c>
      <c r="V25" s="1"/>
      <c r="X25" s="39">
        <v>4615</v>
      </c>
      <c r="Y25" s="39">
        <v>1681</v>
      </c>
      <c r="Z25" s="39">
        <v>2294</v>
      </c>
      <c r="AA25" s="7">
        <v>217</v>
      </c>
      <c r="AB25" s="7">
        <v>287</v>
      </c>
      <c r="AC25" s="7">
        <v>135</v>
      </c>
      <c r="AD25" s="39"/>
      <c r="AE25" s="32">
        <v>29</v>
      </c>
    </row>
    <row r="26" spans="1:31">
      <c r="A26" s="2" t="s">
        <v>23</v>
      </c>
      <c r="B26" s="29">
        <v>877</v>
      </c>
      <c r="C26" s="1"/>
      <c r="D26" s="1"/>
      <c r="E26" s="32">
        <v>465</v>
      </c>
      <c r="F26" s="32">
        <v>352</v>
      </c>
      <c r="G26" s="1"/>
      <c r="H26" s="1"/>
      <c r="I26" s="32">
        <v>73</v>
      </c>
      <c r="J26" s="1"/>
      <c r="K26" s="1"/>
      <c r="L26" s="33"/>
      <c r="M26" s="32">
        <v>41</v>
      </c>
      <c r="N26" s="1"/>
      <c r="O26" s="32">
        <v>8</v>
      </c>
      <c r="P26" s="33">
        <v>24</v>
      </c>
      <c r="Q26" s="36">
        <v>0.5</v>
      </c>
      <c r="R26" s="1"/>
      <c r="S26" s="29">
        <v>130</v>
      </c>
      <c r="T26" s="29">
        <v>29</v>
      </c>
      <c r="U26" s="29">
        <v>129</v>
      </c>
      <c r="V26" s="1"/>
      <c r="X26" s="7">
        <v>918</v>
      </c>
      <c r="Y26" s="7">
        <v>154</v>
      </c>
      <c r="Z26" s="7">
        <v>465</v>
      </c>
      <c r="AA26" s="7">
        <v>130</v>
      </c>
      <c r="AB26" s="7">
        <v>29</v>
      </c>
      <c r="AC26" s="7">
        <v>129</v>
      </c>
      <c r="AD26" s="7">
        <v>11</v>
      </c>
      <c r="AE26" s="32">
        <v>13</v>
      </c>
    </row>
    <row r="27" spans="1:31">
      <c r="A27" s="2" t="s">
        <v>24</v>
      </c>
      <c r="B27" s="29">
        <v>2315</v>
      </c>
      <c r="C27" s="1"/>
      <c r="D27" s="1"/>
      <c r="E27" s="32">
        <v>1548</v>
      </c>
      <c r="F27" s="32">
        <v>1319</v>
      </c>
      <c r="G27" s="1"/>
      <c r="H27" s="1"/>
      <c r="I27" s="32">
        <v>168</v>
      </c>
      <c r="J27" s="1"/>
      <c r="K27" s="1"/>
      <c r="L27" s="33"/>
      <c r="M27" s="32">
        <v>61</v>
      </c>
      <c r="N27" s="1"/>
      <c r="O27" s="32">
        <v>25</v>
      </c>
      <c r="P27" s="33">
        <v>7</v>
      </c>
      <c r="Q27" s="36">
        <v>0.6</v>
      </c>
      <c r="R27" s="1"/>
      <c r="S27" s="30"/>
      <c r="T27" s="29">
        <v>63</v>
      </c>
      <c r="U27" s="29">
        <v>58</v>
      </c>
      <c r="V27" s="1"/>
      <c r="X27" s="7">
        <v>2448</v>
      </c>
      <c r="Y27" s="7">
        <v>772</v>
      </c>
      <c r="Z27" s="7">
        <v>1548</v>
      </c>
      <c r="AA27" s="39"/>
      <c r="AB27" s="7">
        <v>64</v>
      </c>
      <c r="AC27" s="7">
        <v>65</v>
      </c>
      <c r="AD27" s="39"/>
      <c r="AE27" s="32">
        <v>65</v>
      </c>
    </row>
    <row r="28" spans="1:31">
      <c r="A28" s="2" t="s">
        <v>25</v>
      </c>
      <c r="B28" s="29">
        <v>9442</v>
      </c>
      <c r="C28" s="1"/>
      <c r="D28" s="1"/>
      <c r="E28" s="32">
        <v>1570</v>
      </c>
      <c r="F28" s="32">
        <v>1216</v>
      </c>
      <c r="G28" s="1"/>
      <c r="H28" s="1"/>
      <c r="I28" s="32">
        <v>126</v>
      </c>
      <c r="J28" s="1"/>
      <c r="K28" s="1"/>
      <c r="L28" s="33"/>
      <c r="M28" s="32">
        <v>228</v>
      </c>
      <c r="N28" s="1"/>
      <c r="O28" s="32">
        <v>47</v>
      </c>
      <c r="P28" s="33">
        <v>15</v>
      </c>
      <c r="Q28" s="36">
        <v>3.5</v>
      </c>
      <c r="R28" s="1"/>
      <c r="S28" s="30"/>
      <c r="T28" s="29">
        <v>325</v>
      </c>
      <c r="U28" s="29">
        <v>179</v>
      </c>
      <c r="V28" s="1"/>
      <c r="X28" s="7">
        <v>9929</v>
      </c>
      <c r="Y28" s="7">
        <v>7846</v>
      </c>
      <c r="Z28" s="7">
        <v>1570</v>
      </c>
      <c r="AA28" s="39"/>
      <c r="AB28" s="7">
        <v>325</v>
      </c>
      <c r="AC28" s="7">
        <v>188</v>
      </c>
      <c r="AD28" s="39"/>
      <c r="AE28" s="32">
        <v>19</v>
      </c>
    </row>
    <row r="29" spans="1:31">
      <c r="A29" s="2" t="s">
        <v>26</v>
      </c>
      <c r="B29" s="29">
        <v>6314</v>
      </c>
      <c r="C29" s="1"/>
      <c r="D29" s="1"/>
      <c r="E29" s="32">
        <v>3410</v>
      </c>
      <c r="F29" s="32">
        <v>3384</v>
      </c>
      <c r="G29" s="1"/>
      <c r="H29" s="1"/>
      <c r="I29" s="33"/>
      <c r="J29" s="1"/>
      <c r="K29" s="1"/>
      <c r="L29" s="33"/>
      <c r="M29" s="32">
        <v>26</v>
      </c>
      <c r="N29" s="1"/>
      <c r="O29" s="33">
        <v>17</v>
      </c>
      <c r="P29" s="33">
        <v>9</v>
      </c>
      <c r="Q29" s="36"/>
      <c r="R29" s="1"/>
      <c r="S29" s="30"/>
      <c r="T29" s="29">
        <v>457</v>
      </c>
      <c r="U29" s="29">
        <v>510</v>
      </c>
      <c r="V29" s="1"/>
      <c r="X29" s="7">
        <v>6599</v>
      </c>
      <c r="Y29" s="7">
        <v>2223</v>
      </c>
      <c r="Z29" s="7">
        <v>3410</v>
      </c>
      <c r="AA29" s="39"/>
      <c r="AB29" s="7">
        <v>457</v>
      </c>
      <c r="AC29" s="7">
        <v>510</v>
      </c>
      <c r="AD29" s="39"/>
      <c r="AE29" s="32">
        <v>19</v>
      </c>
    </row>
    <row r="30" spans="1:31">
      <c r="A30" s="2" t="s">
        <v>27</v>
      </c>
      <c r="B30" s="30">
        <v>9341</v>
      </c>
      <c r="C30" s="1"/>
      <c r="D30" s="1"/>
      <c r="E30" s="32">
        <v>1509</v>
      </c>
      <c r="F30" s="32">
        <v>1298</v>
      </c>
      <c r="G30" s="1"/>
      <c r="H30" s="1"/>
      <c r="I30" s="32">
        <v>3</v>
      </c>
      <c r="J30" s="1"/>
      <c r="K30" s="1"/>
      <c r="L30" s="33"/>
      <c r="M30" s="32">
        <v>208</v>
      </c>
      <c r="N30" s="1"/>
      <c r="O30" s="32">
        <v>17</v>
      </c>
      <c r="P30" s="33">
        <v>27</v>
      </c>
      <c r="Q30" s="36"/>
      <c r="R30" s="1"/>
      <c r="S30" s="30"/>
      <c r="T30" s="30">
        <v>862</v>
      </c>
      <c r="U30" s="30">
        <v>350</v>
      </c>
      <c r="V30" s="1"/>
      <c r="X30" s="7">
        <v>9620</v>
      </c>
      <c r="Y30" s="7">
        <v>6873</v>
      </c>
      <c r="Z30" s="7">
        <v>1509</v>
      </c>
      <c r="AA30" s="39"/>
      <c r="AB30" s="7">
        <v>863</v>
      </c>
      <c r="AC30" s="7">
        <v>375</v>
      </c>
      <c r="AD30" s="39"/>
      <c r="AE30" s="32">
        <v>25</v>
      </c>
    </row>
    <row r="31" spans="1:31">
      <c r="A31" s="2" t="s">
        <v>28</v>
      </c>
      <c r="B31" s="29">
        <v>322</v>
      </c>
      <c r="C31" s="1"/>
      <c r="D31" s="1"/>
      <c r="E31" s="32">
        <v>42</v>
      </c>
      <c r="F31" s="33"/>
      <c r="G31" s="1"/>
      <c r="H31" s="1"/>
      <c r="I31" s="33"/>
      <c r="J31" s="1"/>
      <c r="K31" s="1"/>
      <c r="L31" s="32">
        <v>38</v>
      </c>
      <c r="M31" s="32">
        <v>4</v>
      </c>
      <c r="N31" s="1"/>
      <c r="O31" s="33">
        <v>2</v>
      </c>
      <c r="P31" s="32"/>
      <c r="Q31" s="37"/>
      <c r="R31" s="1"/>
      <c r="S31" s="30"/>
      <c r="T31" s="29">
        <v>1</v>
      </c>
      <c r="U31" s="29">
        <v>110</v>
      </c>
      <c r="V31" s="1"/>
      <c r="X31" s="7">
        <v>327</v>
      </c>
      <c r="Y31" s="7">
        <v>170</v>
      </c>
      <c r="Z31" s="7">
        <v>42</v>
      </c>
      <c r="AA31" s="39"/>
      <c r="AB31" s="7">
        <v>1</v>
      </c>
      <c r="AC31" s="7">
        <v>110</v>
      </c>
      <c r="AD31" s="7">
        <v>4</v>
      </c>
      <c r="AE31" s="38"/>
    </row>
    <row r="32" spans="1:31">
      <c r="A32" s="2" t="s">
        <v>29</v>
      </c>
      <c r="B32" s="29">
        <v>6002</v>
      </c>
      <c r="C32" s="1"/>
      <c r="D32" s="1"/>
      <c r="E32" s="32">
        <v>4380</v>
      </c>
      <c r="F32" s="32">
        <v>4207</v>
      </c>
      <c r="G32" s="1"/>
      <c r="H32" s="1"/>
      <c r="I32" s="32">
        <v>8</v>
      </c>
      <c r="J32" s="1"/>
      <c r="K32" s="1"/>
      <c r="L32" s="33"/>
      <c r="M32" s="32">
        <v>166</v>
      </c>
      <c r="N32" s="1"/>
      <c r="O32" s="32">
        <v>7</v>
      </c>
      <c r="P32" s="33">
        <v>7</v>
      </c>
      <c r="Q32" s="36">
        <v>1.7</v>
      </c>
      <c r="R32" s="1"/>
      <c r="S32" s="30"/>
      <c r="T32" s="29">
        <v>531</v>
      </c>
      <c r="U32" s="29">
        <v>806</v>
      </c>
      <c r="V32" s="1"/>
      <c r="X32" s="7">
        <v>6242</v>
      </c>
      <c r="Y32" s="7">
        <v>391</v>
      </c>
      <c r="Z32" s="7">
        <v>4380</v>
      </c>
      <c r="AA32" s="39"/>
      <c r="AB32" s="7">
        <v>532</v>
      </c>
      <c r="AC32" s="7">
        <v>939</v>
      </c>
      <c r="AD32" s="39"/>
      <c r="AE32" s="32">
        <v>102</v>
      </c>
    </row>
    <row r="33" spans="1:31">
      <c r="A33" s="2" t="s">
        <v>30</v>
      </c>
      <c r="B33" s="31">
        <v>5046</v>
      </c>
      <c r="C33" s="1"/>
      <c r="D33" s="1"/>
      <c r="E33" s="32">
        <v>2104</v>
      </c>
      <c r="F33" s="32">
        <v>2062</v>
      </c>
      <c r="G33" s="1"/>
      <c r="H33" s="1"/>
      <c r="I33" s="32">
        <v>1</v>
      </c>
      <c r="J33" s="1"/>
      <c r="K33" s="1"/>
      <c r="L33" s="33"/>
      <c r="M33" s="32">
        <v>40</v>
      </c>
      <c r="N33" s="1"/>
      <c r="O33" s="32">
        <v>7</v>
      </c>
      <c r="P33" s="33">
        <v>3</v>
      </c>
      <c r="Q33" s="36"/>
      <c r="R33" s="1"/>
      <c r="S33" s="30"/>
      <c r="T33" s="31">
        <v>1297</v>
      </c>
      <c r="U33" s="31">
        <v>852</v>
      </c>
      <c r="V33" s="1"/>
      <c r="X33" s="7">
        <v>5268</v>
      </c>
      <c r="Y33" s="7">
        <v>943</v>
      </c>
      <c r="Z33" s="7">
        <v>2104</v>
      </c>
      <c r="AA33" s="39"/>
      <c r="AB33" s="7">
        <v>1297</v>
      </c>
      <c r="AC33" s="7">
        <v>924</v>
      </c>
      <c r="AD33" s="39"/>
      <c r="AE33" s="32">
        <v>71</v>
      </c>
    </row>
    <row r="34" spans="1:31">
      <c r="A34" s="2" t="s">
        <v>31</v>
      </c>
      <c r="B34" s="30">
        <v>3147</v>
      </c>
      <c r="C34" s="1"/>
      <c r="D34" s="1"/>
      <c r="E34" s="32">
        <v>393</v>
      </c>
      <c r="F34" s="32">
        <v>375</v>
      </c>
      <c r="G34" s="1"/>
      <c r="H34" s="1"/>
      <c r="I34" s="34">
        <v>0.4</v>
      </c>
      <c r="J34" s="1"/>
      <c r="K34" s="1"/>
      <c r="L34" s="33"/>
      <c r="M34" s="32">
        <v>17</v>
      </c>
      <c r="N34" s="1"/>
      <c r="O34" s="34"/>
      <c r="P34" s="33"/>
      <c r="Q34" s="36">
        <v>0.4</v>
      </c>
      <c r="R34" s="1"/>
      <c r="S34" s="30"/>
      <c r="T34" s="30">
        <v>462</v>
      </c>
      <c r="U34" s="30">
        <v>1102</v>
      </c>
      <c r="V34" s="1"/>
      <c r="X34" s="7">
        <v>3168</v>
      </c>
      <c r="Y34" s="7">
        <v>1192</v>
      </c>
      <c r="Z34" s="7">
        <v>393</v>
      </c>
      <c r="AA34" s="39"/>
      <c r="AB34" s="7">
        <v>462</v>
      </c>
      <c r="AC34" s="7">
        <v>1122</v>
      </c>
      <c r="AD34" s="39"/>
      <c r="AE34" s="32">
        <v>15</v>
      </c>
    </row>
    <row r="35" spans="1:31">
      <c r="A35" s="2" t="s">
        <v>32</v>
      </c>
      <c r="B35" s="29">
        <v>5271</v>
      </c>
      <c r="C35" s="1"/>
      <c r="D35" s="1"/>
      <c r="E35" s="32">
        <v>3219</v>
      </c>
      <c r="F35" s="32">
        <v>3031</v>
      </c>
      <c r="G35" s="1"/>
      <c r="H35" s="1"/>
      <c r="I35" s="32">
        <v>70</v>
      </c>
      <c r="J35" s="1"/>
      <c r="K35" s="1"/>
      <c r="L35" s="33"/>
      <c r="M35" s="32">
        <v>118</v>
      </c>
      <c r="N35" s="1"/>
      <c r="O35" s="32">
        <v>5</v>
      </c>
      <c r="P35" s="33">
        <v>5</v>
      </c>
      <c r="Q35" s="36"/>
      <c r="R35" s="1"/>
      <c r="S35" s="30"/>
      <c r="T35" s="29">
        <v>1116</v>
      </c>
      <c r="U35" s="29">
        <v>895</v>
      </c>
      <c r="V35" s="1"/>
      <c r="X35" s="7">
        <v>5296</v>
      </c>
      <c r="Y35" s="7">
        <v>43</v>
      </c>
      <c r="Z35" s="7">
        <v>3219</v>
      </c>
      <c r="AA35" s="39"/>
      <c r="AB35" s="7">
        <v>1116</v>
      </c>
      <c r="AC35" s="7">
        <v>918</v>
      </c>
      <c r="AD35" s="39"/>
      <c r="AE35" s="32">
        <v>74</v>
      </c>
    </row>
    <row r="36" spans="1:31" ht="13.5" customHeight="1">
      <c r="A36" s="2" t="s">
        <v>33</v>
      </c>
      <c r="B36" s="29">
        <v>9614</v>
      </c>
      <c r="C36" s="1"/>
      <c r="D36" s="1"/>
      <c r="E36" s="32">
        <v>5813</v>
      </c>
      <c r="F36" s="32">
        <v>5644</v>
      </c>
      <c r="G36" s="1"/>
      <c r="H36" s="1"/>
      <c r="I36" s="32">
        <v>85</v>
      </c>
      <c r="J36" s="1"/>
      <c r="K36" s="1"/>
      <c r="L36" s="35"/>
      <c r="M36" s="32">
        <v>85</v>
      </c>
      <c r="N36" s="1"/>
      <c r="O36" s="32">
        <v>5</v>
      </c>
      <c r="P36" s="35">
        <v>2</v>
      </c>
      <c r="Q36" s="36">
        <v>0.3</v>
      </c>
      <c r="R36" s="1"/>
      <c r="S36" s="30"/>
      <c r="T36" s="29">
        <v>1956</v>
      </c>
      <c r="U36" s="29">
        <v>1072</v>
      </c>
      <c r="V36" s="1"/>
      <c r="X36" s="7">
        <v>9614</v>
      </c>
      <c r="Y36" s="7">
        <v>773</v>
      </c>
      <c r="Z36" s="7">
        <v>5813</v>
      </c>
      <c r="AA36" s="39"/>
      <c r="AB36" s="7">
        <v>1956</v>
      </c>
      <c r="AC36" s="7">
        <v>1072</v>
      </c>
      <c r="AD36" s="39"/>
      <c r="AE36" s="32">
        <v>15</v>
      </c>
    </row>
    <row r="38" spans="1:31">
      <c r="B38">
        <f>B5-SUM(B6:B36)</f>
        <v>-3</v>
      </c>
      <c r="C38">
        <f t="shared" ref="C38:U38" si="0">C5-SUM(C6:C36)</f>
        <v>0</v>
      </c>
      <c r="D38">
        <f t="shared" si="0"/>
        <v>0</v>
      </c>
      <c r="E38">
        <f t="shared" si="0"/>
        <v>0</v>
      </c>
      <c r="F38">
        <f t="shared" si="0"/>
        <v>-2</v>
      </c>
      <c r="H38">
        <f t="shared" si="0"/>
        <v>0</v>
      </c>
      <c r="I38">
        <f t="shared" si="0"/>
        <v>-1.3999999999996362</v>
      </c>
      <c r="J38">
        <f t="shared" si="0"/>
        <v>0</v>
      </c>
      <c r="L38">
        <f t="shared" si="0"/>
        <v>2</v>
      </c>
      <c r="M38">
        <f t="shared" si="0"/>
        <v>0</v>
      </c>
      <c r="N38">
        <f t="shared" si="0"/>
        <v>0</v>
      </c>
      <c r="O38">
        <f t="shared" si="0"/>
        <v>0</v>
      </c>
      <c r="P38">
        <f t="shared" si="0"/>
        <v>0</v>
      </c>
      <c r="S38">
        <f t="shared" si="0"/>
        <v>-1</v>
      </c>
      <c r="T38">
        <f t="shared" si="0"/>
        <v>2</v>
      </c>
      <c r="U38">
        <f t="shared" si="0"/>
        <v>-2</v>
      </c>
      <c r="V38">
        <f>V5-SUM(V6:V36)</f>
        <v>0</v>
      </c>
    </row>
  </sheetData>
  <mergeCells count="25">
    <mergeCell ref="V2:V4"/>
    <mergeCell ref="C3:C4"/>
    <mergeCell ref="I3:K3"/>
    <mergeCell ref="M3:R3"/>
    <mergeCell ref="E2:R2"/>
    <mergeCell ref="D3:D4"/>
    <mergeCell ref="E3:E4"/>
    <mergeCell ref="F3:H3"/>
    <mergeCell ref="L3:L4"/>
    <mergeCell ref="A1:V1"/>
    <mergeCell ref="AE2:AE4"/>
    <mergeCell ref="AD2:AD4"/>
    <mergeCell ref="AC2:AC4"/>
    <mergeCell ref="AB2:AB4"/>
    <mergeCell ref="AA2:AA4"/>
    <mergeCell ref="X2:X4"/>
    <mergeCell ref="Y2:Y4"/>
    <mergeCell ref="Z2:Z4"/>
    <mergeCell ref="X1:AE1"/>
    <mergeCell ref="A2:A4"/>
    <mergeCell ref="B2:B4"/>
    <mergeCell ref="C2:D2"/>
    <mergeCell ref="S2:S4"/>
    <mergeCell ref="T2:T4"/>
    <mergeCell ref="U2:U4"/>
  </mergeCells>
  <phoneticPr fontId="4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75BA-B9C5-464E-BA47-FA2FB464E5D1}">
  <dimension ref="A1:AE38"/>
  <sheetViews>
    <sheetView topLeftCell="A4" workbookViewId="0">
      <selection activeCell="N20" sqref="N20"/>
    </sheetView>
  </sheetViews>
  <sheetFormatPr defaultRowHeight="12.75"/>
  <cols>
    <col min="1" max="22" width="7.5703125" customWidth="1"/>
    <col min="31" max="31" width="7.5703125" customWidth="1"/>
  </cols>
  <sheetData>
    <row r="1" spans="1:31" ht="12.75" customHeight="1">
      <c r="A1" s="113" t="s">
        <v>66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X1" s="112" t="s">
        <v>67</v>
      </c>
      <c r="Y1" s="106"/>
      <c r="Z1" s="106"/>
      <c r="AA1" s="106"/>
      <c r="AB1" s="106"/>
      <c r="AC1" s="106"/>
      <c r="AD1" s="106"/>
      <c r="AE1" s="106"/>
    </row>
    <row r="2" spans="1:31" ht="12.75" customHeight="1">
      <c r="A2" s="105" t="s">
        <v>34</v>
      </c>
      <c r="B2" s="105" t="s">
        <v>35</v>
      </c>
      <c r="C2" s="107" t="s">
        <v>36</v>
      </c>
      <c r="D2" s="107"/>
      <c r="E2" s="108" t="s">
        <v>37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10"/>
      <c r="S2" s="105" t="s">
        <v>38</v>
      </c>
      <c r="T2" s="105" t="s">
        <v>39</v>
      </c>
      <c r="U2" s="111" t="s">
        <v>1</v>
      </c>
      <c r="V2" s="105" t="s">
        <v>40</v>
      </c>
      <c r="X2" s="105" t="s">
        <v>35</v>
      </c>
      <c r="Y2" s="105" t="s">
        <v>64</v>
      </c>
      <c r="Z2" s="105" t="s">
        <v>65</v>
      </c>
      <c r="AA2" s="105" t="s">
        <v>38</v>
      </c>
      <c r="AB2" s="105" t="s">
        <v>39</v>
      </c>
      <c r="AC2" s="111" t="s">
        <v>1</v>
      </c>
      <c r="AD2" s="105" t="s">
        <v>40</v>
      </c>
      <c r="AE2" s="111" t="s">
        <v>63</v>
      </c>
    </row>
    <row r="3" spans="1:31">
      <c r="A3" s="106"/>
      <c r="B3" s="105"/>
      <c r="C3" s="105" t="s">
        <v>35</v>
      </c>
      <c r="D3" s="105" t="s">
        <v>41</v>
      </c>
      <c r="E3" s="105" t="s">
        <v>35</v>
      </c>
      <c r="F3" s="105" t="s">
        <v>42</v>
      </c>
      <c r="G3" s="105"/>
      <c r="H3" s="105"/>
      <c r="I3" s="101" t="s">
        <v>43</v>
      </c>
      <c r="J3" s="102"/>
      <c r="K3" s="103"/>
      <c r="L3" s="105" t="s">
        <v>44</v>
      </c>
      <c r="M3" s="101" t="s">
        <v>40</v>
      </c>
      <c r="N3" s="102"/>
      <c r="O3" s="102"/>
      <c r="P3" s="102"/>
      <c r="Q3" s="102"/>
      <c r="R3" s="103"/>
      <c r="S3" s="105"/>
      <c r="T3" s="105"/>
      <c r="U3" s="111"/>
      <c r="V3" s="105"/>
      <c r="X3" s="105"/>
      <c r="Y3" s="106"/>
      <c r="Z3" s="106"/>
      <c r="AA3" s="105"/>
      <c r="AB3" s="105"/>
      <c r="AC3" s="111"/>
      <c r="AD3" s="105"/>
      <c r="AE3" s="111"/>
    </row>
    <row r="4" spans="1:31" ht="48">
      <c r="A4" s="106"/>
      <c r="B4" s="105"/>
      <c r="C4" s="105"/>
      <c r="D4" s="105"/>
      <c r="E4" s="105"/>
      <c r="F4" s="2" t="s">
        <v>35</v>
      </c>
      <c r="G4" s="2" t="s">
        <v>61</v>
      </c>
      <c r="H4" s="2" t="s">
        <v>0</v>
      </c>
      <c r="I4" s="2" t="s">
        <v>35</v>
      </c>
      <c r="J4" s="2" t="s">
        <v>60</v>
      </c>
      <c r="K4" s="2" t="s">
        <v>46</v>
      </c>
      <c r="L4" s="105"/>
      <c r="M4" s="2" t="s">
        <v>35</v>
      </c>
      <c r="N4" s="2" t="s">
        <v>58</v>
      </c>
      <c r="O4" s="2" t="s">
        <v>57</v>
      </c>
      <c r="P4" s="2" t="s">
        <v>59</v>
      </c>
      <c r="Q4" s="10" t="s">
        <v>47</v>
      </c>
      <c r="R4" s="10" t="s">
        <v>48</v>
      </c>
      <c r="S4" s="105"/>
      <c r="T4" s="105"/>
      <c r="U4" s="111"/>
      <c r="V4" s="105"/>
      <c r="X4" s="105"/>
      <c r="Y4" s="106"/>
      <c r="Z4" s="106"/>
      <c r="AA4" s="105"/>
      <c r="AB4" s="105"/>
      <c r="AC4" s="111"/>
      <c r="AD4" s="105"/>
      <c r="AE4" s="111"/>
    </row>
    <row r="5" spans="1:31">
      <c r="A5" s="4" t="s">
        <v>5</v>
      </c>
      <c r="B5" s="1">
        <v>209137</v>
      </c>
      <c r="C5" s="1">
        <v>33572</v>
      </c>
      <c r="D5" s="1"/>
      <c r="E5" s="1">
        <v>124247</v>
      </c>
      <c r="F5" s="1">
        <v>107912</v>
      </c>
      <c r="G5" s="1"/>
      <c r="H5" s="1"/>
      <c r="I5" s="1">
        <v>9972</v>
      </c>
      <c r="J5" s="1"/>
      <c r="K5" s="1"/>
      <c r="L5" s="1">
        <v>147</v>
      </c>
      <c r="M5" s="1">
        <v>6593</v>
      </c>
      <c r="N5" s="1"/>
      <c r="O5" s="1">
        <v>1535</v>
      </c>
      <c r="P5" s="1">
        <v>1363</v>
      </c>
      <c r="Q5" s="1">
        <v>90</v>
      </c>
      <c r="R5" s="1"/>
      <c r="S5" s="1">
        <v>4989</v>
      </c>
      <c r="T5" s="1">
        <v>28154</v>
      </c>
      <c r="U5" s="1">
        <v>18134</v>
      </c>
      <c r="V5" s="1">
        <v>40</v>
      </c>
      <c r="X5" s="7">
        <v>220204</v>
      </c>
      <c r="Y5" s="7">
        <v>37028</v>
      </c>
      <c r="Z5" s="7">
        <v>124624</v>
      </c>
      <c r="AA5" s="7">
        <v>4989</v>
      </c>
      <c r="AB5" s="7">
        <v>28165</v>
      </c>
      <c r="AC5" s="7">
        <v>25356</v>
      </c>
      <c r="AD5" s="7">
        <v>41</v>
      </c>
      <c r="AE5" s="32">
        <v>7827</v>
      </c>
    </row>
    <row r="6" spans="1:31">
      <c r="A6" s="2" t="s">
        <v>6</v>
      </c>
      <c r="B6" s="1">
        <v>1261</v>
      </c>
      <c r="C6" s="1">
        <v>98</v>
      </c>
      <c r="D6" s="1"/>
      <c r="E6" s="1">
        <v>1136</v>
      </c>
      <c r="F6" s="1">
        <v>77</v>
      </c>
      <c r="G6" s="1"/>
      <c r="H6" s="1"/>
      <c r="I6" s="1">
        <v>1000</v>
      </c>
      <c r="J6" s="1"/>
      <c r="K6" s="1"/>
      <c r="L6" s="1">
        <v>22</v>
      </c>
      <c r="M6" s="1">
        <v>38</v>
      </c>
      <c r="N6" s="1"/>
      <c r="O6" s="1">
        <v>37</v>
      </c>
      <c r="P6" s="1"/>
      <c r="Q6" s="1">
        <v>2</v>
      </c>
      <c r="R6" s="1"/>
      <c r="S6" s="1"/>
      <c r="T6" s="1">
        <v>18</v>
      </c>
      <c r="U6" s="1">
        <v>8</v>
      </c>
      <c r="V6" s="1"/>
      <c r="X6" s="7">
        <v>1316</v>
      </c>
      <c r="Y6" s="7">
        <v>99</v>
      </c>
      <c r="Z6" s="7">
        <v>1136</v>
      </c>
      <c r="AA6" s="39"/>
      <c r="AB6" s="7">
        <v>19</v>
      </c>
      <c r="AC6" s="7">
        <v>62</v>
      </c>
      <c r="AD6" s="39"/>
      <c r="AE6" s="32">
        <v>56</v>
      </c>
    </row>
    <row r="7" spans="1:31">
      <c r="A7" s="2" t="s">
        <v>7</v>
      </c>
      <c r="B7" s="1">
        <v>1884</v>
      </c>
      <c r="C7" s="1"/>
      <c r="D7" s="1"/>
      <c r="E7" s="1">
        <v>1666</v>
      </c>
      <c r="F7" s="1">
        <v>1230</v>
      </c>
      <c r="G7" s="1"/>
      <c r="H7" s="1"/>
      <c r="I7" s="1">
        <v>382</v>
      </c>
      <c r="J7" s="1"/>
      <c r="K7" s="1"/>
      <c r="L7" s="1"/>
      <c r="M7" s="1">
        <v>56</v>
      </c>
      <c r="N7" s="1"/>
      <c r="O7" s="1">
        <v>30</v>
      </c>
      <c r="P7" s="1">
        <v>4</v>
      </c>
      <c r="Q7" s="1"/>
      <c r="R7" s="1"/>
      <c r="S7" s="1"/>
      <c r="T7" s="1">
        <v>84</v>
      </c>
      <c r="U7" s="1">
        <v>134</v>
      </c>
      <c r="V7" s="1"/>
      <c r="X7" s="7">
        <v>1917</v>
      </c>
      <c r="Y7" s="7">
        <v>1</v>
      </c>
      <c r="Z7" s="7">
        <v>1668</v>
      </c>
      <c r="AA7" s="39"/>
      <c r="AB7" s="7">
        <v>85</v>
      </c>
      <c r="AC7" s="7">
        <v>164</v>
      </c>
      <c r="AD7" s="39"/>
      <c r="AE7" s="32">
        <v>45</v>
      </c>
    </row>
    <row r="8" spans="1:31">
      <c r="A8" s="2" t="s">
        <v>8</v>
      </c>
      <c r="B8" s="1">
        <v>9272</v>
      </c>
      <c r="C8" s="1">
        <v>165</v>
      </c>
      <c r="D8" s="1"/>
      <c r="E8" s="1">
        <v>5382</v>
      </c>
      <c r="F8" s="1">
        <v>4952</v>
      </c>
      <c r="G8" s="1"/>
      <c r="H8" s="1"/>
      <c r="I8" s="1">
        <v>94</v>
      </c>
      <c r="J8" s="1"/>
      <c r="K8" s="1"/>
      <c r="L8" s="1"/>
      <c r="M8" s="1">
        <v>345</v>
      </c>
      <c r="N8" s="1"/>
      <c r="O8" s="1">
        <v>46</v>
      </c>
      <c r="P8" s="1">
        <v>67</v>
      </c>
      <c r="Q8" s="1">
        <v>2</v>
      </c>
      <c r="R8" s="1"/>
      <c r="S8" s="1"/>
      <c r="T8" s="1">
        <v>2274</v>
      </c>
      <c r="U8" s="1">
        <v>1447</v>
      </c>
      <c r="V8" s="1">
        <v>4</v>
      </c>
      <c r="X8" s="7">
        <v>10042</v>
      </c>
      <c r="Y8" s="7">
        <v>182</v>
      </c>
      <c r="Z8" s="7">
        <v>5391</v>
      </c>
      <c r="AA8" s="39"/>
      <c r="AB8" s="7">
        <v>2274</v>
      </c>
      <c r="AC8" s="7">
        <v>2190</v>
      </c>
      <c r="AD8" s="7">
        <v>4</v>
      </c>
      <c r="AE8" s="32">
        <v>747</v>
      </c>
    </row>
    <row r="9" spans="1:31">
      <c r="A9" s="2" t="s">
        <v>9</v>
      </c>
      <c r="B9" s="1">
        <v>10081</v>
      </c>
      <c r="C9" s="1">
        <v>214</v>
      </c>
      <c r="D9" s="1"/>
      <c r="E9" s="1">
        <v>6860</v>
      </c>
      <c r="F9" s="1">
        <v>6263</v>
      </c>
      <c r="G9" s="1"/>
      <c r="H9" s="1"/>
      <c r="I9" s="1">
        <v>348</v>
      </c>
      <c r="J9" s="1"/>
      <c r="K9" s="1"/>
      <c r="L9" s="1"/>
      <c r="M9" s="1">
        <v>267</v>
      </c>
      <c r="N9" s="1"/>
      <c r="O9" s="1">
        <v>26</v>
      </c>
      <c r="P9" s="1">
        <v>38</v>
      </c>
      <c r="Q9" s="1">
        <v>1</v>
      </c>
      <c r="R9" s="1"/>
      <c r="S9" s="1"/>
      <c r="T9" s="1">
        <v>1974</v>
      </c>
      <c r="U9" s="1">
        <v>1033</v>
      </c>
      <c r="V9" s="1"/>
      <c r="X9" s="7">
        <v>10383</v>
      </c>
      <c r="Y9" s="7">
        <v>223</v>
      </c>
      <c r="Z9" s="7">
        <v>6878</v>
      </c>
      <c r="AA9" s="39"/>
      <c r="AB9" s="7">
        <v>1974</v>
      </c>
      <c r="AC9" s="7">
        <v>1309</v>
      </c>
      <c r="AD9" s="39"/>
      <c r="AE9" s="32">
        <v>280</v>
      </c>
    </row>
    <row r="10" spans="1:31">
      <c r="A10" s="2" t="s">
        <v>2</v>
      </c>
      <c r="B10" s="1">
        <v>14569</v>
      </c>
      <c r="C10" s="1">
        <v>238</v>
      </c>
      <c r="D10" s="1"/>
      <c r="E10" s="1">
        <v>9370</v>
      </c>
      <c r="F10" s="1">
        <v>9207</v>
      </c>
      <c r="G10" s="1"/>
      <c r="H10" s="1"/>
      <c r="I10" s="1">
        <v>74</v>
      </c>
      <c r="J10" s="1"/>
      <c r="K10" s="1"/>
      <c r="L10" s="1"/>
      <c r="M10" s="1">
        <v>93</v>
      </c>
      <c r="N10" s="1"/>
      <c r="O10" s="1">
        <v>6</v>
      </c>
      <c r="P10" s="1">
        <v>27</v>
      </c>
      <c r="Q10" s="1" t="s">
        <v>68</v>
      </c>
      <c r="R10" s="1"/>
      <c r="S10" s="1"/>
      <c r="T10" s="1">
        <v>3785</v>
      </c>
      <c r="U10" s="1">
        <v>1176</v>
      </c>
      <c r="V10" s="1"/>
      <c r="X10" s="7">
        <v>14639</v>
      </c>
      <c r="Y10" s="7">
        <v>242</v>
      </c>
      <c r="Z10" s="7">
        <v>9374</v>
      </c>
      <c r="AA10" s="39"/>
      <c r="AB10" s="7">
        <v>3786</v>
      </c>
      <c r="AC10" s="7">
        <v>1237</v>
      </c>
      <c r="AD10" s="39"/>
      <c r="AE10" s="32">
        <v>88</v>
      </c>
    </row>
    <row r="11" spans="1:31">
      <c r="A11" s="2" t="s">
        <v>10</v>
      </c>
      <c r="B11" s="1">
        <v>5666</v>
      </c>
      <c r="C11" s="1">
        <v>288</v>
      </c>
      <c r="D11" s="1"/>
      <c r="E11" s="1">
        <v>3638</v>
      </c>
      <c r="F11" s="1">
        <v>3499</v>
      </c>
      <c r="G11" s="1"/>
      <c r="H11" s="1"/>
      <c r="I11" s="1">
        <v>6</v>
      </c>
      <c r="J11" s="1"/>
      <c r="K11" s="1"/>
      <c r="L11" s="1">
        <v>15</v>
      </c>
      <c r="M11" s="1">
        <v>123</v>
      </c>
      <c r="N11" s="1"/>
      <c r="O11" s="1">
        <v>23</v>
      </c>
      <c r="P11" s="1">
        <v>20</v>
      </c>
      <c r="Q11" s="1">
        <v>2</v>
      </c>
      <c r="R11" s="1"/>
      <c r="S11" s="1">
        <v>448</v>
      </c>
      <c r="T11" s="1">
        <v>979</v>
      </c>
      <c r="U11" s="1">
        <v>313</v>
      </c>
      <c r="V11" s="1"/>
      <c r="X11" s="7">
        <v>5776</v>
      </c>
      <c r="Y11" s="7">
        <v>305</v>
      </c>
      <c r="Z11" s="7">
        <v>3643</v>
      </c>
      <c r="AA11" s="7">
        <v>448</v>
      </c>
      <c r="AB11" s="7">
        <v>981</v>
      </c>
      <c r="AC11" s="7">
        <v>400</v>
      </c>
      <c r="AD11" s="39"/>
      <c r="AE11" s="32">
        <v>118</v>
      </c>
    </row>
    <row r="12" spans="1:31">
      <c r="A12" s="2" t="s">
        <v>3</v>
      </c>
      <c r="B12" s="1">
        <v>3189</v>
      </c>
      <c r="C12" s="1">
        <v>478</v>
      </c>
      <c r="D12" s="1"/>
      <c r="E12" s="1">
        <v>1850</v>
      </c>
      <c r="F12" s="1">
        <v>1733</v>
      </c>
      <c r="G12" s="1"/>
      <c r="H12" s="1"/>
      <c r="I12" s="1">
        <v>1</v>
      </c>
      <c r="J12" s="1"/>
      <c r="K12" s="1"/>
      <c r="L12" s="1"/>
      <c r="M12" s="1">
        <v>118</v>
      </c>
      <c r="N12" s="1"/>
      <c r="O12" s="1">
        <v>19</v>
      </c>
      <c r="P12" s="1">
        <v>61</v>
      </c>
      <c r="Q12" s="1">
        <v>1</v>
      </c>
      <c r="R12" s="1"/>
      <c r="S12" s="1"/>
      <c r="T12" s="1">
        <v>577</v>
      </c>
      <c r="U12" s="1">
        <v>285</v>
      </c>
      <c r="V12" s="1"/>
      <c r="X12" s="7">
        <v>3278</v>
      </c>
      <c r="Y12" s="7">
        <v>510</v>
      </c>
      <c r="Z12" s="7">
        <v>1852</v>
      </c>
      <c r="AA12" s="39"/>
      <c r="AB12" s="7">
        <v>577</v>
      </c>
      <c r="AC12" s="7">
        <v>338</v>
      </c>
      <c r="AD12" s="39"/>
      <c r="AE12" s="32">
        <v>76</v>
      </c>
    </row>
    <row r="13" spans="1:31">
      <c r="A13" s="2" t="s">
        <v>4</v>
      </c>
      <c r="B13" s="1">
        <v>3441</v>
      </c>
      <c r="C13" s="1">
        <v>101</v>
      </c>
      <c r="D13" s="1"/>
      <c r="E13" s="1">
        <v>2416</v>
      </c>
      <c r="F13" s="1">
        <v>2222</v>
      </c>
      <c r="G13" s="1"/>
      <c r="H13" s="1"/>
      <c r="I13" s="1">
        <v>14</v>
      </c>
      <c r="J13" s="1"/>
      <c r="K13" s="1"/>
      <c r="L13" s="1">
        <v>2</v>
      </c>
      <c r="M13" s="1">
        <v>185</v>
      </c>
      <c r="N13" s="1"/>
      <c r="O13" s="1">
        <v>15</v>
      </c>
      <c r="P13" s="1">
        <v>133</v>
      </c>
      <c r="Q13" s="1">
        <v>2</v>
      </c>
      <c r="R13" s="1"/>
      <c r="S13" s="1"/>
      <c r="T13" s="1">
        <v>686</v>
      </c>
      <c r="U13" s="1">
        <v>238</v>
      </c>
      <c r="V13" s="1"/>
      <c r="X13" s="7">
        <v>3536</v>
      </c>
      <c r="Y13" s="7">
        <v>109</v>
      </c>
      <c r="Z13" s="7">
        <v>2423</v>
      </c>
      <c r="AA13" s="39"/>
      <c r="AB13" s="7">
        <v>686</v>
      </c>
      <c r="AC13" s="7">
        <v>318</v>
      </c>
      <c r="AD13" s="39"/>
      <c r="AE13" s="32">
        <v>83</v>
      </c>
    </row>
    <row r="14" spans="1:31">
      <c r="A14" s="2" t="s">
        <v>11</v>
      </c>
      <c r="B14" s="1">
        <v>2558</v>
      </c>
      <c r="C14" s="1"/>
      <c r="D14" s="1"/>
      <c r="E14" s="1">
        <v>2447</v>
      </c>
      <c r="F14" s="1">
        <v>1502</v>
      </c>
      <c r="G14" s="1"/>
      <c r="H14" s="1"/>
      <c r="I14" s="1">
        <v>766</v>
      </c>
      <c r="J14" s="1"/>
      <c r="K14" s="1"/>
      <c r="L14" s="1">
        <v>61</v>
      </c>
      <c r="M14" s="1">
        <v>121</v>
      </c>
      <c r="N14" s="1"/>
      <c r="O14" s="1">
        <v>41</v>
      </c>
      <c r="P14" s="1"/>
      <c r="Q14" s="1">
        <v>2</v>
      </c>
      <c r="R14" s="1"/>
      <c r="S14" s="1"/>
      <c r="T14" s="1">
        <v>82</v>
      </c>
      <c r="U14" s="1">
        <v>28</v>
      </c>
      <c r="V14" s="1"/>
      <c r="X14" s="7">
        <v>2669</v>
      </c>
      <c r="Y14" s="39"/>
      <c r="Z14" s="7">
        <v>2450</v>
      </c>
      <c r="AA14" s="39"/>
      <c r="AB14" s="7">
        <v>82</v>
      </c>
      <c r="AC14" s="7">
        <v>137</v>
      </c>
      <c r="AD14" s="39"/>
      <c r="AE14" s="32">
        <v>117</v>
      </c>
    </row>
    <row r="15" spans="1:31">
      <c r="A15" s="2" t="s">
        <v>12</v>
      </c>
      <c r="B15" s="1">
        <v>13336</v>
      </c>
      <c r="C15" s="1">
        <v>260</v>
      </c>
      <c r="D15" s="1"/>
      <c r="E15" s="1">
        <v>10062</v>
      </c>
      <c r="F15" s="1">
        <v>7921</v>
      </c>
      <c r="G15" s="1"/>
      <c r="H15" s="1"/>
      <c r="I15" s="1">
        <v>1700</v>
      </c>
      <c r="J15" s="1"/>
      <c r="K15" s="1"/>
      <c r="L15" s="1"/>
      <c r="M15" s="1">
        <v>459</v>
      </c>
      <c r="N15" s="1"/>
      <c r="O15" s="1">
        <v>154</v>
      </c>
      <c r="P15" s="1">
        <v>80</v>
      </c>
      <c r="Q15" s="1">
        <v>8</v>
      </c>
      <c r="R15" s="1"/>
      <c r="S15" s="1">
        <v>549</v>
      </c>
      <c r="T15" s="1">
        <v>1545</v>
      </c>
      <c r="U15" s="1">
        <v>898</v>
      </c>
      <c r="V15" s="1">
        <v>23</v>
      </c>
      <c r="X15" s="7">
        <v>14146</v>
      </c>
      <c r="Y15" s="7">
        <v>265</v>
      </c>
      <c r="Z15" s="7">
        <v>10079</v>
      </c>
      <c r="AA15" s="7">
        <v>549</v>
      </c>
      <c r="AB15" s="7">
        <v>1547</v>
      </c>
      <c r="AC15" s="7">
        <v>1684</v>
      </c>
      <c r="AD15" s="7">
        <v>23</v>
      </c>
      <c r="AE15" s="32">
        <v>788</v>
      </c>
    </row>
    <row r="16" spans="1:31">
      <c r="A16" s="2" t="s">
        <v>13</v>
      </c>
      <c r="B16" s="1">
        <v>8846</v>
      </c>
      <c r="C16" s="1">
        <v>950</v>
      </c>
      <c r="D16" s="1"/>
      <c r="E16" s="1">
        <v>6339</v>
      </c>
      <c r="F16" s="1">
        <v>4738</v>
      </c>
      <c r="G16" s="1"/>
      <c r="H16" s="1"/>
      <c r="I16" s="1">
        <v>1262</v>
      </c>
      <c r="J16" s="1"/>
      <c r="K16" s="1"/>
      <c r="L16" s="1">
        <v>2</v>
      </c>
      <c r="M16" s="1">
        <v>355</v>
      </c>
      <c r="N16" s="1"/>
      <c r="O16" s="1">
        <v>210</v>
      </c>
      <c r="P16" s="1">
        <v>24</v>
      </c>
      <c r="Q16" s="1">
        <v>6</v>
      </c>
      <c r="R16" s="1"/>
      <c r="S16" s="1">
        <v>911</v>
      </c>
      <c r="T16" s="1">
        <v>185</v>
      </c>
      <c r="U16" s="1">
        <v>462</v>
      </c>
      <c r="V16" s="1"/>
      <c r="X16" s="7">
        <v>10142</v>
      </c>
      <c r="Y16" s="7">
        <v>1171</v>
      </c>
      <c r="Z16" s="7">
        <v>6358</v>
      </c>
      <c r="AA16" s="7">
        <v>911</v>
      </c>
      <c r="AB16" s="7">
        <v>186</v>
      </c>
      <c r="AC16" s="7">
        <v>1517</v>
      </c>
      <c r="AD16" s="7">
        <v>1</v>
      </c>
      <c r="AE16" s="32">
        <v>1067</v>
      </c>
    </row>
    <row r="17" spans="1:31">
      <c r="A17" s="2" t="s">
        <v>14</v>
      </c>
      <c r="B17" s="1">
        <v>7221</v>
      </c>
      <c r="C17" s="1">
        <v>393</v>
      </c>
      <c r="D17" s="1"/>
      <c r="E17" s="1">
        <v>5529</v>
      </c>
      <c r="F17" s="1">
        <v>5143</v>
      </c>
      <c r="G17" s="1"/>
      <c r="H17" s="1"/>
      <c r="I17" s="1">
        <v>14</v>
      </c>
      <c r="J17" s="1"/>
      <c r="K17" s="1"/>
      <c r="L17" s="1"/>
      <c r="M17" s="1">
        <v>404</v>
      </c>
      <c r="N17" s="1"/>
      <c r="O17" s="1">
        <v>73</v>
      </c>
      <c r="P17" s="1">
        <v>139</v>
      </c>
      <c r="Q17" s="1"/>
      <c r="R17" s="1"/>
      <c r="S17" s="1"/>
      <c r="T17" s="1">
        <v>412</v>
      </c>
      <c r="U17" s="1">
        <v>887</v>
      </c>
      <c r="V17" s="1"/>
      <c r="X17" s="7">
        <v>7816</v>
      </c>
      <c r="Y17" s="7">
        <v>474</v>
      </c>
      <c r="Z17" s="7">
        <v>5561</v>
      </c>
      <c r="AA17" s="39"/>
      <c r="AB17" s="7">
        <v>412</v>
      </c>
      <c r="AC17" s="7">
        <v>1370</v>
      </c>
      <c r="AD17" s="39"/>
      <c r="AE17" s="32">
        <v>544</v>
      </c>
    </row>
    <row r="18" spans="1:31">
      <c r="A18" s="2" t="s">
        <v>15</v>
      </c>
      <c r="B18" s="1">
        <v>5840</v>
      </c>
      <c r="C18" s="1">
        <v>937</v>
      </c>
      <c r="D18" s="1"/>
      <c r="E18" s="1">
        <v>3470</v>
      </c>
      <c r="F18" s="1">
        <v>2862</v>
      </c>
      <c r="G18" s="1"/>
      <c r="H18" s="1"/>
      <c r="I18" s="1">
        <v>391</v>
      </c>
      <c r="J18" s="1"/>
      <c r="K18" s="1"/>
      <c r="L18" s="1"/>
      <c r="M18" s="1">
        <v>224</v>
      </c>
      <c r="N18" s="1"/>
      <c r="O18" s="1">
        <v>72</v>
      </c>
      <c r="P18" s="1">
        <v>6</v>
      </c>
      <c r="Q18" s="1">
        <v>2</v>
      </c>
      <c r="R18" s="1"/>
      <c r="S18" s="1">
        <v>871</v>
      </c>
      <c r="T18" s="1">
        <v>486</v>
      </c>
      <c r="U18" s="1">
        <v>72</v>
      </c>
      <c r="V18" s="1">
        <v>3</v>
      </c>
      <c r="X18" s="7">
        <v>6372</v>
      </c>
      <c r="Y18" s="7">
        <v>1331</v>
      </c>
      <c r="Z18" s="7">
        <v>3478</v>
      </c>
      <c r="AA18" s="7">
        <v>871</v>
      </c>
      <c r="AB18" s="7">
        <v>486</v>
      </c>
      <c r="AC18" s="7">
        <v>202</v>
      </c>
      <c r="AD18" s="39">
        <v>3</v>
      </c>
      <c r="AE18" s="32">
        <v>164</v>
      </c>
    </row>
    <row r="19" spans="1:31">
      <c r="A19" s="2" t="s">
        <v>16</v>
      </c>
      <c r="B19" s="1">
        <v>3912</v>
      </c>
      <c r="C19" s="1">
        <v>454</v>
      </c>
      <c r="D19" s="1"/>
      <c r="E19" s="1">
        <v>2448</v>
      </c>
      <c r="F19" s="1">
        <v>2056</v>
      </c>
      <c r="G19" s="1"/>
      <c r="H19" s="1"/>
      <c r="I19" s="1">
        <v>14</v>
      </c>
      <c r="J19" s="1"/>
      <c r="K19" s="1"/>
      <c r="L19" s="1"/>
      <c r="M19" s="1">
        <v>385</v>
      </c>
      <c r="N19" s="1"/>
      <c r="O19" s="1">
        <v>43</v>
      </c>
      <c r="P19" s="1">
        <v>33</v>
      </c>
      <c r="Q19" s="1">
        <v>4</v>
      </c>
      <c r="R19" s="1"/>
      <c r="S19" s="1"/>
      <c r="T19" s="1">
        <v>510</v>
      </c>
      <c r="U19" s="1">
        <v>500</v>
      </c>
      <c r="V19" s="1"/>
      <c r="X19" s="7">
        <v>4401</v>
      </c>
      <c r="Y19" s="7">
        <v>660</v>
      </c>
      <c r="Z19" s="7">
        <v>2455</v>
      </c>
      <c r="AA19" s="39"/>
      <c r="AB19" s="7">
        <v>510</v>
      </c>
      <c r="AC19" s="7">
        <v>776</v>
      </c>
      <c r="AD19" s="39"/>
      <c r="AE19" s="32">
        <v>299</v>
      </c>
    </row>
    <row r="20" spans="1:31">
      <c r="A20" s="2" t="s">
        <v>17</v>
      </c>
      <c r="B20" s="1">
        <v>14158</v>
      </c>
      <c r="C20" s="1">
        <v>102</v>
      </c>
      <c r="D20" s="1"/>
      <c r="E20" s="1">
        <v>11107</v>
      </c>
      <c r="F20" s="1">
        <v>10305</v>
      </c>
      <c r="G20" s="1"/>
      <c r="H20" s="1"/>
      <c r="I20" s="1">
        <v>11</v>
      </c>
      <c r="J20" s="1"/>
      <c r="K20" s="1"/>
      <c r="L20" s="1"/>
      <c r="M20" s="1">
        <v>819</v>
      </c>
      <c r="N20" s="1"/>
      <c r="O20" s="1">
        <v>170</v>
      </c>
      <c r="P20" s="1">
        <v>185</v>
      </c>
      <c r="Q20" s="1">
        <v>10</v>
      </c>
      <c r="R20" s="1"/>
      <c r="S20" s="1">
        <v>250</v>
      </c>
      <c r="T20" s="1">
        <v>1795</v>
      </c>
      <c r="U20" s="1">
        <v>905</v>
      </c>
      <c r="V20" s="1"/>
      <c r="X20" s="7">
        <v>15560</v>
      </c>
      <c r="Y20" s="7">
        <v>108</v>
      </c>
      <c r="Z20" s="7">
        <v>11135</v>
      </c>
      <c r="AA20" s="7">
        <v>250</v>
      </c>
      <c r="AB20" s="7">
        <v>1795</v>
      </c>
      <c r="AC20" s="7">
        <v>2272</v>
      </c>
      <c r="AD20" s="39"/>
      <c r="AE20" s="32">
        <v>1467</v>
      </c>
    </row>
    <row r="21" spans="1:31">
      <c r="A21" s="2" t="s">
        <v>18</v>
      </c>
      <c r="B21" s="1">
        <v>9577</v>
      </c>
      <c r="C21" s="1">
        <v>398</v>
      </c>
      <c r="D21" s="1"/>
      <c r="E21" s="1">
        <v>7057</v>
      </c>
      <c r="F21" s="1">
        <v>6482</v>
      </c>
      <c r="G21" s="1"/>
      <c r="H21" s="1"/>
      <c r="I21" s="1">
        <v>344</v>
      </c>
      <c r="J21" s="1"/>
      <c r="K21" s="1"/>
      <c r="L21" s="1"/>
      <c r="M21" s="1">
        <v>242</v>
      </c>
      <c r="N21" s="1"/>
      <c r="O21" s="1">
        <v>44</v>
      </c>
      <c r="P21" s="1">
        <v>98</v>
      </c>
      <c r="Q21" s="1">
        <v>9</v>
      </c>
      <c r="R21" s="1"/>
      <c r="S21" s="1"/>
      <c r="T21" s="1">
        <v>1518</v>
      </c>
      <c r="U21" s="1">
        <v>604</v>
      </c>
      <c r="V21" s="1"/>
      <c r="X21" s="7">
        <v>10169</v>
      </c>
      <c r="Y21" s="7">
        <v>408</v>
      </c>
      <c r="Z21" s="7">
        <v>7068</v>
      </c>
      <c r="AA21" s="39"/>
      <c r="AB21" s="7">
        <v>1518</v>
      </c>
      <c r="AC21" s="7">
        <v>1175</v>
      </c>
      <c r="AD21" s="39"/>
      <c r="AE21" s="32">
        <v>571</v>
      </c>
    </row>
    <row r="22" spans="1:31">
      <c r="A22" s="2" t="s">
        <v>19</v>
      </c>
      <c r="B22" s="1">
        <v>7941</v>
      </c>
      <c r="C22" s="1">
        <v>3644</v>
      </c>
      <c r="D22" s="1"/>
      <c r="E22" s="1">
        <v>3304</v>
      </c>
      <c r="F22" s="1">
        <v>2891</v>
      </c>
      <c r="G22" s="1"/>
      <c r="H22" s="1"/>
      <c r="I22" s="1">
        <v>112</v>
      </c>
      <c r="J22" s="1"/>
      <c r="K22" s="1"/>
      <c r="L22" s="1"/>
      <c r="M22" s="1">
        <v>314</v>
      </c>
      <c r="N22" s="1"/>
      <c r="O22" s="1">
        <v>38</v>
      </c>
      <c r="P22" s="1">
        <v>68</v>
      </c>
      <c r="Q22" s="1">
        <v>4</v>
      </c>
      <c r="R22" s="1"/>
      <c r="S22" s="1"/>
      <c r="T22" s="1">
        <v>502</v>
      </c>
      <c r="U22" s="1">
        <v>491</v>
      </c>
      <c r="V22" s="1"/>
      <c r="X22" s="7">
        <v>8273</v>
      </c>
      <c r="Y22" s="7">
        <v>3757</v>
      </c>
      <c r="Z22" s="7">
        <v>3316</v>
      </c>
      <c r="AA22" s="39"/>
      <c r="AB22" s="7">
        <v>502</v>
      </c>
      <c r="AC22" s="7">
        <v>698</v>
      </c>
      <c r="AD22" s="39"/>
      <c r="AE22" s="32">
        <v>212</v>
      </c>
    </row>
    <row r="23" spans="1:31">
      <c r="A23" s="2" t="s">
        <v>20</v>
      </c>
      <c r="B23" s="1">
        <v>4413</v>
      </c>
      <c r="C23" s="1">
        <v>1244</v>
      </c>
      <c r="D23" s="1"/>
      <c r="E23" s="1">
        <v>2253</v>
      </c>
      <c r="F23" s="1">
        <v>2024</v>
      </c>
      <c r="G23" s="1"/>
      <c r="H23" s="1"/>
      <c r="I23" s="1">
        <v>8</v>
      </c>
      <c r="J23" s="1"/>
      <c r="K23" s="1"/>
      <c r="L23" s="1">
        <v>5</v>
      </c>
      <c r="M23" s="1">
        <v>231</v>
      </c>
      <c r="N23" s="1"/>
      <c r="O23" s="1">
        <v>35</v>
      </c>
      <c r="P23" s="1">
        <v>43</v>
      </c>
      <c r="Q23" s="1">
        <v>6</v>
      </c>
      <c r="R23" s="1"/>
      <c r="S23" s="1"/>
      <c r="T23" s="1">
        <v>669</v>
      </c>
      <c r="U23" s="1">
        <v>242</v>
      </c>
      <c r="V23" s="1">
        <v>6</v>
      </c>
      <c r="X23" s="7">
        <v>4915</v>
      </c>
      <c r="Y23" s="7">
        <v>1581</v>
      </c>
      <c r="Z23" s="7">
        <v>2269</v>
      </c>
      <c r="AA23" s="39"/>
      <c r="AB23" s="7">
        <v>669</v>
      </c>
      <c r="AC23" s="7">
        <v>391</v>
      </c>
      <c r="AD23" s="7">
        <v>6</v>
      </c>
      <c r="AE23" s="32">
        <v>200</v>
      </c>
    </row>
    <row r="24" spans="1:31">
      <c r="A24" s="2" t="s">
        <v>21</v>
      </c>
      <c r="B24" s="1">
        <v>13415</v>
      </c>
      <c r="C24" s="1">
        <v>1167</v>
      </c>
      <c r="D24" s="1"/>
      <c r="E24" s="1">
        <v>9576</v>
      </c>
      <c r="F24" s="1">
        <v>6620</v>
      </c>
      <c r="G24" s="1"/>
      <c r="H24" s="1"/>
      <c r="I24" s="1">
        <v>2696</v>
      </c>
      <c r="J24" s="1"/>
      <c r="K24" s="1"/>
      <c r="L24" s="1"/>
      <c r="M24" s="1">
        <v>267</v>
      </c>
      <c r="N24" s="1"/>
      <c r="O24" s="1">
        <v>224</v>
      </c>
      <c r="P24" s="1">
        <v>43</v>
      </c>
      <c r="Q24" s="1">
        <v>16</v>
      </c>
      <c r="R24" s="1"/>
      <c r="S24" s="1">
        <v>1614</v>
      </c>
      <c r="T24" s="1">
        <v>563</v>
      </c>
      <c r="U24" s="1">
        <v>495</v>
      </c>
      <c r="V24" s="1"/>
      <c r="X24" s="7">
        <v>14224</v>
      </c>
      <c r="Y24" s="7">
        <v>1666</v>
      </c>
      <c r="Z24" s="7">
        <v>9582</v>
      </c>
      <c r="AA24" s="7">
        <v>1614</v>
      </c>
      <c r="AB24" s="7">
        <v>565</v>
      </c>
      <c r="AC24" s="7">
        <v>797</v>
      </c>
      <c r="AD24" s="7"/>
      <c r="AE24" s="32">
        <v>385</v>
      </c>
    </row>
    <row r="25" spans="1:31">
      <c r="A25" s="2" t="s">
        <v>22</v>
      </c>
      <c r="B25" s="1">
        <v>4957</v>
      </c>
      <c r="C25" s="1">
        <v>1607</v>
      </c>
      <c r="D25" s="1"/>
      <c r="E25" s="1">
        <v>2309</v>
      </c>
      <c r="F25" s="1">
        <v>1859</v>
      </c>
      <c r="G25" s="1"/>
      <c r="H25" s="1"/>
      <c r="I25" s="1">
        <v>54</v>
      </c>
      <c r="J25" s="1"/>
      <c r="K25" s="1"/>
      <c r="L25" s="1"/>
      <c r="M25" s="1">
        <v>431</v>
      </c>
      <c r="N25" s="1"/>
      <c r="O25" s="1">
        <v>23</v>
      </c>
      <c r="P25" s="1">
        <v>181</v>
      </c>
      <c r="Q25" s="1">
        <v>3</v>
      </c>
      <c r="R25" s="1"/>
      <c r="S25" s="1">
        <v>217</v>
      </c>
      <c r="T25" s="1">
        <v>653</v>
      </c>
      <c r="U25" s="1">
        <v>170</v>
      </c>
      <c r="V25" s="1"/>
      <c r="X25" s="39">
        <v>5178</v>
      </c>
      <c r="Y25" s="39">
        <v>1759</v>
      </c>
      <c r="Z25" s="39">
        <v>2344</v>
      </c>
      <c r="AA25" s="7">
        <v>217</v>
      </c>
      <c r="AB25" s="7">
        <v>653</v>
      </c>
      <c r="AC25" s="7">
        <v>205</v>
      </c>
      <c r="AD25" s="39"/>
      <c r="AE25" s="32">
        <v>40</v>
      </c>
    </row>
    <row r="26" spans="1:31">
      <c r="A26" s="2" t="s">
        <v>23</v>
      </c>
      <c r="B26" s="1">
        <v>958</v>
      </c>
      <c r="C26" s="1">
        <v>125</v>
      </c>
      <c r="D26" s="1"/>
      <c r="E26" s="1">
        <v>545</v>
      </c>
      <c r="F26" s="1">
        <v>324</v>
      </c>
      <c r="G26" s="1"/>
      <c r="H26" s="1"/>
      <c r="I26" s="1">
        <v>169</v>
      </c>
      <c r="J26" s="1"/>
      <c r="K26" s="1"/>
      <c r="L26" s="1"/>
      <c r="M26" s="1">
        <v>53</v>
      </c>
      <c r="N26" s="1"/>
      <c r="O26" s="1">
        <v>21</v>
      </c>
      <c r="P26" s="1">
        <v>24</v>
      </c>
      <c r="Q26" s="1"/>
      <c r="R26" s="1"/>
      <c r="S26" s="1">
        <v>130</v>
      </c>
      <c r="T26" s="1">
        <v>29</v>
      </c>
      <c r="U26" s="1">
        <v>129</v>
      </c>
      <c r="V26" s="1"/>
      <c r="X26" s="7">
        <v>999</v>
      </c>
      <c r="Y26" s="7">
        <v>151</v>
      </c>
      <c r="Z26" s="7">
        <v>546</v>
      </c>
      <c r="AA26" s="7">
        <v>130</v>
      </c>
      <c r="AB26" s="7">
        <v>29</v>
      </c>
      <c r="AC26" s="7">
        <v>143</v>
      </c>
      <c r="AD26" s="7"/>
      <c r="AE26" s="32">
        <v>16</v>
      </c>
    </row>
    <row r="27" spans="1:31">
      <c r="A27" s="2" t="s">
        <v>24</v>
      </c>
      <c r="B27" s="1">
        <v>2349</v>
      </c>
      <c r="C27" s="1">
        <v>654</v>
      </c>
      <c r="D27" s="1"/>
      <c r="E27" s="1">
        <v>1539</v>
      </c>
      <c r="F27" s="1">
        <v>1329</v>
      </c>
      <c r="G27" s="1"/>
      <c r="H27" s="1"/>
      <c r="I27" s="1">
        <v>149</v>
      </c>
      <c r="J27" s="1"/>
      <c r="K27" s="1"/>
      <c r="L27" s="1"/>
      <c r="M27" s="1">
        <v>67</v>
      </c>
      <c r="N27" s="1"/>
      <c r="O27" s="1">
        <v>28</v>
      </c>
      <c r="P27" s="1">
        <v>7</v>
      </c>
      <c r="Q27" s="1">
        <v>1</v>
      </c>
      <c r="R27" s="1"/>
      <c r="S27" s="1"/>
      <c r="T27" s="1">
        <v>96</v>
      </c>
      <c r="U27" s="1">
        <v>60</v>
      </c>
      <c r="V27" s="1"/>
      <c r="X27" s="7">
        <v>2488</v>
      </c>
      <c r="Y27" s="7">
        <v>779</v>
      </c>
      <c r="Z27" s="7">
        <v>1545</v>
      </c>
      <c r="AA27" s="39"/>
      <c r="AB27" s="7">
        <v>97</v>
      </c>
      <c r="AC27" s="7">
        <v>67</v>
      </c>
      <c r="AD27" s="39"/>
      <c r="AE27" s="32">
        <v>7</v>
      </c>
    </row>
    <row r="28" spans="1:31">
      <c r="A28" s="2" t="s">
        <v>25</v>
      </c>
      <c r="B28" s="1">
        <v>9630</v>
      </c>
      <c r="C28" s="1">
        <v>7453</v>
      </c>
      <c r="D28" s="1"/>
      <c r="E28" s="1">
        <v>1572</v>
      </c>
      <c r="F28" s="1">
        <v>1212</v>
      </c>
      <c r="G28" s="1"/>
      <c r="H28" s="1"/>
      <c r="I28" s="1">
        <v>128</v>
      </c>
      <c r="J28" s="1"/>
      <c r="K28" s="1"/>
      <c r="L28" s="1"/>
      <c r="M28" s="1">
        <v>256</v>
      </c>
      <c r="N28" s="1"/>
      <c r="O28" s="1">
        <v>61</v>
      </c>
      <c r="P28" s="1">
        <v>18</v>
      </c>
      <c r="Q28" s="1">
        <v>5</v>
      </c>
      <c r="R28" s="1"/>
      <c r="S28" s="1"/>
      <c r="T28" s="1">
        <v>426</v>
      </c>
      <c r="U28" s="1">
        <v>179</v>
      </c>
      <c r="V28" s="1"/>
      <c r="X28" s="7">
        <v>10105</v>
      </c>
      <c r="Y28" s="7">
        <v>7892</v>
      </c>
      <c r="Z28" s="7">
        <v>1596</v>
      </c>
      <c r="AA28" s="39"/>
      <c r="AB28" s="7">
        <v>426</v>
      </c>
      <c r="AC28" s="7">
        <v>191</v>
      </c>
      <c r="AD28" s="39"/>
      <c r="AE28" s="32">
        <v>22</v>
      </c>
    </row>
    <row r="29" spans="1:31">
      <c r="A29" s="2" t="s">
        <v>26</v>
      </c>
      <c r="B29" s="1">
        <v>7137</v>
      </c>
      <c r="C29" s="1">
        <v>1996</v>
      </c>
      <c r="D29" s="1"/>
      <c r="E29" s="1">
        <v>3504</v>
      </c>
      <c r="F29" s="1">
        <v>3469</v>
      </c>
      <c r="G29" s="1"/>
      <c r="H29" s="1"/>
      <c r="I29" s="1">
        <v>56</v>
      </c>
      <c r="J29" s="1"/>
      <c r="K29" s="1"/>
      <c r="L29" s="1"/>
      <c r="M29" s="1">
        <v>35</v>
      </c>
      <c r="N29" s="1"/>
      <c r="O29" s="1">
        <v>23</v>
      </c>
      <c r="P29" s="1">
        <v>12</v>
      </c>
      <c r="Q29" s="1"/>
      <c r="R29" s="1"/>
      <c r="S29" s="1"/>
      <c r="T29" s="1">
        <v>580</v>
      </c>
      <c r="U29" s="1">
        <v>1057</v>
      </c>
      <c r="V29" s="1"/>
      <c r="X29" s="7">
        <v>7478</v>
      </c>
      <c r="Y29" s="7">
        <v>2281</v>
      </c>
      <c r="Z29" s="7">
        <v>3560</v>
      </c>
      <c r="AA29" s="39"/>
      <c r="AB29" s="7">
        <v>580</v>
      </c>
      <c r="AC29" s="7">
        <v>1057</v>
      </c>
      <c r="AD29" s="39"/>
      <c r="AE29" s="32">
        <v>19</v>
      </c>
    </row>
    <row r="30" spans="1:31">
      <c r="A30" s="2" t="s">
        <v>27</v>
      </c>
      <c r="B30" s="1">
        <v>9987</v>
      </c>
      <c r="C30" s="1">
        <v>7271</v>
      </c>
      <c r="D30" s="1"/>
      <c r="E30" s="1">
        <v>1485</v>
      </c>
      <c r="F30" s="1">
        <v>1298</v>
      </c>
      <c r="G30" s="1"/>
      <c r="H30" s="1"/>
      <c r="I30" s="1">
        <v>3</v>
      </c>
      <c r="J30" s="1"/>
      <c r="K30" s="1"/>
      <c r="L30" s="1"/>
      <c r="M30" s="1">
        <v>216</v>
      </c>
      <c r="N30" s="1"/>
      <c r="O30" s="1">
        <v>22</v>
      </c>
      <c r="P30" s="1">
        <v>27</v>
      </c>
      <c r="Q30" s="1">
        <v>0.2</v>
      </c>
      <c r="R30" s="1"/>
      <c r="S30" s="1"/>
      <c r="T30" s="1">
        <v>881</v>
      </c>
      <c r="U30" s="1">
        <v>350</v>
      </c>
      <c r="V30" s="1"/>
      <c r="X30" s="7">
        <v>10266</v>
      </c>
      <c r="Y30" s="7">
        <v>7480</v>
      </c>
      <c r="Z30" s="7">
        <v>1517</v>
      </c>
      <c r="AA30" s="39"/>
      <c r="AB30" s="7">
        <v>881</v>
      </c>
      <c r="AC30" s="7">
        <v>388</v>
      </c>
      <c r="AD30" s="39">
        <v>0.2</v>
      </c>
      <c r="AE30" s="32">
        <v>38</v>
      </c>
    </row>
    <row r="31" spans="1:31">
      <c r="A31" s="2" t="s">
        <v>28</v>
      </c>
      <c r="B31" s="1">
        <v>389</v>
      </c>
      <c r="C31" s="1">
        <v>206</v>
      </c>
      <c r="D31" s="1"/>
      <c r="E31" s="1">
        <v>42</v>
      </c>
      <c r="F31" s="1"/>
      <c r="G31" s="1"/>
      <c r="H31" s="1"/>
      <c r="I31" s="1"/>
      <c r="J31" s="1"/>
      <c r="K31" s="1"/>
      <c r="L31" s="1">
        <v>39</v>
      </c>
      <c r="M31" s="1">
        <v>4</v>
      </c>
      <c r="N31" s="1"/>
      <c r="O31" s="1">
        <v>2</v>
      </c>
      <c r="P31" s="1"/>
      <c r="Q31" s="1"/>
      <c r="R31" s="1"/>
      <c r="S31" s="1"/>
      <c r="T31" s="1">
        <v>1</v>
      </c>
      <c r="U31" s="1">
        <v>137</v>
      </c>
      <c r="V31" s="1">
        <v>4</v>
      </c>
      <c r="X31" s="7">
        <v>395</v>
      </c>
      <c r="Y31" s="7">
        <v>210</v>
      </c>
      <c r="Z31" s="7">
        <v>43</v>
      </c>
      <c r="AA31" s="39"/>
      <c r="AB31" s="7">
        <v>1</v>
      </c>
      <c r="AC31" s="7">
        <v>137</v>
      </c>
      <c r="AD31" s="7">
        <v>4</v>
      </c>
      <c r="AE31" s="38"/>
    </row>
    <row r="32" spans="1:31">
      <c r="A32" s="2" t="s">
        <v>29</v>
      </c>
      <c r="B32" s="1">
        <v>7094</v>
      </c>
      <c r="C32" s="1">
        <v>296</v>
      </c>
      <c r="D32" s="1"/>
      <c r="E32" s="1">
        <v>4980</v>
      </c>
      <c r="F32" s="1">
        <v>4768</v>
      </c>
      <c r="G32" s="1"/>
      <c r="H32" s="1"/>
      <c r="I32" s="1">
        <v>22</v>
      </c>
      <c r="J32" s="1"/>
      <c r="K32" s="1"/>
      <c r="L32" s="1"/>
      <c r="M32" s="1">
        <v>203</v>
      </c>
      <c r="N32" s="1"/>
      <c r="O32" s="1">
        <v>33</v>
      </c>
      <c r="P32" s="1">
        <v>7</v>
      </c>
      <c r="Q32" s="1">
        <v>2</v>
      </c>
      <c r="R32" s="1"/>
      <c r="S32" s="1"/>
      <c r="T32" s="1">
        <v>892</v>
      </c>
      <c r="U32" s="1">
        <v>926</v>
      </c>
      <c r="V32" s="1"/>
      <c r="X32" s="7">
        <v>7366</v>
      </c>
      <c r="Y32" s="7">
        <v>392</v>
      </c>
      <c r="Z32" s="7">
        <v>4993</v>
      </c>
      <c r="AA32" s="39"/>
      <c r="AB32" s="7">
        <v>892</v>
      </c>
      <c r="AC32" s="7">
        <v>1089</v>
      </c>
      <c r="AD32" s="39"/>
      <c r="AE32" s="32">
        <v>194</v>
      </c>
    </row>
    <row r="33" spans="1:31">
      <c r="A33" s="2" t="s">
        <v>30</v>
      </c>
      <c r="B33" s="1">
        <v>5385</v>
      </c>
      <c r="C33" s="1">
        <v>796</v>
      </c>
      <c r="D33" s="1"/>
      <c r="E33" s="1">
        <v>2308</v>
      </c>
      <c r="F33" s="1">
        <v>2262</v>
      </c>
      <c r="G33" s="1"/>
      <c r="H33" s="1"/>
      <c r="I33" s="1">
        <v>1</v>
      </c>
      <c r="J33" s="1"/>
      <c r="K33" s="1"/>
      <c r="L33" s="1"/>
      <c r="M33" s="1">
        <v>45</v>
      </c>
      <c r="N33" s="1"/>
      <c r="O33" s="1">
        <v>8</v>
      </c>
      <c r="P33" s="1">
        <v>6</v>
      </c>
      <c r="Q33" s="1"/>
      <c r="R33" s="1"/>
      <c r="S33" s="1"/>
      <c r="T33" s="1">
        <v>1373</v>
      </c>
      <c r="U33" s="1">
        <v>908</v>
      </c>
      <c r="V33" s="1"/>
      <c r="X33" s="7">
        <v>5620</v>
      </c>
      <c r="Y33" s="7">
        <v>957</v>
      </c>
      <c r="Z33" s="7">
        <v>2308</v>
      </c>
      <c r="AA33" s="39"/>
      <c r="AB33" s="7">
        <v>1373</v>
      </c>
      <c r="AC33" s="7">
        <v>982</v>
      </c>
      <c r="AD33" s="39"/>
      <c r="AE33" s="32">
        <v>74</v>
      </c>
    </row>
    <row r="34" spans="1:31">
      <c r="A34" s="2" t="s">
        <v>31</v>
      </c>
      <c r="B34" s="1">
        <v>3992</v>
      </c>
      <c r="C34" s="1">
        <v>1193</v>
      </c>
      <c r="D34" s="1"/>
      <c r="E34" s="1">
        <v>392</v>
      </c>
      <c r="F34" s="1">
        <v>375</v>
      </c>
      <c r="G34" s="1"/>
      <c r="H34" s="1"/>
      <c r="I34" s="1">
        <v>0.5</v>
      </c>
      <c r="J34" s="1"/>
      <c r="K34" s="1"/>
      <c r="L34" s="1"/>
      <c r="M34" s="1">
        <v>17</v>
      </c>
      <c r="N34" s="1"/>
      <c r="O34" s="1"/>
      <c r="P34" s="1"/>
      <c r="Q34" s="1">
        <v>1</v>
      </c>
      <c r="R34" s="1"/>
      <c r="S34" s="1"/>
      <c r="T34" s="1">
        <v>843</v>
      </c>
      <c r="U34" s="1">
        <v>1565</v>
      </c>
      <c r="V34" s="1"/>
      <c r="X34" s="7">
        <v>4030</v>
      </c>
      <c r="Y34" s="7">
        <v>1193</v>
      </c>
      <c r="Z34" s="7">
        <v>393</v>
      </c>
      <c r="AA34" s="39"/>
      <c r="AB34" s="7">
        <v>843</v>
      </c>
      <c r="AC34" s="7">
        <v>1601</v>
      </c>
      <c r="AD34" s="39"/>
      <c r="AE34" s="32">
        <v>17</v>
      </c>
    </row>
    <row r="35" spans="1:31">
      <c r="A35" s="2" t="s">
        <v>32</v>
      </c>
      <c r="B35" s="1">
        <v>5917</v>
      </c>
      <c r="C35" s="1">
        <v>42</v>
      </c>
      <c r="D35" s="1"/>
      <c r="E35" s="1">
        <v>3325</v>
      </c>
      <c r="F35" s="1">
        <v>3136</v>
      </c>
      <c r="G35" s="1"/>
      <c r="H35" s="1"/>
      <c r="I35" s="1">
        <v>70</v>
      </c>
      <c r="J35" s="1"/>
      <c r="K35" s="1"/>
      <c r="L35" s="1"/>
      <c r="M35" s="1">
        <v>120</v>
      </c>
      <c r="N35" s="1"/>
      <c r="O35" s="1">
        <v>5</v>
      </c>
      <c r="P35" s="1">
        <v>8</v>
      </c>
      <c r="Q35" s="1"/>
      <c r="R35" s="1"/>
      <c r="S35" s="1"/>
      <c r="T35" s="1">
        <v>1377</v>
      </c>
      <c r="U35" s="1">
        <v>1173</v>
      </c>
      <c r="V35" s="1"/>
      <c r="X35" s="7">
        <v>5943</v>
      </c>
      <c r="Y35" s="7">
        <v>43</v>
      </c>
      <c r="Z35" s="7">
        <v>3326</v>
      </c>
      <c r="AA35" s="39"/>
      <c r="AB35" s="7">
        <v>1377</v>
      </c>
      <c r="AC35" s="7">
        <v>1197</v>
      </c>
      <c r="AD35" s="39"/>
      <c r="AE35" s="32">
        <v>75</v>
      </c>
    </row>
    <row r="36" spans="1:31" ht="13.5" customHeight="1">
      <c r="A36" s="2" t="s">
        <v>33</v>
      </c>
      <c r="B36" s="1">
        <v>10763</v>
      </c>
      <c r="C36" s="1">
        <v>800</v>
      </c>
      <c r="D36" s="1"/>
      <c r="E36" s="1">
        <v>6337</v>
      </c>
      <c r="F36" s="1">
        <v>6152</v>
      </c>
      <c r="G36" s="1"/>
      <c r="H36" s="1"/>
      <c r="I36" s="1">
        <v>85</v>
      </c>
      <c r="J36" s="1"/>
      <c r="K36" s="1"/>
      <c r="L36" s="1"/>
      <c r="M36" s="1">
        <v>100</v>
      </c>
      <c r="N36" s="1"/>
      <c r="O36" s="1">
        <v>6</v>
      </c>
      <c r="P36" s="1">
        <v>2</v>
      </c>
      <c r="Q36" s="1">
        <v>0.3</v>
      </c>
      <c r="R36" s="1"/>
      <c r="S36" s="1"/>
      <c r="T36" s="1">
        <v>2361</v>
      </c>
      <c r="U36" s="1">
        <v>1266</v>
      </c>
      <c r="V36" s="1"/>
      <c r="X36" s="7">
        <v>10763</v>
      </c>
      <c r="Y36" s="7">
        <v>800</v>
      </c>
      <c r="Z36" s="7">
        <v>6337</v>
      </c>
      <c r="AA36" s="39"/>
      <c r="AB36" s="7">
        <v>2361</v>
      </c>
      <c r="AC36" s="7">
        <v>1266</v>
      </c>
      <c r="AD36" s="39"/>
      <c r="AE36" s="32">
        <v>16</v>
      </c>
    </row>
    <row r="38" spans="1:31">
      <c r="B38">
        <f>B5-SUM(B6:B36)</f>
        <v>-1</v>
      </c>
      <c r="C38">
        <f t="shared" ref="C38:V38" si="0">C5-SUM(C6:C36)</f>
        <v>2</v>
      </c>
      <c r="D38">
        <f t="shared" si="0"/>
        <v>0</v>
      </c>
      <c r="E38">
        <f t="shared" si="0"/>
        <v>-1</v>
      </c>
      <c r="F38">
        <f t="shared" si="0"/>
        <v>1</v>
      </c>
      <c r="H38">
        <f t="shared" si="0"/>
        <v>0</v>
      </c>
      <c r="I38">
        <f t="shared" si="0"/>
        <v>-2.5</v>
      </c>
      <c r="J38">
        <f t="shared" si="0"/>
        <v>0</v>
      </c>
      <c r="L38">
        <f t="shared" si="0"/>
        <v>1</v>
      </c>
      <c r="M38">
        <f t="shared" si="0"/>
        <v>0</v>
      </c>
      <c r="N38">
        <f t="shared" si="0"/>
        <v>0</v>
      </c>
      <c r="O38">
        <f t="shared" si="0"/>
        <v>-3</v>
      </c>
      <c r="P38">
        <f t="shared" si="0"/>
        <v>2</v>
      </c>
      <c r="S38">
        <f t="shared" si="0"/>
        <v>-1</v>
      </c>
      <c r="T38">
        <f t="shared" si="0"/>
        <v>-2</v>
      </c>
      <c r="U38">
        <f t="shared" si="0"/>
        <v>-4</v>
      </c>
      <c r="V38">
        <f t="shared" si="0"/>
        <v>0</v>
      </c>
    </row>
  </sheetData>
  <mergeCells count="25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  <mergeCell ref="X1:AE1"/>
    <mergeCell ref="X2:X4"/>
    <mergeCell ref="Y2:Y4"/>
    <mergeCell ref="Z2:Z4"/>
    <mergeCell ref="AA2:AA4"/>
    <mergeCell ref="AB2:AB4"/>
    <mergeCell ref="AC2:AC4"/>
    <mergeCell ref="AD2:AD4"/>
    <mergeCell ref="AE2:AE4"/>
  </mergeCells>
  <phoneticPr fontId="4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2C37-C000-4484-AE7F-C40241C528E0}">
  <dimension ref="A1:O48"/>
  <sheetViews>
    <sheetView topLeftCell="A17" zoomScaleNormal="100" workbookViewId="0">
      <selection activeCell="K13" sqref="K13"/>
    </sheetView>
  </sheetViews>
  <sheetFormatPr defaultColWidth="8.85546875" defaultRowHeight="14.25"/>
  <cols>
    <col min="1" max="1" width="25" style="47" customWidth="1"/>
    <col min="2" max="16384" width="8.85546875" style="47"/>
  </cols>
  <sheetData>
    <row r="1" spans="1:15" ht="13.5" customHeight="1">
      <c r="A1" s="49"/>
      <c r="B1" s="49"/>
      <c r="C1" s="49">
        <v>2020</v>
      </c>
      <c r="D1" s="49">
        <v>2019</v>
      </c>
      <c r="E1" s="49">
        <v>2018</v>
      </c>
      <c r="F1" s="49">
        <v>2017</v>
      </c>
      <c r="G1" s="49">
        <v>2016</v>
      </c>
    </row>
    <row r="2" spans="1:15" ht="13.5" customHeight="1">
      <c r="A2" s="53" t="s">
        <v>118</v>
      </c>
      <c r="B2" s="52" t="s">
        <v>94</v>
      </c>
      <c r="C2" s="50">
        <v>220204</v>
      </c>
      <c r="D2" s="50">
        <v>201006</v>
      </c>
      <c r="E2" s="49">
        <v>190012</v>
      </c>
      <c r="F2" s="47">
        <v>178451</v>
      </c>
      <c r="G2" s="47">
        <v>165051</v>
      </c>
      <c r="I2" s="53" t="s">
        <v>118</v>
      </c>
      <c r="J2" s="47">
        <f t="shared" ref="J2:J13" si="0">C2-D2</f>
        <v>19198</v>
      </c>
      <c r="K2" s="47">
        <f t="shared" ref="K2:K13" si="1">D2-E2</f>
        <v>10994</v>
      </c>
      <c r="L2" s="47">
        <f t="shared" ref="L2:L13" si="2">E2-F2</f>
        <v>11561</v>
      </c>
      <c r="M2" s="47">
        <f t="shared" ref="M2:M13" si="3">F2-G2</f>
        <v>13400</v>
      </c>
    </row>
    <row r="3" spans="1:15" ht="13.5" customHeight="1">
      <c r="A3" s="55" t="s">
        <v>36</v>
      </c>
      <c r="B3" s="51" t="s">
        <v>94</v>
      </c>
      <c r="C3" s="50">
        <v>37028</v>
      </c>
      <c r="D3" s="50">
        <v>35804</v>
      </c>
      <c r="E3" s="49">
        <v>35259</v>
      </c>
      <c r="F3" s="47">
        <v>34411</v>
      </c>
      <c r="G3" s="47">
        <v>33207</v>
      </c>
      <c r="I3" s="55" t="s">
        <v>36</v>
      </c>
      <c r="J3" s="47">
        <f t="shared" si="0"/>
        <v>1224</v>
      </c>
      <c r="K3" s="47">
        <f t="shared" si="1"/>
        <v>545</v>
      </c>
      <c r="L3" s="47">
        <f t="shared" si="2"/>
        <v>848</v>
      </c>
      <c r="M3" s="47">
        <f t="shared" si="3"/>
        <v>1204</v>
      </c>
    </row>
    <row r="4" spans="1:15" ht="13.5" customHeight="1">
      <c r="A4" s="55" t="s">
        <v>115</v>
      </c>
      <c r="B4" s="51" t="s">
        <v>94</v>
      </c>
      <c r="C4" s="50">
        <v>3149</v>
      </c>
      <c r="D4" s="50">
        <v>3029</v>
      </c>
      <c r="E4" s="49">
        <v>2999</v>
      </c>
      <c r="F4" s="47">
        <v>2869</v>
      </c>
      <c r="G4" s="47">
        <v>2669</v>
      </c>
      <c r="I4" s="55" t="s">
        <v>115</v>
      </c>
      <c r="J4" s="47">
        <f t="shared" si="0"/>
        <v>120</v>
      </c>
      <c r="K4" s="47">
        <f t="shared" si="1"/>
        <v>30</v>
      </c>
      <c r="L4" s="47">
        <f t="shared" si="2"/>
        <v>130</v>
      </c>
      <c r="M4" s="47">
        <f t="shared" si="3"/>
        <v>200</v>
      </c>
    </row>
    <row r="5" spans="1:15" ht="13.5" customHeight="1">
      <c r="A5" s="55" t="s">
        <v>37</v>
      </c>
      <c r="B5" s="51" t="s">
        <v>94</v>
      </c>
      <c r="C5" s="50">
        <v>124624</v>
      </c>
      <c r="D5" s="50">
        <v>118957</v>
      </c>
      <c r="E5" s="49">
        <v>114408</v>
      </c>
      <c r="F5" s="47">
        <v>111009</v>
      </c>
      <c r="G5" s="47">
        <v>106094</v>
      </c>
      <c r="I5" s="55" t="s">
        <v>37</v>
      </c>
      <c r="J5" s="47">
        <f t="shared" si="0"/>
        <v>5667</v>
      </c>
      <c r="K5" s="47">
        <f t="shared" si="1"/>
        <v>4549</v>
      </c>
      <c r="L5" s="47">
        <f t="shared" si="2"/>
        <v>3399</v>
      </c>
      <c r="M5" s="47">
        <f t="shared" si="3"/>
        <v>4915</v>
      </c>
    </row>
    <row r="6" spans="1:15" ht="13.5" customHeight="1">
      <c r="A6" s="55" t="s">
        <v>114</v>
      </c>
      <c r="B6" s="51" t="s">
        <v>94</v>
      </c>
      <c r="C6" s="50">
        <v>107912</v>
      </c>
      <c r="D6" s="50">
        <v>104063</v>
      </c>
      <c r="E6" s="49">
        <v>100835</v>
      </c>
      <c r="F6" s="47">
        <v>98562</v>
      </c>
      <c r="G6" s="47">
        <v>94624</v>
      </c>
      <c r="I6" s="55" t="s">
        <v>114</v>
      </c>
      <c r="J6" s="47">
        <f t="shared" si="0"/>
        <v>3849</v>
      </c>
      <c r="K6" s="47">
        <f t="shared" si="1"/>
        <v>3228</v>
      </c>
      <c r="L6" s="47">
        <f t="shared" si="2"/>
        <v>2273</v>
      </c>
      <c r="M6" s="47">
        <f t="shared" si="3"/>
        <v>3938</v>
      </c>
    </row>
    <row r="7" spans="1:15" ht="13.5" customHeight="1">
      <c r="A7" s="55" t="s">
        <v>43</v>
      </c>
      <c r="B7" s="51" t="s">
        <v>94</v>
      </c>
      <c r="C7" s="50">
        <v>9972</v>
      </c>
      <c r="D7" s="50">
        <v>9024</v>
      </c>
      <c r="E7" s="49">
        <v>8375</v>
      </c>
      <c r="F7" s="47">
        <v>7580</v>
      </c>
      <c r="G7" s="47">
        <v>7011</v>
      </c>
      <c r="I7" s="55" t="s">
        <v>43</v>
      </c>
      <c r="J7" s="47">
        <f t="shared" si="0"/>
        <v>948</v>
      </c>
      <c r="K7" s="47">
        <f t="shared" si="1"/>
        <v>649</v>
      </c>
      <c r="L7" s="47">
        <f t="shared" si="2"/>
        <v>795</v>
      </c>
      <c r="M7" s="47">
        <f t="shared" si="3"/>
        <v>569</v>
      </c>
    </row>
    <row r="8" spans="1:15" ht="13.5" customHeight="1">
      <c r="A8" s="55" t="s">
        <v>44</v>
      </c>
      <c r="B8" s="51" t="s">
        <v>94</v>
      </c>
      <c r="C8" s="50">
        <v>147</v>
      </c>
      <c r="D8" s="50">
        <v>175</v>
      </c>
      <c r="E8" s="49">
        <v>173</v>
      </c>
      <c r="F8" s="47">
        <v>197</v>
      </c>
      <c r="G8" s="47">
        <v>209</v>
      </c>
      <c r="I8" s="55" t="s">
        <v>44</v>
      </c>
      <c r="J8" s="47">
        <f t="shared" si="0"/>
        <v>-28</v>
      </c>
      <c r="K8" s="47">
        <f t="shared" si="1"/>
        <v>2</v>
      </c>
      <c r="L8" s="47">
        <f t="shared" si="2"/>
        <v>-24</v>
      </c>
      <c r="M8" s="47">
        <f t="shared" si="3"/>
        <v>-12</v>
      </c>
    </row>
    <row r="9" spans="1:15" ht="13.5" customHeight="1">
      <c r="A9" s="55" t="s">
        <v>109</v>
      </c>
      <c r="B9" s="51" t="s">
        <v>94</v>
      </c>
      <c r="C9" s="50">
        <v>2987</v>
      </c>
      <c r="D9" s="50">
        <v>2361</v>
      </c>
      <c r="E9" s="49">
        <v>1947</v>
      </c>
      <c r="F9" s="47">
        <v>1657</v>
      </c>
      <c r="I9" s="55" t="s">
        <v>109</v>
      </c>
      <c r="J9" s="47">
        <f t="shared" si="0"/>
        <v>626</v>
      </c>
      <c r="K9" s="47">
        <f t="shared" si="1"/>
        <v>414</v>
      </c>
      <c r="L9" s="47">
        <f t="shared" si="2"/>
        <v>290</v>
      </c>
      <c r="M9" s="47">
        <f t="shared" si="3"/>
        <v>1657</v>
      </c>
    </row>
    <row r="10" spans="1:15" ht="13.5" customHeight="1">
      <c r="A10" s="55" t="s">
        <v>38</v>
      </c>
      <c r="B10" s="51" t="s">
        <v>94</v>
      </c>
      <c r="C10" s="50">
        <v>4989</v>
      </c>
      <c r="D10" s="50">
        <v>4874</v>
      </c>
      <c r="E10" s="49">
        <v>4466</v>
      </c>
      <c r="F10" s="47">
        <v>3582</v>
      </c>
      <c r="G10" s="47">
        <v>3364</v>
      </c>
      <c r="I10" s="55" t="s">
        <v>38</v>
      </c>
      <c r="J10" s="47">
        <f t="shared" si="0"/>
        <v>115</v>
      </c>
      <c r="K10" s="47">
        <f t="shared" si="1"/>
        <v>408</v>
      </c>
      <c r="L10" s="47">
        <f t="shared" si="2"/>
        <v>884</v>
      </c>
      <c r="M10" s="47">
        <f t="shared" si="3"/>
        <v>218</v>
      </c>
    </row>
    <row r="11" spans="1:15" ht="13.5" customHeight="1">
      <c r="A11" s="55" t="s">
        <v>39</v>
      </c>
      <c r="B11" s="51" t="s">
        <v>94</v>
      </c>
      <c r="C11" s="50">
        <v>28165</v>
      </c>
      <c r="D11" s="50">
        <v>20915</v>
      </c>
      <c r="E11" s="49">
        <v>18427</v>
      </c>
      <c r="F11" s="47">
        <v>16400</v>
      </c>
      <c r="G11" s="47">
        <v>14747</v>
      </c>
      <c r="I11" s="55" t="s">
        <v>39</v>
      </c>
      <c r="J11" s="47">
        <f t="shared" si="0"/>
        <v>7250</v>
      </c>
      <c r="K11" s="47">
        <f t="shared" si="1"/>
        <v>2488</v>
      </c>
      <c r="L11" s="47">
        <f t="shared" si="2"/>
        <v>2027</v>
      </c>
      <c r="M11" s="47">
        <f t="shared" si="3"/>
        <v>1653</v>
      </c>
    </row>
    <row r="12" spans="1:15" ht="13.5" customHeight="1">
      <c r="A12" s="55" t="s">
        <v>106</v>
      </c>
      <c r="B12" s="51" t="s">
        <v>94</v>
      </c>
      <c r="C12" s="50">
        <v>25356</v>
      </c>
      <c r="D12" s="50">
        <v>20429</v>
      </c>
      <c r="E12" s="49">
        <v>17433</v>
      </c>
      <c r="F12" s="47">
        <v>13042</v>
      </c>
      <c r="G12" s="47">
        <v>7631</v>
      </c>
      <c r="I12" s="55" t="s">
        <v>106</v>
      </c>
      <c r="J12" s="47">
        <f t="shared" si="0"/>
        <v>4927</v>
      </c>
      <c r="K12" s="47">
        <f t="shared" si="1"/>
        <v>2996</v>
      </c>
      <c r="L12" s="47">
        <f t="shared" si="2"/>
        <v>4391</v>
      </c>
      <c r="M12" s="47">
        <f t="shared" si="3"/>
        <v>5411</v>
      </c>
    </row>
    <row r="13" spans="1:15" ht="13.5" customHeight="1">
      <c r="A13" s="56" t="s">
        <v>40</v>
      </c>
      <c r="B13" s="61" t="s">
        <v>94</v>
      </c>
      <c r="C13" s="60">
        <v>41</v>
      </c>
      <c r="D13" s="59">
        <v>26</v>
      </c>
      <c r="E13" s="49">
        <v>20</v>
      </c>
      <c r="F13" s="47">
        <v>7</v>
      </c>
      <c r="G13" s="47">
        <v>7</v>
      </c>
      <c r="I13" s="56" t="s">
        <v>40</v>
      </c>
      <c r="J13" s="47">
        <f t="shared" si="0"/>
        <v>15</v>
      </c>
      <c r="K13" s="47">
        <f t="shared" si="1"/>
        <v>6</v>
      </c>
      <c r="L13" s="47">
        <f t="shared" si="2"/>
        <v>13</v>
      </c>
      <c r="M13" s="47">
        <f t="shared" si="3"/>
        <v>0</v>
      </c>
    </row>
    <row r="14" spans="1:15" ht="13.5" customHeight="1">
      <c r="A14" s="58" t="s">
        <v>117</v>
      </c>
      <c r="B14" s="57" t="s">
        <v>94</v>
      </c>
      <c r="C14" s="50">
        <v>98567</v>
      </c>
      <c r="D14" s="50">
        <v>84410</v>
      </c>
      <c r="E14" s="49">
        <v>77551</v>
      </c>
      <c r="F14" s="47">
        <f>F3+F9+F10+F11+F12+F13</f>
        <v>69099</v>
      </c>
    </row>
    <row r="15" spans="1:15" ht="13.5" customHeight="1">
      <c r="A15" s="49"/>
      <c r="B15" s="49"/>
      <c r="C15" s="49"/>
      <c r="D15" s="49"/>
      <c r="E15" s="49"/>
    </row>
    <row r="16" spans="1:15" ht="13.5" customHeight="1">
      <c r="A16" s="58" t="s">
        <v>116</v>
      </c>
      <c r="B16" s="57" t="s">
        <v>94</v>
      </c>
      <c r="C16" s="50">
        <v>19144</v>
      </c>
      <c r="D16" s="50">
        <v>10500</v>
      </c>
      <c r="E16" s="49">
        <v>12785</v>
      </c>
      <c r="F16" s="47">
        <v>13019</v>
      </c>
      <c r="G16" s="47">
        <v>12143</v>
      </c>
      <c r="J16" s="47">
        <f t="shared" ref="J16:M20" si="4">C16-J2</f>
        <v>-54</v>
      </c>
      <c r="K16" s="47">
        <f t="shared" si="4"/>
        <v>-494</v>
      </c>
      <c r="L16" s="47">
        <f t="shared" si="4"/>
        <v>1224</v>
      </c>
      <c r="M16" s="47">
        <f t="shared" si="4"/>
        <v>-381</v>
      </c>
      <c r="O16" s="48"/>
    </row>
    <row r="17" spans="1:15" ht="13.5" customHeight="1">
      <c r="A17" s="55" t="s">
        <v>36</v>
      </c>
      <c r="B17" s="51" t="s">
        <v>94</v>
      </c>
      <c r="C17" s="50">
        <v>1313</v>
      </c>
      <c r="D17" s="50">
        <v>445</v>
      </c>
      <c r="E17" s="49">
        <v>859</v>
      </c>
      <c r="F17" s="47">
        <v>1287</v>
      </c>
      <c r="G17" s="47">
        <v>1179</v>
      </c>
      <c r="I17" s="55" t="s">
        <v>36</v>
      </c>
      <c r="J17" s="47">
        <f t="shared" si="4"/>
        <v>89</v>
      </c>
      <c r="K17" s="47">
        <f t="shared" si="4"/>
        <v>-100</v>
      </c>
      <c r="L17" s="47">
        <f t="shared" si="4"/>
        <v>11</v>
      </c>
      <c r="M17" s="47">
        <f t="shared" si="4"/>
        <v>83</v>
      </c>
      <c r="O17" s="48"/>
    </row>
    <row r="18" spans="1:15" ht="13.5" customHeight="1">
      <c r="A18" s="55" t="s">
        <v>115</v>
      </c>
      <c r="B18" s="51" t="s">
        <v>94</v>
      </c>
      <c r="C18" s="50">
        <v>120</v>
      </c>
      <c r="D18" s="50">
        <v>30</v>
      </c>
      <c r="E18" s="49">
        <v>130</v>
      </c>
      <c r="F18" s="47">
        <v>200</v>
      </c>
      <c r="G18" s="47">
        <v>366</v>
      </c>
      <c r="I18" s="55" t="s">
        <v>115</v>
      </c>
      <c r="J18" s="47">
        <f t="shared" si="4"/>
        <v>0</v>
      </c>
      <c r="K18" s="47">
        <f t="shared" si="4"/>
        <v>0</v>
      </c>
      <c r="L18" s="47">
        <f t="shared" si="4"/>
        <v>0</v>
      </c>
      <c r="M18" s="47">
        <f t="shared" si="4"/>
        <v>0</v>
      </c>
      <c r="O18" s="48"/>
    </row>
    <row r="19" spans="1:15" ht="13.5" customHeight="1">
      <c r="A19" s="55" t="s">
        <v>37</v>
      </c>
      <c r="B19" s="51" t="s">
        <v>94</v>
      </c>
      <c r="C19" s="50">
        <v>5660</v>
      </c>
      <c r="D19" s="50">
        <v>4423</v>
      </c>
      <c r="E19" s="49">
        <v>4380</v>
      </c>
      <c r="F19" s="47">
        <v>4453</v>
      </c>
      <c r="G19" s="47">
        <v>5048</v>
      </c>
      <c r="I19" s="55" t="s">
        <v>37</v>
      </c>
      <c r="J19" s="47">
        <f t="shared" si="4"/>
        <v>-7</v>
      </c>
      <c r="K19" s="47">
        <f t="shared" si="4"/>
        <v>-126</v>
      </c>
      <c r="L19" s="47">
        <f t="shared" si="4"/>
        <v>981</v>
      </c>
      <c r="M19" s="47">
        <f t="shared" si="4"/>
        <v>-462</v>
      </c>
      <c r="O19" s="48"/>
    </row>
    <row r="20" spans="1:15" ht="13.5" customHeight="1">
      <c r="A20" s="55" t="s">
        <v>114</v>
      </c>
      <c r="B20" s="51" t="s">
        <v>94</v>
      </c>
      <c r="C20" s="50">
        <v>4030</v>
      </c>
      <c r="D20" s="50">
        <v>3236</v>
      </c>
      <c r="E20" s="49">
        <v>3056</v>
      </c>
      <c r="F20" s="47">
        <v>3504</v>
      </c>
      <c r="G20" s="47">
        <v>3866</v>
      </c>
      <c r="I20" s="55" t="s">
        <v>114</v>
      </c>
      <c r="J20" s="47">
        <f t="shared" si="4"/>
        <v>181</v>
      </c>
      <c r="K20" s="47">
        <f t="shared" si="4"/>
        <v>8</v>
      </c>
      <c r="L20" s="47">
        <f t="shared" si="4"/>
        <v>783</v>
      </c>
      <c r="M20" s="47">
        <f t="shared" si="4"/>
        <v>-434</v>
      </c>
      <c r="O20" s="48"/>
    </row>
    <row r="21" spans="1:15" ht="13.5" customHeight="1">
      <c r="A21" s="55" t="s">
        <v>113</v>
      </c>
      <c r="B21" s="51"/>
      <c r="C21" s="50">
        <v>3861</v>
      </c>
      <c r="D21" s="50">
        <v>3096</v>
      </c>
      <c r="E21" s="49"/>
      <c r="I21" s="55"/>
      <c r="O21" s="48"/>
    </row>
    <row r="22" spans="1:15" ht="13.5" customHeight="1">
      <c r="A22" s="55" t="s">
        <v>112</v>
      </c>
      <c r="B22" s="51"/>
      <c r="C22" s="50">
        <v>169</v>
      </c>
      <c r="D22" s="50">
        <v>140</v>
      </c>
      <c r="E22" s="49"/>
      <c r="I22" s="55"/>
      <c r="O22" s="48"/>
    </row>
    <row r="23" spans="1:15" ht="13.5" customHeight="1">
      <c r="A23" s="55" t="s">
        <v>43</v>
      </c>
      <c r="B23" s="51" t="s">
        <v>94</v>
      </c>
      <c r="C23" s="50">
        <v>824</v>
      </c>
      <c r="D23" s="50">
        <v>630</v>
      </c>
      <c r="E23" s="49">
        <v>884</v>
      </c>
      <c r="F23" s="47">
        <v>571</v>
      </c>
      <c r="G23" s="47">
        <v>214</v>
      </c>
      <c r="I23" s="55" t="s">
        <v>43</v>
      </c>
      <c r="J23" s="47">
        <f>C23-J7</f>
        <v>-124</v>
      </c>
      <c r="K23" s="47">
        <f>D23-K7</f>
        <v>-19</v>
      </c>
      <c r="L23" s="47">
        <f>E23-L7</f>
        <v>89</v>
      </c>
      <c r="M23" s="47">
        <f>F23-M7</f>
        <v>2</v>
      </c>
      <c r="O23" s="48"/>
    </row>
    <row r="24" spans="1:15" ht="13.5" customHeight="1">
      <c r="A24" s="55" t="s">
        <v>111</v>
      </c>
      <c r="B24" s="51" t="s">
        <v>94</v>
      </c>
      <c r="C24" s="50">
        <v>811</v>
      </c>
      <c r="D24" s="50">
        <v>629</v>
      </c>
      <c r="E24" s="49">
        <v>881</v>
      </c>
      <c r="F24" s="47">
        <v>571</v>
      </c>
      <c r="G24" s="47">
        <v>214</v>
      </c>
      <c r="I24" s="55" t="s">
        <v>44</v>
      </c>
      <c r="J24" s="47">
        <f>C26-J8</f>
        <v>28</v>
      </c>
      <c r="K24" s="47">
        <f>D26-K8</f>
        <v>-2</v>
      </c>
      <c r="L24" s="47">
        <f>E26-L8</f>
        <v>24</v>
      </c>
      <c r="M24" s="47">
        <f>F26-M8</f>
        <v>12</v>
      </c>
      <c r="O24" s="48"/>
    </row>
    <row r="25" spans="1:15" ht="13.5" customHeight="1">
      <c r="A25" s="55" t="s">
        <v>110</v>
      </c>
      <c r="B25" s="51" t="s">
        <v>94</v>
      </c>
      <c r="C25" s="50">
        <v>12</v>
      </c>
      <c r="D25" s="54"/>
      <c r="E25" s="49">
        <v>1.7</v>
      </c>
      <c r="G25" s="47">
        <v>0.2</v>
      </c>
      <c r="I25" s="55" t="s">
        <v>109</v>
      </c>
      <c r="O25" s="48"/>
    </row>
    <row r="26" spans="1:15" ht="13.5" customHeight="1">
      <c r="A26" s="55" t="s">
        <v>44</v>
      </c>
      <c r="B26" s="51" t="s">
        <v>94</v>
      </c>
      <c r="C26" s="54"/>
      <c r="D26" s="54"/>
      <c r="E26" s="49"/>
      <c r="I26" s="55" t="s">
        <v>38</v>
      </c>
      <c r="J26" s="47">
        <f t="shared" ref="J26:M29" si="5">C31-J10</f>
        <v>-3</v>
      </c>
      <c r="K26" s="47">
        <f t="shared" si="5"/>
        <v>1</v>
      </c>
      <c r="L26" s="47">
        <f t="shared" si="5"/>
        <v>0</v>
      </c>
      <c r="M26" s="47">
        <f t="shared" si="5"/>
        <v>0</v>
      </c>
      <c r="O26" s="48"/>
    </row>
    <row r="27" spans="1:15" ht="13.5" customHeight="1">
      <c r="A27" s="55" t="s">
        <v>40</v>
      </c>
      <c r="B27" s="51" t="s">
        <v>94</v>
      </c>
      <c r="C27" s="50">
        <v>805</v>
      </c>
      <c r="D27" s="50">
        <v>557</v>
      </c>
      <c r="E27" s="49">
        <v>440</v>
      </c>
      <c r="F27" s="47">
        <v>379</v>
      </c>
      <c r="G27" s="47">
        <v>836</v>
      </c>
      <c r="I27" s="55" t="s">
        <v>39</v>
      </c>
      <c r="J27" s="47">
        <f t="shared" si="5"/>
        <v>-39</v>
      </c>
      <c r="K27" s="47">
        <f t="shared" si="5"/>
        <v>84</v>
      </c>
      <c r="L27" s="47">
        <f t="shared" si="5"/>
        <v>100</v>
      </c>
      <c r="M27" s="47">
        <f t="shared" si="5"/>
        <v>67</v>
      </c>
      <c r="O27" s="48"/>
    </row>
    <row r="28" spans="1:15" ht="13.5" customHeight="1">
      <c r="A28" s="55" t="s">
        <v>108</v>
      </c>
      <c r="B28" s="51" t="s">
        <v>94</v>
      </c>
      <c r="C28" s="50">
        <v>283</v>
      </c>
      <c r="D28" s="50">
        <v>166</v>
      </c>
      <c r="E28" s="49">
        <v>198</v>
      </c>
      <c r="F28" s="47">
        <v>175</v>
      </c>
      <c r="G28" s="47">
        <v>747</v>
      </c>
      <c r="I28" s="55" t="s">
        <v>106</v>
      </c>
      <c r="J28" s="47">
        <f t="shared" si="5"/>
        <v>-107</v>
      </c>
      <c r="K28" s="47">
        <f t="shared" si="5"/>
        <v>-344</v>
      </c>
      <c r="L28" s="47">
        <f t="shared" si="5"/>
        <v>134</v>
      </c>
      <c r="M28" s="47">
        <f t="shared" si="5"/>
        <v>-70</v>
      </c>
      <c r="O28" s="48"/>
    </row>
    <row r="29" spans="1:15" ht="13.5" customHeight="1">
      <c r="A29" s="55" t="s">
        <v>107</v>
      </c>
      <c r="B29" s="51" t="s">
        <v>94</v>
      </c>
      <c r="C29" s="50">
        <v>300</v>
      </c>
      <c r="D29" s="50">
        <v>273</v>
      </c>
      <c r="E29" s="49">
        <v>148</v>
      </c>
      <c r="F29" s="47">
        <v>123</v>
      </c>
      <c r="G29" s="47">
        <v>26</v>
      </c>
      <c r="I29" s="56" t="s">
        <v>40</v>
      </c>
      <c r="J29" s="47">
        <f t="shared" si="5"/>
        <v>13</v>
      </c>
      <c r="K29" s="47">
        <f t="shared" si="5"/>
        <v>-6</v>
      </c>
      <c r="L29" s="47">
        <f t="shared" si="5"/>
        <v>-3</v>
      </c>
      <c r="M29" s="47">
        <f t="shared" si="5"/>
        <v>0</v>
      </c>
    </row>
    <row r="30" spans="1:15" ht="13.5" customHeight="1">
      <c r="A30" s="55" t="s">
        <v>59</v>
      </c>
      <c r="B30" s="51" t="s">
        <v>94</v>
      </c>
      <c r="C30" s="50">
        <v>222</v>
      </c>
      <c r="D30" s="50">
        <v>118</v>
      </c>
      <c r="E30" s="49">
        <v>94</v>
      </c>
      <c r="F30" s="47">
        <v>81</v>
      </c>
      <c r="G30" s="47">
        <v>63</v>
      </c>
    </row>
    <row r="31" spans="1:15" ht="13.5" customHeight="1">
      <c r="A31" s="55" t="s">
        <v>38</v>
      </c>
      <c r="B31" s="51" t="s">
        <v>94</v>
      </c>
      <c r="C31" s="50">
        <v>112</v>
      </c>
      <c r="D31" s="50">
        <v>409</v>
      </c>
      <c r="E31" s="49">
        <v>884</v>
      </c>
      <c r="F31" s="47">
        <v>218</v>
      </c>
      <c r="G31" s="47">
        <v>720</v>
      </c>
    </row>
    <row r="32" spans="1:15" ht="13.5" customHeight="1">
      <c r="A32" s="55" t="s">
        <v>39</v>
      </c>
      <c r="B32" s="51" t="s">
        <v>94</v>
      </c>
      <c r="C32" s="50">
        <v>7211</v>
      </c>
      <c r="D32" s="50">
        <v>2572</v>
      </c>
      <c r="E32" s="49">
        <v>2127</v>
      </c>
      <c r="F32" s="47">
        <v>1720</v>
      </c>
      <c r="G32" s="47">
        <v>2024</v>
      </c>
    </row>
    <row r="33" spans="1:13" ht="13.5" customHeight="1">
      <c r="A33" s="55" t="s">
        <v>106</v>
      </c>
      <c r="B33" s="51" t="s">
        <v>94</v>
      </c>
      <c r="C33" s="50">
        <v>4820</v>
      </c>
      <c r="D33" s="50">
        <v>2652</v>
      </c>
      <c r="E33" s="49">
        <v>4525</v>
      </c>
      <c r="F33" s="47">
        <v>5341</v>
      </c>
      <c r="G33" s="47">
        <v>3171</v>
      </c>
    </row>
    <row r="34" spans="1:13" ht="13.5" customHeight="1">
      <c r="A34" s="55" t="s">
        <v>40</v>
      </c>
      <c r="B34" s="51" t="s">
        <v>94</v>
      </c>
      <c r="C34" s="50">
        <v>28</v>
      </c>
      <c r="D34" s="54"/>
      <c r="E34" s="49">
        <v>10</v>
      </c>
    </row>
    <row r="35" spans="1:13" ht="13.5" customHeight="1">
      <c r="A35" s="53" t="s">
        <v>105</v>
      </c>
      <c r="B35" s="52" t="s">
        <v>94</v>
      </c>
      <c r="C35" s="50">
        <v>1469</v>
      </c>
      <c r="D35" s="50">
        <v>1024</v>
      </c>
      <c r="E35" s="49">
        <v>1197</v>
      </c>
      <c r="F35" s="47">
        <v>929</v>
      </c>
      <c r="G35" s="47">
        <v>571</v>
      </c>
    </row>
    <row r="36" spans="1:13" ht="13.5" customHeight="1">
      <c r="A36" s="49"/>
      <c r="B36" s="49"/>
      <c r="C36" s="49"/>
      <c r="D36" s="49"/>
      <c r="E36" s="49"/>
    </row>
    <row r="37" spans="1:13" ht="13.5" customHeight="1">
      <c r="A37" s="48" t="s">
        <v>104</v>
      </c>
      <c r="B37" s="51" t="s">
        <v>94</v>
      </c>
      <c r="C37" s="49"/>
      <c r="D37" s="50">
        <v>118642</v>
      </c>
      <c r="E37" s="49">
        <v>114100</v>
      </c>
      <c r="F37" s="47">
        <v>110506</v>
      </c>
      <c r="G37" s="47">
        <v>105580</v>
      </c>
      <c r="I37" s="48" t="s">
        <v>104</v>
      </c>
      <c r="J37" s="47">
        <f t="shared" ref="J37:J48" si="6">C37-D37</f>
        <v>-118642</v>
      </c>
      <c r="K37" s="47">
        <f t="shared" ref="K37:K48" si="7">D37-E37</f>
        <v>4542</v>
      </c>
      <c r="L37" s="47">
        <f t="shared" ref="L37:L48" si="8">E37-F37</f>
        <v>3594</v>
      </c>
      <c r="M37" s="47">
        <f t="shared" ref="M37:M48" si="9">F37-G37</f>
        <v>4926</v>
      </c>
    </row>
    <row r="38" spans="1:13" ht="13.5" customHeight="1">
      <c r="A38" s="48" t="s">
        <v>103</v>
      </c>
      <c r="B38" s="51" t="s">
        <v>94</v>
      </c>
      <c r="C38" s="49"/>
      <c r="D38" s="50">
        <v>104028</v>
      </c>
      <c r="E38" s="49">
        <v>100794</v>
      </c>
      <c r="F38" s="47">
        <v>98517</v>
      </c>
      <c r="G38" s="47">
        <v>94562</v>
      </c>
      <c r="I38" s="48" t="s">
        <v>103</v>
      </c>
      <c r="J38" s="47">
        <f t="shared" si="6"/>
        <v>-104028</v>
      </c>
      <c r="K38" s="47">
        <f t="shared" si="7"/>
        <v>3234</v>
      </c>
      <c r="L38" s="47">
        <f t="shared" si="8"/>
        <v>2277</v>
      </c>
      <c r="M38" s="47">
        <f t="shared" si="9"/>
        <v>3955</v>
      </c>
    </row>
    <row r="39" spans="1:13" ht="13.5" customHeight="1">
      <c r="A39" s="48" t="s">
        <v>102</v>
      </c>
      <c r="B39" s="51" t="s">
        <v>94</v>
      </c>
      <c r="C39" s="49"/>
      <c r="D39" s="50">
        <v>3595</v>
      </c>
      <c r="E39" s="49">
        <v>3240</v>
      </c>
      <c r="F39" s="47">
        <v>3518</v>
      </c>
      <c r="G39" s="47">
        <v>5435</v>
      </c>
      <c r="I39" s="48" t="s">
        <v>102</v>
      </c>
      <c r="J39" s="47">
        <f t="shared" si="6"/>
        <v>-3595</v>
      </c>
      <c r="K39" s="47">
        <f t="shared" si="7"/>
        <v>355</v>
      </c>
      <c r="L39" s="47">
        <f t="shared" si="8"/>
        <v>-278</v>
      </c>
      <c r="M39" s="47">
        <f t="shared" si="9"/>
        <v>-1917</v>
      </c>
    </row>
    <row r="40" spans="1:13" ht="13.5" customHeight="1">
      <c r="A40" s="48" t="s">
        <v>101</v>
      </c>
      <c r="B40" s="51" t="s">
        <v>94</v>
      </c>
      <c r="C40" s="49"/>
      <c r="D40" s="50">
        <v>8947</v>
      </c>
      <c r="E40" s="49">
        <v>8313</v>
      </c>
      <c r="F40" s="47">
        <v>7352</v>
      </c>
      <c r="G40" s="47">
        <v>6968</v>
      </c>
      <c r="I40" s="48" t="s">
        <v>101</v>
      </c>
      <c r="J40" s="47">
        <f t="shared" si="6"/>
        <v>-8947</v>
      </c>
      <c r="K40" s="47">
        <f t="shared" si="7"/>
        <v>634</v>
      </c>
      <c r="L40" s="47">
        <f t="shared" si="8"/>
        <v>961</v>
      </c>
      <c r="M40" s="47">
        <f t="shared" si="9"/>
        <v>384</v>
      </c>
    </row>
    <row r="41" spans="1:13" ht="13.5" customHeight="1">
      <c r="A41" s="48" t="s">
        <v>100</v>
      </c>
      <c r="B41" s="51" t="s">
        <v>94</v>
      </c>
      <c r="C41" s="49"/>
      <c r="D41" s="50">
        <v>8739</v>
      </c>
      <c r="E41" s="49">
        <v>8139</v>
      </c>
      <c r="F41" s="47">
        <v>7400</v>
      </c>
      <c r="G41" s="47">
        <v>6784</v>
      </c>
      <c r="I41" s="48" t="s">
        <v>100</v>
      </c>
      <c r="J41" s="47">
        <f t="shared" si="6"/>
        <v>-8739</v>
      </c>
      <c r="K41" s="47">
        <f t="shared" si="7"/>
        <v>600</v>
      </c>
      <c r="L41" s="47">
        <f t="shared" si="8"/>
        <v>739</v>
      </c>
      <c r="M41" s="47">
        <f t="shared" si="9"/>
        <v>616</v>
      </c>
    </row>
    <row r="42" spans="1:13" ht="13.5" customHeight="1">
      <c r="A42" s="48" t="s">
        <v>99</v>
      </c>
      <c r="B42" s="51" t="s">
        <v>94</v>
      </c>
      <c r="C42" s="49"/>
      <c r="D42" s="50">
        <v>181</v>
      </c>
      <c r="E42" s="49">
        <v>151</v>
      </c>
      <c r="F42" s="47">
        <v>113</v>
      </c>
      <c r="G42" s="47">
        <v>163</v>
      </c>
      <c r="I42" s="48" t="s">
        <v>99</v>
      </c>
      <c r="J42" s="47">
        <f t="shared" si="6"/>
        <v>-181</v>
      </c>
      <c r="K42" s="47">
        <f t="shared" si="7"/>
        <v>30</v>
      </c>
      <c r="L42" s="47">
        <f t="shared" si="8"/>
        <v>38</v>
      </c>
      <c r="M42" s="47">
        <f t="shared" si="9"/>
        <v>-50</v>
      </c>
    </row>
    <row r="43" spans="1:13" ht="13.5" customHeight="1">
      <c r="A43" s="48" t="s">
        <v>98</v>
      </c>
      <c r="B43" s="51" t="s">
        <v>94</v>
      </c>
      <c r="C43" s="49"/>
      <c r="D43" s="50">
        <v>171</v>
      </c>
      <c r="E43" s="49">
        <v>170</v>
      </c>
      <c r="F43" s="47">
        <v>193</v>
      </c>
      <c r="G43" s="47">
        <v>206</v>
      </c>
      <c r="I43" s="48" t="s">
        <v>98</v>
      </c>
      <c r="J43" s="47">
        <f t="shared" si="6"/>
        <v>-171</v>
      </c>
      <c r="K43" s="47">
        <f t="shared" si="7"/>
        <v>1</v>
      </c>
      <c r="L43" s="47">
        <f t="shared" si="8"/>
        <v>-23</v>
      </c>
      <c r="M43" s="47">
        <f t="shared" si="9"/>
        <v>-13</v>
      </c>
    </row>
    <row r="44" spans="1:13" ht="13.5" customHeight="1">
      <c r="A44" s="48" t="s">
        <v>97</v>
      </c>
      <c r="B44" s="51" t="s">
        <v>94</v>
      </c>
      <c r="C44" s="49"/>
      <c r="D44" s="50">
        <v>5497</v>
      </c>
      <c r="E44" s="49">
        <v>4823</v>
      </c>
      <c r="F44" s="47">
        <v>4199</v>
      </c>
      <c r="G44" s="47">
        <v>3849</v>
      </c>
      <c r="I44" s="48" t="s">
        <v>97</v>
      </c>
      <c r="J44" s="47">
        <f t="shared" si="6"/>
        <v>-5497</v>
      </c>
      <c r="K44" s="47">
        <f t="shared" si="7"/>
        <v>674</v>
      </c>
      <c r="L44" s="47">
        <f t="shared" si="8"/>
        <v>624</v>
      </c>
      <c r="M44" s="47">
        <f t="shared" si="9"/>
        <v>350</v>
      </c>
    </row>
    <row r="45" spans="1:13" ht="13.5" customHeight="1">
      <c r="A45" s="48" t="s">
        <v>96</v>
      </c>
      <c r="B45" s="51" t="s">
        <v>94</v>
      </c>
      <c r="C45" s="49"/>
      <c r="D45" s="50">
        <v>3235</v>
      </c>
      <c r="E45" s="49">
        <v>2965</v>
      </c>
      <c r="F45" s="47">
        <v>2626</v>
      </c>
      <c r="G45" s="47">
        <v>2492</v>
      </c>
      <c r="I45" s="48" t="s">
        <v>96</v>
      </c>
      <c r="J45" s="47">
        <f t="shared" si="6"/>
        <v>-3235</v>
      </c>
      <c r="K45" s="47">
        <f t="shared" si="7"/>
        <v>270</v>
      </c>
      <c r="L45" s="47">
        <f t="shared" si="8"/>
        <v>339</v>
      </c>
      <c r="M45" s="47">
        <f t="shared" si="9"/>
        <v>134</v>
      </c>
    </row>
    <row r="46" spans="1:13" ht="13.5" customHeight="1">
      <c r="A46" s="48" t="s">
        <v>95</v>
      </c>
      <c r="B46" s="51" t="s">
        <v>94</v>
      </c>
      <c r="C46" s="49"/>
      <c r="D46" s="50">
        <v>1171</v>
      </c>
      <c r="E46" s="49">
        <v>889</v>
      </c>
      <c r="F46" s="47">
        <v>722</v>
      </c>
      <c r="G46" s="47">
        <v>565</v>
      </c>
      <c r="I46" s="48" t="s">
        <v>95</v>
      </c>
      <c r="J46" s="47">
        <f t="shared" si="6"/>
        <v>-1171</v>
      </c>
      <c r="K46" s="47">
        <f t="shared" si="7"/>
        <v>282</v>
      </c>
      <c r="L46" s="47">
        <f t="shared" si="8"/>
        <v>167</v>
      </c>
      <c r="M46" s="47">
        <f t="shared" si="9"/>
        <v>157</v>
      </c>
    </row>
    <row r="47" spans="1:13" ht="13.5" customHeight="1">
      <c r="A47" s="48" t="s">
        <v>93</v>
      </c>
      <c r="B47" s="51" t="s">
        <v>94</v>
      </c>
      <c r="C47" s="49"/>
      <c r="D47" s="50">
        <v>1092</v>
      </c>
      <c r="E47" s="49">
        <v>969</v>
      </c>
      <c r="F47" s="47">
        <v>850</v>
      </c>
      <c r="G47" s="47">
        <v>748</v>
      </c>
      <c r="I47" s="48" t="s">
        <v>93</v>
      </c>
      <c r="J47" s="47">
        <f t="shared" si="6"/>
        <v>-1092</v>
      </c>
      <c r="K47" s="47">
        <f t="shared" si="7"/>
        <v>123</v>
      </c>
      <c r="L47" s="47">
        <f t="shared" si="8"/>
        <v>119</v>
      </c>
      <c r="M47" s="47">
        <f t="shared" si="9"/>
        <v>102</v>
      </c>
    </row>
    <row r="48" spans="1:13">
      <c r="A48" s="48" t="s">
        <v>92</v>
      </c>
      <c r="J48" s="47">
        <f t="shared" si="6"/>
        <v>0</v>
      </c>
      <c r="K48" s="47">
        <f t="shared" si="7"/>
        <v>0</v>
      </c>
      <c r="L48" s="47">
        <f t="shared" si="8"/>
        <v>0</v>
      </c>
      <c r="M48" s="47">
        <f t="shared" si="9"/>
        <v>0</v>
      </c>
    </row>
  </sheetData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F63A-42C5-4B7B-8E72-204A995E7763}">
  <dimension ref="A1:AH22"/>
  <sheetViews>
    <sheetView topLeftCell="A3" workbookViewId="0">
      <selection activeCell="J22" sqref="J22"/>
    </sheetView>
  </sheetViews>
  <sheetFormatPr defaultColWidth="8.85546875" defaultRowHeight="14.25"/>
  <cols>
    <col min="1" max="1" width="8.85546875" style="68"/>
    <col min="2" max="32" width="13.7109375" style="68" customWidth="1"/>
    <col min="33" max="16384" width="8.85546875" style="68"/>
  </cols>
  <sheetData>
    <row r="1" spans="1:34" s="67" customFormat="1" ht="60">
      <c r="A1" s="62" t="s">
        <v>119</v>
      </c>
      <c r="B1" s="63" t="s">
        <v>120</v>
      </c>
      <c r="C1" s="64" t="s">
        <v>121</v>
      </c>
      <c r="D1" s="64" t="s">
        <v>122</v>
      </c>
      <c r="E1" s="64" t="s">
        <v>123</v>
      </c>
      <c r="F1" s="64" t="s">
        <v>124</v>
      </c>
      <c r="G1" s="64" t="s">
        <v>125</v>
      </c>
      <c r="H1" s="64" t="s">
        <v>126</v>
      </c>
      <c r="I1" s="64" t="s">
        <v>127</v>
      </c>
      <c r="J1" s="64" t="s">
        <v>128</v>
      </c>
      <c r="K1" s="65" t="s">
        <v>129</v>
      </c>
      <c r="L1" s="63" t="s">
        <v>130</v>
      </c>
      <c r="M1" s="63" t="s">
        <v>131</v>
      </c>
      <c r="N1" s="63" t="s">
        <v>132</v>
      </c>
      <c r="O1" s="63" t="s">
        <v>133</v>
      </c>
      <c r="P1" s="63" t="s">
        <v>134</v>
      </c>
      <c r="Q1" s="63" t="s">
        <v>135</v>
      </c>
      <c r="R1" s="63" t="s">
        <v>136</v>
      </c>
      <c r="S1" s="63" t="s">
        <v>137</v>
      </c>
      <c r="T1" s="63" t="s">
        <v>138</v>
      </c>
      <c r="U1" s="66" t="s">
        <v>139</v>
      </c>
      <c r="V1" s="63" t="s">
        <v>140</v>
      </c>
      <c r="W1" s="63" t="s">
        <v>141</v>
      </c>
      <c r="X1" s="63" t="s">
        <v>142</v>
      </c>
      <c r="Y1" s="63" t="s">
        <v>143</v>
      </c>
      <c r="Z1" s="63" t="s">
        <v>144</v>
      </c>
      <c r="AA1" s="63" t="s">
        <v>145</v>
      </c>
      <c r="AB1" s="63" t="s">
        <v>146</v>
      </c>
      <c r="AC1" s="63" t="s">
        <v>147</v>
      </c>
      <c r="AD1" s="63" t="s">
        <v>148</v>
      </c>
      <c r="AE1" s="63" t="s">
        <v>149</v>
      </c>
      <c r="AF1" s="66" t="s">
        <v>150</v>
      </c>
    </row>
    <row r="2" spans="1:34">
      <c r="A2" s="68">
        <v>2020</v>
      </c>
      <c r="B2" s="69">
        <v>-93326.33</v>
      </c>
      <c r="C2" s="69">
        <v>-136944.67000000001</v>
      </c>
      <c r="D2" s="70"/>
      <c r="E2" s="69">
        <v>-2586.11</v>
      </c>
      <c r="F2" s="70"/>
      <c r="G2" s="69">
        <v>-417.52</v>
      </c>
      <c r="H2" s="69">
        <v>-242.87</v>
      </c>
      <c r="I2" s="69">
        <v>-1244.77</v>
      </c>
      <c r="J2" s="69">
        <v>-3771.22</v>
      </c>
      <c r="K2" s="69">
        <v>-979.52</v>
      </c>
      <c r="L2" s="69">
        <v>-6.22</v>
      </c>
      <c r="M2" s="70"/>
      <c r="N2" s="69">
        <v>-23.64</v>
      </c>
      <c r="O2" s="70"/>
      <c r="P2" s="70"/>
      <c r="Q2" s="69">
        <v>-40.19</v>
      </c>
      <c r="R2" s="69">
        <v>-42.04</v>
      </c>
      <c r="S2" s="70"/>
      <c r="T2" s="70"/>
      <c r="V2" s="70"/>
      <c r="W2" s="70"/>
      <c r="X2" s="69">
        <v>-199.37</v>
      </c>
      <c r="Y2" s="69">
        <v>-0.24</v>
      </c>
      <c r="Z2" s="69">
        <v>-78.86</v>
      </c>
      <c r="AA2" s="69">
        <v>-10.35</v>
      </c>
      <c r="AB2" s="69">
        <v>-5249.55</v>
      </c>
      <c r="AC2" s="69">
        <v>-620.97</v>
      </c>
      <c r="AD2" s="69">
        <v>-4359.1400000000003</v>
      </c>
      <c r="AE2" s="69">
        <v>65508.75</v>
      </c>
      <c r="AF2" s="69">
        <v>-2017.84</v>
      </c>
    </row>
    <row r="3" spans="1:34" s="67" customFormat="1">
      <c r="A3" s="68">
        <v>2019</v>
      </c>
      <c r="B3" s="71">
        <v>-91877.63</v>
      </c>
      <c r="C3" s="71">
        <v>-136611.87</v>
      </c>
      <c r="D3" s="72"/>
      <c r="E3" s="71">
        <v>-2506.5500000000002</v>
      </c>
      <c r="F3" s="72"/>
      <c r="G3" s="71">
        <v>-493.41</v>
      </c>
      <c r="H3" s="71">
        <v>-24.58</v>
      </c>
      <c r="I3" s="71">
        <v>-1188.58</v>
      </c>
      <c r="J3" s="71">
        <v>-3152.43</v>
      </c>
      <c r="K3" s="71">
        <v>-892.98</v>
      </c>
      <c r="L3" s="73">
        <v>-2.14</v>
      </c>
      <c r="M3" s="72"/>
      <c r="N3" s="72"/>
      <c r="O3" s="71">
        <v>-7.0000000000000007E-2</v>
      </c>
      <c r="P3" s="72"/>
      <c r="Q3" s="71">
        <v>-7.72</v>
      </c>
      <c r="R3" s="71">
        <v>-86.01</v>
      </c>
      <c r="S3" s="71">
        <v>-244.66</v>
      </c>
      <c r="T3" s="72"/>
      <c r="U3" s="72"/>
      <c r="V3" s="74"/>
      <c r="W3" s="72"/>
      <c r="X3" s="71">
        <v>-235.39</v>
      </c>
      <c r="Y3" s="71">
        <v>-6.95</v>
      </c>
      <c r="Z3" s="71">
        <v>-273.42</v>
      </c>
      <c r="AA3" s="71">
        <v>-30.46</v>
      </c>
      <c r="AB3" s="71">
        <v>-1827.22</v>
      </c>
      <c r="AC3" s="71">
        <v>-59.02</v>
      </c>
      <c r="AD3" s="71">
        <v>19271.23</v>
      </c>
      <c r="AE3" s="72"/>
      <c r="AF3" s="71">
        <v>-391.96</v>
      </c>
    </row>
    <row r="4" spans="1:34">
      <c r="A4" s="68">
        <v>2018</v>
      </c>
      <c r="B4" s="71">
        <v>-89986.26</v>
      </c>
      <c r="C4" s="71">
        <v>-134370.74</v>
      </c>
      <c r="D4" s="72"/>
      <c r="E4" s="71">
        <v>-2182.0500000000002</v>
      </c>
      <c r="F4" s="72"/>
      <c r="G4" s="71">
        <v>-621.08000000000004</v>
      </c>
      <c r="H4" s="71">
        <v>-6.13</v>
      </c>
      <c r="I4" s="71">
        <v>-1059.96</v>
      </c>
      <c r="J4" s="71">
        <v>-2958.66</v>
      </c>
      <c r="K4" s="71">
        <v>-753.61</v>
      </c>
      <c r="L4" s="73">
        <v>-2.2000000000000002</v>
      </c>
      <c r="M4" s="72"/>
      <c r="N4" s="71">
        <v>-21.86</v>
      </c>
      <c r="O4" s="72"/>
      <c r="P4" s="72"/>
      <c r="Q4" s="71">
        <v>-38.4</v>
      </c>
      <c r="R4" s="71">
        <v>-21.62</v>
      </c>
      <c r="S4" s="71">
        <v>-8.6</v>
      </c>
      <c r="T4" s="72"/>
      <c r="U4" s="72"/>
      <c r="V4" s="74"/>
      <c r="W4" s="72"/>
      <c r="X4" s="71">
        <v>-191.87</v>
      </c>
      <c r="Y4" s="71">
        <v>-0.34</v>
      </c>
      <c r="Z4" s="71">
        <v>-95.01</v>
      </c>
      <c r="AA4" s="71">
        <v>-4.51</v>
      </c>
      <c r="AB4" s="71">
        <v>-5056.1899999999996</v>
      </c>
      <c r="AC4" s="71">
        <v>-323.62</v>
      </c>
      <c r="AD4" s="71">
        <v>-3316.52</v>
      </c>
      <c r="AE4" s="71">
        <v>62633.75</v>
      </c>
      <c r="AF4" s="71">
        <v>-1587.02</v>
      </c>
      <c r="AG4" s="67"/>
      <c r="AH4" s="67"/>
    </row>
    <row r="5" spans="1:34">
      <c r="A5" s="68">
        <v>2017</v>
      </c>
      <c r="B5" s="71">
        <v>-84692.5</v>
      </c>
      <c r="C5" s="71">
        <v>-127640.84</v>
      </c>
      <c r="D5" s="72"/>
      <c r="E5" s="71">
        <v>-1744.93</v>
      </c>
      <c r="F5" s="72"/>
      <c r="G5" s="71">
        <v>-657.64</v>
      </c>
      <c r="H5" s="72"/>
      <c r="I5" s="71">
        <v>-1112.29</v>
      </c>
      <c r="J5" s="71">
        <v>-2319.63</v>
      </c>
      <c r="K5" s="71">
        <v>-474.26</v>
      </c>
      <c r="L5" s="74"/>
      <c r="M5" s="72"/>
      <c r="N5" s="71">
        <v>-20.28</v>
      </c>
      <c r="O5" s="71">
        <v>-0.01</v>
      </c>
      <c r="P5" s="71">
        <v>-0.02</v>
      </c>
      <c r="Q5" s="71">
        <v>-34.799999999999997</v>
      </c>
      <c r="R5" s="71">
        <v>-23.74</v>
      </c>
      <c r="S5" s="71">
        <v>-16.13</v>
      </c>
      <c r="T5" s="72"/>
      <c r="U5" s="72"/>
      <c r="V5" s="74"/>
      <c r="W5" s="72"/>
      <c r="X5" s="71">
        <v>-153.16</v>
      </c>
      <c r="Y5" s="71">
        <v>-0.27</v>
      </c>
      <c r="Z5" s="71">
        <v>-105.33</v>
      </c>
      <c r="AA5" s="71">
        <v>-2.71</v>
      </c>
      <c r="AB5" s="71">
        <v>-4583.3500000000004</v>
      </c>
      <c r="AC5" s="71">
        <v>-399.18</v>
      </c>
      <c r="AD5" s="71">
        <v>-2430.23</v>
      </c>
      <c r="AE5" s="71">
        <v>58433.97</v>
      </c>
      <c r="AF5" s="71">
        <v>-1407.7</v>
      </c>
    </row>
    <row r="6" spans="1:34">
      <c r="A6" s="68">
        <v>2016</v>
      </c>
      <c r="B6" s="71">
        <v>-80409.73</v>
      </c>
      <c r="C6" s="71">
        <v>-120503.67999999999</v>
      </c>
      <c r="D6" s="72"/>
      <c r="E6" s="71">
        <v>-1636.25</v>
      </c>
      <c r="F6" s="72"/>
      <c r="G6" s="71">
        <v>-560.73</v>
      </c>
      <c r="H6" s="71">
        <v>-4.97</v>
      </c>
      <c r="I6" s="71">
        <v>-1103.5999999999999</v>
      </c>
      <c r="J6" s="71">
        <v>-2190.19</v>
      </c>
      <c r="K6" s="71">
        <v>-404.44</v>
      </c>
      <c r="L6" s="73">
        <v>-2.61</v>
      </c>
      <c r="M6" s="72"/>
      <c r="N6" s="71">
        <v>-18.670000000000002</v>
      </c>
      <c r="O6" s="71">
        <v>-0.03</v>
      </c>
      <c r="P6" s="71">
        <v>-0.01</v>
      </c>
      <c r="Q6" s="71">
        <v>-42.53</v>
      </c>
      <c r="R6" s="71">
        <v>-44.47</v>
      </c>
      <c r="S6" s="72"/>
      <c r="T6" s="72"/>
      <c r="U6" s="72"/>
      <c r="V6" s="74"/>
      <c r="W6" s="72"/>
      <c r="X6" s="71">
        <v>-159.21</v>
      </c>
      <c r="Y6" s="71">
        <v>-0.22</v>
      </c>
      <c r="Z6" s="71">
        <v>-88.69</v>
      </c>
      <c r="AA6" s="71">
        <v>-3.91</v>
      </c>
      <c r="AB6" s="71">
        <v>-4354.7</v>
      </c>
      <c r="AC6" s="71">
        <v>-375</v>
      </c>
      <c r="AD6" s="71">
        <v>-2229.5500000000002</v>
      </c>
      <c r="AE6" s="71">
        <v>54531.57</v>
      </c>
      <c r="AF6" s="71">
        <v>-1217.82</v>
      </c>
    </row>
    <row r="7" spans="1:34">
      <c r="A7" s="68">
        <v>2015</v>
      </c>
      <c r="B7" s="71">
        <v>-78471.820000000007</v>
      </c>
      <c r="C7" s="71">
        <v>-118482.23</v>
      </c>
      <c r="D7" s="71">
        <v>-28.64</v>
      </c>
      <c r="E7" s="71">
        <v>-1400.8</v>
      </c>
      <c r="F7" s="72"/>
      <c r="G7" s="71">
        <v>-541.91999999999996</v>
      </c>
      <c r="H7" s="71">
        <v>-5.75</v>
      </c>
      <c r="I7" s="71">
        <v>-969.27</v>
      </c>
      <c r="J7" s="71">
        <v>-1884.95</v>
      </c>
      <c r="K7" s="71">
        <v>-307.93</v>
      </c>
      <c r="L7" s="73">
        <v>-5</v>
      </c>
      <c r="M7" s="72"/>
      <c r="N7" s="71">
        <v>-17.8</v>
      </c>
      <c r="O7" s="71">
        <v>-0.25</v>
      </c>
      <c r="P7" s="72"/>
      <c r="Q7" s="71">
        <v>-32.58</v>
      </c>
      <c r="R7" s="71">
        <v>-45.03</v>
      </c>
      <c r="S7" s="72"/>
      <c r="T7" s="72"/>
      <c r="U7" s="72"/>
      <c r="V7" s="74"/>
      <c r="W7" s="72"/>
      <c r="X7" s="71">
        <v>-143.08000000000001</v>
      </c>
      <c r="Y7" s="72"/>
      <c r="Z7" s="71">
        <v>-79.23</v>
      </c>
      <c r="AA7" s="71">
        <v>-16.41</v>
      </c>
      <c r="AB7" s="71">
        <v>-3790.67</v>
      </c>
      <c r="AC7" s="71">
        <v>-286.63</v>
      </c>
      <c r="AD7" s="71">
        <v>-2027.33</v>
      </c>
      <c r="AE7" s="71">
        <v>52652.67</v>
      </c>
      <c r="AF7" s="71">
        <v>-1058.97</v>
      </c>
    </row>
    <row r="8" spans="1:34">
      <c r="A8" s="68">
        <v>2014</v>
      </c>
      <c r="B8" s="71">
        <v>-81726.69</v>
      </c>
      <c r="C8" s="71">
        <v>-124389.16</v>
      </c>
      <c r="D8" s="71">
        <v>-28.95</v>
      </c>
      <c r="E8" s="71">
        <v>-1350.03</v>
      </c>
      <c r="F8" s="72"/>
      <c r="G8" s="71">
        <v>-636.59</v>
      </c>
      <c r="H8" s="71">
        <v>-48.51</v>
      </c>
      <c r="I8" s="71">
        <v>-949.72</v>
      </c>
      <c r="J8" s="71">
        <v>-1842.61</v>
      </c>
      <c r="K8" s="71">
        <v>-288.93</v>
      </c>
      <c r="L8" s="73">
        <v>-2.0699999999999998</v>
      </c>
      <c r="M8" s="72"/>
      <c r="N8" s="71">
        <v>-12.67</v>
      </c>
      <c r="O8" s="71">
        <v>-0.06</v>
      </c>
      <c r="P8" s="71">
        <v>-0.01</v>
      </c>
      <c r="Q8" s="71">
        <v>-37.64</v>
      </c>
      <c r="R8" s="71">
        <v>-50.79</v>
      </c>
      <c r="S8" s="72"/>
      <c r="T8" s="72"/>
      <c r="U8" s="72"/>
      <c r="V8" s="74"/>
      <c r="W8" s="72"/>
      <c r="X8" s="71">
        <v>-120.06</v>
      </c>
      <c r="Y8" s="71">
        <v>-0.03</v>
      </c>
      <c r="Z8" s="71">
        <v>-102.06</v>
      </c>
      <c r="AA8" s="71">
        <v>-5.96</v>
      </c>
      <c r="AB8" s="71">
        <v>-2966.47</v>
      </c>
      <c r="AC8" s="71">
        <v>-308.56</v>
      </c>
      <c r="AD8" s="71">
        <v>-1878.73</v>
      </c>
      <c r="AE8" s="71">
        <v>54077.36</v>
      </c>
      <c r="AF8" s="71">
        <v>-784.42</v>
      </c>
    </row>
    <row r="10" spans="1:34" s="75" customFormat="1" ht="42.75">
      <c r="B10" s="75" t="s">
        <v>151</v>
      </c>
      <c r="C10" s="75" t="s">
        <v>152</v>
      </c>
      <c r="D10" s="75" t="s">
        <v>152</v>
      </c>
      <c r="E10" s="75" t="s">
        <v>152</v>
      </c>
      <c r="F10" s="75" t="s">
        <v>153</v>
      </c>
      <c r="G10" s="75" t="s">
        <v>152</v>
      </c>
      <c r="H10" s="75" t="s">
        <v>153</v>
      </c>
      <c r="I10" s="75" t="s">
        <v>153</v>
      </c>
    </row>
    <row r="11" spans="1:34" ht="42.75">
      <c r="B11" s="63" t="s">
        <v>154</v>
      </c>
      <c r="C11" s="63" t="s">
        <v>155</v>
      </c>
      <c r="D11" s="63" t="s">
        <v>156</v>
      </c>
      <c r="E11" s="63" t="s">
        <v>157</v>
      </c>
      <c r="F11" s="63" t="s">
        <v>158</v>
      </c>
      <c r="G11" s="63" t="s">
        <v>159</v>
      </c>
      <c r="H11" s="63" t="s">
        <v>160</v>
      </c>
      <c r="I11" s="63" t="s">
        <v>161</v>
      </c>
      <c r="M11" s="75" t="s">
        <v>151</v>
      </c>
      <c r="N11" s="75" t="s">
        <v>152</v>
      </c>
      <c r="O11" s="75" t="s">
        <v>153</v>
      </c>
    </row>
    <row r="12" spans="1:34">
      <c r="A12" s="68">
        <v>2020</v>
      </c>
      <c r="B12" s="68">
        <f t="shared" ref="B12:G18" si="0">-N2</f>
        <v>23.64</v>
      </c>
      <c r="C12" s="68">
        <f t="shared" si="0"/>
        <v>0</v>
      </c>
      <c r="D12" s="68">
        <f t="shared" si="0"/>
        <v>0</v>
      </c>
      <c r="E12" s="68">
        <f t="shared" si="0"/>
        <v>40.19</v>
      </c>
      <c r="F12" s="68">
        <f t="shared" si="0"/>
        <v>42.04</v>
      </c>
      <c r="G12" s="68">
        <f t="shared" si="0"/>
        <v>0</v>
      </c>
      <c r="H12" s="68">
        <f t="shared" ref="H12:H18" si="1">-X2</f>
        <v>199.37</v>
      </c>
      <c r="I12" s="68">
        <f t="shared" ref="I12:I18" si="2">-AA2</f>
        <v>10.35</v>
      </c>
      <c r="L12" s="68" t="s">
        <v>162</v>
      </c>
      <c r="M12" s="76">
        <f>SUM(M$13:M$19)/SUM($M$13:$O$19)</f>
        <v>5.2028721737791911E-2</v>
      </c>
      <c r="N12" s="76">
        <f t="shared" ref="N12:O12" si="3">SUM(N$13:N$19)/SUM($M$13:$O$19)</f>
        <v>0.22804896820869439</v>
      </c>
      <c r="O12" s="76">
        <f t="shared" si="3"/>
        <v>0.7199223100535137</v>
      </c>
    </row>
    <row r="13" spans="1:34">
      <c r="A13" s="68">
        <v>2019</v>
      </c>
      <c r="B13" s="68">
        <f t="shared" si="0"/>
        <v>0</v>
      </c>
      <c r="C13" s="68">
        <f t="shared" si="0"/>
        <v>7.0000000000000007E-2</v>
      </c>
      <c r="D13" s="68">
        <f t="shared" si="0"/>
        <v>0</v>
      </c>
      <c r="E13" s="68">
        <f t="shared" si="0"/>
        <v>7.72</v>
      </c>
      <c r="F13" s="68">
        <f t="shared" si="0"/>
        <v>86.01</v>
      </c>
      <c r="G13" s="68">
        <f t="shared" si="0"/>
        <v>244.66</v>
      </c>
      <c r="H13" s="68">
        <f t="shared" si="1"/>
        <v>235.39</v>
      </c>
      <c r="I13" s="68">
        <f t="shared" si="2"/>
        <v>30.46</v>
      </c>
      <c r="L13" s="68">
        <v>2020</v>
      </c>
      <c r="M13" s="77">
        <f>SUMIFS($B12:$I12,$B$10:$I$10,M$11)</f>
        <v>23.64</v>
      </c>
      <c r="N13" s="77">
        <f t="shared" ref="N13:O19" si="4">SUMIFS($B12:$I12,$B$10:$I$10,N$11)</f>
        <v>40.19</v>
      </c>
      <c r="O13" s="77">
        <f t="shared" si="4"/>
        <v>251.76</v>
      </c>
    </row>
    <row r="14" spans="1:34">
      <c r="A14" s="68">
        <v>2018</v>
      </c>
      <c r="B14" s="68">
        <f t="shared" si="0"/>
        <v>21.86</v>
      </c>
      <c r="C14" s="68">
        <f t="shared" si="0"/>
        <v>0</v>
      </c>
      <c r="D14" s="68">
        <f t="shared" si="0"/>
        <v>0</v>
      </c>
      <c r="E14" s="68">
        <f t="shared" si="0"/>
        <v>38.4</v>
      </c>
      <c r="F14" s="68">
        <f t="shared" si="0"/>
        <v>21.62</v>
      </c>
      <c r="G14" s="68">
        <f t="shared" si="0"/>
        <v>8.6</v>
      </c>
      <c r="H14" s="68">
        <f t="shared" si="1"/>
        <v>191.87</v>
      </c>
      <c r="I14" s="68">
        <f t="shared" si="2"/>
        <v>4.51</v>
      </c>
      <c r="L14" s="68">
        <v>2019</v>
      </c>
      <c r="M14" s="77">
        <f t="shared" ref="M14:M19" si="5">SUMIFS($B13:$I13,$B$10:$I$10,M$11)</f>
        <v>0</v>
      </c>
      <c r="N14" s="77">
        <f t="shared" si="4"/>
        <v>252.45</v>
      </c>
      <c r="O14" s="77">
        <f t="shared" si="4"/>
        <v>351.85999999999996</v>
      </c>
    </row>
    <row r="15" spans="1:34">
      <c r="A15" s="68">
        <v>2017</v>
      </c>
      <c r="B15" s="68">
        <f t="shared" si="0"/>
        <v>20.28</v>
      </c>
      <c r="C15" s="68">
        <f t="shared" si="0"/>
        <v>0.01</v>
      </c>
      <c r="D15" s="68">
        <f t="shared" si="0"/>
        <v>0.02</v>
      </c>
      <c r="E15" s="68">
        <f t="shared" si="0"/>
        <v>34.799999999999997</v>
      </c>
      <c r="F15" s="68">
        <f t="shared" si="0"/>
        <v>23.74</v>
      </c>
      <c r="G15" s="68">
        <f t="shared" si="0"/>
        <v>16.13</v>
      </c>
      <c r="H15" s="68">
        <f t="shared" si="1"/>
        <v>153.16</v>
      </c>
      <c r="I15" s="68">
        <f t="shared" si="2"/>
        <v>2.71</v>
      </c>
      <c r="L15" s="68">
        <v>2018</v>
      </c>
      <c r="M15" s="77">
        <f t="shared" si="5"/>
        <v>21.86</v>
      </c>
      <c r="N15" s="77">
        <f t="shared" si="4"/>
        <v>47</v>
      </c>
      <c r="O15" s="77">
        <f t="shared" si="4"/>
        <v>218</v>
      </c>
    </row>
    <row r="16" spans="1:34">
      <c r="A16" s="68">
        <v>2016</v>
      </c>
      <c r="B16" s="68">
        <f t="shared" si="0"/>
        <v>18.670000000000002</v>
      </c>
      <c r="C16" s="68">
        <f t="shared" si="0"/>
        <v>0.03</v>
      </c>
      <c r="D16" s="68">
        <f t="shared" si="0"/>
        <v>0.01</v>
      </c>
      <c r="E16" s="68">
        <f t="shared" si="0"/>
        <v>42.53</v>
      </c>
      <c r="F16" s="68">
        <f t="shared" si="0"/>
        <v>44.47</v>
      </c>
      <c r="G16" s="68">
        <f t="shared" si="0"/>
        <v>0</v>
      </c>
      <c r="H16" s="68">
        <f t="shared" si="1"/>
        <v>159.21</v>
      </c>
      <c r="I16" s="68">
        <f t="shared" si="2"/>
        <v>3.91</v>
      </c>
      <c r="L16" s="68">
        <v>2017</v>
      </c>
      <c r="M16" s="77">
        <f t="shared" si="5"/>
        <v>20.28</v>
      </c>
      <c r="N16" s="77">
        <f t="shared" si="4"/>
        <v>50.959999999999994</v>
      </c>
      <c r="O16" s="77">
        <f t="shared" si="4"/>
        <v>179.61</v>
      </c>
    </row>
    <row r="17" spans="1:15">
      <c r="A17" s="68">
        <v>2015</v>
      </c>
      <c r="B17" s="68">
        <f t="shared" si="0"/>
        <v>17.8</v>
      </c>
      <c r="C17" s="68">
        <f t="shared" si="0"/>
        <v>0.25</v>
      </c>
      <c r="D17" s="68">
        <f t="shared" si="0"/>
        <v>0</v>
      </c>
      <c r="E17" s="68">
        <f t="shared" si="0"/>
        <v>32.58</v>
      </c>
      <c r="F17" s="68">
        <f t="shared" si="0"/>
        <v>45.03</v>
      </c>
      <c r="G17" s="68">
        <f t="shared" si="0"/>
        <v>0</v>
      </c>
      <c r="H17" s="68">
        <f t="shared" si="1"/>
        <v>143.08000000000001</v>
      </c>
      <c r="I17" s="68">
        <f t="shared" si="2"/>
        <v>16.41</v>
      </c>
      <c r="L17" s="68">
        <v>2016</v>
      </c>
      <c r="M17" s="77">
        <f t="shared" si="5"/>
        <v>18.670000000000002</v>
      </c>
      <c r="N17" s="77">
        <f t="shared" si="4"/>
        <v>42.57</v>
      </c>
      <c r="O17" s="77">
        <f t="shared" si="4"/>
        <v>207.59</v>
      </c>
    </row>
    <row r="18" spans="1:15">
      <c r="A18" s="68">
        <v>2014</v>
      </c>
      <c r="B18" s="68">
        <f t="shared" si="0"/>
        <v>12.67</v>
      </c>
      <c r="C18" s="68">
        <f t="shared" si="0"/>
        <v>0.06</v>
      </c>
      <c r="D18" s="68">
        <f t="shared" si="0"/>
        <v>0.01</v>
      </c>
      <c r="E18" s="68">
        <f t="shared" si="0"/>
        <v>37.64</v>
      </c>
      <c r="F18" s="68">
        <f t="shared" si="0"/>
        <v>50.79</v>
      </c>
      <c r="G18" s="68">
        <f t="shared" si="0"/>
        <v>0</v>
      </c>
      <c r="H18" s="68">
        <f t="shared" si="1"/>
        <v>120.06</v>
      </c>
      <c r="I18" s="68">
        <f t="shared" si="2"/>
        <v>5.96</v>
      </c>
      <c r="L18" s="68">
        <v>2015</v>
      </c>
      <c r="M18" s="77">
        <f t="shared" si="5"/>
        <v>17.8</v>
      </c>
      <c r="N18" s="77">
        <f t="shared" si="4"/>
        <v>32.83</v>
      </c>
      <c r="O18" s="77">
        <f t="shared" si="4"/>
        <v>204.52</v>
      </c>
    </row>
    <row r="19" spans="1:15" ht="15" thickBot="1">
      <c r="L19" s="68">
        <v>2014</v>
      </c>
      <c r="M19" s="77">
        <f t="shared" si="5"/>
        <v>12.67</v>
      </c>
      <c r="N19" s="77">
        <f t="shared" si="4"/>
        <v>37.71</v>
      </c>
      <c r="O19" s="77">
        <f t="shared" si="4"/>
        <v>176.81</v>
      </c>
    </row>
    <row r="20" spans="1:15" ht="15.75" thickTop="1" thickBot="1">
      <c r="B20" s="78" t="s">
        <v>154</v>
      </c>
      <c r="C20" s="79" t="s">
        <v>155</v>
      </c>
      <c r="D20" s="80" t="s">
        <v>156</v>
      </c>
      <c r="E20" s="80" t="s">
        <v>157</v>
      </c>
      <c r="F20" s="79" t="s">
        <v>158</v>
      </c>
      <c r="G20" s="80" t="s">
        <v>159</v>
      </c>
      <c r="H20" s="80" t="s">
        <v>160</v>
      </c>
      <c r="I20" s="79" t="s">
        <v>161</v>
      </c>
    </row>
    <row r="21" spans="1:15" ht="31.5" thickTop="1" thickBot="1">
      <c r="B21" s="81" t="s">
        <v>72</v>
      </c>
      <c r="C21" s="82" t="s">
        <v>163</v>
      </c>
      <c r="D21" s="82" t="s">
        <v>164</v>
      </c>
      <c r="E21" s="82" t="s">
        <v>165</v>
      </c>
      <c r="F21" s="82" t="s">
        <v>166</v>
      </c>
      <c r="G21" s="82" t="s">
        <v>167</v>
      </c>
      <c r="H21" s="82" t="s">
        <v>165</v>
      </c>
      <c r="I21" s="82" t="s">
        <v>166</v>
      </c>
    </row>
    <row r="22" spans="1:15" ht="31.5" thickTop="1" thickBot="1">
      <c r="B22" s="81" t="s">
        <v>72</v>
      </c>
      <c r="C22" s="83" t="s">
        <v>165</v>
      </c>
      <c r="D22" s="83" t="s">
        <v>165</v>
      </c>
      <c r="E22" s="82" t="s">
        <v>165</v>
      </c>
      <c r="F22" s="82" t="s">
        <v>166</v>
      </c>
      <c r="G22" s="82" t="s">
        <v>167</v>
      </c>
      <c r="H22" s="83" t="s">
        <v>166</v>
      </c>
      <c r="I22" s="82" t="s">
        <v>166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B8E0-3679-46C1-B468-CBF3C23AE876}">
  <sheetPr>
    <tabColor rgb="FF002060"/>
  </sheetPr>
  <dimension ref="A1:D18"/>
  <sheetViews>
    <sheetView topLeftCell="A6" workbookViewId="0">
      <selection activeCell="B10" sqref="B10"/>
    </sheetView>
  </sheetViews>
  <sheetFormatPr defaultColWidth="9.140625" defaultRowHeight="14.25"/>
  <cols>
    <col min="1" max="1" width="29.42578125" style="42" customWidth="1"/>
    <col min="2" max="2" width="12.5703125" style="42" bestFit="1" customWidth="1"/>
    <col min="3" max="3" width="27.7109375" style="42" customWidth="1"/>
    <col min="4" max="16384" width="9.140625" style="42"/>
  </cols>
  <sheetData>
    <row r="1" spans="1:4" ht="28.5">
      <c r="A1" s="45" t="s">
        <v>89</v>
      </c>
      <c r="B1" s="42" t="s">
        <v>88</v>
      </c>
      <c r="C1" s="44" t="s">
        <v>87</v>
      </c>
      <c r="D1" s="42" t="s">
        <v>86</v>
      </c>
    </row>
    <row r="2" spans="1:4">
      <c r="A2" s="42" t="s">
        <v>85</v>
      </c>
      <c r="B2" s="42">
        <f>'National Summary'!C6*10-B13</f>
        <v>1041480</v>
      </c>
      <c r="C2" s="42">
        <v>0</v>
      </c>
      <c r="D2" s="42">
        <v>0</v>
      </c>
    </row>
    <row r="3" spans="1:4">
      <c r="A3" s="42" t="s">
        <v>84</v>
      </c>
      <c r="B3" s="42">
        <f>'National Summary'!C7*0.7*10</f>
        <v>69804</v>
      </c>
      <c r="C3" s="42">
        <v>0</v>
      </c>
      <c r="D3" s="42">
        <v>0</v>
      </c>
    </row>
    <row r="4" spans="1:4">
      <c r="A4" s="42" t="s">
        <v>83</v>
      </c>
      <c r="B4" s="42">
        <f>'2020'!AA5*10</f>
        <v>49890</v>
      </c>
      <c r="C4" s="42">
        <v>0</v>
      </c>
      <c r="D4" s="42">
        <v>0</v>
      </c>
    </row>
    <row r="5" spans="1:4">
      <c r="A5" s="42" t="s">
        <v>82</v>
      </c>
      <c r="B5" s="42">
        <f>('National Summary'!C3-'National Summary'!C4)*10</f>
        <v>338790</v>
      </c>
      <c r="C5" s="42">
        <v>0</v>
      </c>
      <c r="D5" s="42">
        <v>0</v>
      </c>
    </row>
    <row r="6" spans="1:4">
      <c r="A6" s="42" t="s">
        <v>81</v>
      </c>
      <c r="B6" s="42">
        <f>'National Summary'!C11*10-'SYC-SYEGC'!B14</f>
        <v>272650</v>
      </c>
      <c r="C6" s="42">
        <v>0</v>
      </c>
      <c r="D6" s="42">
        <v>0</v>
      </c>
    </row>
    <row r="7" spans="1:4">
      <c r="A7" s="42" t="s">
        <v>80</v>
      </c>
      <c r="B7" s="42">
        <f>('2020'!AC5-'2020'!AE5)*10</f>
        <v>175290</v>
      </c>
      <c r="C7" s="42">
        <v>0</v>
      </c>
      <c r="D7" s="42">
        <v>0</v>
      </c>
    </row>
    <row r="8" spans="1:4">
      <c r="A8" s="42" t="s">
        <v>79</v>
      </c>
      <c r="B8" s="42">
        <v>420</v>
      </c>
      <c r="C8" s="42">
        <v>0</v>
      </c>
      <c r="D8" s="42">
        <v>0</v>
      </c>
    </row>
    <row r="9" spans="1:4">
      <c r="A9" s="42" t="s">
        <v>78</v>
      </c>
      <c r="B9" s="42">
        <f>'National Summary'!C9*10-'SYC-SYEGC'!B17</f>
        <v>14520</v>
      </c>
      <c r="C9" s="42">
        <v>0</v>
      </c>
      <c r="D9" s="42">
        <v>0</v>
      </c>
    </row>
    <row r="10" spans="1:4">
      <c r="A10" s="42" t="s">
        <v>77</v>
      </c>
      <c r="B10" s="42">
        <v>527</v>
      </c>
      <c r="C10" s="42">
        <v>0</v>
      </c>
      <c r="D10" s="42">
        <v>0</v>
      </c>
    </row>
    <row r="11" spans="1:4">
      <c r="A11" s="42" t="s">
        <v>76</v>
      </c>
      <c r="B11" s="43">
        <f>ROUND('2020'!L5*10*'Oil Generation Breakdown'!N12,0)</f>
        <v>335</v>
      </c>
      <c r="C11" s="42">
        <v>0</v>
      </c>
      <c r="D11" s="42">
        <v>0</v>
      </c>
    </row>
    <row r="12" spans="1:4">
      <c r="A12" s="42" t="s">
        <v>75</v>
      </c>
      <c r="B12" s="42">
        <f>'National Summary'!C7*10*0.3</f>
        <v>29916</v>
      </c>
      <c r="C12" s="42">
        <v>0</v>
      </c>
      <c r="D12" s="42">
        <v>0</v>
      </c>
    </row>
    <row r="13" spans="1:4">
      <c r="A13" s="42" t="s">
        <v>74</v>
      </c>
      <c r="B13" s="42">
        <f>10*('National Summary'!C22+'National Summary'!D39)</f>
        <v>37640</v>
      </c>
      <c r="C13" s="42">
        <v>0</v>
      </c>
      <c r="D13" s="42">
        <v>0</v>
      </c>
    </row>
    <row r="14" spans="1:4">
      <c r="A14" s="42" t="s">
        <v>73</v>
      </c>
      <c r="B14" s="42">
        <v>9000</v>
      </c>
      <c r="C14" s="42">
        <v>0</v>
      </c>
      <c r="D14" s="42">
        <v>0</v>
      </c>
    </row>
    <row r="15" spans="1:4">
      <c r="A15" s="42" t="s">
        <v>72</v>
      </c>
      <c r="B15" s="42">
        <f>ROUND('2020'!L5*10*'Oil Generation Breakdown'!M12,0)</f>
        <v>76</v>
      </c>
      <c r="C15" s="42">
        <v>0</v>
      </c>
      <c r="D15" s="42">
        <v>0</v>
      </c>
    </row>
    <row r="16" spans="1:4">
      <c r="A16" s="42" t="s">
        <v>71</v>
      </c>
      <c r="B16" s="42">
        <f>ROUND('2020'!L5*10*'Oil Generation Breakdown'!O12,0)</f>
        <v>1058</v>
      </c>
      <c r="C16" s="42">
        <v>0</v>
      </c>
      <c r="D16" s="42">
        <v>0</v>
      </c>
    </row>
    <row r="17" spans="1:4">
      <c r="A17" s="42" t="s">
        <v>70</v>
      </c>
      <c r="B17" s="42">
        <f>'2020'!O5*10</f>
        <v>15350</v>
      </c>
      <c r="C17" s="42">
        <v>0</v>
      </c>
      <c r="D17" s="42">
        <v>0</v>
      </c>
    </row>
    <row r="18" spans="1:4">
      <c r="A18" s="42" t="s">
        <v>69</v>
      </c>
      <c r="B18" s="42">
        <f>'National Summary'!D45*110</f>
        <v>355850</v>
      </c>
      <c r="C18" s="42">
        <v>0</v>
      </c>
      <c r="D18" s="42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604F-C493-45CA-9DDB-D3D82BE07AB5}">
  <sheetPr>
    <tabColor rgb="FF002060"/>
  </sheetPr>
  <dimension ref="A1:C12"/>
  <sheetViews>
    <sheetView workbookViewId="0">
      <selection activeCell="B2" sqref="B2"/>
    </sheetView>
  </sheetViews>
  <sheetFormatPr defaultColWidth="9.140625" defaultRowHeight="14.25"/>
  <cols>
    <col min="1" max="1" width="17.28515625" style="42" customWidth="1"/>
    <col min="2" max="2" width="12.5703125" style="42" bestFit="1" customWidth="1"/>
    <col min="3" max="3" width="27.7109375" style="42" customWidth="1"/>
    <col min="4" max="16384" width="9.140625" style="42"/>
  </cols>
  <sheetData>
    <row r="1" spans="1:3">
      <c r="B1" s="42" t="s">
        <v>91</v>
      </c>
      <c r="C1" s="44"/>
    </row>
    <row r="2" spans="1:3">
      <c r="A2" s="42" t="s">
        <v>90</v>
      </c>
      <c r="B2" s="46">
        <f>SUMIFS('[1]Form 860_Generator'!D:D,'[1]Form 860_Generator'!H:H,"natural gas peaker",'[1]Form 860_Generator'!C:C,"GT")/SUMIF('[1]Form 860_Generator'!H:H,"natural gas peaker",'[1]Form 860_Generator'!D:D)</f>
        <v>0.62968562390939975</v>
      </c>
    </row>
    <row r="3" spans="1:3">
      <c r="B3" s="43"/>
    </row>
    <row r="4" spans="1:3">
      <c r="B4" s="43"/>
    </row>
    <row r="5" spans="1:3">
      <c r="B5" s="43"/>
    </row>
    <row r="6" spans="1:3">
      <c r="B6" s="43"/>
    </row>
    <row r="7" spans="1:3">
      <c r="B7" s="43"/>
    </row>
    <row r="8" spans="1:3">
      <c r="B8" s="43"/>
    </row>
    <row r="9" spans="1:3">
      <c r="B9" s="43"/>
    </row>
    <row r="10" spans="1:3">
      <c r="B10" s="43"/>
    </row>
    <row r="11" spans="1:3">
      <c r="B11" s="43"/>
    </row>
    <row r="12" spans="1:3">
      <c r="B12" s="4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地热2020年累计“十三五新增”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National Summary</vt:lpstr>
      <vt:lpstr>Oil Generation Breakdown</vt:lpstr>
      <vt:lpstr>SYC-SYEGC</vt:lpstr>
      <vt:lpstr>SYC-FoPtPFP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2022-03-04T04:53:35Z</cp:lastPrinted>
  <dcterms:created xsi:type="dcterms:W3CDTF">2023-02-26T07:05:14Z</dcterms:created>
  <dcterms:modified xsi:type="dcterms:W3CDTF">2023-03-01T03:17:40Z</dcterms:modified>
</cp:coreProperties>
</file>