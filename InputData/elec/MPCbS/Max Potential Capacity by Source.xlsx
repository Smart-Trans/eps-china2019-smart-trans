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file\EPS China 3.3.1\InputData\elec\MPCbS\"/>
    </mc:Choice>
  </mc:AlternateContent>
  <xr:revisionPtr revIDLastSave="0" documentId="13_ncr:1_{C1D2807C-CCC1-4B63-8556-6F1FAB7E2C54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About" sheetId="1" r:id="rId1"/>
    <sheet name="Data" sheetId="2" r:id="rId2"/>
    <sheet name="中国" sheetId="5" r:id="rId3"/>
    <sheet name="Hydro" sheetId="4" r:id="rId4"/>
    <sheet name="MPCbS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8" i="3" l="1"/>
  <c r="B7" i="3"/>
  <c r="B6" i="3"/>
  <c r="B9" i="3"/>
  <c r="B10" i="3"/>
  <c r="B14" i="3"/>
  <c r="E36" i="2"/>
  <c r="E37" i="2" s="1"/>
  <c r="B23" i="2" l="1"/>
  <c r="E9" i="2" l="1"/>
  <c r="B22" i="2"/>
  <c r="B20" i="2"/>
  <c r="B21" i="2"/>
  <c r="B19" i="2"/>
  <c r="B18" i="2"/>
  <c r="B17" i="2"/>
</calcChain>
</file>

<file path=xl/sharedStrings.xml><?xml version="1.0" encoding="utf-8"?>
<sst xmlns="http://schemas.openxmlformats.org/spreadsheetml/2006/main" count="209" uniqueCount="154">
  <si>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</si>
  <si>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</si>
  <si>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</si>
  <si>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</si>
  <si>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</si>
  <si>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</si>
  <si>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</si>
  <si>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</si>
  <si>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</si>
  <si>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</si>
  <si>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</si>
  <si>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</si>
  <si>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</si>
  <si>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</si>
  <si>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</si>
  <si>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</si>
  <si>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</si>
  <si>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</si>
  <si>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</si>
  <si>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</si>
  <si>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</si>
  <si>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</si>
  <si>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</si>
  <si>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</si>
  <si>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</si>
  <si>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</si>
  <si>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</si>
  <si>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</si>
  <si>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</si>
  <si>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</si>
  <si>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</si>
  <si>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</si>
  <si>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</si>
  <si>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</si>
  <si>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</si>
  <si>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</si>
  <si>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</si>
  <si>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</si>
  <si>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</si>
  <si>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natural gas nonpeaker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</si>
  <si>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</si>
  <si>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</si>
  <si>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</si>
  <si>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</si>
  <si>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</si>
  <si>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</si>
  <si>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</si>
  <si>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</si>
  <si>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</si>
  <si>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</si>
  <si>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</si>
  <si>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</si>
  <si>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</si>
  <si>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</si>
  <si>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</si>
  <si>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</si>
  <si>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</si>
  <si>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</si>
  <si>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</si>
  <si>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</si>
  <si>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</si>
  <si>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</si>
  <si>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</si>
  <si>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</si>
  <si>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</si>
  <si>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</si>
  <si>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</si>
  <si>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</si>
  <si>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</si>
  <si>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</si>
  <si>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</si>
  <si>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</si>
  <si>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</si>
  <si>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</si>
  <si>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</si>
  <si>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</si>
  <si>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</si>
  <si>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</si>
  <si>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</si>
  <si>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</si>
  <si>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</si>
  <si>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</si>
  <si>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</si>
  <si>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</si>
  <si>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</si>
  <si>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</si>
  <si>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</si>
  <si>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</si>
  <si>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Maximums for coal, natural gas, and nuclear are not imposed, as these power types are unlikely to</t>
  </si>
  <si>
    <t>be geographically resource-constrained. (An arbitrarily high number is chosen here, to ensure</t>
  </si>
  <si>
    <t>this limit doesn't come into play for these three electricity sources.)</t>
  </si>
  <si>
    <t>中国</t>
    <phoneticPr fontId="9" type="noConversion"/>
  </si>
  <si>
    <t>亿Kw</t>
    <phoneticPr fontId="9" type="noConversion"/>
  </si>
  <si>
    <t>亿tce</t>
    <phoneticPr fontId="9" type="noConversion"/>
  </si>
  <si>
    <t>参考文献</t>
    <phoneticPr fontId="9" type="noConversion"/>
  </si>
  <si>
    <t>备注</t>
    <phoneticPr fontId="9" type="noConversion"/>
  </si>
  <si>
    <t>可再生能源品种</t>
    <phoneticPr fontId="9" type="noConversion"/>
  </si>
  <si>
    <t>技术可开发量</t>
    <phoneticPr fontId="9" type="noConversion"/>
  </si>
  <si>
    <t>（技术可开发装机容量）</t>
    <phoneticPr fontId="9" type="noConversion"/>
  </si>
  <si>
    <t>理论蕴藏量</t>
    <phoneticPr fontId="9" type="noConversion"/>
  </si>
  <si>
    <t>风能资源理论储量</t>
  </si>
  <si>
    <t>资源总量</t>
    <phoneticPr fontId="9" type="noConversion"/>
  </si>
  <si>
    <t>理论可开发储量</t>
    <phoneticPr fontId="9" type="noConversion"/>
  </si>
  <si>
    <t>技术可开发储量</t>
    <phoneticPr fontId="9" type="noConversion"/>
  </si>
  <si>
    <t>资源技术开发量</t>
    <phoneticPr fontId="9" type="noConversion"/>
  </si>
  <si>
    <t>资源潜力</t>
    <phoneticPr fontId="9" type="noConversion"/>
  </si>
  <si>
    <t>目前探明的技术可开发量（潜在装机容量）</t>
    <phoneticPr fontId="9" type="noConversion"/>
  </si>
  <si>
    <t>可开发利用的风能储量</t>
  </si>
  <si>
    <t>中国风电发展路线图 2050 - MBA智库文档 (mbalib.com)</t>
  </si>
  <si>
    <t>【发改委能源研究所&amp;iea】</t>
    <phoneticPr fontId="9" type="noConversion"/>
  </si>
  <si>
    <t>2020年2亿，2030年4亿，2050年；10亿陆上3级及以上风能技术开发量26亿Kw以上；在水深不超过50米的近海域，风电实际可装机容量5亿Kw</t>
    <phoneticPr fontId="9" type="noConversion"/>
  </si>
  <si>
    <t>风能</t>
    <phoneticPr fontId="9" type="noConversion"/>
  </si>
  <si>
    <t>7~12</t>
    <phoneticPr fontId="9" type="noConversion"/>
  </si>
  <si>
    <t>3226GW</t>
    <phoneticPr fontId="9" type="noConversion"/>
  </si>
  <si>
    <t>253GW</t>
    <phoneticPr fontId="9" type="noConversion"/>
  </si>
  <si>
    <t>10亿Kw</t>
    <phoneticPr fontId="9" type="noConversion"/>
  </si>
  <si>
    <t>1*</t>
    <phoneticPr fontId="9" type="noConversion"/>
  </si>
  <si>
    <t>2*</t>
    <phoneticPr fontId="9" type="noConversion"/>
  </si>
  <si>
    <t>3*</t>
    <phoneticPr fontId="9" type="noConversion"/>
  </si>
  <si>
    <t>我国风能资源储量与分布 (cma.gov.cn)</t>
  </si>
  <si>
    <t>陆上</t>
    <phoneticPr fontId="9" type="noConversion"/>
  </si>
  <si>
    <t>6~10</t>
    <phoneticPr fontId="9" type="noConversion"/>
  </si>
  <si>
    <t>4*，50米高度以上</t>
    <phoneticPr fontId="9" type="noConversion"/>
  </si>
  <si>
    <t>50m</t>
    <phoneticPr fontId="9" type="noConversion"/>
  </si>
  <si>
    <t>70m</t>
    <phoneticPr fontId="9" type="noConversion"/>
  </si>
  <si>
    <t>100m</t>
    <phoneticPr fontId="9" type="noConversion"/>
  </si>
  <si>
    <t>4*</t>
    <phoneticPr fontId="9" type="noConversion"/>
  </si>
  <si>
    <t>海上</t>
    <phoneticPr fontId="9" type="noConversion"/>
  </si>
  <si>
    <t>1~2</t>
    <phoneticPr fontId="9" type="noConversion"/>
  </si>
  <si>
    <t>200GW</t>
    <phoneticPr fontId="9" type="noConversion"/>
  </si>
  <si>
    <t>2（没有做详细评估）</t>
    <phoneticPr fontId="9" type="noConversion"/>
  </si>
  <si>
    <t>5*</t>
    <phoneticPr fontId="9" type="noConversion"/>
  </si>
  <si>
    <t>太阳能</t>
    <phoneticPr fontId="9" type="noConversion"/>
  </si>
  <si>
    <t>全国太阳能资源及开发量分析 - 知乎 (zhihu.com)</t>
  </si>
  <si>
    <t>生物质能</t>
    <phoneticPr fontId="9" type="noConversion"/>
  </si>
  <si>
    <t>8.9亿tce</t>
    <phoneticPr fontId="9" type="noConversion"/>
  </si>
  <si>
    <t>水能</t>
    <phoneticPr fontId="9" type="noConversion"/>
  </si>
  <si>
    <t>5亿Kw</t>
    <phoneticPr fontId="9" type="noConversion"/>
  </si>
  <si>
    <t>地热能</t>
    <phoneticPr fontId="9" type="noConversion"/>
  </si>
  <si>
    <t>4626.5亿tce</t>
    <phoneticPr fontId="9" type="noConversion"/>
  </si>
  <si>
    <t>海洋能</t>
    <phoneticPr fontId="9" type="noConversion"/>
  </si>
  <si>
    <t>数据来源</t>
    <phoneticPr fontId="9" type="noConversion"/>
  </si>
  <si>
    <t>我国可再生能源中长期(2030、2050)发展战略目标与途径 - 中国知网 (cnki.net)</t>
  </si>
  <si>
    <t>中国可再生能源发展战略、规划和政策 - 中国知网 (cnki.net)</t>
  </si>
  <si>
    <t>环渤海地区风能资源开发与大规模非并网风电产业基地建设 - 中国知网 (cnki.net)</t>
  </si>
  <si>
    <t>中国风能资源的详查和评估 - 中国知网 (cnki.net)</t>
  </si>
  <si>
    <t>【中国气象局】</t>
    <phoneticPr fontId="9" type="noConversion"/>
  </si>
  <si>
    <t>气候变化背景下未来中国近海风能资源预估 - 中国知网 (cnki.net)</t>
  </si>
  <si>
    <t>山东</t>
    <phoneticPr fontId="9" type="noConversion"/>
  </si>
  <si>
    <t>占全国比</t>
    <phoneticPr fontId="9" type="noConversion"/>
  </si>
  <si>
    <t>占全国比（蕴藏量）</t>
    <phoneticPr fontId="9" type="noConversion"/>
  </si>
  <si>
    <t>99万kw？？</t>
    <phoneticPr fontId="9" type="noConversion"/>
  </si>
  <si>
    <t>第三次普查，中国风能资源的地理分布及风电开发利用初步评价 - 中国知网 (cnki.net)</t>
    <phoneticPr fontId="9" type="noConversion"/>
  </si>
  <si>
    <t>629000MW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</si>
</sst>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000%"/>
    <numFmt numFmtId="178" formatCode="#,##0_);[Red]\(#,##0\)"/>
  </numFmts>
  <fonts count="14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b/>
      <sz val="11"/>
      <name val="宋体"/>
      <family val="2"/>
      <scheme val="minor"/>
    </font>
    <font>
      <u/>
      <sz val="11"/>
      <color theme="10"/>
      <name val="宋体"/>
      <family val="2"/>
      <scheme val="minor"/>
    </font>
    <font>
      <i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8"/>
      <color rgb="FF666666"/>
      <name val="Microsoft yahei"/>
      <family val="2"/>
      <charset val="134"/>
    </font>
    <font>
      <sz val="8"/>
      <color rgb="FF333333"/>
      <name val="宋体"/>
      <family val="3"/>
      <charset val="134"/>
    </font>
    <font>
      <u/>
      <sz val="11"/>
      <color theme="10"/>
      <name val="宋体"/>
      <family val="2"/>
      <charset val="134"/>
      <scheme val="minor"/>
    </font>
    <font>
      <sz val="9"/>
      <color rgb="FF333333"/>
      <name val="Microsoft YaHei UI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8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46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76" fontId="0" fillId="0" borderId="0" xfId="0" applyNumberFormat="1"/>
    <xf numFmtId="176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77" fontId="0" fillId="0" borderId="0" xfId="1" applyNumberFormat="1" applyFon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" fontId="0" fillId="0" borderId="0" xfId="0" applyNumberFormat="1"/>
    <xf numFmtId="177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178" fontId="0" fillId="0" borderId="0" xfId="0" applyNumberFormat="1" applyAlignment="1">
      <alignment vertical="center"/>
    </xf>
    <xf numFmtId="0" fontId="8" fillId="5" borderId="0" xfId="3" applyFill="1">
      <alignment vertical="center"/>
    </xf>
    <xf numFmtId="0" fontId="8" fillId="0" borderId="0" xfId="3">
      <alignment vertical="center"/>
    </xf>
    <xf numFmtId="0" fontId="8" fillId="0" borderId="0" xfId="3" applyAlignment="1">
      <alignment horizontal="center" vertical="center"/>
    </xf>
    <xf numFmtId="0" fontId="8" fillId="6" borderId="0" xfId="3" applyFill="1" applyAlignment="1">
      <alignment horizontal="center" vertical="center"/>
    </xf>
    <xf numFmtId="0" fontId="8" fillId="7" borderId="0" xfId="3" applyFill="1" applyAlignment="1">
      <alignment horizontal="center" vertical="center"/>
    </xf>
    <xf numFmtId="0" fontId="10" fillId="0" borderId="0" xfId="3" applyFont="1" applyAlignment="1">
      <alignment horizontal="center" vertical="center"/>
    </xf>
    <xf numFmtId="0" fontId="11" fillId="0" borderId="0" xfId="3" applyFont="1">
      <alignment vertical="center"/>
    </xf>
    <xf numFmtId="0" fontId="12" fillId="0" borderId="0" xfId="4">
      <alignment vertical="center"/>
    </xf>
    <xf numFmtId="0" fontId="8" fillId="0" borderId="0" xfId="3" applyAlignment="1">
      <alignment horizontal="center" vertical="center" wrapText="1"/>
    </xf>
    <xf numFmtId="0" fontId="8" fillId="8" borderId="0" xfId="3" applyFill="1" applyAlignment="1">
      <alignment horizontal="center" vertical="center"/>
    </xf>
    <xf numFmtId="0" fontId="12" fillId="8" borderId="0" xfId="4" applyFill="1">
      <alignment vertical="center"/>
    </xf>
    <xf numFmtId="0" fontId="8" fillId="9" borderId="0" xfId="3" applyFill="1" applyAlignment="1">
      <alignment horizontal="center" vertical="center"/>
    </xf>
    <xf numFmtId="0" fontId="8" fillId="8" borderId="0" xfId="3" applyFill="1" applyAlignment="1">
      <alignment horizontal="left" vertical="center"/>
    </xf>
    <xf numFmtId="0" fontId="7" fillId="0" borderId="0" xfId="3" applyFont="1" applyAlignment="1">
      <alignment horizontal="center" vertical="center"/>
    </xf>
    <xf numFmtId="0" fontId="8" fillId="0" borderId="0" xfId="3" applyAlignment="1">
      <alignment horizontal="left" vertical="center"/>
    </xf>
    <xf numFmtId="0" fontId="8" fillId="10" borderId="0" xfId="3" applyFill="1" applyAlignment="1">
      <alignment horizontal="center" vertical="center"/>
    </xf>
    <xf numFmtId="0" fontId="8" fillId="10" borderId="0" xfId="3" applyFill="1" applyAlignment="1">
      <alignment horizontal="left" vertical="center"/>
    </xf>
    <xf numFmtId="11" fontId="8" fillId="0" borderId="0" xfId="3" applyNumberFormat="1" applyAlignment="1">
      <alignment horizontal="center" vertical="center"/>
    </xf>
    <xf numFmtId="0" fontId="8" fillId="6" borderId="0" xfId="3" applyFill="1">
      <alignment vertical="center"/>
    </xf>
    <xf numFmtId="0" fontId="12" fillId="0" borderId="0" xfId="4" applyAlignment="1">
      <alignment horizontal="left" vertical="center"/>
    </xf>
    <xf numFmtId="0" fontId="8" fillId="3" borderId="0" xfId="3" applyFill="1" applyAlignment="1">
      <alignment horizontal="left" vertical="center"/>
    </xf>
    <xf numFmtId="10" fontId="8" fillId="0" borderId="0" xfId="3" applyNumberFormat="1" applyAlignment="1">
      <alignment horizontal="center" vertical="center"/>
    </xf>
    <xf numFmtId="0" fontId="13" fillId="0" borderId="0" xfId="3" applyFont="1">
      <alignment vertical="center"/>
    </xf>
  </cellXfs>
  <cellStyles count="5">
    <cellStyle name="百分比" xfId="1" builtinId="5"/>
    <cellStyle name="常规" xfId="0" builtinId="0"/>
    <cellStyle name="常规 2" xfId="3" xr:uid="{FCFE3CE9-0880-4EB1-A70E-AAA6DE833079}"/>
    <cellStyle name="超链接" xfId="2" builtinId="8"/>
    <cellStyle name="超链接 2" xfId="4" xr:uid="{7D1038AB-8D1E-4770-9681-BD1420D4FA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129424</xdr:colOff>
      <xdr:row>10</xdr:row>
      <xdr:rowOff>99060</xdr:rowOff>
    </xdr:from>
    <xdr:to>
      <xdr:col>21</xdr:col>
      <xdr:colOff>627800</xdr:colOff>
      <xdr:row>32</xdr:row>
      <xdr:rowOff>135255</xdr:rowOff>
    </xdr:to>
    <xdr:pic>
      <xdr:nvPicPr>
        <xdr:cNvPr id="2" name="图片 1" descr="图1&#10;">
          <a:extLst>
            <a:ext uri="{FF2B5EF4-FFF2-40B4-BE49-F238E27FC236}">
              <a16:creationId xmlns:a16="http://schemas.microsoft.com/office/drawing/2014/main" id="{4D6E1859-1BFB-4EF8-9569-23AF8A6CA0AC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35949" y="2108835"/>
          <a:ext cx="4413151" cy="3808095"/>
        </a:xfrm>
        <a:prstGeom prst="rect">
          <a:avLst/>
        </a:prstGeom>
      </xdr:spPr>
    </xdr:pic>
    <xdr:clientData/>
  </xdr:twoCellAnchor>
  <xdr:twoCellAnchor editAs="oneCell">
    <xdr:from>
      <xdr:col>18</xdr:col>
      <xdr:colOff>342900</xdr:colOff>
      <xdr:row>26</xdr:row>
      <xdr:rowOff>83820</xdr:rowOff>
    </xdr:from>
    <xdr:to>
      <xdr:col>22</xdr:col>
      <xdr:colOff>476832</xdr:colOff>
      <xdr:row>48</xdr:row>
      <xdr:rowOff>64193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EEA7F0A-EAC3-499D-9074-3BA5089EE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49425" y="4989195"/>
          <a:ext cx="5820357" cy="3761798"/>
        </a:xfrm>
        <a:prstGeom prst="rect">
          <a:avLst/>
        </a:prstGeom>
      </xdr:spPr>
    </xdr:pic>
    <xdr:clientData/>
  </xdr:twoCellAnchor>
  <xdr:twoCellAnchor editAs="oneCell">
    <xdr:from>
      <xdr:col>18</xdr:col>
      <xdr:colOff>182880</xdr:colOff>
      <xdr:row>47</xdr:row>
      <xdr:rowOff>99061</xdr:rowOff>
    </xdr:from>
    <xdr:to>
      <xdr:col>24</xdr:col>
      <xdr:colOff>61535</xdr:colOff>
      <xdr:row>58</xdr:row>
      <xdr:rowOff>96283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76E8118C-DD99-4375-BAC8-1CD48B0B7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89405" y="8804911"/>
          <a:ext cx="6917630" cy="1883172"/>
        </a:xfrm>
        <a:prstGeom prst="rect">
          <a:avLst/>
        </a:prstGeom>
      </xdr:spPr>
    </xdr:pic>
    <xdr:clientData/>
  </xdr:twoCellAnchor>
  <xdr:twoCellAnchor editAs="oneCell">
    <xdr:from>
      <xdr:col>22</xdr:col>
      <xdr:colOff>217170</xdr:colOff>
      <xdr:row>10</xdr:row>
      <xdr:rowOff>142876</xdr:rowOff>
    </xdr:from>
    <xdr:to>
      <xdr:col>36</xdr:col>
      <xdr:colOff>240207</xdr:colOff>
      <xdr:row>34</xdr:row>
      <xdr:rowOff>92728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BA1AC184-EEDB-47AD-BEDB-F15A5E0E9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019645" y="2066926"/>
          <a:ext cx="9624237" cy="40646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343809</xdr:colOff>
      <xdr:row>31</xdr:row>
      <xdr:rowOff>153163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45275D9-B9AC-7528-8479-F57E98E2C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16009" cy="54681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zhuanlan.zhihu.com/p/366857483" TargetMode="External"/><Relationship Id="rId3" Type="http://schemas.openxmlformats.org/officeDocument/2006/relationships/hyperlink" Target="https://kns.cnki.net/kcms/detail/detail.aspx?dbcode=CJFD&amp;filename=FENE201108006&amp;v=MTA5NjBGckNVUjdpZlpPWnJGeWpnVkxyQkl5akZhN0c0SDlETXA0OUZZb1FLREg4NHZSNFQ2ajU0TzN6cXFCdEc=&amp;uid=WEEvREcwSlJHSldSdmVqMVc3NWZPZU14UnNmRkp3Qm1Bdmlud25GRW5rOD0=$9A4hF_YAuvQ5obgVAqNKPCYcEjKensW4ggI8Fm4gTkoUKaID8j8gFw!!" TargetMode="External"/><Relationship Id="rId7" Type="http://schemas.openxmlformats.org/officeDocument/2006/relationships/hyperlink" Target="https://zhuanlan.zhihu.com/p/366857483" TargetMode="External"/><Relationship Id="rId2" Type="http://schemas.openxmlformats.org/officeDocument/2006/relationships/hyperlink" Target="https://kns.cnki.net/kcms/detail/detail.aspx?dbcode=CJFD&amp;dbname=CJFD2010&amp;filename=FENE201004014&amp;uniplatform=NZKPT&amp;v=WjK4g5voES7xesnZgW74J2tPQabymvF3BBKD4sj2BNdOf40T33cH19xKkGdiAuAL" TargetMode="External"/><Relationship Id="rId1" Type="http://schemas.openxmlformats.org/officeDocument/2006/relationships/hyperlink" Target="https://kns.cnki.net/kcms/detail/detail.aspx?dbcode=CJFD&amp;dbname=CJFD2011&amp;filename=GCKX201106015&amp;uniplatform=NZKPT&amp;v=zkl0vjzF7dXjacwPbdMyWCc3TLWNKhFS_49yLNUll6VnsxgMBQdY8PIGWJmZLWZ4" TargetMode="External"/><Relationship Id="rId6" Type="http://schemas.openxmlformats.org/officeDocument/2006/relationships/hyperlink" Target="http://www.cma.gov.cn/kppd/kppdkpdt/201211/t20121127_192640.html" TargetMode="External"/><Relationship Id="rId5" Type="http://schemas.openxmlformats.org/officeDocument/2006/relationships/hyperlink" Target="https://kns.cnki.net/kcms/detail/detail.aspx?dbcode=CJFD&amp;dbname=CJFD2008&amp;filename=ZRZY200811005&amp;uniplatform=NZKPT&amp;v=B3cp3gfCWAx9jPTP1RE5tOY5T4xr2V3Q6WRvzV5QZ_4MQufzBdberPt4Jy__FgN_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kns.cnki.net/kcms/detail/detail.aspx?dbcode=CJFD&amp;dbname=CJFDAUTO&amp;filename=TYLX202201005&amp;uniplatform=NZKPT&amp;v=4-88attwqNOBLNV8w4sM64C_4yjkcL1XrQg6_p9rjchFPjzslZVeOs7qouhD6nxY" TargetMode="External"/><Relationship Id="rId9" Type="http://schemas.openxmlformats.org/officeDocument/2006/relationships/hyperlink" Target="https://doc.mbalib.com/view/b85b9c2f18e27ff34ccc6d70a6247c3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workbookViewId="0">
      <selection activeCell="A30" sqref="A30"/>
    </sheetView>
  </sheetViews>
  <sheetFormatPr defaultRowHeight="13.5"/>
  <cols>
    <col min="2" max="2" width="60.875" customWidth="1"/>
  </cols>
  <sheetData>
    <row r="1" spans="1:2">
      <c r="A1" s="1" t="s">
        <v>35</v>
      </c>
    </row>
    <row r="3" spans="1:2">
      <c r="A3" s="1" t="s">
        <v>0</v>
      </c>
      <c r="B3" s="2" t="s">
        <v>1</v>
      </c>
    </row>
    <row r="4" spans="1:2">
      <c r="B4" t="s">
        <v>3</v>
      </c>
    </row>
    <row r="5" spans="1:2">
      <c r="B5" s="4">
        <v>2012</v>
      </c>
    </row>
    <row r="6" spans="1:2">
      <c r="B6" t="s">
        <v>4</v>
      </c>
    </row>
    <row r="7" spans="1:2">
      <c r="B7" s="5" t="s">
        <v>5</v>
      </c>
    </row>
    <row r="8" spans="1:2">
      <c r="B8" t="s">
        <v>6</v>
      </c>
    </row>
    <row r="10" spans="1:2">
      <c r="B10" s="3" t="s">
        <v>2</v>
      </c>
    </row>
    <row r="11" spans="1:2">
      <c r="B11" t="s">
        <v>52</v>
      </c>
    </row>
    <row r="12" spans="1:2">
      <c r="B12" s="4">
        <v>2016</v>
      </c>
    </row>
    <row r="13" spans="1:2">
      <c r="B13" t="s">
        <v>53</v>
      </c>
    </row>
    <row r="14" spans="1:2">
      <c r="B14" s="5" t="s">
        <v>51</v>
      </c>
    </row>
    <row r="15" spans="1:2">
      <c r="B15" t="s">
        <v>50</v>
      </c>
    </row>
    <row r="17" spans="1:2">
      <c r="B17" s="2" t="s">
        <v>61</v>
      </c>
    </row>
    <row r="18" spans="1:2">
      <c r="B18" t="s">
        <v>81</v>
      </c>
    </row>
    <row r="19" spans="1:2">
      <c r="B19" s="4">
        <v>2016</v>
      </c>
    </row>
    <row r="20" spans="1:2">
      <c r="B20" t="s">
        <v>82</v>
      </c>
    </row>
    <row r="21" spans="1:2">
      <c r="B21" s="5" t="s">
        <v>83</v>
      </c>
    </row>
    <row r="23" spans="1:2">
      <c r="B23" s="19" t="s">
        <v>85</v>
      </c>
    </row>
    <row r="25" spans="1:2">
      <c r="A25" s="1" t="s">
        <v>86</v>
      </c>
    </row>
    <row r="26" spans="1:2">
      <c r="A26" t="s">
        <v>87</v>
      </c>
    </row>
    <row r="27" spans="1:2">
      <c r="A27" t="s">
        <v>88</v>
      </c>
    </row>
    <row r="28" spans="1:2">
      <c r="A28" t="s">
        <v>89</v>
      </c>
    </row>
    <row r="29" spans="1:2">
      <c r="A29" t="s">
        <v>90</v>
      </c>
    </row>
  </sheetData>
  <phoneticPr fontId="6" type="noConversion"/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/>
  </sheetViews>
  <sheetFormatPr defaultRowHeight="13.5"/>
  <cols>
    <col min="1" max="1" width="35.75" customWidth="1"/>
    <col min="2" max="2" width="24.75" customWidth="1"/>
    <col min="4" max="4" width="71" customWidth="1"/>
    <col min="5" max="5" width="16.25" customWidth="1"/>
    <col min="6" max="6" width="17" customWidth="1"/>
  </cols>
  <sheetData>
    <row r="1" spans="1:9">
      <c r="A1" s="1" t="s">
        <v>31</v>
      </c>
    </row>
    <row r="2" spans="1:9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>
      <c r="A3" t="s">
        <v>9</v>
      </c>
      <c r="B3">
        <v>1200</v>
      </c>
      <c r="D3" t="s">
        <v>43</v>
      </c>
      <c r="E3" s="8">
        <v>101.2</v>
      </c>
      <c r="F3" t="s">
        <v>49</v>
      </c>
    </row>
    <row r="4" spans="1:9">
      <c r="A4" t="s">
        <v>10</v>
      </c>
      <c r="B4">
        <v>153000</v>
      </c>
      <c r="D4" t="s">
        <v>44</v>
      </c>
      <c r="E4" s="8">
        <v>6.9</v>
      </c>
      <c r="F4" t="s">
        <v>48</v>
      </c>
    </row>
    <row r="5" spans="1:9">
      <c r="A5" t="s">
        <v>17</v>
      </c>
      <c r="B5">
        <v>664</v>
      </c>
      <c r="D5" t="s">
        <v>45</v>
      </c>
      <c r="E5">
        <v>12</v>
      </c>
      <c r="F5" t="s">
        <v>48</v>
      </c>
    </row>
    <row r="6" spans="1:9">
      <c r="A6" t="s">
        <v>11</v>
      </c>
      <c r="B6">
        <v>38000</v>
      </c>
      <c r="D6" s="6" t="s">
        <v>46</v>
      </c>
      <c r="E6" s="6">
        <v>2</v>
      </c>
      <c r="F6" t="s">
        <v>48</v>
      </c>
    </row>
    <row r="7" spans="1:9">
      <c r="A7" t="s">
        <v>12</v>
      </c>
      <c r="B7">
        <v>11000</v>
      </c>
      <c r="D7" s="6" t="s">
        <v>47</v>
      </c>
      <c r="E7" s="6">
        <v>65.5</v>
      </c>
      <c r="F7" t="s">
        <v>48</v>
      </c>
    </row>
    <row r="8" spans="1:9">
      <c r="A8" t="s">
        <v>13</v>
      </c>
      <c r="B8">
        <v>4200</v>
      </c>
      <c r="I8" s="8"/>
    </row>
    <row r="9" spans="1:9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>
      <c r="A10" t="s">
        <v>15</v>
      </c>
      <c r="B10" s="10">
        <v>38</v>
      </c>
      <c r="E10" s="6"/>
    </row>
    <row r="11" spans="1:9">
      <c r="A11" t="s">
        <v>16</v>
      </c>
      <c r="B11">
        <v>4000</v>
      </c>
      <c r="E11" s="6"/>
    </row>
    <row r="12" spans="1:9">
      <c r="A12" t="s">
        <v>2</v>
      </c>
      <c r="B12" s="10">
        <v>60</v>
      </c>
      <c r="D12" t="s">
        <v>18</v>
      </c>
    </row>
    <row r="13" spans="1:9">
      <c r="D13" t="s">
        <v>19</v>
      </c>
    </row>
    <row r="14" spans="1:9">
      <c r="A14" s="10" t="s">
        <v>32</v>
      </c>
      <c r="D14" t="s">
        <v>20</v>
      </c>
    </row>
    <row r="15" spans="1:9">
      <c r="D15" t="s">
        <v>21</v>
      </c>
    </row>
    <row r="16" spans="1:9">
      <c r="A16" s="2" t="s">
        <v>26</v>
      </c>
      <c r="B16" s="2" t="s">
        <v>27</v>
      </c>
      <c r="D16" s="6" t="s">
        <v>30</v>
      </c>
    </row>
    <row r="17" spans="1:6">
      <c r="A17" s="11" t="s">
        <v>28</v>
      </c>
      <c r="B17" s="11">
        <f>E9*1000</f>
        <v>187600.00000000003</v>
      </c>
      <c r="D17" s="1"/>
      <c r="E17" s="12"/>
      <c r="F17" s="13"/>
    </row>
    <row r="18" spans="1:6">
      <c r="A18" s="11" t="s">
        <v>56</v>
      </c>
      <c r="B18" s="11">
        <f>B7*1000</f>
        <v>11000000</v>
      </c>
      <c r="D18" s="1"/>
      <c r="E18" s="12"/>
      <c r="F18" s="13"/>
    </row>
    <row r="19" spans="1:6">
      <c r="A19" s="11" t="s">
        <v>33</v>
      </c>
      <c r="B19" s="11">
        <f>SUM(B3:B5)*1000</f>
        <v>154864000</v>
      </c>
      <c r="D19" s="2" t="s">
        <v>61</v>
      </c>
      <c r="E19" s="14"/>
      <c r="F19" s="2" t="s">
        <v>25</v>
      </c>
    </row>
    <row r="20" spans="1:6">
      <c r="A20" s="11" t="s">
        <v>34</v>
      </c>
      <c r="B20" s="11">
        <f>B6*1000</f>
        <v>38000000</v>
      </c>
      <c r="D20" t="s">
        <v>79</v>
      </c>
      <c r="E20" s="16">
        <v>1820</v>
      </c>
      <c r="F20" s="17" t="s">
        <v>66</v>
      </c>
    </row>
    <row r="21" spans="1:6">
      <c r="A21" s="11" t="s">
        <v>29</v>
      </c>
      <c r="B21" s="11">
        <f>B9*1000</f>
        <v>62000</v>
      </c>
    </row>
    <row r="22" spans="1:6">
      <c r="A22" s="11" t="s">
        <v>40</v>
      </c>
      <c r="B22" s="11">
        <f>B11*1000</f>
        <v>4000000</v>
      </c>
      <c r="D22" s="1" t="s">
        <v>67</v>
      </c>
    </row>
    <row r="23" spans="1:6">
      <c r="A23" s="11" t="s">
        <v>57</v>
      </c>
      <c r="B23" s="11">
        <f>B8*1000</f>
        <v>4200000</v>
      </c>
      <c r="D23" t="s">
        <v>68</v>
      </c>
      <c r="E23" s="8">
        <v>262.39999999999998</v>
      </c>
      <c r="F23" s="13" t="s">
        <v>84</v>
      </c>
    </row>
    <row r="24" spans="1:6">
      <c r="D24" t="s">
        <v>69</v>
      </c>
      <c r="E24" s="15">
        <v>33.57</v>
      </c>
      <c r="F24" s="13" t="s">
        <v>84</v>
      </c>
    </row>
    <row r="25" spans="1:6">
      <c r="A25" t="s">
        <v>62</v>
      </c>
      <c r="D25" t="s">
        <v>70</v>
      </c>
      <c r="E25">
        <v>67.8</v>
      </c>
      <c r="F25" s="13" t="s">
        <v>84</v>
      </c>
    </row>
    <row r="26" spans="1:6">
      <c r="A26" t="s">
        <v>63</v>
      </c>
      <c r="D26" t="s">
        <v>71</v>
      </c>
      <c r="E26">
        <v>23.4</v>
      </c>
      <c r="F26" s="13" t="s">
        <v>84</v>
      </c>
    </row>
    <row r="27" spans="1:6">
      <c r="A27" t="s">
        <v>64</v>
      </c>
      <c r="D27" t="s">
        <v>72</v>
      </c>
      <c r="E27">
        <v>137.69999999999999</v>
      </c>
      <c r="F27" s="13" t="s">
        <v>84</v>
      </c>
    </row>
    <row r="28" spans="1:6">
      <c r="A28" t="s">
        <v>65</v>
      </c>
    </row>
    <row r="29" spans="1:6">
      <c r="D29" t="s">
        <v>73</v>
      </c>
      <c r="E29" s="18">
        <v>0.83199999999999996</v>
      </c>
      <c r="F29" s="13" t="s">
        <v>84</v>
      </c>
    </row>
    <row r="30" spans="1:6">
      <c r="D30" s="19" t="s">
        <v>74</v>
      </c>
    </row>
    <row r="32" spans="1:6">
      <c r="D32" t="s">
        <v>75</v>
      </c>
    </row>
    <row r="33" spans="4:5">
      <c r="D33" t="s">
        <v>76</v>
      </c>
    </row>
    <row r="34" spans="4:5">
      <c r="D34" t="s">
        <v>77</v>
      </c>
    </row>
    <row r="36" spans="4:5">
      <c r="D36" t="s">
        <v>78</v>
      </c>
      <c r="E36" s="20">
        <f>E27*E29/E24</f>
        <v>3.4127613941018762</v>
      </c>
    </row>
    <row r="37" spans="4:5">
      <c r="D37" t="s">
        <v>80</v>
      </c>
      <c r="E37" s="21">
        <f>E20*(1+E36)</f>
        <v>8031.2257372654149</v>
      </c>
    </row>
  </sheetData>
  <phoneticPr fontId="6" type="noConversion"/>
  <pageMargins left="0.7" right="0.7" top="0.75" bottom="0.75" header="0.3" footer="0.3"/>
  <ignoredErrors>
    <ignoredError sqref="B19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65277-FD5E-483E-827D-0B63E000FA58}">
  <dimension ref="A1:X47"/>
  <sheetViews>
    <sheetView topLeftCell="A5" workbookViewId="0">
      <selection activeCell="E16" sqref="E16"/>
    </sheetView>
  </sheetViews>
  <sheetFormatPr defaultRowHeight="13.5"/>
  <cols>
    <col min="1" max="2" width="10.75" style="24" customWidth="1"/>
    <col min="3" max="16" width="10.75" style="25" customWidth="1"/>
    <col min="17" max="17" width="2.375" style="26" customWidth="1"/>
    <col min="18" max="18" width="10.75" style="25" customWidth="1"/>
    <col min="19" max="19" width="9" style="25"/>
    <col min="20" max="20" width="22.75" style="25" customWidth="1"/>
    <col min="21" max="21" width="19.75" style="25" customWidth="1"/>
    <col min="22" max="22" width="23.25" style="25" customWidth="1"/>
    <col min="23" max="24" width="9" style="25"/>
    <col min="25" max="16384" width="9" style="24"/>
  </cols>
  <sheetData>
    <row r="1" spans="1:22">
      <c r="A1" s="23" t="s">
        <v>91</v>
      </c>
      <c r="D1" s="25" t="s">
        <v>92</v>
      </c>
      <c r="G1" s="25" t="s">
        <v>92</v>
      </c>
      <c r="H1" s="25" t="s">
        <v>92</v>
      </c>
      <c r="I1" s="25" t="s">
        <v>92</v>
      </c>
      <c r="L1" s="25" t="s">
        <v>92</v>
      </c>
      <c r="M1" s="25" t="s">
        <v>93</v>
      </c>
      <c r="R1" s="25" t="s">
        <v>94</v>
      </c>
      <c r="T1" s="27" t="s">
        <v>95</v>
      </c>
      <c r="U1" s="27"/>
      <c r="V1" s="27"/>
    </row>
    <row r="2" spans="1:22" ht="30" customHeight="1">
      <c r="B2" s="24" t="s">
        <v>96</v>
      </c>
      <c r="D2" s="25" t="s">
        <v>97</v>
      </c>
      <c r="E2" s="25" t="s">
        <v>98</v>
      </c>
      <c r="G2" s="25" t="s">
        <v>99</v>
      </c>
      <c r="H2" s="25" t="s">
        <v>100</v>
      </c>
      <c r="I2" s="25" t="s">
        <v>101</v>
      </c>
      <c r="J2" s="25" t="s">
        <v>102</v>
      </c>
      <c r="K2" s="25" t="s">
        <v>103</v>
      </c>
      <c r="L2" s="25" t="s">
        <v>104</v>
      </c>
      <c r="M2" s="25" t="s">
        <v>105</v>
      </c>
      <c r="N2" s="28" t="s">
        <v>106</v>
      </c>
      <c r="O2" s="29" t="s">
        <v>107</v>
      </c>
      <c r="R2" s="30" t="s">
        <v>108</v>
      </c>
      <c r="S2" s="25" t="s">
        <v>109</v>
      </c>
      <c r="T2" s="31" t="s">
        <v>110</v>
      </c>
      <c r="U2" s="31"/>
      <c r="V2" s="31"/>
    </row>
    <row r="3" spans="1:22">
      <c r="B3" s="24" t="s">
        <v>111</v>
      </c>
      <c r="D3" s="25" t="s">
        <v>112</v>
      </c>
      <c r="G3" s="25">
        <v>43</v>
      </c>
      <c r="I3" s="25">
        <v>25</v>
      </c>
      <c r="J3" s="25" t="s">
        <v>113</v>
      </c>
      <c r="K3" s="25" t="s">
        <v>114</v>
      </c>
      <c r="O3" s="25" t="s">
        <v>115</v>
      </c>
    </row>
    <row r="4" spans="1:22">
      <c r="D4" s="32" t="s">
        <v>116</v>
      </c>
      <c r="G4" s="32" t="s">
        <v>116</v>
      </c>
      <c r="I4" s="32" t="s">
        <v>117</v>
      </c>
      <c r="J4" s="32" t="s">
        <v>118</v>
      </c>
      <c r="K4" s="32" t="s">
        <v>118</v>
      </c>
      <c r="O4" s="33" t="s">
        <v>119</v>
      </c>
    </row>
    <row r="5" spans="1:22">
      <c r="C5" s="25" t="s">
        <v>120</v>
      </c>
      <c r="D5" s="25" t="s">
        <v>121</v>
      </c>
      <c r="H5" s="34">
        <v>73</v>
      </c>
      <c r="I5" s="25">
        <v>23</v>
      </c>
    </row>
    <row r="6" spans="1:22">
      <c r="D6" s="32" t="s">
        <v>116</v>
      </c>
      <c r="H6" s="35" t="s">
        <v>122</v>
      </c>
      <c r="I6" s="32" t="s">
        <v>117</v>
      </c>
    </row>
    <row r="7" spans="1:22">
      <c r="C7" s="25" t="s">
        <v>123</v>
      </c>
      <c r="L7" s="25">
        <v>20</v>
      </c>
    </row>
    <row r="8" spans="1:22">
      <c r="C8" s="25" t="s">
        <v>124</v>
      </c>
      <c r="L8" s="36">
        <v>26</v>
      </c>
    </row>
    <row r="9" spans="1:22">
      <c r="C9" s="25" t="s">
        <v>125</v>
      </c>
      <c r="L9" s="25">
        <v>34</v>
      </c>
    </row>
    <row r="10" spans="1:22">
      <c r="I10" s="37"/>
      <c r="L10" s="32" t="s">
        <v>126</v>
      </c>
    </row>
    <row r="11" spans="1:22">
      <c r="C11" s="25" t="s">
        <v>127</v>
      </c>
      <c r="D11" s="38" t="s">
        <v>128</v>
      </c>
      <c r="E11" s="38" t="s">
        <v>129</v>
      </c>
      <c r="F11" s="38"/>
      <c r="I11" s="39" t="s">
        <v>130</v>
      </c>
    </row>
    <row r="12" spans="1:22">
      <c r="D12" s="32" t="s">
        <v>116</v>
      </c>
      <c r="E12" s="32" t="s">
        <v>131</v>
      </c>
      <c r="F12" s="32"/>
      <c r="I12" s="32" t="s">
        <v>117</v>
      </c>
    </row>
    <row r="15" spans="1:22">
      <c r="B15" s="24" t="s">
        <v>132</v>
      </c>
      <c r="D15" s="36">
        <v>22</v>
      </c>
      <c r="E15" s="25">
        <v>156</v>
      </c>
      <c r="G15" s="40">
        <v>45000000</v>
      </c>
    </row>
    <row r="16" spans="1:22">
      <c r="D16" s="32" t="s">
        <v>116</v>
      </c>
      <c r="E16" s="33" t="s">
        <v>133</v>
      </c>
      <c r="F16" s="33"/>
      <c r="G16" s="32" t="s">
        <v>116</v>
      </c>
    </row>
    <row r="17" spans="2:24">
      <c r="B17" s="24" t="s">
        <v>134</v>
      </c>
      <c r="M17" s="25" t="s">
        <v>135</v>
      </c>
    </row>
    <row r="18" spans="2:24">
      <c r="M18" s="32" t="s">
        <v>116</v>
      </c>
    </row>
    <row r="19" spans="2:24">
      <c r="B19" s="24" t="s">
        <v>136</v>
      </c>
      <c r="D19" s="25">
        <v>5</v>
      </c>
      <c r="G19" s="25">
        <v>6</v>
      </c>
      <c r="N19" s="25" t="s">
        <v>137</v>
      </c>
    </row>
    <row r="20" spans="2:24">
      <c r="D20" s="32" t="s">
        <v>116</v>
      </c>
      <c r="G20" s="32" t="s">
        <v>116</v>
      </c>
      <c r="N20" s="32" t="s">
        <v>117</v>
      </c>
    </row>
    <row r="21" spans="2:24">
      <c r="B21" s="24" t="s">
        <v>138</v>
      </c>
      <c r="D21" s="25">
        <v>0.2</v>
      </c>
      <c r="G21" s="25" t="s">
        <v>139</v>
      </c>
    </row>
    <row r="22" spans="2:24">
      <c r="D22" s="32" t="s">
        <v>116</v>
      </c>
      <c r="G22" s="32" t="s">
        <v>116</v>
      </c>
    </row>
    <row r="23" spans="2:24">
      <c r="B23" s="24" t="s">
        <v>140</v>
      </c>
      <c r="D23" s="25">
        <v>9.9</v>
      </c>
      <c r="G23" s="25">
        <v>6100</v>
      </c>
    </row>
    <row r="24" spans="2:24">
      <c r="D24" s="32" t="s">
        <v>116</v>
      </c>
      <c r="G24" s="32" t="s">
        <v>116</v>
      </c>
    </row>
    <row r="25" spans="2:24" s="41" customFormat="1"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</row>
    <row r="26" spans="2:24">
      <c r="B26" s="24" t="s">
        <v>141</v>
      </c>
    </row>
    <row r="27" spans="2:24">
      <c r="B27" s="37" t="s">
        <v>116</v>
      </c>
      <c r="C27" s="42" t="s">
        <v>142</v>
      </c>
    </row>
    <row r="28" spans="2:24">
      <c r="B28" s="37" t="s">
        <v>117</v>
      </c>
      <c r="C28" s="42" t="s">
        <v>143</v>
      </c>
    </row>
    <row r="29" spans="2:24">
      <c r="B29" s="37" t="s">
        <v>118</v>
      </c>
      <c r="C29" s="42" t="s">
        <v>144</v>
      </c>
    </row>
    <row r="30" spans="2:24">
      <c r="B30" s="43" t="s">
        <v>126</v>
      </c>
      <c r="C30" s="42" t="s">
        <v>145</v>
      </c>
      <c r="E30" s="38" t="s">
        <v>146</v>
      </c>
      <c r="F30" s="38"/>
      <c r="G30" s="25" t="s">
        <v>92</v>
      </c>
    </row>
    <row r="31" spans="2:24">
      <c r="B31" s="37" t="s">
        <v>131</v>
      </c>
      <c r="C31" s="42" t="s">
        <v>147</v>
      </c>
    </row>
    <row r="35" spans="1:6">
      <c r="A35" s="23" t="s">
        <v>148</v>
      </c>
    </row>
    <row r="36" spans="1:6">
      <c r="B36" s="24" t="s">
        <v>96</v>
      </c>
      <c r="C36" s="25" t="s">
        <v>149</v>
      </c>
      <c r="D36" s="25" t="s">
        <v>97</v>
      </c>
      <c r="E36" s="25" t="s">
        <v>150</v>
      </c>
    </row>
    <row r="37" spans="1:6">
      <c r="B37" s="24" t="s">
        <v>111</v>
      </c>
      <c r="C37" s="44">
        <v>1.6E-2</v>
      </c>
      <c r="D37" s="25" t="s">
        <v>151</v>
      </c>
      <c r="E37" s="44">
        <v>1.4E-2</v>
      </c>
      <c r="F37" s="44"/>
    </row>
    <row r="38" spans="1:6">
      <c r="C38" s="32" t="s">
        <v>118</v>
      </c>
      <c r="D38" s="35" t="s">
        <v>152</v>
      </c>
      <c r="E38" s="35" t="s">
        <v>152</v>
      </c>
      <c r="F38" s="32"/>
    </row>
    <row r="41" spans="1:6" ht="14.25">
      <c r="B41" s="24" t="s">
        <v>132</v>
      </c>
      <c r="D41" s="45" t="s">
        <v>153</v>
      </c>
      <c r="E41" s="44">
        <v>4.0300000000000002E-2</v>
      </c>
      <c r="F41" s="44"/>
    </row>
    <row r="42" spans="1:6">
      <c r="D42" s="30" t="s">
        <v>133</v>
      </c>
    </row>
    <row r="43" spans="1:6">
      <c r="B43" s="24" t="s">
        <v>134</v>
      </c>
    </row>
    <row r="44" spans="1:6">
      <c r="B44" s="24" t="s">
        <v>136</v>
      </c>
    </row>
    <row r="46" spans="1:6">
      <c r="B46" s="24" t="s">
        <v>138</v>
      </c>
    </row>
    <row r="47" spans="1:6">
      <c r="B47" s="24" t="s">
        <v>140</v>
      </c>
    </row>
  </sheetData>
  <mergeCells count="2">
    <mergeCell ref="T1:V1"/>
    <mergeCell ref="T2:V2"/>
  </mergeCells>
  <phoneticPr fontId="6" type="noConversion"/>
  <hyperlinks>
    <hyperlink ref="C27" r:id="rId1" display="https://kns.cnki.net/kcms/detail/detail.aspx?dbcode=CJFD&amp;dbname=CJFD2011&amp;filename=GCKX201106015&amp;uniplatform=NZKPT&amp;v=zkl0vjzF7dXjacwPbdMyWCc3TLWNKhFS_49yLNUll6VnsxgMBQdY8PIGWJmZLWZ4" xr:uid="{DD6C025C-3464-4F8F-93EC-25C47C200838}"/>
    <hyperlink ref="C28" r:id="rId2" display="https://kns.cnki.net/kcms/detail/detail.aspx?dbcode=CJFD&amp;dbname=CJFD2010&amp;filename=FENE201004014&amp;uniplatform=NZKPT&amp;v=WjK4g5voES7xesnZgW74J2tPQabymvF3BBKD4sj2BNdOf40T33cH19xKkGdiAuAL" xr:uid="{E5CA41AF-A718-42CC-8716-460EB75C0FC5}"/>
    <hyperlink ref="C30" r:id="rId3" display="https://kns.cnki.net/kcms/detail/detail.aspx?dbcode=CJFD&amp;filename=FENE201108006&amp;v=MTA5NjBGckNVUjdpZlpPWnJGeWpnVkxyQkl5akZhN0c0SDlETXA0OUZZb1FLREg4NHZSNFQ2ajU0TzN6cXFCdEc=&amp;uid=WEEvREcwSlJHSldSdmVqMVc3NWZPZU14UnNmRkp3Qm1Bdmlud25GRW5rOD0=$9A4hF_YAuvQ5obgVAqNKPCYcEjKensW4ggI8Fm4gTkoUKaID8j8gFw!!" xr:uid="{A0E940CF-382F-4ADD-B8A2-D5F349BF47C6}"/>
    <hyperlink ref="C31" r:id="rId4" display="https://kns.cnki.net/kcms/detail/detail.aspx?dbcode=CJFD&amp;dbname=CJFDAUTO&amp;filename=TYLX202201005&amp;uniplatform=NZKPT&amp;v=4-88attwqNOBLNV8w4sM64C_4yjkcL1XrQg6_p9rjchFPjzslZVeOs7qouhD6nxY" xr:uid="{544E4A08-C080-4354-8506-86DF58764E58}"/>
    <hyperlink ref="C29" r:id="rId5" display="https://kns.cnki.net/kcms/detail/detail.aspx?dbcode=CJFD&amp;dbname=CJFD2008&amp;filename=ZRZY200811005&amp;uniplatform=NZKPT&amp;v=B3cp3gfCWAx9jPTP1RE5tOY5T4xr2V3Q6WRvzV5QZ_4MQufzBdberPt4Jy__FgN_" xr:uid="{34983B2D-BE2B-431A-8E2E-D346A92A0023}"/>
    <hyperlink ref="O4" r:id="rId6" display="http://www.cma.gov.cn/kppd/kppdkpdt/201211/t20121127_192640.html" xr:uid="{7971A7E9-C7C3-4957-975D-F5733B1A3FDB}"/>
    <hyperlink ref="D42" r:id="rId7" display="https://zhuanlan.zhihu.com/p/366857483" xr:uid="{41A6D669-0033-40F7-A852-8B87892C74DA}"/>
    <hyperlink ref="E16" r:id="rId8" display="https://zhuanlan.zhihu.com/p/366857483" xr:uid="{DB6F0063-804F-4292-B210-3F2CA878FEC2}"/>
    <hyperlink ref="R2" r:id="rId9" display="https://doc.mbalib.com/view/b85b9c2f18e27ff34ccc6d70a6247c3e.html" xr:uid="{7A677589-1DD3-4209-88CE-6B690CD891E7}"/>
  </hyperlinks>
  <pageMargins left="0.7" right="0.7" top="0.75" bottom="0.75" header="0.3" footer="0.3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0B250-73A4-48DF-A547-43BE8702B37E}">
  <dimension ref="A1"/>
  <sheetViews>
    <sheetView workbookViewId="0">
      <selection activeCell="D34" sqref="D34"/>
    </sheetView>
  </sheetViews>
  <sheetFormatPr defaultRowHeight="13.5"/>
  <sheetData/>
  <phoneticPr fontId="6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17"/>
  <sheetViews>
    <sheetView tabSelected="1" workbookViewId="0">
      <selection activeCell="B9" sqref="B9"/>
    </sheetView>
  </sheetViews>
  <sheetFormatPr defaultRowHeight="13.5"/>
  <cols>
    <col min="1" max="1" width="22" customWidth="1"/>
    <col min="2" max="2" width="27.25" customWidth="1"/>
  </cols>
  <sheetData>
    <row r="1" spans="1:2">
      <c r="A1" s="1" t="s">
        <v>37</v>
      </c>
      <c r="B1" s="1" t="s">
        <v>38</v>
      </c>
    </row>
    <row r="2" spans="1:2">
      <c r="A2" t="s">
        <v>55</v>
      </c>
      <c r="B2" s="22">
        <v>9000000000000</v>
      </c>
    </row>
    <row r="3" spans="1:2">
      <c r="A3" t="s">
        <v>39</v>
      </c>
      <c r="B3" s="22">
        <v>9000000000000</v>
      </c>
    </row>
    <row r="4" spans="1:2">
      <c r="A4" t="s">
        <v>36</v>
      </c>
      <c r="B4" s="22">
        <v>9000000000000</v>
      </c>
    </row>
    <row r="5" spans="1:2">
      <c r="A5" t="s">
        <v>28</v>
      </c>
      <c r="B5" s="22">
        <v>542000</v>
      </c>
    </row>
    <row r="6" spans="1:2">
      <c r="A6" t="s">
        <v>56</v>
      </c>
      <c r="B6" s="22">
        <f>72*10^5</f>
        <v>7200000</v>
      </c>
    </row>
    <row r="7" spans="1:2">
      <c r="A7" t="s">
        <v>33</v>
      </c>
      <c r="B7" s="22">
        <f>156*10^5</f>
        <v>15600000</v>
      </c>
    </row>
    <row r="8" spans="1:2">
      <c r="A8" t="s">
        <v>34</v>
      </c>
      <c r="B8" s="22">
        <f>B7*0.2</f>
        <v>3120000</v>
      </c>
    </row>
    <row r="9" spans="1:2">
      <c r="A9" t="s">
        <v>29</v>
      </c>
      <c r="B9" s="22">
        <f>中国!D15*10^5</f>
        <v>2200000</v>
      </c>
    </row>
    <row r="10" spans="1:2">
      <c r="A10" t="s">
        <v>40</v>
      </c>
      <c r="B10" s="22">
        <f>0.2*10^5</f>
        <v>20000</v>
      </c>
    </row>
    <row r="11" spans="1:2">
      <c r="A11" t="s">
        <v>41</v>
      </c>
      <c r="B11" s="22">
        <v>9000000000000</v>
      </c>
    </row>
    <row r="12" spans="1:2">
      <c r="A12" t="s">
        <v>42</v>
      </c>
      <c r="B12" s="22">
        <v>9000000000000</v>
      </c>
    </row>
    <row r="13" spans="1:2">
      <c r="A13" t="s">
        <v>54</v>
      </c>
      <c r="B13" s="22">
        <v>9000000000000</v>
      </c>
    </row>
    <row r="14" spans="1:2">
      <c r="A14" t="s">
        <v>57</v>
      </c>
      <c r="B14" s="22">
        <f>7.5*10^5</f>
        <v>750000</v>
      </c>
    </row>
    <row r="15" spans="1:2">
      <c r="A15" t="s">
        <v>58</v>
      </c>
      <c r="B15" s="22">
        <v>9000000000000</v>
      </c>
    </row>
    <row r="16" spans="1:2">
      <c r="A16" t="s">
        <v>59</v>
      </c>
      <c r="B16" s="22">
        <v>9000000000000</v>
      </c>
    </row>
    <row r="17" spans="1:2">
      <c r="A17" t="s">
        <v>60</v>
      </c>
      <c r="B17" s="22">
        <v>300000</v>
      </c>
    </row>
  </sheetData>
  <phoneticPr fontId="6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About</vt:lpstr>
      <vt:lpstr>Data</vt:lpstr>
      <vt:lpstr>中国</vt:lpstr>
      <vt:lpstr>Hydro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admin</cp:lastModifiedBy>
  <dcterms:created xsi:type="dcterms:W3CDTF">2015-01-16T02:18:43Z</dcterms:created>
  <dcterms:modified xsi:type="dcterms:W3CDTF">2023-03-01T04:05:28Z</dcterms:modified>
</cp:coreProperties>
</file>