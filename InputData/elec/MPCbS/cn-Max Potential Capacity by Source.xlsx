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firstSheet="3" activeTab="6"/>
  </bookViews>
  <sheets>
    <sheet name="About" sheetId="1" r:id="rId1"/>
    <sheet name="Wind &amp; Solar - Most Updated" sheetId="8" r:id="rId2"/>
    <sheet name="Wind IEA" sheetId="5" state="hidden" r:id="rId3"/>
    <sheet name="Hydro" sheetId="9" r:id="rId4"/>
    <sheet name="Biomass and MSW" sheetId="10" r:id="rId5"/>
    <sheet name="Geothermal" sheetId="11" r:id="rId6"/>
    <sheet name="Solar Thermal" sheetId="12" r:id="rId7"/>
    <sheet name="MPCbS"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<sst xmlns="http://schemas.openxmlformats.org/spreadsheetml/2006/main" count="224" uniqueCount="191">
  <si>
    <t>MPCbS Max Potential Capacity by Source</t>
  </si>
  <si>
    <t>Source:</t>
  </si>
  <si>
    <t>Wind and Solar</t>
  </si>
  <si>
    <t>Technology Outlook on Wind and Solar Power toward China’s Carbon Neutrality Goal</t>
  </si>
  <si>
    <t>Institute for Carbon Neutrality, Tsinghua University</t>
  </si>
  <si>
    <t>https://www.icon.tsinghua.edu.cn/__local/6/95/2F/2E40B08AF86764D6680DC9C7404_3BCB5C27_1CD0BD9.pdf</t>
  </si>
  <si>
    <t>Hydro</t>
  </si>
  <si>
    <t>China Society for Hydropower Engineering</t>
  </si>
  <si>
    <t>Overview of China Hydropower</t>
  </si>
  <si>
    <t>中国水能资源概况</t>
  </si>
  <si>
    <t>Biomass and MSW</t>
  </si>
  <si>
    <t>2020-2024 China Biomass Energy Utilization Industry In-depth Analysis and Development Planning Consultation Report</t>
  </si>
  <si>
    <t>https://www.163.com/dy/article/FOOLBG0T0538A21J.html</t>
  </si>
  <si>
    <t>Geothermal</t>
  </si>
  <si>
    <t>China Energy News</t>
  </si>
  <si>
    <t>https://paper.people.com.cn/zgnyb/html/2023-07/17/content_26007385.htm</t>
  </si>
  <si>
    <t>Solar Thermal</t>
  </si>
  <si>
    <t>China's New Energy Base Development and New Pumped Storage Report</t>
  </si>
  <si>
    <t>Global Energy Internet Development Cooperation Organization</t>
  </si>
  <si>
    <t>https://www.iwra.org/proceedings/congress/resource/IWRA2023_Beijing_China_20230912_SS_2_1_ORAL_20230904_%E4%B8%AD%E5%9B%BD%E6%96%B0%E8%83%BD%E6%BA%90%E5%9F%BA%E5%9C%B0%E5%8C%96%E5%BC%80%E5%8F%91%E4%B8%8E%E6%96%B0%E5%9E%8B%E6%8A%BD%E6%B0%B4%E8%93%84%E8%83%BDv3.pdf</t>
  </si>
  <si>
    <t>Notes:</t>
  </si>
  <si>
    <t xml:space="preserve">Though we have a value for thermal resources and nuclear, we assume these actually </t>
  </si>
  <si>
    <t>have unlimited potential because there is no technical resource limitation for China.</t>
  </si>
  <si>
    <r>
      <rPr>
        <sz val="10"/>
        <rFont val="Arial"/>
        <charset val="134"/>
      </rPr>
      <t>Data are gathered from different sources. Normally the technical potential (</t>
    </r>
    <r>
      <rPr>
        <sz val="10"/>
        <rFont val="等线"/>
        <charset val="134"/>
      </rPr>
      <t>技术可开发量）</t>
    </r>
    <r>
      <rPr>
        <sz val="10"/>
        <rFont val="Arial"/>
        <charset val="134"/>
      </rPr>
      <t>is used here.</t>
    </r>
  </si>
  <si>
    <t>技术可开发量</t>
  </si>
  <si>
    <t>每年理论蕴藏量</t>
  </si>
  <si>
    <t>区域电网</t>
  </si>
  <si>
    <t>省份</t>
  </si>
  <si>
    <t>风能(吉瓦)</t>
  </si>
  <si>
    <t>陆上风能(吉瓦)</t>
  </si>
  <si>
    <t>海上风能(吉瓦)</t>
  </si>
  <si>
    <t>光伏(吉瓦)</t>
  </si>
  <si>
    <t>集中式光伏(吉瓦)</t>
  </si>
  <si>
    <t>分布式光伏(吉瓦)</t>
  </si>
  <si>
    <t>每年理论超载量-风能(万亿千瓦时)</t>
  </si>
  <si>
    <t>每年理论超载量-光伏(万亿千瓦时)</t>
  </si>
  <si>
    <t>年消耗量(万亿千瓦时)</t>
  </si>
  <si>
    <t>东南</t>
  </si>
  <si>
    <t>重庆</t>
  </si>
  <si>
    <t>贵州</t>
  </si>
  <si>
    <t>四川</t>
  </si>
  <si>
    <t>西藏</t>
  </si>
  <si>
    <t>华南</t>
  </si>
  <si>
    <t>广东</t>
  </si>
  <si>
    <t>广西</t>
  </si>
  <si>
    <t>海南</t>
  </si>
  <si>
    <t>台湾</t>
  </si>
  <si>
    <t>香港</t>
  </si>
  <si>
    <t>云南</t>
  </si>
  <si>
    <t>华中</t>
  </si>
  <si>
    <t>河南</t>
  </si>
  <si>
    <t>湖北</t>
  </si>
  <si>
    <t>湖南</t>
  </si>
  <si>
    <t>江西</t>
  </si>
  <si>
    <t>华东</t>
  </si>
  <si>
    <t>安徽</t>
  </si>
  <si>
    <t>福建</t>
  </si>
  <si>
    <t>江苏</t>
  </si>
  <si>
    <t>上海</t>
  </si>
  <si>
    <t>浙江</t>
  </si>
  <si>
    <t>全国</t>
  </si>
  <si>
    <t>中国碳中和目标下的风光技术展望</t>
  </si>
  <si>
    <r>
      <rPr>
        <sz val="10"/>
        <rFont val="Arial"/>
        <charset val="134"/>
      </rPr>
      <t xml:space="preserve">(by </t>
    </r>
    <r>
      <rPr>
        <sz val="10"/>
        <rFont val="SimSun"/>
        <charset val="134"/>
      </rPr>
      <t>清华碳中和研究院</t>
    </r>
    <r>
      <rPr>
        <sz val="10"/>
        <rFont val="Arial"/>
        <charset val="134"/>
      </rPr>
      <t>)</t>
    </r>
  </si>
  <si>
    <t>Total tech potential in TWh</t>
  </si>
  <si>
    <t>Capacity Factor</t>
  </si>
  <si>
    <t>Calculated potential in MW</t>
  </si>
  <si>
    <t>Total capacity potential (GW)</t>
  </si>
  <si>
    <t>省市区</t>
  </si>
  <si>
    <t>理论蕴藏量</t>
  </si>
  <si>
    <r>
      <rPr>
        <sz val="10"/>
        <rFont val="宋体"/>
        <charset val="134"/>
      </rPr>
      <t>经济可开发量</t>
    </r>
  </si>
  <si>
    <r>
      <rPr>
        <sz val="10"/>
        <rFont val="宋体"/>
        <charset val="134"/>
      </rPr>
      <t>年电量（亿</t>
    </r>
    <r>
      <rPr>
        <sz val="10"/>
        <rFont val="Arial"/>
        <charset val="134"/>
      </rPr>
      <t>kWh)</t>
    </r>
  </si>
  <si>
    <r>
      <rPr>
        <sz val="10"/>
        <rFont val="宋体"/>
        <charset val="134"/>
      </rPr>
      <t>平均功率（</t>
    </r>
    <r>
      <rPr>
        <sz val="10"/>
        <rFont val="Arial"/>
        <charset val="134"/>
      </rPr>
      <t>MW)</t>
    </r>
  </si>
  <si>
    <t>电站数（座）</t>
  </si>
  <si>
    <r>
      <rPr>
        <sz val="10"/>
        <rFont val="宋体"/>
        <charset val="134"/>
      </rPr>
      <t>装机容量（</t>
    </r>
    <r>
      <rPr>
        <sz val="10"/>
        <rFont val="Arial"/>
        <charset val="134"/>
      </rPr>
      <t>MW</t>
    </r>
    <r>
      <rPr>
        <sz val="10"/>
        <rFont val="宋体"/>
        <charset val="134"/>
      </rPr>
      <t>）</t>
    </r>
  </si>
  <si>
    <r>
      <rPr>
        <sz val="10"/>
        <rFont val="宋体"/>
        <charset val="134"/>
      </rPr>
      <t>年发电量（亿</t>
    </r>
    <r>
      <rPr>
        <sz val="10"/>
        <rFont val="Arial"/>
        <charset val="134"/>
      </rPr>
      <t>kWh</t>
    </r>
    <r>
      <rPr>
        <sz val="10"/>
        <rFont val="宋体"/>
        <charset val="134"/>
      </rPr>
      <t>）</t>
    </r>
  </si>
  <si>
    <t>京津冀</t>
  </si>
  <si>
    <t>179+12</t>
  </si>
  <si>
    <t>10441/2</t>
  </si>
  <si>
    <t>山西</t>
  </si>
  <si>
    <t>169+7/2</t>
  </si>
  <si>
    <t>149+7/2</t>
  </si>
  <si>
    <t>内蒙古</t>
  </si>
  <si>
    <t>103+102</t>
  </si>
  <si>
    <t>82+10/2</t>
  </si>
  <si>
    <t>辽宁</t>
  </si>
  <si>
    <t>200+3/2</t>
  </si>
  <si>
    <t>171+3/2</t>
  </si>
  <si>
    <t>吉林</t>
  </si>
  <si>
    <t>188+14/2</t>
  </si>
  <si>
    <t>157+14/2</t>
  </si>
  <si>
    <t>黑龙江</t>
  </si>
  <si>
    <t>166+11/2</t>
  </si>
  <si>
    <t>111+11/2</t>
  </si>
  <si>
    <t>上海江苏</t>
  </si>
  <si>
    <t>1070+4/2</t>
  </si>
  <si>
    <t>1064+4/2</t>
  </si>
  <si>
    <t>1031+4/2</t>
  </si>
  <si>
    <t>1027+4/2</t>
  </si>
  <si>
    <t>山东</t>
  </si>
  <si>
    <t>214+32</t>
  </si>
  <si>
    <t>137+3/2</t>
  </si>
  <si>
    <t>704+2/2</t>
  </si>
  <si>
    <t>649+2/2</t>
  </si>
  <si>
    <t>967+2/2</t>
  </si>
  <si>
    <t>769+2/2</t>
  </si>
  <si>
    <t>821+5/2</t>
  </si>
  <si>
    <t>759+52</t>
  </si>
  <si>
    <t>1992+27/2</t>
  </si>
  <si>
    <t>1836+19/2</t>
  </si>
  <si>
    <t>574+27/2</t>
  </si>
  <si>
    <t>448+26/2</t>
  </si>
  <si>
    <t>769+27/2</t>
  </si>
  <si>
    <t>729+25/2</t>
  </si>
  <si>
    <t>陕西</t>
  </si>
  <si>
    <t>333+5/2</t>
  </si>
  <si>
    <t>343+6/2</t>
  </si>
  <si>
    <t>312+6/2</t>
  </si>
  <si>
    <t>甘肃</t>
  </si>
  <si>
    <t>310+11/2</t>
  </si>
  <si>
    <t>195+10/2</t>
  </si>
  <si>
    <t>青海</t>
  </si>
  <si>
    <t>229+12/2</t>
  </si>
  <si>
    <t>170+8/2</t>
  </si>
  <si>
    <t>宁夏</t>
  </si>
  <si>
    <t>10+1/2</t>
  </si>
  <si>
    <t>新疆</t>
  </si>
  <si>
    <t>合计</t>
  </si>
  <si>
    <t>13286+28/2</t>
  </si>
  <si>
    <t>11653+27/2</t>
  </si>
  <si>
    <t>流  域</t>
  </si>
  <si>
    <t>理论出力（万kW）</t>
  </si>
  <si>
    <t>年发电量（亿kWh）</t>
  </si>
  <si>
    <t>占全国（%）</t>
  </si>
  <si>
    <t>装机容量（万kW）</t>
  </si>
  <si>
    <t>长江</t>
  </si>
  <si>
    <t>黄河</t>
  </si>
  <si>
    <t>珠江</t>
  </si>
  <si>
    <t>海滦河</t>
  </si>
  <si>
    <t>淮河</t>
  </si>
  <si>
    <t>东北诸河</t>
  </si>
  <si>
    <t>东南沿海诸河</t>
  </si>
  <si>
    <t>西南国际诸河</t>
  </si>
  <si>
    <t>雅鲁藏布江及西藏其它河流</t>
  </si>
  <si>
    <t>北方内陆及新疆诸河</t>
  </si>
  <si>
    <t>（顿标准煤）</t>
  </si>
  <si>
    <t>MWh</t>
  </si>
  <si>
    <t>MW</t>
  </si>
  <si>
    <t>农业废弃物资源量</t>
  </si>
  <si>
    <t>林业废弃物资源量</t>
  </si>
  <si>
    <t>其余相关有机废弃物</t>
  </si>
  <si>
    <t>1ton of coal equivalent =</t>
  </si>
  <si>
    <t>Annual operation hour</t>
  </si>
  <si>
    <t>hr</t>
  </si>
  <si>
    <t>https://baijiahao.baidu.com/s?id=1773037600839236818&amp;wfr=spider&amp;for=pc</t>
  </si>
  <si>
    <t>2021 Installed Geothermal Capacity by Country</t>
  </si>
  <si>
    <t>China's geothermal development in the past has mainly been for cooling and heating purpose, for its high temp geothermal resources are located in either south western region or south eastern region</t>
  </si>
  <si>
    <r>
      <rPr>
        <u/>
        <sz val="10"/>
        <color rgb="FF800080"/>
        <rFont val="SimSun"/>
        <charset val="134"/>
      </rPr>
      <t>地热发电亟待政策扶一把</t>
    </r>
    <r>
      <rPr>
        <u/>
        <sz val="10"/>
        <color rgb="FF800080"/>
        <rFont val="Arial"/>
        <charset val="134"/>
      </rPr>
      <t xml:space="preserve"> (people.com.cn)</t>
    </r>
  </si>
  <si>
    <t>目前，我国适于发电的高温地热资源发电潜力845.9万千瓦，资源量级虽不大，</t>
  </si>
  <si>
    <t>Elec</t>
  </si>
  <si>
    <t>Heat</t>
  </si>
  <si>
    <t>但都分布在缺煤少电的西藏川西滇西地热带和东南沿海闽粤琼地热带，地热发电对支撑当地的电力供需十分重要，但现实却是，这些地方的地热发电产业发展较为滞缓。</t>
  </si>
  <si>
    <t>China National</t>
  </si>
  <si>
    <t>South West China</t>
  </si>
  <si>
    <t>据中国地质调查局评价结果，全国336个地级以上城市浅层地热能年可开采资源量折合7亿吨标准煤,</t>
  </si>
  <si>
    <r>
      <rPr>
        <sz val="10"/>
        <rFont val="宋体"/>
        <charset val="134"/>
      </rPr>
      <t>全国水热型地热资源量折合</t>
    </r>
    <r>
      <rPr>
        <sz val="10"/>
        <rFont val="Arial"/>
        <charset val="134"/>
      </rPr>
      <t>1.25</t>
    </r>
    <r>
      <rPr>
        <sz val="10"/>
        <rFont val="宋体"/>
        <charset val="134"/>
      </rPr>
      <t>万亿吨标准煤，年可开采资源量折合</t>
    </r>
    <r>
      <rPr>
        <sz val="10"/>
        <rFont val="Arial"/>
        <charset val="134"/>
      </rPr>
      <t>19</t>
    </r>
    <r>
      <rPr>
        <sz val="10"/>
        <rFont val="宋体"/>
        <charset val="134"/>
      </rPr>
      <t>亿吨标准煤，埋深在</t>
    </r>
    <r>
      <rPr>
        <sz val="10"/>
        <rFont val="Arial"/>
        <charset val="134"/>
      </rPr>
      <t>3000</t>
    </r>
    <r>
      <rPr>
        <sz val="10"/>
        <rFont val="宋体"/>
        <charset val="134"/>
      </rPr>
      <t>米至</t>
    </r>
    <r>
      <rPr>
        <sz val="10"/>
        <rFont val="Arial"/>
        <charset val="134"/>
      </rPr>
      <t>1</t>
    </r>
    <r>
      <rPr>
        <sz val="10"/>
        <rFont val="宋体"/>
        <charset val="134"/>
      </rPr>
      <t>万米的干热岩资源量折合</t>
    </r>
    <r>
      <rPr>
        <sz val="10"/>
        <rFont val="Arial"/>
        <charset val="134"/>
      </rPr>
      <t>856</t>
    </r>
    <r>
      <rPr>
        <sz val="10"/>
        <rFont val="宋体"/>
        <charset val="134"/>
      </rPr>
      <t>万亿吨标准煤。</t>
    </r>
  </si>
  <si>
    <t>适用于发电的高温地热资源发电潜力</t>
  </si>
  <si>
    <t>kW</t>
  </si>
  <si>
    <t>中低温水热型地热能资源占比达95%以上，主要分布在华北、松辽、苏北、江汉、鄂尔多斯、四川等平原（盆地）以及东南沿海、胶东半岛和辽东半岛等山地丘陵地区，可用于供暖、工业干燥、旅游和种养植等；</t>
  </si>
  <si>
    <r>
      <rPr>
        <sz val="10"/>
        <rFont val="宋体"/>
        <charset val="134"/>
      </rPr>
      <t>高温水热型地热能资源主要分布于西藏南部、云南西部、四川西部和台湾省，西南地区高温水热型地热能年可采资源量折合</t>
    </r>
    <r>
      <rPr>
        <sz val="10"/>
        <rFont val="Arial"/>
        <charset val="134"/>
      </rPr>
      <t>1800</t>
    </r>
    <r>
      <rPr>
        <sz val="10"/>
        <rFont val="宋体"/>
        <charset val="134"/>
      </rPr>
      <t>万吨标准煤，发</t>
    </r>
  </si>
  <si>
    <t>电潜力7120兆瓦，地热能资源的梯级高效开发利用可满足四川西部、西藏南部少数民族地区约50%人口的用电和供暖需求。</t>
  </si>
  <si>
    <t>光热技术可开发量</t>
  </si>
  <si>
    <t>《中国新能源基地化开发与新型抽水蓄能》</t>
  </si>
  <si>
    <t>全球能源互联网发展合作组织</t>
  </si>
  <si>
    <t>Electricity Source</t>
  </si>
  <si>
    <t>Max Potential Capacity (MW)</t>
  </si>
  <si>
    <t>hard coal</t>
  </si>
  <si>
    <t>natural gas nonpeaker</t>
  </si>
  <si>
    <t>nuclear</t>
  </si>
  <si>
    <t>hydro</t>
  </si>
  <si>
    <t>wind</t>
  </si>
  <si>
    <t>solar PV</t>
  </si>
  <si>
    <t>solar thermal</t>
  </si>
  <si>
    <t>biomass</t>
  </si>
  <si>
    <t>geothermal</t>
  </si>
  <si>
    <t>petroleum</t>
  </si>
  <si>
    <t>natural gas peaker</t>
  </si>
  <si>
    <t>lignite</t>
  </si>
  <si>
    <t>offshore wind</t>
  </si>
  <si>
    <t>crude oil</t>
  </si>
  <si>
    <t>heavy or residual fuel oil</t>
  </si>
  <si>
    <t>municipal solid waste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</si>
</sst>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 ?/?"/>
    <numFmt numFmtId="178" formatCode="0_ "/>
  </numFmts>
  <fonts count="34">
    <font>
      <sz val="11"/>
      <color theme="1"/>
      <name val="宋体"/>
      <charset val="134"/>
      <scheme val="minor"/>
    </font>
    <font>
      <b/>
      <sz val="11"/>
      <color theme="1"/>
      <name val="宋体"/>
      <charset val="134"/>
      <scheme val="minor"/>
    </font>
    <font>
      <u/>
      <sz val="11"/>
      <color rgb="FF800080"/>
      <name val="宋体"/>
      <charset val="134"/>
      <scheme val="minor"/>
    </font>
    <font>
      <sz val="10"/>
      <name val="Arial"/>
      <charset val="134"/>
    </font>
    <font>
      <u/>
      <sz val="10"/>
      <color rgb="FF800080"/>
      <name val="SimSun"/>
      <charset val="134"/>
    </font>
    <font>
      <sz val="10"/>
      <name val="宋体"/>
      <charset val="134"/>
    </font>
    <font>
      <b/>
      <sz val="10"/>
      <name val="宋体"/>
      <charset val="134"/>
    </font>
    <font>
      <u/>
      <sz val="11"/>
      <color theme="10"/>
      <name val="宋体"/>
      <charset val="134"/>
      <scheme val="minor"/>
    </font>
    <font>
      <sz val="10"/>
      <name val="宋体"/>
      <charset val="134"/>
      <scheme val="minor"/>
    </font>
    <font>
      <sz val="10"/>
      <name val="SimSun"/>
      <charset val="134"/>
    </font>
    <font>
      <sz val="11"/>
      <color theme="1"/>
      <name val="Calibri"/>
      <charset val="134"/>
    </font>
    <font>
      <b/>
      <sz val="11"/>
      <color theme="1"/>
      <name val="Calibri"/>
      <charset val="134"/>
    </font>
    <font>
      <u/>
      <sz val="11"/>
      <color theme="10"/>
      <name val="Calibri"/>
      <charset val="134"/>
    </font>
    <font>
      <u/>
      <sz val="10"/>
      <color theme="1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800080"/>
      <name val="Arial"/>
      <charset val="134"/>
    </font>
    <font>
      <sz val="10"/>
      <name val="等线"/>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14" fillId="0" borderId="0" applyNumberFormat="0" applyFill="0" applyBorder="0" applyAlignment="0" applyProtection="0">
      <alignment vertical="center"/>
    </xf>
    <xf numFmtId="0" fontId="0" fillId="3"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4" borderId="5" applyNumberFormat="0" applyAlignment="0" applyProtection="0">
      <alignment vertical="center"/>
    </xf>
    <xf numFmtId="0" fontId="22" fillId="5" borderId="6" applyNumberFormat="0" applyAlignment="0" applyProtection="0">
      <alignment vertical="center"/>
    </xf>
    <xf numFmtId="0" fontId="23" fillId="5" borderId="5" applyNumberFormat="0" applyAlignment="0" applyProtection="0">
      <alignment vertical="center"/>
    </xf>
    <xf numFmtId="0" fontId="24" fillId="6"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0" fillId="0" borderId="0"/>
    <xf numFmtId="0" fontId="0" fillId="0" borderId="0"/>
  </cellStyleXfs>
  <cellXfs count="36">
    <xf numFmtId="0" fontId="0" fillId="0" borderId="0" xfId="0"/>
    <xf numFmtId="0" fontId="1" fillId="0" borderId="0" xfId="50" applyFont="1"/>
    <xf numFmtId="0" fontId="0" fillId="0" borderId="0" xfId="50"/>
    <xf numFmtId="0" fontId="0" fillId="0" borderId="0" xfId="0" applyAlignment="1">
      <alignment vertical="center" wrapText="1"/>
    </xf>
    <xf numFmtId="0" fontId="2" fillId="0" borderId="0" xfId="6" applyFont="1"/>
    <xf numFmtId="0" fontId="3" fillId="0" borderId="0" xfId="0" applyFont="1" applyFill="1" applyAlignment="1">
      <alignment vertical="center"/>
    </xf>
    <xf numFmtId="0" fontId="4" fillId="0" borderId="0" xfId="6" applyFont="1" applyAlignment="1">
      <alignment vertical="center"/>
    </xf>
    <xf numFmtId="0" fontId="5" fillId="0" borderId="0" xfId="0" applyFont="1" applyFill="1" applyAlignment="1">
      <alignment vertical="center"/>
    </xf>
    <xf numFmtId="0" fontId="3" fillId="0" borderId="0" xfId="0" applyFont="1" applyFill="1" applyAlignment="1">
      <alignment horizontal="center" vertical="center"/>
    </xf>
    <xf numFmtId="0" fontId="6" fillId="0" borderId="0" xfId="0" applyFont="1" applyFill="1" applyAlignment="1">
      <alignment vertical="center" wrapText="1"/>
    </xf>
    <xf numFmtId="0" fontId="7" fillId="0" borderId="0" xfId="6" applyFill="1" applyAlignment="1">
      <alignment vertical="center"/>
    </xf>
    <xf numFmtId="11" fontId="3" fillId="0" borderId="0" xfId="0" applyNumberFormat="1" applyFont="1" applyFill="1" applyAlignment="1">
      <alignment vertical="center"/>
    </xf>
    <xf numFmtId="0" fontId="3" fillId="0" borderId="0" xfId="0" applyFont="1" applyFill="1" applyAlignment="1">
      <alignment vertical="center" wrapText="1"/>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5" fillId="0" borderId="1" xfId="0" applyFont="1" applyFill="1" applyBorder="1" applyAlignment="1">
      <alignment vertical="center"/>
    </xf>
    <xf numFmtId="176" fontId="3" fillId="0" borderId="1" xfId="0" applyNumberFormat="1" applyFont="1" applyFill="1" applyBorder="1" applyAlignment="1">
      <alignment horizontal="center" vertical="center"/>
    </xf>
    <xf numFmtId="177" fontId="3" fillId="0" borderId="1" xfId="0" applyNumberFormat="1" applyFont="1" applyFill="1" applyBorder="1" applyAlignment="1">
      <alignment horizontal="center" vertical="center"/>
    </xf>
    <xf numFmtId="0" fontId="8" fillId="0" borderId="1" xfId="0" applyFont="1" applyFill="1" applyBorder="1" applyAlignment="1">
      <alignment vertical="center" wrapText="1"/>
    </xf>
    <xf numFmtId="178" fontId="8" fillId="0" borderId="1" xfId="0" applyNumberFormat="1" applyFont="1" applyFill="1" applyBorder="1" applyAlignment="1">
      <alignment vertical="center" wrapText="1"/>
    </xf>
    <xf numFmtId="0" fontId="9" fillId="0" borderId="0" xfId="0" applyFont="1" applyFill="1" applyAlignment="1">
      <alignment horizontal="left" vertical="center" wrapText="1"/>
    </xf>
    <xf numFmtId="0" fontId="3" fillId="0" borderId="0" xfId="0" applyFont="1" applyFill="1" applyAlignment="1">
      <alignment horizontal="left" vertical="center" wrapText="1"/>
    </xf>
    <xf numFmtId="0" fontId="0" fillId="0" borderId="1" xfId="0" applyFont="1" applyFill="1" applyBorder="1" applyAlignment="1">
      <alignment wrapText="1"/>
    </xf>
    <xf numFmtId="0" fontId="1" fillId="0" borderId="1" xfId="0" applyFont="1" applyFill="1" applyBorder="1" applyAlignment="1">
      <alignment horizontal="center" vertical="top"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center" wrapText="1"/>
    </xf>
    <xf numFmtId="0" fontId="10" fillId="0" borderId="0" xfId="0" applyFont="1"/>
    <xf numFmtId="0" fontId="11" fillId="0" borderId="0" xfId="0" applyFont="1"/>
    <xf numFmtId="0" fontId="11" fillId="2" borderId="0" xfId="0" applyFont="1" applyFill="1"/>
    <xf numFmtId="0" fontId="12" fillId="0" borderId="0" xfId="6" applyFont="1" applyFill="1"/>
    <xf numFmtId="0" fontId="3" fillId="0" borderId="0" xfId="0" applyFont="1" applyFill="1" applyAlignment="1">
      <alignment horizontal="left" vertical="center"/>
    </xf>
    <xf numFmtId="0" fontId="13" fillId="0" borderId="0" xfId="6" applyFont="1" applyAlignment="1">
      <alignment vertical="center"/>
    </xf>
    <xf numFmtId="0" fontId="10" fillId="0" borderId="0" xfId="0" applyFont="1" applyAlignment="1">
      <alignment horizontal="left"/>
    </xf>
    <xf numFmtId="0" fontId="10" fillId="0" borderId="0" xfId="0" applyFont="1" applyAlignment="1">
      <alignment horizontal="left"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5"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38100</xdr:colOff>
      <xdr:row>0</xdr:row>
      <xdr:rowOff>635</xdr:rowOff>
    </xdr:from>
    <xdr:to>
      <xdr:col>10</xdr:col>
      <xdr:colOff>412750</xdr:colOff>
      <xdr:row>29</xdr:row>
      <xdr:rowOff>22860</xdr:rowOff>
    </xdr:to>
    <xdr:pic>
      <xdr:nvPicPr>
        <xdr:cNvPr id="2" name="图片 1"/>
        <xdr:cNvPicPr>
          <a:picLocks noChangeAspect="1"/>
        </xdr:cNvPicPr>
      </xdr:nvPicPr>
      <xdr:blipFill>
        <a:blip r:embed="rId1"/>
        <a:stretch>
          <a:fillRect/>
        </a:stretch>
      </xdr:blipFill>
      <xdr:spPr>
        <a:xfrm>
          <a:off x="1397000" y="635"/>
          <a:ext cx="5810250" cy="5756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33</xdr:row>
      <xdr:rowOff>0</xdr:rowOff>
    </xdr:from>
    <xdr:to>
      <xdr:col>10</xdr:col>
      <xdr:colOff>341630</xdr:colOff>
      <xdr:row>47</xdr:row>
      <xdr:rowOff>8890</xdr:rowOff>
    </xdr:to>
    <xdr:pic>
      <xdr:nvPicPr>
        <xdr:cNvPr id="2" name="图片 1"/>
        <xdr:cNvPicPr>
          <a:picLocks noChangeAspect="1"/>
        </xdr:cNvPicPr>
      </xdr:nvPicPr>
      <xdr:blipFill>
        <a:blip r:embed="rId1"/>
        <a:stretch>
          <a:fillRect/>
        </a:stretch>
      </xdr:blipFill>
      <xdr:spPr>
        <a:xfrm>
          <a:off x="628650" y="5600700"/>
          <a:ext cx="7035800" cy="2447290"/>
        </a:xfrm>
        <a:prstGeom prst="rect">
          <a:avLst/>
        </a:prstGeom>
      </xdr:spPr>
    </xdr:pic>
    <xdr:clientData/>
  </xdr:twoCellAnchor>
  <xdr:twoCellAnchor editAs="oneCell">
    <xdr:from>
      <xdr:col>11</xdr:col>
      <xdr:colOff>0</xdr:colOff>
      <xdr:row>0</xdr:row>
      <xdr:rowOff>0</xdr:rowOff>
    </xdr:from>
    <xdr:to>
      <xdr:col>19</xdr:col>
      <xdr:colOff>484505</xdr:colOff>
      <xdr:row>36</xdr:row>
      <xdr:rowOff>122555</xdr:rowOff>
    </xdr:to>
    <xdr:pic>
      <xdr:nvPicPr>
        <xdr:cNvPr id="3" name="图片 2"/>
        <xdr:cNvPicPr>
          <a:picLocks noChangeAspect="1"/>
        </xdr:cNvPicPr>
      </xdr:nvPicPr>
      <xdr:blipFill>
        <a:blip r:embed="rId2"/>
        <a:stretch>
          <a:fillRect/>
        </a:stretch>
      </xdr:blipFill>
      <xdr:spPr>
        <a:xfrm>
          <a:off x="7951470" y="0"/>
          <a:ext cx="7128510" cy="6199505"/>
        </a:xfrm>
        <a:prstGeom prst="rect">
          <a:avLst/>
        </a:prstGeom>
      </xdr:spPr>
    </xdr:pic>
    <xdr:clientData/>
  </xdr:twoCellAnchor>
  <xdr:twoCellAnchor editAs="oneCell">
    <xdr:from>
      <xdr:col>20</xdr:col>
      <xdr:colOff>0</xdr:colOff>
      <xdr:row>0</xdr:row>
      <xdr:rowOff>0</xdr:rowOff>
    </xdr:from>
    <xdr:to>
      <xdr:col>30</xdr:col>
      <xdr:colOff>579755</xdr:colOff>
      <xdr:row>35</xdr:row>
      <xdr:rowOff>65405</xdr:rowOff>
    </xdr:to>
    <xdr:pic>
      <xdr:nvPicPr>
        <xdr:cNvPr id="4" name="图片 3"/>
        <xdr:cNvPicPr>
          <a:picLocks noChangeAspect="1"/>
        </xdr:cNvPicPr>
      </xdr:nvPicPr>
      <xdr:blipFill>
        <a:blip r:embed="rId3"/>
        <a:stretch>
          <a:fillRect/>
        </a:stretch>
      </xdr:blipFill>
      <xdr:spPr>
        <a:xfrm>
          <a:off x="15353665" y="0"/>
          <a:ext cx="6866255" cy="59836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596900</xdr:colOff>
      <xdr:row>2</xdr:row>
      <xdr:rowOff>50800</xdr:rowOff>
    </xdr:from>
    <xdr:to>
      <xdr:col>17</xdr:col>
      <xdr:colOff>398145</xdr:colOff>
      <xdr:row>17</xdr:row>
      <xdr:rowOff>50800</xdr:rowOff>
    </xdr:to>
    <xdr:pic>
      <xdr:nvPicPr>
        <xdr:cNvPr id="2" name="图片 1"/>
        <xdr:cNvPicPr>
          <a:picLocks noChangeAspect="1"/>
        </xdr:cNvPicPr>
      </xdr:nvPicPr>
      <xdr:blipFill>
        <a:blip r:embed="rId1"/>
        <a:stretch>
          <a:fillRect/>
        </a:stretch>
      </xdr:blipFill>
      <xdr:spPr>
        <a:xfrm>
          <a:off x="6703060" y="368300"/>
          <a:ext cx="7085330" cy="2381250"/>
        </a:xfrm>
        <a:prstGeom prst="rect">
          <a:avLst/>
        </a:prstGeom>
        <a:noFill/>
        <a:ln w="9525">
          <a:noFill/>
        </a:ln>
      </xdr:spPr>
    </xdr:pic>
    <xdr:clientData/>
  </xdr:twoCellAnchor>
  <xdr:twoCellAnchor editAs="oneCell">
    <xdr:from>
      <xdr:col>6</xdr:col>
      <xdr:colOff>775335</xdr:colOff>
      <xdr:row>20</xdr:row>
      <xdr:rowOff>101600</xdr:rowOff>
    </xdr:from>
    <xdr:to>
      <xdr:col>16</xdr:col>
      <xdr:colOff>375920</xdr:colOff>
      <xdr:row>27</xdr:row>
      <xdr:rowOff>133350</xdr:rowOff>
    </xdr:to>
    <xdr:pic>
      <xdr:nvPicPr>
        <xdr:cNvPr id="3" name="图片 2"/>
        <xdr:cNvPicPr>
          <a:picLocks noChangeAspect="1"/>
        </xdr:cNvPicPr>
      </xdr:nvPicPr>
      <xdr:blipFill>
        <a:blip r:embed="rId2"/>
        <a:stretch>
          <a:fillRect/>
        </a:stretch>
      </xdr:blipFill>
      <xdr:spPr>
        <a:xfrm>
          <a:off x="6881495" y="3302000"/>
          <a:ext cx="6256020" cy="14732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9</xdr:col>
      <xdr:colOff>598805</xdr:colOff>
      <xdr:row>19</xdr:row>
      <xdr:rowOff>142240</xdr:rowOff>
    </xdr:to>
    <xdr:pic>
      <xdr:nvPicPr>
        <xdr:cNvPr id="2" name="图片 1"/>
        <xdr:cNvPicPr>
          <a:picLocks noChangeAspect="1"/>
        </xdr:cNvPicPr>
      </xdr:nvPicPr>
      <xdr:blipFill>
        <a:blip r:embed="rId1"/>
        <a:stretch>
          <a:fillRect/>
        </a:stretch>
      </xdr:blipFill>
      <xdr:spPr>
        <a:xfrm>
          <a:off x="628650" y="158750"/>
          <a:ext cx="5628005" cy="299974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495935</xdr:colOff>
      <xdr:row>3</xdr:row>
      <xdr:rowOff>121285</xdr:rowOff>
    </xdr:from>
    <xdr:to>
      <xdr:col>6</xdr:col>
      <xdr:colOff>471805</xdr:colOff>
      <xdr:row>12</xdr:row>
      <xdr:rowOff>146685</xdr:rowOff>
    </xdr:to>
    <xdr:pic>
      <xdr:nvPicPr>
        <xdr:cNvPr id="2" name="图片 1"/>
        <xdr:cNvPicPr>
          <a:picLocks noChangeAspect="1"/>
        </xdr:cNvPicPr>
      </xdr:nvPicPr>
      <xdr:blipFill>
        <a:blip r:embed="rId1"/>
        <a:stretch>
          <a:fillRect/>
        </a:stretch>
      </xdr:blipFill>
      <xdr:spPr>
        <a:xfrm>
          <a:off x="1105535" y="654685"/>
          <a:ext cx="3995420" cy="1625600"/>
        </a:xfrm>
        <a:prstGeom prst="rect">
          <a:avLst/>
        </a:prstGeom>
        <a:noFill/>
        <a:ln w="9525">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iwra.org/proceedings/congress/resource/IWRA2023_Beijing_China_20230912_SS_2_1_ORAL_20230904_%E4%B8%AD%E5%9B%BD%E6%96%B0%E8%83%BD%E6%BA%90%E5%9F%BA%E5%9C%B0%E5%8C%96%E5%BC%80%E5%8F%91%E4%B8%8E%E6%96%B0%E5%9E%8B%E6%8A%BD%E6%B0%B4%E8%93%84%E8%83%BDv3.pdf" TargetMode="External"/><Relationship Id="rId3" Type="http://schemas.openxmlformats.org/officeDocument/2006/relationships/hyperlink" Target="https://www.163.com/dy/article/FOOLBG0T0538A21J.html" TargetMode="External"/><Relationship Id="rId2" Type="http://schemas.openxmlformats.org/officeDocument/2006/relationships/hyperlink" Target="http://www.hydropower.org.cn/showNewsDetail.asp?nsId=938" TargetMode="External"/><Relationship Id="rId1" Type="http://schemas.openxmlformats.org/officeDocument/2006/relationships/hyperlink" Target="http://www.nea.gov.cn/2013-02/20/c_132180424_2.htm;%20the%20outlook%20of%20global%20renewable%20energi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163.com/dy/article/FOOLBG0T0538A21J.html" TargetMode="Externa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hyperlink" Target="http://paper.people.com.cn/zgnyb/html/2023-07/17/content_26007385.htm" TargetMode="Externa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iwra.org/proceedings/congress/resource/IWRA2023_Beijing_China_20230912_SS_2_1_ORAL_20230904_%E4%B8%AD%E5%9B%BD%E6%96%B0%E8%83%BD%E6%BA%90%E5%9F%BA%E5%9C%B0%E5%8C%96%E5%BC%80%E5%8F%91%E4%B8%8E%E6%96%B0%E5%9E%8B%E6%8A%BD%E6%B0%B4%E8%93%84%E8%83%BDv3.pdf"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topLeftCell="A25" workbookViewId="0">
      <selection activeCell="D28" sqref="D28"/>
    </sheetView>
  </sheetViews>
  <sheetFormatPr defaultColWidth="9.09090909090909" defaultRowHeight="14.5" outlineLevelCol="1"/>
  <cols>
    <col min="1" max="1" width="9.09090909090909" style="28"/>
    <col min="2" max="2" width="60.8181818181818" style="28" customWidth="1"/>
    <col min="3" max="16384" width="9.09090909090909" style="28"/>
  </cols>
  <sheetData>
    <row r="1" spans="1:1">
      <c r="A1" s="29" t="s">
        <v>0</v>
      </c>
    </row>
    <row r="3" spans="1:2">
      <c r="A3" s="29" t="s">
        <v>1</v>
      </c>
      <c r="B3" s="30" t="s">
        <v>2</v>
      </c>
    </row>
    <row r="4" spans="2:2">
      <c r="B4" s="28" t="s">
        <v>3</v>
      </c>
    </row>
    <row r="5" spans="2:2">
      <c r="B5" s="28" t="s">
        <v>4</v>
      </c>
    </row>
    <row r="6" spans="2:2">
      <c r="B6" s="31" t="s">
        <v>5</v>
      </c>
    </row>
    <row r="7" spans="2:2">
      <c r="B7" s="31"/>
    </row>
    <row r="8" spans="2:2">
      <c r="B8" s="30" t="s">
        <v>6</v>
      </c>
    </row>
    <row r="9" spans="2:2">
      <c r="B9" s="32" t="s">
        <v>7</v>
      </c>
    </row>
    <row r="10" spans="2:2">
      <c r="B10" s="32" t="s">
        <v>8</v>
      </c>
    </row>
    <row r="11" spans="2:2">
      <c r="B11" s="32">
        <v>2009</v>
      </c>
    </row>
    <row r="12" spans="2:2">
      <c r="B12" s="33" t="s">
        <v>9</v>
      </c>
    </row>
    <row r="13" spans="2:2">
      <c r="B13" s="33"/>
    </row>
    <row r="14" spans="2:2">
      <c r="B14" s="30" t="s">
        <v>10</v>
      </c>
    </row>
    <row r="15" spans="2:2">
      <c r="B15" s="32" t="s">
        <v>11</v>
      </c>
    </row>
    <row r="16" spans="2:2">
      <c r="B16" s="32" t="s">
        <v>12</v>
      </c>
    </row>
    <row r="18" spans="2:2">
      <c r="B18" s="30" t="s">
        <v>13</v>
      </c>
    </row>
    <row r="19" spans="2:2">
      <c r="B19" s="28" t="s">
        <v>14</v>
      </c>
    </row>
    <row r="20" spans="2:2">
      <c r="B20" s="34" t="s">
        <v>15</v>
      </c>
    </row>
    <row r="22" spans="2:2">
      <c r="B22" s="30" t="s">
        <v>16</v>
      </c>
    </row>
    <row r="23" spans="2:2">
      <c r="B23" s="32" t="s">
        <v>17</v>
      </c>
    </row>
    <row r="24" spans="2:2">
      <c r="B24" s="32" t="s">
        <v>18</v>
      </c>
    </row>
    <row r="25" ht="72.5" spans="2:2">
      <c r="B25" s="35" t="s">
        <v>19</v>
      </c>
    </row>
    <row r="27" spans="1:1">
      <c r="A27" s="29" t="s">
        <v>20</v>
      </c>
    </row>
    <row r="28" spans="1:1">
      <c r="A28" s="28" t="s">
        <v>21</v>
      </c>
    </row>
    <row r="29" spans="1:1">
      <c r="A29" s="28" t="s">
        <v>22</v>
      </c>
    </row>
    <row r="31" spans="1:1">
      <c r="A31" s="32" t="s">
        <v>23</v>
      </c>
    </row>
  </sheetData>
  <hyperlinks>
    <hyperlink ref="B5" r:id="rId1" display="Institute for Carbon Neutrality, Tsinghua University"/>
    <hyperlink ref="B12" r:id="rId2" display="中国水能资源概况"/>
    <hyperlink ref="B16" r:id="rId3" display="https://www.163.com/dy/article/FOOLBG0T0538A21J.html"/>
    <hyperlink ref="B25" r:id="rId4" display="https://www.iwra.org/proceedings/congress/resource/IWRA2023_Beijing_China_20230912_SS_2_1_ORAL_20230904_%E4%B8%AD%E5%9B%BD%E6%96%B0%E8%83%BD%E6%BA%90%E5%9F%BA%E5%9C%B0%E5%8C%96%E5%BC%80%E5%8F%91%E4%B8%8E%E6%96%B0%E5%9E%8B%E6%8A%BD%E6%B0%B4%E8%93%84%E8%83%BDv3.pdf"/>
  </hyperlinks>
  <pageMargins left="0.7" right="0.7" top="0.75" bottom="0.75" header="0.3" footer="0.3"/>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6:X40"/>
  <sheetViews>
    <sheetView topLeftCell="A30" workbookViewId="0">
      <selection activeCell="I51" sqref="I51"/>
    </sheetView>
  </sheetViews>
  <sheetFormatPr defaultColWidth="9.72727272727273" defaultRowHeight="12.5"/>
  <cols>
    <col min="1" max="13" width="9.72727272727273" style="5"/>
    <col min="14" max="24" width="9.54545454545454" style="5" customWidth="1"/>
    <col min="25" max="16384" width="9.72727272727273" style="5"/>
  </cols>
  <sheetData>
    <row r="6" ht="14" spans="14:24">
      <c r="N6" s="24"/>
      <c r="O6" s="24"/>
      <c r="P6" s="25" t="s">
        <v>24</v>
      </c>
      <c r="Q6" s="25"/>
      <c r="R6" s="25"/>
      <c r="S6" s="25"/>
      <c r="T6" s="25"/>
      <c r="U6" s="25" t="s">
        <v>25</v>
      </c>
      <c r="V6" s="25"/>
      <c r="W6" s="25"/>
      <c r="X6" s="24"/>
    </row>
    <row r="7" ht="70" spans="14:24">
      <c r="N7" s="25" t="s">
        <v>26</v>
      </c>
      <c r="O7" s="25" t="s">
        <v>27</v>
      </c>
      <c r="P7" s="25" t="s">
        <v>28</v>
      </c>
      <c r="Q7" s="25" t="s">
        <v>29</v>
      </c>
      <c r="R7" s="25" t="s">
        <v>30</v>
      </c>
      <c r="S7" s="25" t="s">
        <v>31</v>
      </c>
      <c r="T7" s="25" t="s">
        <v>32</v>
      </c>
      <c r="U7" s="25" t="s">
        <v>33</v>
      </c>
      <c r="V7" s="25" t="s">
        <v>34</v>
      </c>
      <c r="W7" s="25" t="s">
        <v>35</v>
      </c>
      <c r="X7" s="25" t="s">
        <v>36</v>
      </c>
    </row>
    <row r="8" ht="14" spans="14:24">
      <c r="N8" s="26" t="s">
        <v>37</v>
      </c>
      <c r="O8" s="24" t="s">
        <v>38</v>
      </c>
      <c r="P8" s="24">
        <v>43</v>
      </c>
      <c r="Q8" s="24">
        <v>43</v>
      </c>
      <c r="R8" s="24">
        <v>0</v>
      </c>
      <c r="S8" s="24">
        <v>22</v>
      </c>
      <c r="T8" s="24">
        <v>1</v>
      </c>
      <c r="U8" s="24">
        <v>21</v>
      </c>
      <c r="V8" s="24">
        <v>0.108</v>
      </c>
      <c r="W8" s="24">
        <v>0.003</v>
      </c>
      <c r="X8" s="24">
        <v>0.1187</v>
      </c>
    </row>
    <row r="9" ht="14" spans="14:24">
      <c r="N9" s="26"/>
      <c r="O9" s="24" t="s">
        <v>39</v>
      </c>
      <c r="P9" s="24">
        <v>109</v>
      </c>
      <c r="Q9" s="24">
        <v>109</v>
      </c>
      <c r="R9" s="24">
        <v>0</v>
      </c>
      <c r="S9" s="24">
        <v>104</v>
      </c>
      <c r="T9" s="24">
        <v>76</v>
      </c>
      <c r="U9" s="24">
        <v>28</v>
      </c>
      <c r="V9" s="24">
        <v>0.296</v>
      </c>
      <c r="W9" s="24">
        <v>0.105</v>
      </c>
      <c r="X9" s="24">
        <v>0.1586</v>
      </c>
    </row>
    <row r="10" ht="14" spans="14:24">
      <c r="N10" s="26"/>
      <c r="O10" s="24" t="s">
        <v>40</v>
      </c>
      <c r="P10" s="24">
        <v>223</v>
      </c>
      <c r="Q10" s="24">
        <v>223</v>
      </c>
      <c r="R10" s="24">
        <v>0</v>
      </c>
      <c r="S10" s="24">
        <v>157</v>
      </c>
      <c r="T10" s="24">
        <v>75</v>
      </c>
      <c r="U10" s="24">
        <v>82</v>
      </c>
      <c r="V10" s="24">
        <v>0.621</v>
      </c>
      <c r="W10" s="24">
        <v>0.182</v>
      </c>
      <c r="X10" s="24">
        <v>0.2865</v>
      </c>
    </row>
    <row r="11" ht="14" spans="14:24">
      <c r="N11" s="26"/>
      <c r="O11" s="24" t="s">
        <v>41</v>
      </c>
      <c r="P11" s="24">
        <v>524</v>
      </c>
      <c r="Q11" s="24">
        <v>524</v>
      </c>
      <c r="R11" s="24">
        <v>0</v>
      </c>
      <c r="S11" s="24">
        <v>3332</v>
      </c>
      <c r="T11" s="24">
        <v>3327</v>
      </c>
      <c r="U11" s="24">
        <v>4</v>
      </c>
      <c r="V11" s="15">
        <v>1.375</v>
      </c>
      <c r="W11" s="15">
        <v>6.177</v>
      </c>
      <c r="X11" s="24">
        <v>0.0082</v>
      </c>
    </row>
    <row r="12" ht="14" spans="14:24">
      <c r="N12" s="26" t="s">
        <v>42</v>
      </c>
      <c r="O12" s="24" t="s">
        <v>43</v>
      </c>
      <c r="P12" s="24">
        <v>677</v>
      </c>
      <c r="Q12" s="24">
        <v>141</v>
      </c>
      <c r="R12" s="24">
        <v>536</v>
      </c>
      <c r="S12" s="24">
        <v>202</v>
      </c>
      <c r="T12" s="24">
        <v>19</v>
      </c>
      <c r="U12" s="24">
        <v>182</v>
      </c>
      <c r="V12" s="24">
        <v>1.977</v>
      </c>
      <c r="W12" s="24">
        <v>0.257</v>
      </c>
      <c r="X12" s="24">
        <v>0.6926</v>
      </c>
    </row>
    <row r="13" ht="14" spans="14:24">
      <c r="N13" s="26"/>
      <c r="O13" s="24" t="s">
        <v>44</v>
      </c>
      <c r="P13" s="24">
        <v>250</v>
      </c>
      <c r="Q13" s="24">
        <v>181</v>
      </c>
      <c r="R13" s="24">
        <v>69</v>
      </c>
      <c r="S13" s="24">
        <v>187</v>
      </c>
      <c r="T13" s="24">
        <v>101</v>
      </c>
      <c r="U13" s="24">
        <v>86</v>
      </c>
      <c r="V13" s="24">
        <v>0.708</v>
      </c>
      <c r="W13" s="24">
        <v>0.222</v>
      </c>
      <c r="X13" s="24">
        <v>0.2025</v>
      </c>
    </row>
    <row r="14" ht="14" spans="14:24">
      <c r="N14" s="26"/>
      <c r="O14" s="24" t="s">
        <v>45</v>
      </c>
      <c r="P14" s="24">
        <v>246</v>
      </c>
      <c r="Q14" s="24">
        <v>45</v>
      </c>
      <c r="R14" s="24">
        <v>201</v>
      </c>
      <c r="S14" s="24">
        <v>29</v>
      </c>
      <c r="T14" s="24">
        <v>10</v>
      </c>
      <c r="U14" s="24">
        <v>19</v>
      </c>
      <c r="V14" s="24">
        <v>0.563</v>
      </c>
      <c r="W14" s="24">
        <v>0.033</v>
      </c>
      <c r="X14" s="24">
        <v>0.0362</v>
      </c>
    </row>
    <row r="15" ht="14" spans="14:24">
      <c r="N15" s="26"/>
      <c r="O15" s="24" t="s">
        <v>46</v>
      </c>
      <c r="P15" s="24">
        <v>10</v>
      </c>
      <c r="Q15" s="24">
        <v>10</v>
      </c>
      <c r="R15" s="24">
        <v>0</v>
      </c>
      <c r="S15" s="24">
        <v>28</v>
      </c>
      <c r="T15" s="24">
        <v>0</v>
      </c>
      <c r="U15" s="24">
        <v>28</v>
      </c>
      <c r="V15" s="24"/>
      <c r="W15" s="24"/>
      <c r="X15" s="24"/>
    </row>
    <row r="16" ht="14" spans="14:24">
      <c r="N16" s="26"/>
      <c r="O16" s="24" t="s">
        <v>47</v>
      </c>
      <c r="P16" s="24">
        <v>0</v>
      </c>
      <c r="Q16" s="24">
        <v>0</v>
      </c>
      <c r="R16" s="24">
        <v>0</v>
      </c>
      <c r="S16" s="24">
        <v>3</v>
      </c>
      <c r="T16" s="24">
        <v>0</v>
      </c>
      <c r="U16" s="24">
        <v>3</v>
      </c>
      <c r="V16" s="24"/>
      <c r="W16" s="24"/>
      <c r="X16" s="24"/>
    </row>
    <row r="17" ht="14" spans="14:24">
      <c r="N17" s="26"/>
      <c r="O17" s="24" t="s">
        <v>48</v>
      </c>
      <c r="P17" s="24">
        <v>132</v>
      </c>
      <c r="Q17" s="24">
        <v>132</v>
      </c>
      <c r="R17" s="24">
        <v>0</v>
      </c>
      <c r="S17" s="24">
        <v>115</v>
      </c>
      <c r="T17" s="24">
        <v>60</v>
      </c>
      <c r="U17" s="24">
        <v>55</v>
      </c>
      <c r="V17" s="24">
        <v>0.374</v>
      </c>
      <c r="W17" s="24">
        <v>0.159</v>
      </c>
      <c r="X17" s="24">
        <v>0.2026</v>
      </c>
    </row>
    <row r="18" ht="14" spans="14:24">
      <c r="N18" s="26" t="s">
        <v>49</v>
      </c>
      <c r="O18" s="24" t="s">
        <v>50</v>
      </c>
      <c r="P18" s="24">
        <v>291</v>
      </c>
      <c r="Q18" s="24">
        <v>291</v>
      </c>
      <c r="R18" s="24">
        <v>0</v>
      </c>
      <c r="S18" s="24">
        <v>303</v>
      </c>
      <c r="T18" s="24">
        <v>14</v>
      </c>
      <c r="U18" s="24">
        <v>289</v>
      </c>
      <c r="V18" s="24">
        <v>0.869</v>
      </c>
      <c r="W18" s="24">
        <v>0.377</v>
      </c>
      <c r="X18" s="24">
        <v>0.3392</v>
      </c>
    </row>
    <row r="19" ht="14" spans="14:24">
      <c r="N19" s="26"/>
      <c r="O19" s="24" t="s">
        <v>51</v>
      </c>
      <c r="P19" s="24">
        <v>206</v>
      </c>
      <c r="Q19" s="24">
        <v>206</v>
      </c>
      <c r="R19" s="24">
        <v>0</v>
      </c>
      <c r="S19" s="24">
        <v>157</v>
      </c>
      <c r="T19" s="24">
        <v>33</v>
      </c>
      <c r="U19" s="24">
        <v>124</v>
      </c>
      <c r="V19" s="24">
        <v>0.558</v>
      </c>
      <c r="W19" s="24">
        <v>0.188</v>
      </c>
      <c r="X19" s="24">
        <v>0.2144</v>
      </c>
    </row>
    <row r="20" ht="14" spans="14:24">
      <c r="N20" s="26"/>
      <c r="O20" s="24" t="s">
        <v>52</v>
      </c>
      <c r="P20" s="24">
        <v>174</v>
      </c>
      <c r="Q20" s="24">
        <v>174</v>
      </c>
      <c r="R20" s="24">
        <v>0</v>
      </c>
      <c r="S20" s="24">
        <v>91</v>
      </c>
      <c r="T20" s="24">
        <v>9</v>
      </c>
      <c r="U20" s="24">
        <v>83</v>
      </c>
      <c r="V20" s="24">
        <v>0.462</v>
      </c>
      <c r="W20" s="24">
        <v>0.096</v>
      </c>
      <c r="X20" s="24">
        <v>0.1929</v>
      </c>
    </row>
    <row r="21" ht="14" spans="14:24">
      <c r="N21" s="26"/>
      <c r="O21" s="24" t="s">
        <v>53</v>
      </c>
      <c r="P21" s="24">
        <v>152</v>
      </c>
      <c r="Q21" s="24">
        <v>152</v>
      </c>
      <c r="R21" s="24">
        <v>0</v>
      </c>
      <c r="S21" s="24">
        <v>97</v>
      </c>
      <c r="T21" s="24">
        <v>27</v>
      </c>
      <c r="U21" s="24">
        <v>70</v>
      </c>
      <c r="V21" s="24">
        <v>0.423</v>
      </c>
      <c r="W21" s="24">
        <v>0.109</v>
      </c>
      <c r="X21" s="24">
        <v>0.1627</v>
      </c>
    </row>
    <row r="22" ht="14" spans="14:24">
      <c r="N22" s="26" t="s">
        <v>54</v>
      </c>
      <c r="O22" s="24" t="s">
        <v>55</v>
      </c>
      <c r="P22" s="24">
        <v>225</v>
      </c>
      <c r="Q22" s="24">
        <v>225</v>
      </c>
      <c r="R22" s="24">
        <v>0</v>
      </c>
      <c r="S22" s="24">
        <v>233</v>
      </c>
      <c r="T22" s="24">
        <v>11</v>
      </c>
      <c r="U22" s="24">
        <v>222</v>
      </c>
      <c r="V22" s="24">
        <v>0.679</v>
      </c>
      <c r="W22" s="24">
        <v>0.28</v>
      </c>
      <c r="X22" s="24">
        <v>0.2428</v>
      </c>
    </row>
    <row r="23" ht="14" spans="14:24">
      <c r="N23" s="26"/>
      <c r="O23" s="24" t="s">
        <v>56</v>
      </c>
      <c r="P23" s="24">
        <v>321</v>
      </c>
      <c r="Q23" s="24">
        <v>32</v>
      </c>
      <c r="R23" s="24">
        <v>289</v>
      </c>
      <c r="S23" s="24">
        <v>91</v>
      </c>
      <c r="T23" s="24">
        <v>18</v>
      </c>
      <c r="U23" s="24">
        <v>73</v>
      </c>
      <c r="V23" s="24">
        <v>0.957</v>
      </c>
      <c r="W23" s="24">
        <v>0.102</v>
      </c>
      <c r="X23" s="24">
        <v>0.2483</v>
      </c>
    </row>
    <row r="24" ht="14" spans="14:24">
      <c r="N24" s="26"/>
      <c r="O24" s="24" t="s">
        <v>57</v>
      </c>
      <c r="P24" s="24">
        <v>441</v>
      </c>
      <c r="Q24" s="24">
        <v>177</v>
      </c>
      <c r="R24" s="24">
        <v>264</v>
      </c>
      <c r="S24" s="24">
        <v>302</v>
      </c>
      <c r="T24" s="24">
        <v>5</v>
      </c>
      <c r="U24" s="24">
        <v>297</v>
      </c>
      <c r="V24" s="24">
        <v>1.2</v>
      </c>
      <c r="W24" s="24">
        <v>0.372</v>
      </c>
      <c r="X24" s="24">
        <v>0.6374</v>
      </c>
    </row>
    <row r="25" ht="14" spans="14:24">
      <c r="N25" s="26"/>
      <c r="O25" s="24" t="s">
        <v>58</v>
      </c>
      <c r="P25" s="24">
        <v>55</v>
      </c>
      <c r="Q25" s="24">
        <v>10</v>
      </c>
      <c r="R25" s="24">
        <v>45</v>
      </c>
      <c r="S25" s="24">
        <v>38</v>
      </c>
      <c r="T25" s="24">
        <v>0</v>
      </c>
      <c r="U25" s="24">
        <v>37</v>
      </c>
      <c r="V25" s="24">
        <v>0.15</v>
      </c>
      <c r="W25" s="24">
        <v>0.051</v>
      </c>
      <c r="X25" s="24">
        <v>0.1576</v>
      </c>
    </row>
    <row r="26" ht="14" spans="14:24">
      <c r="N26" s="26"/>
      <c r="O26" s="24" t="s">
        <v>59</v>
      </c>
      <c r="P26" s="24">
        <v>429</v>
      </c>
      <c r="Q26" s="24">
        <v>50</v>
      </c>
      <c r="R26" s="24">
        <v>379</v>
      </c>
      <c r="S26" s="24">
        <v>112</v>
      </c>
      <c r="T26" s="24">
        <v>4</v>
      </c>
      <c r="U26" s="24">
        <v>108</v>
      </c>
      <c r="V26" s="24">
        <v>1.163</v>
      </c>
      <c r="W26" s="24">
        <v>0.121</v>
      </c>
      <c r="X26" s="24">
        <v>0.483</v>
      </c>
    </row>
    <row r="27" ht="14" spans="14:24">
      <c r="N27" s="27" t="s">
        <v>60</v>
      </c>
      <c r="O27" s="27"/>
      <c r="P27" s="24">
        <v>10950</v>
      </c>
      <c r="Q27" s="24">
        <v>8694</v>
      </c>
      <c r="R27" s="24">
        <v>2254</v>
      </c>
      <c r="S27" s="24">
        <v>45600</v>
      </c>
      <c r="T27" s="24">
        <v>41878</v>
      </c>
      <c r="U27" s="24">
        <v>3726</v>
      </c>
      <c r="V27" s="24">
        <v>29.31</v>
      </c>
      <c r="W27" s="24">
        <v>66.53</v>
      </c>
      <c r="X27" s="24">
        <v>7.511</v>
      </c>
    </row>
    <row r="38" ht="13" spans="2:9">
      <c r="B38" s="5" t="s">
        <v>1</v>
      </c>
      <c r="C38" s="22" t="s">
        <v>61</v>
      </c>
      <c r="D38" s="22"/>
      <c r="E38" s="22"/>
      <c r="F38" s="22"/>
      <c r="G38" s="22"/>
      <c r="H38" s="22"/>
      <c r="I38" s="22"/>
    </row>
    <row r="39" spans="3:9">
      <c r="C39" s="23" t="s">
        <v>3</v>
      </c>
      <c r="D39" s="23"/>
      <c r="E39" s="23"/>
      <c r="F39" s="23"/>
      <c r="G39" s="23"/>
      <c r="H39" s="23"/>
      <c r="I39" s="23"/>
    </row>
    <row r="40" ht="13" spans="3:3">
      <c r="C40" s="5" t="s">
        <v>62</v>
      </c>
    </row>
  </sheetData>
  <mergeCells count="9">
    <mergeCell ref="P6:T6"/>
    <mergeCell ref="U6:W6"/>
    <mergeCell ref="N27:O27"/>
    <mergeCell ref="C38:I38"/>
    <mergeCell ref="C39:I39"/>
    <mergeCell ref="N8:N11"/>
    <mergeCell ref="N12:N17"/>
    <mergeCell ref="N18:N21"/>
    <mergeCell ref="N22:N26"/>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D17" sqref="D17"/>
    </sheetView>
  </sheetViews>
  <sheetFormatPr defaultColWidth="9" defaultRowHeight="14" outlineLevelRow="4" outlineLevelCol="1"/>
  <cols>
    <col min="1" max="1" width="25.8181818181818" customWidth="1"/>
  </cols>
  <sheetData>
    <row r="1" spans="1:2">
      <c r="A1" t="s">
        <v>63</v>
      </c>
      <c r="B1">
        <v>8323</v>
      </c>
    </row>
    <row r="2" spans="1:2">
      <c r="A2" t="s">
        <v>64</v>
      </c>
      <c r="B2">
        <v>0.4</v>
      </c>
    </row>
    <row r="3" spans="1:2">
      <c r="A3" t="s">
        <v>65</v>
      </c>
      <c r="B3">
        <f>B1*1000000/B2/8760</f>
        <v>2375285.38812785</v>
      </c>
    </row>
    <row r="5" spans="1:2">
      <c r="A5" t="s">
        <v>66</v>
      </c>
      <c r="B5">
        <v>832.65</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51"/>
  <sheetViews>
    <sheetView topLeftCell="A36" workbookViewId="0">
      <selection activeCell="D32" sqref="D32"/>
    </sheetView>
  </sheetViews>
  <sheetFormatPr defaultColWidth="9" defaultRowHeight="12.5"/>
  <cols>
    <col min="1" max="2" width="9" style="5"/>
    <col min="3" max="10" width="10.8545454545455" style="5" customWidth="1"/>
    <col min="11" max="11" width="9" style="5"/>
    <col min="12" max="12" width="19.1363636363636" style="5" customWidth="1"/>
    <col min="13" max="20" width="10.8545454545455" style="5" customWidth="1"/>
    <col min="21" max="16384" width="9" style="5"/>
  </cols>
  <sheetData>
    <row r="2" ht="13" spans="2:10">
      <c r="B2" s="13" t="s">
        <v>67</v>
      </c>
      <c r="C2" s="13" t="s">
        <v>68</v>
      </c>
      <c r="D2" s="14"/>
      <c r="E2" s="13" t="s">
        <v>24</v>
      </c>
      <c r="F2" s="14"/>
      <c r="G2" s="14"/>
      <c r="H2" s="14" t="s">
        <v>69</v>
      </c>
      <c r="I2" s="14"/>
      <c r="J2" s="14"/>
    </row>
    <row r="3" s="12" customFormat="1" ht="26" spans="2:10">
      <c r="B3" s="14"/>
      <c r="C3" s="15" t="s">
        <v>70</v>
      </c>
      <c r="D3" s="15" t="s">
        <v>71</v>
      </c>
      <c r="E3" s="16" t="s">
        <v>72</v>
      </c>
      <c r="F3" s="15" t="s">
        <v>73</v>
      </c>
      <c r="G3" s="15" t="s">
        <v>74</v>
      </c>
      <c r="H3" s="16" t="s">
        <v>72</v>
      </c>
      <c r="I3" s="15" t="s">
        <v>73</v>
      </c>
      <c r="J3" s="15" t="s">
        <v>74</v>
      </c>
    </row>
    <row r="4" ht="13" spans="2:10">
      <c r="B4" s="17" t="s">
        <v>75</v>
      </c>
      <c r="C4" s="18">
        <v>199.26</v>
      </c>
      <c r="D4" s="18">
        <v>2274.6</v>
      </c>
      <c r="E4" s="14" t="s">
        <v>76</v>
      </c>
      <c r="F4" s="18">
        <v>1751.3</v>
      </c>
      <c r="G4" s="18">
        <v>37.12</v>
      </c>
      <c r="H4" s="14" t="s">
        <v>77</v>
      </c>
      <c r="I4" s="18">
        <v>1252.5</v>
      </c>
      <c r="J4" s="18">
        <v>25.27</v>
      </c>
    </row>
    <row r="5" ht="13" spans="2:10">
      <c r="B5" s="17" t="s">
        <v>78</v>
      </c>
      <c r="C5" s="18">
        <v>493.61</v>
      </c>
      <c r="D5" s="18">
        <v>5634.8</v>
      </c>
      <c r="E5" s="14" t="s">
        <v>79</v>
      </c>
      <c r="F5" s="18">
        <v>4020.4</v>
      </c>
      <c r="G5" s="18">
        <v>120.55</v>
      </c>
      <c r="H5" s="14" t="s">
        <v>80</v>
      </c>
      <c r="I5" s="18">
        <v>3973.8</v>
      </c>
      <c r="J5" s="18">
        <v>118.96</v>
      </c>
    </row>
    <row r="6" ht="13" spans="2:10">
      <c r="B6" s="17" t="s">
        <v>81</v>
      </c>
      <c r="C6" s="18">
        <v>509.14</v>
      </c>
      <c r="D6" s="18">
        <v>5812.2</v>
      </c>
      <c r="E6" s="14" t="s">
        <v>82</v>
      </c>
      <c r="F6" s="18">
        <v>2624.5</v>
      </c>
      <c r="G6" s="18">
        <v>73.45</v>
      </c>
      <c r="H6" s="14" t="s">
        <v>83</v>
      </c>
      <c r="I6" s="18">
        <v>2567.3</v>
      </c>
      <c r="J6" s="18">
        <v>71.91</v>
      </c>
    </row>
    <row r="7" ht="13" spans="2:10">
      <c r="B7" s="17" t="s">
        <v>84</v>
      </c>
      <c r="C7" s="18">
        <v>177.92</v>
      </c>
      <c r="D7" s="18">
        <v>2031</v>
      </c>
      <c r="E7" s="14" t="s">
        <v>85</v>
      </c>
      <c r="F7" s="18">
        <v>1767.3</v>
      </c>
      <c r="G7" s="18">
        <v>60.39</v>
      </c>
      <c r="H7" s="14" t="s">
        <v>86</v>
      </c>
      <c r="I7" s="18">
        <v>1728.9</v>
      </c>
      <c r="J7" s="18">
        <v>59.14</v>
      </c>
    </row>
    <row r="8" ht="13" spans="2:10">
      <c r="B8" s="17" t="s">
        <v>87</v>
      </c>
      <c r="C8" s="18">
        <v>301.3</v>
      </c>
      <c r="D8" s="18">
        <v>3439.6</v>
      </c>
      <c r="E8" s="14" t="s">
        <v>88</v>
      </c>
      <c r="F8" s="18">
        <v>5115.5</v>
      </c>
      <c r="G8" s="18">
        <v>117.93</v>
      </c>
      <c r="H8" s="14" t="s">
        <v>89</v>
      </c>
      <c r="I8" s="18">
        <v>5042.3</v>
      </c>
      <c r="J8" s="18">
        <v>115.47</v>
      </c>
    </row>
    <row r="9" ht="13" spans="2:10">
      <c r="B9" s="17" t="s">
        <v>90</v>
      </c>
      <c r="C9" s="18">
        <v>664.2</v>
      </c>
      <c r="D9" s="18">
        <v>7582.2</v>
      </c>
      <c r="E9" s="14" t="s">
        <v>91</v>
      </c>
      <c r="F9" s="18">
        <v>8161.9</v>
      </c>
      <c r="G9" s="18">
        <v>238.31</v>
      </c>
      <c r="H9" s="14" t="s">
        <v>92</v>
      </c>
      <c r="I9" s="18">
        <v>7226.9</v>
      </c>
      <c r="J9" s="18">
        <v>211.79</v>
      </c>
    </row>
    <row r="10" ht="13" spans="2:10">
      <c r="B10" s="17" t="s">
        <v>93</v>
      </c>
      <c r="C10" s="18">
        <v>152.2</v>
      </c>
      <c r="D10" s="18">
        <v>1738.1</v>
      </c>
      <c r="E10" s="14">
        <v>22</v>
      </c>
      <c r="F10" s="18">
        <v>57.9</v>
      </c>
      <c r="G10" s="18">
        <v>1.73</v>
      </c>
      <c r="H10" s="14">
        <v>14</v>
      </c>
      <c r="I10" s="18">
        <v>22.4</v>
      </c>
      <c r="J10" s="18">
        <v>0.67</v>
      </c>
    </row>
    <row r="11" ht="13" spans="2:10">
      <c r="B11" s="17" t="s">
        <v>59</v>
      </c>
      <c r="C11" s="18">
        <v>537.59</v>
      </c>
      <c r="D11" s="18">
        <v>6136.8</v>
      </c>
      <c r="E11" s="14" t="s">
        <v>94</v>
      </c>
      <c r="F11" s="18">
        <v>6643.8</v>
      </c>
      <c r="G11" s="18">
        <v>161.46</v>
      </c>
      <c r="H11" s="19" t="s">
        <v>95</v>
      </c>
      <c r="I11" s="18">
        <v>6613.2</v>
      </c>
      <c r="J11" s="18">
        <v>160.72</v>
      </c>
    </row>
    <row r="12" ht="13" spans="2:10">
      <c r="B12" s="17" t="s">
        <v>55</v>
      </c>
      <c r="C12" s="18">
        <v>273.5</v>
      </c>
      <c r="D12" s="18">
        <v>3122</v>
      </c>
      <c r="E12" s="14">
        <v>157</v>
      </c>
      <c r="F12" s="18">
        <v>1074</v>
      </c>
      <c r="G12" s="18">
        <v>30</v>
      </c>
      <c r="H12" s="14">
        <v>144</v>
      </c>
      <c r="I12" s="18">
        <v>996</v>
      </c>
      <c r="J12" s="18">
        <v>27.3</v>
      </c>
    </row>
    <row r="13" ht="13" spans="2:10">
      <c r="B13" s="17" t="s">
        <v>56</v>
      </c>
      <c r="C13" s="18">
        <v>941.01</v>
      </c>
      <c r="D13" s="18">
        <v>10742</v>
      </c>
      <c r="E13" s="14" t="s">
        <v>96</v>
      </c>
      <c r="F13" s="18">
        <v>9979.7</v>
      </c>
      <c r="G13" s="18">
        <v>353.02</v>
      </c>
      <c r="H13" s="14" t="s">
        <v>97</v>
      </c>
      <c r="I13" s="18">
        <v>9697.7</v>
      </c>
      <c r="J13" s="18">
        <v>344.97</v>
      </c>
    </row>
    <row r="14" ht="13" spans="2:10">
      <c r="B14" s="17" t="s">
        <v>53</v>
      </c>
      <c r="C14" s="18">
        <v>425.57</v>
      </c>
      <c r="D14" s="18">
        <v>4858.1</v>
      </c>
      <c r="E14" s="14">
        <v>533</v>
      </c>
      <c r="F14" s="18">
        <v>5162.9</v>
      </c>
      <c r="G14" s="18">
        <v>170.96</v>
      </c>
      <c r="H14" s="14">
        <v>448</v>
      </c>
      <c r="I14" s="18">
        <v>4161.9</v>
      </c>
      <c r="J14" s="18">
        <v>137.74</v>
      </c>
    </row>
    <row r="15" ht="13" spans="2:10">
      <c r="B15" s="17" t="s">
        <v>98</v>
      </c>
      <c r="C15" s="18">
        <v>102.48</v>
      </c>
      <c r="D15" s="18">
        <v>1170.1</v>
      </c>
      <c r="E15" s="14">
        <v>50</v>
      </c>
      <c r="F15" s="18">
        <v>64.2</v>
      </c>
      <c r="G15" s="18">
        <v>1.59</v>
      </c>
      <c r="H15" s="14">
        <v>37</v>
      </c>
      <c r="I15" s="18">
        <v>50.8</v>
      </c>
      <c r="J15" s="18">
        <v>1.32</v>
      </c>
    </row>
    <row r="16" ht="13" spans="2:10">
      <c r="B16" s="17" t="s">
        <v>50</v>
      </c>
      <c r="C16" s="18">
        <v>412.32</v>
      </c>
      <c r="D16" s="18">
        <v>4706.6</v>
      </c>
      <c r="E16" s="14" t="s">
        <v>99</v>
      </c>
      <c r="F16" s="18">
        <v>2880.6</v>
      </c>
      <c r="G16" s="18">
        <v>96.95</v>
      </c>
      <c r="H16" s="14" t="s">
        <v>100</v>
      </c>
      <c r="I16" s="18">
        <v>2726.4</v>
      </c>
      <c r="J16" s="18">
        <v>91.4</v>
      </c>
    </row>
    <row r="17" ht="13" spans="2:10">
      <c r="B17" s="17" t="s">
        <v>51</v>
      </c>
      <c r="C17" s="18">
        <v>1507.12</v>
      </c>
      <c r="D17" s="18">
        <v>17204.5</v>
      </c>
      <c r="E17" s="14" t="s">
        <v>101</v>
      </c>
      <c r="F17" s="18">
        <v>35540.5</v>
      </c>
      <c r="G17" s="18">
        <v>1386.31</v>
      </c>
      <c r="H17" s="14" t="s">
        <v>102</v>
      </c>
      <c r="I17" s="18">
        <v>35355.9</v>
      </c>
      <c r="J17" s="18">
        <v>1380.45</v>
      </c>
    </row>
    <row r="18" ht="13" spans="2:10">
      <c r="B18" s="17" t="s">
        <v>52</v>
      </c>
      <c r="C18" s="18">
        <v>1162.51</v>
      </c>
      <c r="D18" s="18">
        <v>13270.4</v>
      </c>
      <c r="E18" s="14" t="s">
        <v>103</v>
      </c>
      <c r="F18" s="18">
        <v>12020.9</v>
      </c>
      <c r="G18" s="18">
        <v>486.19</v>
      </c>
      <c r="H18" s="14" t="s">
        <v>104</v>
      </c>
      <c r="I18" s="18">
        <v>11349.8</v>
      </c>
      <c r="J18" s="18">
        <v>457.58</v>
      </c>
    </row>
    <row r="19" ht="13" spans="2:10">
      <c r="B19" s="17" t="s">
        <v>43</v>
      </c>
      <c r="C19" s="18">
        <v>531.6</v>
      </c>
      <c r="D19" s="18">
        <v>6068.5</v>
      </c>
      <c r="E19" s="14">
        <v>1051</v>
      </c>
      <c r="F19" s="18">
        <v>5401.4</v>
      </c>
      <c r="G19" s="18">
        <v>198.14</v>
      </c>
      <c r="H19" s="14">
        <v>970</v>
      </c>
      <c r="I19" s="18">
        <v>4878.8</v>
      </c>
      <c r="J19" s="18">
        <v>177.79</v>
      </c>
    </row>
    <row r="20" ht="13" spans="2:10">
      <c r="B20" s="17" t="s">
        <v>45</v>
      </c>
      <c r="C20" s="18">
        <v>73.78</v>
      </c>
      <c r="D20" s="18">
        <v>842.2</v>
      </c>
      <c r="E20" s="14">
        <v>85</v>
      </c>
      <c r="F20" s="18">
        <v>760.5</v>
      </c>
      <c r="G20" s="18">
        <v>21.03</v>
      </c>
      <c r="H20" s="14">
        <v>82</v>
      </c>
      <c r="I20" s="18">
        <v>710.5</v>
      </c>
      <c r="J20" s="18">
        <v>19.94</v>
      </c>
    </row>
    <row r="21" ht="13" spans="2:10">
      <c r="B21" s="17" t="s">
        <v>44</v>
      </c>
      <c r="C21" s="18">
        <v>1545.37</v>
      </c>
      <c r="D21" s="18">
        <v>17641.2</v>
      </c>
      <c r="E21" s="14" t="s">
        <v>105</v>
      </c>
      <c r="F21" s="18">
        <v>18913.8</v>
      </c>
      <c r="G21" s="18">
        <v>808.84</v>
      </c>
      <c r="H21" s="14" t="s">
        <v>106</v>
      </c>
      <c r="I21" s="18">
        <v>18575</v>
      </c>
      <c r="J21" s="18">
        <v>794.98</v>
      </c>
    </row>
    <row r="22" ht="13" spans="2:10">
      <c r="B22" s="17" t="s">
        <v>40</v>
      </c>
      <c r="C22" s="18">
        <v>12571.89</v>
      </c>
      <c r="D22" s="18">
        <v>143514.7</v>
      </c>
      <c r="E22" s="14" t="s">
        <v>107</v>
      </c>
      <c r="F22" s="18">
        <v>120040</v>
      </c>
      <c r="G22" s="18">
        <v>6121.59</v>
      </c>
      <c r="H22" s="14" t="s">
        <v>108</v>
      </c>
      <c r="I22" s="18">
        <v>103270.7</v>
      </c>
      <c r="J22" s="18">
        <v>5232.89</v>
      </c>
    </row>
    <row r="23" ht="13" spans="2:10">
      <c r="B23" s="17" t="s">
        <v>38</v>
      </c>
      <c r="C23" s="18">
        <v>2011.67</v>
      </c>
      <c r="D23" s="18">
        <v>22964.3</v>
      </c>
      <c r="E23" s="14">
        <v>421</v>
      </c>
      <c r="F23" s="18">
        <v>9808.4</v>
      </c>
      <c r="G23" s="18">
        <v>445.78</v>
      </c>
      <c r="H23" s="14">
        <v>323</v>
      </c>
      <c r="I23" s="18">
        <v>8195.9</v>
      </c>
      <c r="J23" s="18">
        <v>378.04</v>
      </c>
    </row>
    <row r="24" ht="13" spans="2:10">
      <c r="B24" s="17" t="s">
        <v>39</v>
      </c>
      <c r="C24" s="18">
        <v>1584.37</v>
      </c>
      <c r="D24" s="18">
        <v>18086.4</v>
      </c>
      <c r="E24" s="14" t="s">
        <v>109</v>
      </c>
      <c r="F24" s="18">
        <v>19487.9</v>
      </c>
      <c r="G24" s="18">
        <v>777.99</v>
      </c>
      <c r="H24" s="14" t="s">
        <v>110</v>
      </c>
      <c r="I24" s="18">
        <v>18980.7</v>
      </c>
      <c r="J24" s="18">
        <v>752.42</v>
      </c>
    </row>
    <row r="25" ht="13" spans="2:10">
      <c r="B25" s="17" t="s">
        <v>48</v>
      </c>
      <c r="C25" s="18">
        <v>9144.21</v>
      </c>
      <c r="D25" s="18">
        <v>104386</v>
      </c>
      <c r="E25" s="14" t="s">
        <v>111</v>
      </c>
      <c r="F25" s="18">
        <v>101939.1</v>
      </c>
      <c r="G25" s="18">
        <v>4918.81</v>
      </c>
      <c r="H25" s="14" t="s">
        <v>112</v>
      </c>
      <c r="I25" s="18">
        <v>97950.4</v>
      </c>
      <c r="J25" s="18">
        <v>4712.83</v>
      </c>
    </row>
    <row r="26" ht="13" spans="2:10">
      <c r="B26" s="17" t="s">
        <v>113</v>
      </c>
      <c r="C26" s="18">
        <v>19638.98</v>
      </c>
      <c r="D26" s="18">
        <v>201358.2</v>
      </c>
      <c r="E26" s="14" t="s">
        <v>114</v>
      </c>
      <c r="F26" s="18">
        <v>110004.4</v>
      </c>
      <c r="G26" s="18">
        <v>5759.69</v>
      </c>
      <c r="H26" s="14">
        <v>191</v>
      </c>
      <c r="I26" s="18">
        <v>8350.4</v>
      </c>
      <c r="J26" s="18">
        <v>376.25</v>
      </c>
    </row>
    <row r="27" ht="13" spans="2:10">
      <c r="B27" s="17" t="s">
        <v>78</v>
      </c>
      <c r="C27" s="18">
        <v>1118.56</v>
      </c>
      <c r="D27" s="18">
        <v>12768.9</v>
      </c>
      <c r="E27" s="14" t="s">
        <v>115</v>
      </c>
      <c r="F27" s="18">
        <v>6623.8</v>
      </c>
      <c r="G27" s="18">
        <v>222.16</v>
      </c>
      <c r="H27" s="14" t="s">
        <v>116</v>
      </c>
      <c r="I27" s="18">
        <v>6501.6</v>
      </c>
      <c r="J27" s="18">
        <v>217.22</v>
      </c>
    </row>
    <row r="28" ht="13" spans="2:10">
      <c r="B28" s="17" t="s">
        <v>117</v>
      </c>
      <c r="C28" s="18">
        <v>1304.16</v>
      </c>
      <c r="D28" s="18">
        <v>14887.3</v>
      </c>
      <c r="E28" s="14" t="s">
        <v>118</v>
      </c>
      <c r="F28" s="18">
        <v>10625.4</v>
      </c>
      <c r="G28" s="18">
        <v>444.34</v>
      </c>
      <c r="H28" s="14" t="s">
        <v>119</v>
      </c>
      <c r="I28" s="18">
        <v>9009</v>
      </c>
      <c r="J28" s="18">
        <v>370.43</v>
      </c>
    </row>
    <row r="29" ht="13" spans="2:10">
      <c r="B29" s="17" t="s">
        <v>120</v>
      </c>
      <c r="C29" s="18">
        <v>1916.14</v>
      </c>
      <c r="D29" s="18">
        <v>21873.8</v>
      </c>
      <c r="E29" s="14" t="s">
        <v>121</v>
      </c>
      <c r="F29" s="18">
        <v>23140.4</v>
      </c>
      <c r="G29" s="18">
        <v>913.44</v>
      </c>
      <c r="H29" s="14" t="s">
        <v>122</v>
      </c>
      <c r="I29" s="18">
        <v>15479.1</v>
      </c>
      <c r="J29" s="18">
        <v>554.62</v>
      </c>
    </row>
    <row r="30" ht="13" spans="2:10">
      <c r="B30" s="17" t="s">
        <v>123</v>
      </c>
      <c r="C30" s="18">
        <v>184.19</v>
      </c>
      <c r="D30" s="18">
        <v>2102.6</v>
      </c>
      <c r="E30" s="14" t="s">
        <v>124</v>
      </c>
      <c r="F30" s="18">
        <v>1458.4</v>
      </c>
      <c r="G30" s="18">
        <v>58.94</v>
      </c>
      <c r="H30" s="14" t="s">
        <v>124</v>
      </c>
      <c r="I30" s="18">
        <v>1458.4</v>
      </c>
      <c r="J30" s="18">
        <v>58.94</v>
      </c>
    </row>
    <row r="31" ht="13" spans="2:10">
      <c r="B31" s="17" t="s">
        <v>125</v>
      </c>
      <c r="C31" s="18">
        <v>3344.46</v>
      </c>
      <c r="D31" s="18">
        <v>38178.7</v>
      </c>
      <c r="E31" s="14">
        <v>518</v>
      </c>
      <c r="F31" s="18">
        <v>16564.9</v>
      </c>
      <c r="G31" s="18">
        <v>712.59</v>
      </c>
      <c r="H31" s="14">
        <v>495</v>
      </c>
      <c r="I31" s="18">
        <v>15670.5</v>
      </c>
      <c r="J31" s="18">
        <v>682.81</v>
      </c>
    </row>
    <row r="32" ht="13" spans="2:10">
      <c r="B32" s="17" t="s">
        <v>126</v>
      </c>
      <c r="C32" s="18">
        <v>60829</v>
      </c>
      <c r="D32" s="18">
        <v>694400</v>
      </c>
      <c r="E32" s="14" t="s">
        <v>127</v>
      </c>
      <c r="F32" s="18">
        <v>541640</v>
      </c>
      <c r="G32" s="18">
        <v>24740</v>
      </c>
      <c r="H32" s="14" t="s">
        <v>128</v>
      </c>
      <c r="I32" s="18">
        <v>401795</v>
      </c>
      <c r="J32" s="18">
        <v>17534</v>
      </c>
    </row>
    <row r="40" s="12" customFormat="1" ht="26" spans="12:18">
      <c r="L40" s="20" t="s">
        <v>129</v>
      </c>
      <c r="M40" s="20" t="s">
        <v>130</v>
      </c>
      <c r="N40" s="20" t="s">
        <v>131</v>
      </c>
      <c r="O40" s="20" t="s">
        <v>132</v>
      </c>
      <c r="P40" s="20" t="s">
        <v>133</v>
      </c>
      <c r="Q40" s="20" t="s">
        <v>131</v>
      </c>
      <c r="R40" s="20" t="s">
        <v>132</v>
      </c>
    </row>
    <row r="41" ht="13" spans="12:18">
      <c r="L41" s="20" t="s">
        <v>60</v>
      </c>
      <c r="M41" s="21">
        <v>67604.71</v>
      </c>
      <c r="N41" s="21">
        <v>59221.8</v>
      </c>
      <c r="O41" s="20">
        <v>100</v>
      </c>
      <c r="P41" s="21">
        <v>37853.24</v>
      </c>
      <c r="Q41" s="21">
        <v>19233.04</v>
      </c>
      <c r="R41" s="20">
        <v>100</v>
      </c>
    </row>
    <row r="42" ht="13" spans="12:18">
      <c r="L42" s="20" t="s">
        <v>134</v>
      </c>
      <c r="M42" s="21">
        <v>26801.77</v>
      </c>
      <c r="N42" s="21">
        <v>23478.4</v>
      </c>
      <c r="O42" s="20">
        <v>39.6</v>
      </c>
      <c r="P42" s="21">
        <v>19724.33</v>
      </c>
      <c r="Q42" s="21">
        <v>10274.98</v>
      </c>
      <c r="R42" s="20">
        <v>53.4</v>
      </c>
    </row>
    <row r="43" ht="13" spans="12:18">
      <c r="L43" s="20" t="s">
        <v>135</v>
      </c>
      <c r="M43" s="21">
        <v>4054.8</v>
      </c>
      <c r="N43" s="21">
        <v>3552</v>
      </c>
      <c r="O43" s="20">
        <v>6</v>
      </c>
      <c r="P43" s="21">
        <v>2800.39</v>
      </c>
      <c r="Q43" s="21">
        <v>1169.91</v>
      </c>
      <c r="R43" s="20">
        <v>6.1</v>
      </c>
    </row>
    <row r="44" ht="13" spans="12:18">
      <c r="L44" s="20" t="s">
        <v>136</v>
      </c>
      <c r="M44" s="21">
        <v>3348.37</v>
      </c>
      <c r="N44" s="21">
        <v>2933.2</v>
      </c>
      <c r="O44" s="20">
        <v>5</v>
      </c>
      <c r="P44" s="21">
        <v>2485.02</v>
      </c>
      <c r="Q44" s="21">
        <v>1124.78</v>
      </c>
      <c r="R44" s="20">
        <v>5.8</v>
      </c>
    </row>
    <row r="45" ht="13" spans="12:18">
      <c r="L45" s="20" t="s">
        <v>137</v>
      </c>
      <c r="M45" s="21">
        <v>294.4</v>
      </c>
      <c r="N45" s="21">
        <v>257.9</v>
      </c>
      <c r="O45" s="20">
        <v>0.4</v>
      </c>
      <c r="P45" s="21">
        <v>213.48</v>
      </c>
      <c r="Q45" s="21">
        <v>51.68</v>
      </c>
      <c r="R45" s="20">
        <v>0.3</v>
      </c>
    </row>
    <row r="46" ht="13" spans="12:18">
      <c r="L46" s="20" t="s">
        <v>138</v>
      </c>
      <c r="M46" s="21">
        <v>144.96</v>
      </c>
      <c r="N46" s="21">
        <v>127</v>
      </c>
      <c r="O46" s="20">
        <v>0.2</v>
      </c>
      <c r="P46" s="21">
        <v>66.01</v>
      </c>
      <c r="Q46" s="21">
        <v>18.94</v>
      </c>
      <c r="R46" s="20">
        <v>0.1</v>
      </c>
    </row>
    <row r="47" ht="13" spans="12:18">
      <c r="L47" s="20" t="s">
        <v>139</v>
      </c>
      <c r="M47" s="21">
        <v>1530.6</v>
      </c>
      <c r="N47" s="21">
        <v>1340.8</v>
      </c>
      <c r="O47" s="20">
        <v>2.3</v>
      </c>
      <c r="P47" s="21">
        <v>1370.75</v>
      </c>
      <c r="Q47" s="21">
        <v>439.42</v>
      </c>
      <c r="R47" s="20">
        <v>2.3</v>
      </c>
    </row>
    <row r="48" ht="13" spans="12:18">
      <c r="L48" s="20" t="s">
        <v>140</v>
      </c>
      <c r="M48" s="21">
        <v>2066.78</v>
      </c>
      <c r="N48" s="21">
        <v>1810.5</v>
      </c>
      <c r="O48" s="20">
        <v>3.1</v>
      </c>
      <c r="P48" s="21">
        <v>1389.68</v>
      </c>
      <c r="Q48" s="21">
        <v>547.41</v>
      </c>
      <c r="R48" s="20">
        <v>2.9</v>
      </c>
    </row>
    <row r="49" ht="13" spans="12:18">
      <c r="L49" s="20" t="s">
        <v>141</v>
      </c>
      <c r="M49" s="21">
        <v>9690.15</v>
      </c>
      <c r="N49" s="21">
        <v>8488.6</v>
      </c>
      <c r="O49" s="20">
        <v>14.3</v>
      </c>
      <c r="P49" s="21">
        <v>3768.41</v>
      </c>
      <c r="Q49" s="21">
        <v>2098.68</v>
      </c>
      <c r="R49" s="20">
        <v>10.9</v>
      </c>
    </row>
    <row r="50" ht="26" spans="12:18">
      <c r="L50" s="20" t="s">
        <v>142</v>
      </c>
      <c r="M50" s="21">
        <v>15974.33</v>
      </c>
      <c r="N50" s="21">
        <v>13993.5</v>
      </c>
      <c r="O50" s="20">
        <v>23.6</v>
      </c>
      <c r="P50" s="21">
        <v>5038.23</v>
      </c>
      <c r="Q50" s="21">
        <v>2968.58</v>
      </c>
      <c r="R50" s="20">
        <v>15.4</v>
      </c>
    </row>
    <row r="51" ht="13" spans="12:18">
      <c r="L51" s="20" t="s">
        <v>143</v>
      </c>
      <c r="M51" s="21">
        <v>3698.55</v>
      </c>
      <c r="N51" s="21">
        <v>3239.9</v>
      </c>
      <c r="O51" s="20">
        <v>5.5</v>
      </c>
      <c r="P51" s="21">
        <v>996.94</v>
      </c>
      <c r="Q51" s="21">
        <v>538.66</v>
      </c>
      <c r="R51" s="20">
        <v>2.8</v>
      </c>
    </row>
  </sheetData>
  <mergeCells count="4">
    <mergeCell ref="C2:D2"/>
    <mergeCell ref="E2:G2"/>
    <mergeCell ref="H2:J2"/>
    <mergeCell ref="B2:B3"/>
  </mergeCells>
  <conditionalFormatting sqref="C4:C31">
    <cfRule type="colorScale" priority="6">
      <colorScale>
        <cfvo type="min"/>
        <cfvo type="percentile" val="50"/>
        <cfvo type="max"/>
        <color rgb="FFF8696B"/>
        <color rgb="FFFFEB84"/>
        <color rgb="FF63BE7B"/>
      </colorScale>
    </cfRule>
  </conditionalFormatting>
  <conditionalFormatting sqref="D4:D31">
    <cfRule type="colorScale" priority="5">
      <colorScale>
        <cfvo type="min"/>
        <cfvo type="percentile" val="50"/>
        <cfvo type="max"/>
        <color rgb="FFF8696B"/>
        <color rgb="FFFFEB84"/>
        <color rgb="FF63BE7B"/>
      </colorScale>
    </cfRule>
  </conditionalFormatting>
  <conditionalFormatting sqref="F4:F31">
    <cfRule type="colorScale" priority="4">
      <colorScale>
        <cfvo type="min"/>
        <cfvo type="percentile" val="50"/>
        <cfvo type="max"/>
        <color rgb="FFF8696B"/>
        <color rgb="FFFFEB84"/>
        <color rgb="FF63BE7B"/>
      </colorScale>
    </cfRule>
  </conditionalFormatting>
  <conditionalFormatting sqref="G4:G31">
    <cfRule type="colorScale" priority="3">
      <colorScale>
        <cfvo type="min"/>
        <cfvo type="percentile" val="50"/>
        <cfvo type="max"/>
        <color rgb="FFF8696B"/>
        <color rgb="FFFFEB84"/>
        <color rgb="FF63BE7B"/>
      </colorScale>
    </cfRule>
  </conditionalFormatting>
  <conditionalFormatting sqref="I4:I31">
    <cfRule type="colorScale" priority="2">
      <colorScale>
        <cfvo type="min"/>
        <cfvo type="percentile" val="50"/>
        <cfvo type="max"/>
        <color rgb="FFF8696B"/>
        <color rgb="FFFFEB84"/>
        <color rgb="FF63BE7B"/>
      </colorScale>
    </cfRule>
  </conditionalFormatting>
  <conditionalFormatting sqref="J4:J31">
    <cfRule type="colorScale" priority="1">
      <colorScale>
        <cfvo type="min"/>
        <cfvo type="percentile" val="50"/>
        <cfvo type="max"/>
        <color rgb="FFF8696B"/>
        <color rgb="FFFFEB84"/>
        <color rgb="FF63BE7B"/>
      </colorScale>
    </cfRule>
  </conditionalFormatting>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9:H30"/>
  <sheetViews>
    <sheetView workbookViewId="0">
      <selection activeCell="H19" sqref="H19"/>
    </sheetView>
  </sheetViews>
  <sheetFormatPr defaultColWidth="9" defaultRowHeight="12.5" outlineLevelCol="7"/>
  <cols>
    <col min="1" max="1" width="9" style="5"/>
    <col min="2" max="2" width="15" style="5" customWidth="1"/>
    <col min="3" max="3" width="20.5727272727273" style="5" customWidth="1"/>
    <col min="4" max="7" width="14.2818181818182" style="5" customWidth="1"/>
    <col min="8" max="16384" width="9" style="5"/>
  </cols>
  <sheetData>
    <row r="19" ht="14" spans="4:8">
      <c r="D19" s="7" t="s">
        <v>144</v>
      </c>
      <c r="E19" s="5" t="s">
        <v>145</v>
      </c>
      <c r="F19" s="5" t="s">
        <v>146</v>
      </c>
      <c r="H19" s="10" t="s">
        <v>12</v>
      </c>
    </row>
    <row r="20" ht="13" spans="3:6">
      <c r="C20" s="7" t="s">
        <v>147</v>
      </c>
      <c r="D20" s="11">
        <f>2*10^8</f>
        <v>200000000</v>
      </c>
      <c r="E20" s="11">
        <f t="shared" ref="E20:E22" si="0">D20*$E$25</f>
        <v>1628200000</v>
      </c>
      <c r="F20" s="5">
        <f t="shared" ref="F20:F22" si="1">E20/$E$27</f>
        <v>360620.15503876</v>
      </c>
    </row>
    <row r="21" ht="13" spans="3:6">
      <c r="C21" s="7" t="s">
        <v>148</v>
      </c>
      <c r="D21" s="11">
        <f>2*10^8</f>
        <v>200000000</v>
      </c>
      <c r="E21" s="11">
        <f t="shared" si="0"/>
        <v>1628200000</v>
      </c>
      <c r="F21" s="5">
        <f t="shared" si="1"/>
        <v>360620.15503876</v>
      </c>
    </row>
    <row r="22" ht="13" spans="3:6">
      <c r="C22" s="7" t="s">
        <v>149</v>
      </c>
      <c r="D22" s="11">
        <f>6000*10000</f>
        <v>60000000</v>
      </c>
      <c r="E22" s="11">
        <f t="shared" si="0"/>
        <v>488460000</v>
      </c>
      <c r="F22" s="5">
        <f t="shared" si="1"/>
        <v>108186.046511628</v>
      </c>
    </row>
    <row r="25" ht="25" spans="4:6">
      <c r="D25" s="12" t="s">
        <v>150</v>
      </c>
      <c r="E25" s="5">
        <v>8.141</v>
      </c>
      <c r="F25" s="5" t="s">
        <v>145</v>
      </c>
    </row>
    <row r="27" ht="25" spans="4:6">
      <c r="D27" s="12" t="s">
        <v>151</v>
      </c>
      <c r="E27" s="5">
        <v>4515</v>
      </c>
      <c r="F27" s="5" t="s">
        <v>152</v>
      </c>
    </row>
    <row r="30" spans="8:8">
      <c r="H30" s="5" t="s">
        <v>153</v>
      </c>
    </row>
  </sheetData>
  <hyperlinks>
    <hyperlink ref="H19" r:id="rId2" display="https://www.163.com/dy/article/FOOLBG0T0538A21J.html"/>
  </hyperlink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33"/>
  <sheetViews>
    <sheetView topLeftCell="A10" workbookViewId="0">
      <selection activeCell="B24" sqref="B24"/>
    </sheetView>
  </sheetViews>
  <sheetFormatPr defaultColWidth="9" defaultRowHeight="12.5"/>
  <cols>
    <col min="1" max="16" width="9" style="5"/>
    <col min="17" max="20" width="9.28181818181818" style="5" customWidth="1"/>
    <col min="21" max="21" width="17.7090909090909" style="5" customWidth="1"/>
    <col min="22" max="22" width="5.70909090909091" style="5" customWidth="1"/>
    <col min="23" max="23" width="5.13636363636364" style="5" customWidth="1"/>
    <col min="24" max="16384" width="9" style="5"/>
  </cols>
  <sheetData>
    <row r="1" spans="2:2">
      <c r="B1" s="5" t="s">
        <v>154</v>
      </c>
    </row>
    <row r="22" spans="2:2">
      <c r="B22" s="5" t="s">
        <v>155</v>
      </c>
    </row>
    <row r="24" ht="13" spans="2:2">
      <c r="B24" s="6" t="s">
        <v>156</v>
      </c>
    </row>
    <row r="25" ht="13" spans="2:24">
      <c r="B25" s="7" t="s">
        <v>157</v>
      </c>
      <c r="V25" s="8" t="s">
        <v>158</v>
      </c>
      <c r="W25" s="8"/>
      <c r="X25" s="5" t="s">
        <v>159</v>
      </c>
    </row>
    <row r="26" ht="13" spans="2:24">
      <c r="B26" s="7" t="s">
        <v>160</v>
      </c>
      <c r="U26" s="5" t="s">
        <v>161</v>
      </c>
      <c r="V26" s="5">
        <v>8450</v>
      </c>
      <c r="W26" s="5" t="s">
        <v>146</v>
      </c>
      <c r="X26" s="5">
        <v>12500</v>
      </c>
    </row>
    <row r="27" spans="21:23">
      <c r="U27" s="5" t="s">
        <v>162</v>
      </c>
      <c r="V27" s="5">
        <v>7120</v>
      </c>
      <c r="W27" s="5" t="s">
        <v>146</v>
      </c>
    </row>
    <row r="28" ht="13" spans="2:2">
      <c r="B28" s="7" t="s">
        <v>163</v>
      </c>
    </row>
    <row r="29" ht="26" spans="2:23">
      <c r="B29" s="7" t="s">
        <v>164</v>
      </c>
      <c r="U29" s="9" t="s">
        <v>165</v>
      </c>
      <c r="V29" s="5">
        <v>8459000</v>
      </c>
      <c r="W29" s="5" t="s">
        <v>166</v>
      </c>
    </row>
    <row r="30" ht="13" spans="2:23">
      <c r="B30" s="7" t="s">
        <v>167</v>
      </c>
      <c r="V30" s="5">
        <f>V29/1000</f>
        <v>8459</v>
      </c>
      <c r="W30" s="5" t="s">
        <v>146</v>
      </c>
    </row>
    <row r="31" ht="13" spans="2:2">
      <c r="B31" s="7" t="s">
        <v>168</v>
      </c>
    </row>
    <row r="32" ht="13" spans="2:2">
      <c r="B32" s="7" t="s">
        <v>169</v>
      </c>
    </row>
    <row r="33" ht="13" spans="2:2">
      <c r="B33" s="7"/>
    </row>
  </sheetData>
  <mergeCells count="1">
    <mergeCell ref="V25:W25"/>
  </mergeCells>
  <hyperlinks>
    <hyperlink ref="B24" r:id="rId2" display="地热发电亟待政策扶一把 (people.com.cn)"/>
  </hyperlink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D17"/>
  <sheetViews>
    <sheetView tabSelected="1" workbookViewId="0">
      <selection activeCell="I8" sqref="I8"/>
    </sheetView>
  </sheetViews>
  <sheetFormatPr defaultColWidth="8.72727272727273" defaultRowHeight="14" outlineLevelCol="3"/>
  <cols>
    <col min="2" max="2" width="18.5454545454545" customWidth="1"/>
    <col min="3" max="3" width="12.8181818181818"/>
  </cols>
  <sheetData>
    <row r="3" spans="2:4">
      <c r="B3" t="s">
        <v>170</v>
      </c>
      <c r="C3">
        <f>200*10^8</f>
        <v>20000000000</v>
      </c>
      <c r="D3" t="s">
        <v>166</v>
      </c>
    </row>
    <row r="15" spans="2:3">
      <c r="B15" t="s">
        <v>1</v>
      </c>
      <c r="C15" t="s">
        <v>171</v>
      </c>
    </row>
    <row r="16" spans="3:3">
      <c r="C16" t="s">
        <v>172</v>
      </c>
    </row>
    <row r="17" spans="3:3">
      <c r="C17" s="4" t="s">
        <v>19</v>
      </c>
    </row>
  </sheetData>
  <hyperlinks>
    <hyperlink ref="C17" r:id="rId2" display="https://www.iwra.org/proceedings/congress/resource/IWRA2023_Beijing_China_20230912_SS_2_1_ORAL_20230904_%E4%B8%AD%E5%9B%BD%E6%96%B0%E8%83%BD%E6%BA%90%E5%9F%BA%E5%9C%B0%E5%8C%96%E5%BC%80%E5%8F%91%E4%B8%8E%E6%96%B0%E5%9E%8B%E6%8A%BD%E6%B0%B4%E8%93%84%E8%83%BDv3.pdf"/>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C17"/>
  <sheetViews>
    <sheetView workbookViewId="0">
      <selection activeCell="G9" sqref="G9"/>
    </sheetView>
  </sheetViews>
  <sheetFormatPr defaultColWidth="9" defaultRowHeight="14" outlineLevelCol="2"/>
  <cols>
    <col min="1" max="1" width="22" customWidth="1"/>
    <col min="2" max="2" width="27.2727272727273" customWidth="1"/>
  </cols>
  <sheetData>
    <row r="1" spans="1:2">
      <c r="A1" s="1" t="s">
        <v>173</v>
      </c>
      <c r="B1" s="1" t="s">
        <v>174</v>
      </c>
    </row>
    <row r="2" spans="1:2">
      <c r="A2" s="2" t="s">
        <v>175</v>
      </c>
      <c r="B2" s="2">
        <f>9*10^12</f>
        <v>9000000000000</v>
      </c>
    </row>
    <row r="3" spans="1:2">
      <c r="A3" s="2" t="s">
        <v>176</v>
      </c>
      <c r="B3" s="2">
        <f>9*10^12</f>
        <v>9000000000000</v>
      </c>
    </row>
    <row r="4" spans="1:2">
      <c r="A4" s="2" t="s">
        <v>177</v>
      </c>
      <c r="B4" s="2">
        <f>9*10^12</f>
        <v>9000000000000</v>
      </c>
    </row>
    <row r="5" spans="1:2">
      <c r="A5" s="2" t="s">
        <v>178</v>
      </c>
      <c r="B5" s="2">
        <f>Hydro!D32</f>
        <v>694400</v>
      </c>
    </row>
    <row r="6" spans="1:2">
      <c r="A6" s="2" t="s">
        <v>179</v>
      </c>
      <c r="B6" s="2">
        <f>'Wind &amp; Solar - Most Updated'!Q27*1000</f>
        <v>8694000</v>
      </c>
    </row>
    <row r="7" spans="1:2">
      <c r="A7" s="2" t="s">
        <v>180</v>
      </c>
      <c r="B7" s="2">
        <f>'Wind &amp; Solar - Most Updated'!S27*1000</f>
        <v>45600000</v>
      </c>
    </row>
    <row r="8" spans="1:2">
      <c r="A8" s="2" t="s">
        <v>181</v>
      </c>
      <c r="B8" s="2">
        <f>'Solar Thermal'!C3/1000</f>
        <v>20000000</v>
      </c>
    </row>
    <row r="9" spans="1:2">
      <c r="A9" s="2" t="s">
        <v>182</v>
      </c>
      <c r="B9" s="2">
        <f>'Biomass and MSW'!F20+'Biomass and MSW'!F21</f>
        <v>721240.31007752</v>
      </c>
    </row>
    <row r="10" spans="1:2">
      <c r="A10" s="2" t="s">
        <v>183</v>
      </c>
      <c r="B10" s="2">
        <f>Geothermal!V30</f>
        <v>8459</v>
      </c>
    </row>
    <row r="11" spans="1:2">
      <c r="A11" s="2" t="s">
        <v>184</v>
      </c>
      <c r="B11" s="2">
        <f>9*10^12</f>
        <v>9000000000000</v>
      </c>
    </row>
    <row r="12" spans="1:2">
      <c r="A12" s="2" t="s">
        <v>185</v>
      </c>
      <c r="B12" s="2">
        <f>9*10^12</f>
        <v>9000000000000</v>
      </c>
    </row>
    <row r="13" spans="1:2">
      <c r="A13" s="2" t="s">
        <v>186</v>
      </c>
      <c r="B13" s="2">
        <f>9*10^12</f>
        <v>9000000000000</v>
      </c>
    </row>
    <row r="14" spans="1:2">
      <c r="A14" s="2" t="s">
        <v>187</v>
      </c>
      <c r="B14" s="2">
        <f>'Wind &amp; Solar - Most Updated'!R27*1000</f>
        <v>2254000</v>
      </c>
    </row>
    <row r="15" spans="1:3">
      <c r="A15" s="2" t="s">
        <v>188</v>
      </c>
      <c r="B15" s="2">
        <v>0</v>
      </c>
      <c r="C15" s="3"/>
    </row>
    <row r="16" spans="1:3">
      <c r="A16" s="2" t="s">
        <v>189</v>
      </c>
      <c r="B16" s="2">
        <v>0</v>
      </c>
      <c r="C16" s="3"/>
    </row>
    <row r="17" spans="1:3">
      <c r="A17" s="2" t="s">
        <v>190</v>
      </c>
      <c r="B17" s="2">
        <f>'Biomass and MSW'!F22</f>
        <v>108186.046511628</v>
      </c>
      <c r="C17" s="3"/>
    </row>
  </sheetData>
  <pageMargins left="0.7" right="0.7" top="0.75" bottom="0.75" header="0.3" footer="0.3"/>
  <pageSetup paperSize="1"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���ech�e�^�ech0�~NTĉ'`V{eu^\'`�~NTĉ'`V{eu�d\OqQ�N�[a�qQ�N�[a���~�Oo`�Q�[{|�Wh��
</file>

<file path=customXml/item2.xml>��
</file>

<file path=customXml/item3.xml>��
</file>

<file path=customXml/itemProps1.xml><?xml version="1.0" encoding="utf-8"?>
<ds:datastoreItem xmlns:ds="http://schemas.openxmlformats.org/officeDocument/2006/customXml" ds:itemID="{44737926-B4D3-4301-8A6D-1CE2923FA184}">
  <ds:schemaRefs/>
</ds:datastoreItem>
</file>

<file path=customXml/itemProps2.xml><?xml version="1.0" encoding="utf-8"?>
<ds:datastoreItem xmlns:ds="http://schemas.openxmlformats.org/officeDocument/2006/customXml" ds:itemID="{02461FF0-C2AE-4AD2-9407-56150F5A02B3}">
  <ds:schemaRefs/>
</ds:datastoreItem>
</file>

<file path=customXml/itemProps3.xml><?xml version="1.0" encoding="utf-8"?>
<ds:datastoreItem xmlns:ds="http://schemas.openxmlformats.org/officeDocument/2006/customXml" ds:itemID="{7CF30936-200B-4E7A-857C-B948FFAAC812}">
  <ds:schemaRefs/>
</ds:datastoreItem>
</file>

<file path=docProps/app.xml><?xml version="1.0" encoding="utf-8"?>
<Properties xmlns="http://schemas.openxmlformats.org/officeDocument/2006/extended-properties" xmlns:vt="http://schemas.openxmlformats.org/officeDocument/2006/docPropsVTypes">
  <Company>EnergyInnovation.org</Company>
  <Application>Microsoft Excel</Application>
  <HeadingPairs>
    <vt:vector size="2" baseType="variant">
      <vt:variant>
        <vt:lpstr>工作表</vt:lpstr>
      </vt:variant>
      <vt:variant>
        <vt:i4>8</vt:i4>
      </vt:variant>
    </vt:vector>
  </HeadingPairs>
  <TitlesOfParts>
    <vt:vector size="8" baseType="lpstr">
      <vt:lpstr>About</vt:lpstr>
      <vt:lpstr>Wind &amp; Solar - Most Updated</vt:lpstr>
      <vt:lpstr>Wind IEA</vt:lpstr>
      <vt:lpstr>Hydro</vt:lpstr>
      <vt:lpstr>Biomass and MSW</vt:lpstr>
      <vt:lpstr>Geothermal</vt:lpstr>
      <vt:lpstr>Solar Thermal</vt:lpstr>
      <vt:lpstr>MPCbS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仰望星空✨✨</cp:lastModifiedBy>
  <dcterms:created xsi:type="dcterms:W3CDTF">2015-01-16T02:18:00Z</dcterms:created>
  <dcterms:modified xsi:type="dcterms:W3CDTF">2025-05-21T09:15:24Z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0x010100BD1DE36A36CC7845A4126EF01914151E</vt:lpwstr>
  </property>
  <property fmtid="{D5CDD505-2E9C-101B-9397-08002B2CF9AE}" pid="3" name="KSOProductBuildVer">
    <vt:lpwstr>2052-12.1.0.21171</vt:lpwstr>
  </property>
  <property fmtid="{D5CDD505-2E9C-101B-9397-08002B2CF9AE}" pid="4" name="ICV">
    <vt:lpwstr>89C59FF60D964954864BF978E4C39253_12</vt:lpwstr>
  </property>
</Properties>
</file>