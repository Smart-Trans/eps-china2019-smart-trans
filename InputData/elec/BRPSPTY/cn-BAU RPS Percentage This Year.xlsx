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8800" windowHeight="12255" tabRatio="780" firstSheet="5" activeTab="12"/>
  </bookViews>
  <sheets>
    <sheet name="About" sheetId="2" r:id="rId1"/>
    <sheet name="Province Selector" sheetId="17" r:id="rId2"/>
    <sheet name="historic consumption" sheetId="5" r:id="rId3"/>
    <sheet name="historic generation" sheetId="9" r:id="rId4"/>
    <sheet name="historic exchange" sheetId="16" r:id="rId5"/>
    <sheet name="pre145 21-30 targets" sheetId="1" r:id="rId6"/>
    <sheet name="annual consumption target" sheetId="8" r:id="rId7"/>
    <sheet name="Provincial 145RPS" sheetId="21" r:id="rId8"/>
    <sheet name="14FYP workbook" sheetId="20" r:id="rId9"/>
    <sheet name="model calibration" sheetId="19" r:id="rId10"/>
    <sheet name="model calibration - 2022" sheetId="22" r:id="rId11"/>
    <sheet name="calculation" sheetId="6" r:id="rId12"/>
    <sheet name="calculation - 2019 Scenario" sheetId="23" r:id="rId13"/>
    <sheet name="BRPSPTY" sheetId="18" r:id="rId14"/>
  </sheets>
  <definedNames>
    <definedName name="_xlnm._FilterDatabase" localSheetId="3" hidden="1">'historic generation'!$A$1:$D$3967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<sst xmlns="http://schemas.openxmlformats.org/spreadsheetml/2006/main" count="12900" uniqueCount="578">
  <si>
    <t>BRPSPTY BAU Renewable Portfolio Std Percentage This Year</t>
  </si>
  <si>
    <t>Sources:</t>
  </si>
  <si>
    <t>Historic Renewable Consumption Data</t>
  </si>
  <si>
    <t>Historic Electricity Generation Data</t>
  </si>
  <si>
    <t>National Energy Agency</t>
  </si>
  <si>
    <t>China Electricity Council</t>
  </si>
  <si>
    <t>全国可再生能源电力发展检测评价报告</t>
  </si>
  <si>
    <t>中国电力工业统计资料汇编 （Compilation of China Power Sector Statistics)</t>
  </si>
  <si>
    <t>Annual Rnewable Power Development Monitoring Report</t>
  </si>
  <si>
    <t>2015-2021</t>
  </si>
  <si>
    <t>2015-2022</t>
  </si>
  <si>
    <t>Chapter 2 (Power Generation)</t>
  </si>
  <si>
    <t>http://cn.chinagate.cn/economics/2016-08/24/content_39157136.htm</t>
  </si>
  <si>
    <t>http://zfxxgk.nea.gov.cn/auto87/201704/t20170418_2773.htm</t>
  </si>
  <si>
    <t>Historic Electricity Import and Export Data</t>
  </si>
  <si>
    <t>https://www.gov.cn/zhengce/zhengceku/2018-12/31/content_5433577.htm</t>
  </si>
  <si>
    <t>China National Bureau of Statistics</t>
  </si>
  <si>
    <t>https://www.gov.cn/zhengce/zhengceku/2019-09/29/content_5434697.htm</t>
  </si>
  <si>
    <t>中国能源统计年鉴（Statistical Yearbook of China Energy)</t>
  </si>
  <si>
    <t>http://zfxxgk.nea.gov.cn/2020-05/06/c_139059627.htm</t>
  </si>
  <si>
    <t>http://zfxxgk.nea.gov.cn/2021-06/20/c_1310039970.htm</t>
  </si>
  <si>
    <t>Chappter 6 Provincial Energy Balance Sheet</t>
  </si>
  <si>
    <t>https://www.gov.cn/zhengce/zhengceku/2022-09/23/content_5711253.htm</t>
  </si>
  <si>
    <t>http://zfxxgk.nea.gov.cn/2023-09/07/c_1310741874.htm</t>
  </si>
  <si>
    <t>Annually Announced Renewable Consumption Target</t>
  </si>
  <si>
    <t>Pre 14FYP Announced Renewable Consumption Target till 2030</t>
  </si>
  <si>
    <t>可再生能源消纳责任权重</t>
  </si>
  <si>
    <t>可再生能源消纳责任权重2021-2030(征求意见）</t>
  </si>
  <si>
    <t>Renewable Consumption Quota (released annually / biannually)</t>
  </si>
  <si>
    <t>renewable consumption quota 2021-2030 (Draft for opinion)</t>
  </si>
  <si>
    <t>2021-22</t>
  </si>
  <si>
    <t>https://www.gov.cn/zhengce/zhengceku/2021-05/26/content_5612441.htm</t>
  </si>
  <si>
    <t>2021-30</t>
  </si>
  <si>
    <t>2023-24</t>
  </si>
  <si>
    <t>https://www.ndrc.gov.cn/xwdt/tzgg/202308/t20230804_1359103.html</t>
  </si>
  <si>
    <t>http://nyj.yq.gov.cn/zxdt/202102/t20210218_1128635.html</t>
  </si>
  <si>
    <t>Note:</t>
  </si>
  <si>
    <t>The purpose of this variable is to specify the renewable portfolio standard requirement that must be met</t>
  </si>
  <si>
    <t>in the BAU case (which the user may increase via a policy lever, affecting the policy case).</t>
  </si>
  <si>
    <t xml:space="preserve">For China, instead of production based RPS, the national government announces provincial renewable </t>
  </si>
  <si>
    <t>consumption quota annually. Since EPS calculated the RPS after deducting electricty import and export,</t>
  </si>
  <si>
    <t>it is necessary to converted the consumption based target to production based RPS standard.</t>
  </si>
  <si>
    <t xml:space="preserve">The annouced consumption target are listed as well as historic electricity import / export are listed. </t>
  </si>
  <si>
    <t>Since China's latest mid/long-term renewable development plan was 2007-2020, this is no long term</t>
  </si>
  <si>
    <t>provincial target prior to the anouncement of the 14th FYP. However, in 2021, there was draft for opinion</t>
  </si>
  <si>
    <t>released by the NEA that contains province specific consumption quota up to 2030. This is before the</t>
  </si>
  <si>
    <t>release of 14 FYP or the ambitous national target of 1.2 TW wind and solar target, and that historically</t>
  </si>
  <si>
    <t>the country overshoots its renewable target. We decided to the the quota announced in this draft as the</t>
  </si>
  <si>
    <t>base to calculated provincial RPS to 2030.</t>
  </si>
  <si>
    <t>Post 2030 Calculation and Calibration</t>
  </si>
  <si>
    <t>There are no announced targets beyond 2030 for the BAU scenario (prior to 14FYP policy bucket), and</t>
  </si>
  <si>
    <t>leaving the RPS requirement flat will led to increasing CO2 emission due to rising electricity demand. This is</t>
  </si>
  <si>
    <t>contradictory to what we expect for electricity sector development beyond 2030. To address this issue,</t>
  </si>
  <si>
    <t>to calibrate our result based on model runs. We assume no additional power will be met from non-renewable</t>
  </si>
  <si>
    <t xml:space="preserve">source after 2030, i.e. no renewable generation cannot exceed what it generated in 2030. Dividing the value </t>
  </si>
  <si>
    <t>by the expected generation from future year essentially helps to calculate a RPS value. This is achieved by calibrating</t>
  </si>
  <si>
    <r>
      <rPr>
        <sz val="11"/>
        <color theme="1"/>
        <rFont val="等线"/>
        <charset val="134"/>
        <scheme val="minor"/>
      </rPr>
      <t xml:space="preserve">the data using the </t>
    </r>
    <r>
      <rPr>
        <b/>
        <sz val="11"/>
        <color theme="1"/>
        <rFont val="等线"/>
        <charset val="134"/>
        <scheme val="minor"/>
      </rPr>
      <t>Electricity Generation by Type</t>
    </r>
    <r>
      <rPr>
        <sz val="11"/>
        <color theme="1"/>
        <rFont val="等线"/>
        <charset val="134"/>
        <scheme val="minor"/>
      </rPr>
      <t xml:space="preserve"> and </t>
    </r>
    <r>
      <rPr>
        <b/>
        <sz val="11"/>
        <color theme="1"/>
        <rFont val="等线"/>
        <charset val="134"/>
        <scheme val="minor"/>
      </rPr>
      <t>Precentage Electricity Generation by Source</t>
    </r>
    <r>
      <rPr>
        <sz val="11"/>
        <color theme="1"/>
        <rFont val="等线"/>
        <charset val="134"/>
        <scheme val="minor"/>
      </rPr>
      <t xml:space="preserve"> from the model</t>
    </r>
  </si>
  <si>
    <t>Region Selector</t>
  </si>
  <si>
    <t>This excel file includes data required for all Chinese provinces (excluding Taiwan, Hong Kong, Macau,</t>
  </si>
  <si>
    <t xml:space="preserve">and sometimes Tibet). You can use the selector below to choose which province/region you would </t>
  </si>
  <si>
    <t>like to calculate for:</t>
  </si>
  <si>
    <t>Province Selector</t>
  </si>
  <si>
    <t>全国 National</t>
  </si>
  <si>
    <t>Code</t>
  </si>
  <si>
    <t>地区名称</t>
  </si>
  <si>
    <t>地区全称</t>
  </si>
  <si>
    <t>地区简称</t>
  </si>
  <si>
    <t>Name</t>
  </si>
  <si>
    <t>缩写</t>
  </si>
  <si>
    <t>00</t>
  </si>
  <si>
    <t>全国</t>
  </si>
  <si>
    <t>National</t>
  </si>
  <si>
    <t>CN</t>
  </si>
  <si>
    <t>北京市 Beijing</t>
  </si>
  <si>
    <t>北京市</t>
  </si>
  <si>
    <t>北京</t>
  </si>
  <si>
    <t>Beijing</t>
  </si>
  <si>
    <t>BJ</t>
  </si>
  <si>
    <t>天津市 Tianjin</t>
  </si>
  <si>
    <t>天津市</t>
  </si>
  <si>
    <t>天津</t>
  </si>
  <si>
    <t>Tianjin</t>
  </si>
  <si>
    <t>TJ</t>
  </si>
  <si>
    <t>河北省 Hebei</t>
  </si>
  <si>
    <t>河北省</t>
  </si>
  <si>
    <t>河北</t>
  </si>
  <si>
    <t>Hebei</t>
  </si>
  <si>
    <t>HE</t>
  </si>
  <si>
    <t>山西省 Shanxi</t>
  </si>
  <si>
    <t>山西省</t>
  </si>
  <si>
    <t>山西</t>
  </si>
  <si>
    <t>Shanxi</t>
  </si>
  <si>
    <t>SX</t>
  </si>
  <si>
    <t>内蒙古自治区 Inner Mongolia</t>
  </si>
  <si>
    <t>内蒙古自治区</t>
  </si>
  <si>
    <t>内蒙古</t>
  </si>
  <si>
    <t>Inner Mongolia</t>
  </si>
  <si>
    <t>NM</t>
  </si>
  <si>
    <t>辽宁省 Liaoning</t>
  </si>
  <si>
    <t>辽宁省</t>
  </si>
  <si>
    <t>辽宁</t>
  </si>
  <si>
    <t>Liaoning</t>
  </si>
  <si>
    <t>LN</t>
  </si>
  <si>
    <t>吉林省 Jilin</t>
  </si>
  <si>
    <t>吉林省</t>
  </si>
  <si>
    <t>吉林</t>
  </si>
  <si>
    <t>Jilin</t>
  </si>
  <si>
    <t>JL</t>
  </si>
  <si>
    <t>黑龙江省 Heilongjiang</t>
  </si>
  <si>
    <t>黑龙江省</t>
  </si>
  <si>
    <t>黑龙江</t>
  </si>
  <si>
    <t>Heilongjiang</t>
  </si>
  <si>
    <t>HL</t>
  </si>
  <si>
    <t>上海市 Shanghai</t>
  </si>
  <si>
    <t>上海市</t>
  </si>
  <si>
    <t>上海</t>
  </si>
  <si>
    <t>Shanghai</t>
  </si>
  <si>
    <t>SH</t>
  </si>
  <si>
    <t>江苏省 Jiangsu</t>
  </si>
  <si>
    <t>江苏省</t>
  </si>
  <si>
    <t>江苏</t>
  </si>
  <si>
    <t>Jiangsu</t>
  </si>
  <si>
    <t>JS</t>
  </si>
  <si>
    <t>浙江省 Zhejiang</t>
  </si>
  <si>
    <t>浙江省</t>
  </si>
  <si>
    <t>浙江</t>
  </si>
  <si>
    <t>Zhejiang</t>
  </si>
  <si>
    <t>ZJ</t>
  </si>
  <si>
    <t>安徽省 Anhui</t>
  </si>
  <si>
    <t>安徽省</t>
  </si>
  <si>
    <t>安徽</t>
  </si>
  <si>
    <t>Anhui</t>
  </si>
  <si>
    <t>AH</t>
  </si>
  <si>
    <t>福建省 Fujian</t>
  </si>
  <si>
    <t>福建省</t>
  </si>
  <si>
    <t>福建</t>
  </si>
  <si>
    <t>Fujian</t>
  </si>
  <si>
    <t>FJ</t>
  </si>
  <si>
    <t>江西省 Jiangxi</t>
  </si>
  <si>
    <t>江西省</t>
  </si>
  <si>
    <t>江西</t>
  </si>
  <si>
    <t>Jiangxi</t>
  </si>
  <si>
    <t>JX</t>
  </si>
  <si>
    <t>山东省 Shandong</t>
  </si>
  <si>
    <t>山东省</t>
  </si>
  <si>
    <t>山东</t>
  </si>
  <si>
    <t>Shandong</t>
  </si>
  <si>
    <t>SD</t>
  </si>
  <si>
    <t>河南省 Henan</t>
  </si>
  <si>
    <t>河南省</t>
  </si>
  <si>
    <t>河南</t>
  </si>
  <si>
    <t>Henan</t>
  </si>
  <si>
    <t>HA</t>
  </si>
  <si>
    <t>湖北省 Hubei</t>
  </si>
  <si>
    <t>湖北省</t>
  </si>
  <si>
    <t>湖北</t>
  </si>
  <si>
    <t>Hubei</t>
  </si>
  <si>
    <t>HB</t>
  </si>
  <si>
    <t>湖南省 Hunan</t>
  </si>
  <si>
    <t>湖南省</t>
  </si>
  <si>
    <t>湖南</t>
  </si>
  <si>
    <t>Hunan</t>
  </si>
  <si>
    <t>HN</t>
  </si>
  <si>
    <t>广东省 Guangdong</t>
  </si>
  <si>
    <t>广东省</t>
  </si>
  <si>
    <t>广东</t>
  </si>
  <si>
    <t>Guangdong</t>
  </si>
  <si>
    <t>GD</t>
  </si>
  <si>
    <t>广西壮族自治区 Guangxi</t>
  </si>
  <si>
    <t>广西壮族自治区</t>
  </si>
  <si>
    <t>广西</t>
  </si>
  <si>
    <t>Guangxi</t>
  </si>
  <si>
    <t>GX</t>
  </si>
  <si>
    <t>海南省 Hainan</t>
  </si>
  <si>
    <t>海南省</t>
  </si>
  <si>
    <t>海南</t>
  </si>
  <si>
    <t>Hainan</t>
  </si>
  <si>
    <t>HI</t>
  </si>
  <si>
    <t>重庆市 Chongqing</t>
  </si>
  <si>
    <t>重庆市</t>
  </si>
  <si>
    <t>重庆</t>
  </si>
  <si>
    <t>Chongqing</t>
  </si>
  <si>
    <t>CQ</t>
  </si>
  <si>
    <t>四川省 Sichuan</t>
  </si>
  <si>
    <t>四川省</t>
  </si>
  <si>
    <t>四川</t>
  </si>
  <si>
    <t>Sichuan</t>
  </si>
  <si>
    <t>SC</t>
  </si>
  <si>
    <t>贵州省 Guizhou</t>
  </si>
  <si>
    <t>贵州省</t>
  </si>
  <si>
    <t>贵州</t>
  </si>
  <si>
    <t>Guizhou</t>
  </si>
  <si>
    <t>GZ</t>
  </si>
  <si>
    <t>云南省 Yunnan</t>
  </si>
  <si>
    <t>云南省</t>
  </si>
  <si>
    <t>云南</t>
  </si>
  <si>
    <t>Yunnan</t>
  </si>
  <si>
    <t>YN</t>
  </si>
  <si>
    <t>西藏自治区 Tibet</t>
  </si>
  <si>
    <t>西藏自治区</t>
  </si>
  <si>
    <t>西藏</t>
  </si>
  <si>
    <t>Tibet</t>
  </si>
  <si>
    <t>XZ</t>
  </si>
  <si>
    <t>陕西省 Shaanxi</t>
  </si>
  <si>
    <t>陕西省</t>
  </si>
  <si>
    <t>陕西</t>
  </si>
  <si>
    <t>Shaanxi</t>
  </si>
  <si>
    <t>SN</t>
  </si>
  <si>
    <t>甘肃省 Gansu</t>
  </si>
  <si>
    <t>甘肃省</t>
  </si>
  <si>
    <t>甘肃</t>
  </si>
  <si>
    <t>Gansu</t>
  </si>
  <si>
    <t>GS</t>
  </si>
  <si>
    <t>青海省 Qinghai</t>
  </si>
  <si>
    <t>青海省</t>
  </si>
  <si>
    <t>青海</t>
  </si>
  <si>
    <t>Qinghai</t>
  </si>
  <si>
    <t>QH</t>
  </si>
  <si>
    <t>宁夏回族自治区 Ningxia</t>
  </si>
  <si>
    <t>宁夏回族自治区</t>
  </si>
  <si>
    <t>宁夏</t>
  </si>
  <si>
    <t>Ningxia</t>
  </si>
  <si>
    <t>NX</t>
  </si>
  <si>
    <t>新疆维吾尔自治区 Xijiang</t>
  </si>
  <si>
    <t>新疆维吾尔自治区</t>
  </si>
  <si>
    <t>新疆</t>
  </si>
  <si>
    <t>Xijiang</t>
  </si>
  <si>
    <t>XJ</t>
  </si>
  <si>
    <t>Year</t>
  </si>
  <si>
    <t>地区</t>
  </si>
  <si>
    <t>可再生能源电力消纳量（亿千瓦时）</t>
  </si>
  <si>
    <t>可再生能源电力消纳比重</t>
  </si>
  <si>
    <t>非水电可再生能源电力消纳量（亿千瓦时）</t>
  </si>
  <si>
    <t>Renewable Consumed (100 GWh)</t>
  </si>
  <si>
    <t>Region</t>
  </si>
  <si>
    <t>Renewable Consumed Ratio</t>
  </si>
  <si>
    <t>Non-hydro Renewable Consumed (100 GWh)</t>
  </si>
  <si>
    <t>Non-hydro Renewable Consumed Ratio</t>
  </si>
  <si>
    <t>指标</t>
  </si>
  <si>
    <t>年份</t>
  </si>
  <si>
    <t>值</t>
  </si>
  <si>
    <t>分布式太阳能发电量(亿千瓦小时)</t>
  </si>
  <si>
    <t>风力发电量(亿千瓦小时)</t>
  </si>
  <si>
    <t>光伏电站发电量(亿千瓦小时)</t>
  </si>
  <si>
    <t>核能发电量(亿千瓦小时)</t>
  </si>
  <si>
    <t>火力发电发电量(亿千瓦小时)</t>
  </si>
  <si>
    <t>秸秆.蔗渣.林木质发电发电量(亿千瓦小时)</t>
  </si>
  <si>
    <t>垃圾焚烧发电发电量(亿千瓦小时)</t>
  </si>
  <si>
    <t>其他火力发电发电量(亿千瓦小时)</t>
  </si>
  <si>
    <t>其他机组发电量(亿千瓦小时)</t>
  </si>
  <si>
    <t>燃煤发电发电量(亿千瓦小时)</t>
  </si>
  <si>
    <t>燃气发电发电量(亿千瓦小时)</t>
  </si>
  <si>
    <t>0. 1</t>
  </si>
  <si>
    <t>0. 3</t>
  </si>
  <si>
    <t>燃油发电发电量(亿千瓦小时)</t>
  </si>
  <si>
    <t>0. 004</t>
  </si>
  <si>
    <t>0. 2</t>
  </si>
  <si>
    <t>水力发电量(亿千瓦小时)</t>
  </si>
  <si>
    <t>太阳能发电量(亿千瓦小时)</t>
  </si>
  <si>
    <t>沼气发电发电量(亿千瓦小时)</t>
  </si>
  <si>
    <t>总发电量(亿千瓦小时)</t>
  </si>
  <si>
    <t>索引</t>
  </si>
  <si>
    <t>项目</t>
  </si>
  <si>
    <t>能源品种</t>
  </si>
  <si>
    <t>实物消费量</t>
  </si>
  <si>
    <t>求和项:实物消费量</t>
  </si>
  <si>
    <t>列标签</t>
  </si>
  <si>
    <t>1.1. 一次能源生产量</t>
  </si>
  <si>
    <t>电力(亿千瓦小时)</t>
  </si>
  <si>
    <t>行标签</t>
  </si>
  <si>
    <t>(空白)</t>
  </si>
  <si>
    <t>总计</t>
  </si>
  <si>
    <t>1.2. 外省(区、市)调入量</t>
  </si>
  <si>
    <t>1.3. 进口量</t>
  </si>
  <si>
    <t>1.5. 本省(区、市)调出量(-)</t>
  </si>
  <si>
    <t>1.6. 出口量(-)</t>
  </si>
  <si>
    <t/>
  </si>
  <si>
    <t>Expected 2021-2030 Provincial Renewabe Consumption Target</t>
  </si>
  <si>
    <t>Expected 2021-2030 Provincial non-Hydro Renewabe Consumption Target</t>
  </si>
  <si>
    <t>2021-2030年各省（区、市）可再生能源电力总量消纳责任权重预期目标建议</t>
  </si>
  <si>
    <t>2021-2030年各省（区、市）可再生能源电力非水消纳责任权重预期目标建议</t>
  </si>
  <si>
    <t>Hydo %</t>
  </si>
  <si>
    <r>
      <rPr>
        <sz val="11"/>
        <rFont val="等线"/>
        <charset val="134"/>
        <scheme val="minor"/>
      </rPr>
      <t>年度</t>
    </r>
  </si>
  <si>
    <t>* Values highlighed in Red and filled with started year values to avoild calculation errors.</t>
  </si>
  <si>
    <t>省（区、市）</t>
  </si>
  <si>
    <t>Minimum Renewable Consumption Ratio</t>
  </si>
  <si>
    <t>Minimum non-Hydro Renewable Consumption Ratio</t>
  </si>
  <si>
    <t>Encouraged Renewable Consumption Ratio</t>
  </si>
  <si>
    <t>Encouraged non-Hydro Renewable Consumption Ratio</t>
  </si>
  <si>
    <t>可再生能源最低消纳权重</t>
  </si>
  <si>
    <t>非水可再生能源最低消纳权重</t>
  </si>
  <si>
    <t>可再生能源激励性消纳权重</t>
  </si>
  <si>
    <t>非水可再生能源激励性消纳权重</t>
  </si>
  <si>
    <t>不考核</t>
  </si>
  <si>
    <t>未公布</t>
  </si>
  <si>
    <t>内蒙古自治区能源十四五规划</t>
  </si>
  <si>
    <t>This sheet is used to calculate Shandong's RPS set for 14th FYP policy scenario, it does not influence calculation for BAU and not used for other provinces</t>
  </si>
  <si>
    <t>Data Sources:</t>
  </si>
  <si>
    <t>Inner Mongolia Policy</t>
  </si>
  <si>
    <t>Policy Targets</t>
  </si>
  <si>
    <t>Provincial Government and Energy Administration</t>
  </si>
  <si>
    <t>展望 2030 年……新能源发电总量超过火电发电总量
“十四五”时期电力发展主要目标是：
化石能源占一次能源消费比重达到 20%左右，新能源装机比重超过 50%，新能源发电总量占总发电量比重超过 35</t>
  </si>
  <si>
    <t>内蒙古自治区十四五电力发展规划</t>
  </si>
  <si>
    <t>Inner Mongolia Electricity Development 14FYP</t>
  </si>
  <si>
    <t>https://nyj.nmg.gov.cn/zwgk/zfxxgkzl/fdzdgknr/tzgg_16482/tz_16483/202203/P020220329568378960686.pdf</t>
  </si>
  <si>
    <t>BAU RPS</t>
  </si>
  <si>
    <t>Policy RPS</t>
  </si>
  <si>
    <t>FOPITY</t>
  </si>
  <si>
    <t>Time (Time)</t>
  </si>
  <si>
    <t>Imported Electricity[hard coal es] : MostRecentRun</t>
  </si>
  <si>
    <t>Imported Electricity[natural gas nonpeaker es] : MostRecentRun</t>
  </si>
  <si>
    <t>Imported Electricity[nuclear es] : MostRecentRun</t>
  </si>
  <si>
    <t>Imported Electricity[hydro es] : MostRecentRun</t>
  </si>
  <si>
    <t>Imported Electricity[onshore wind es] : MostRecentRun</t>
  </si>
  <si>
    <t>Imported Electricity[solar PV es] : MostRecentRun</t>
  </si>
  <si>
    <t>Imported Electricity[solar thermal es] : MostRecentRun</t>
  </si>
  <si>
    <t>Imported Electricity[biomass es] : MostRecentRun</t>
  </si>
  <si>
    <t>Imported Electricity[geothermal es] : MostRecentRun</t>
  </si>
  <si>
    <t>Imported Electricity[petroleum es] : MostRecentRun</t>
  </si>
  <si>
    <t>Imported Electricity[natural gas peaker es] : MostRecentRun</t>
  </si>
  <si>
    <t>Imported Electricity[lignite es] : MostRecentRun</t>
  </si>
  <si>
    <t>Imported Electricity[offshore wind es] : MostRecentRun</t>
  </si>
  <si>
    <t>Imported Electricity[crude oil es] : MostRecentRun</t>
  </si>
  <si>
    <t>Imported Electricity[heavy or residual fuel oil es] : MostRecentRun</t>
  </si>
  <si>
    <t>Imported Electricity[municipal solid waste es] : MostRecentRun</t>
  </si>
  <si>
    <t>Exported Electricity : MostRecentRun</t>
  </si>
  <si>
    <t>Elec Demand after Net Imports : MostRecentRun</t>
  </si>
  <si>
    <t xml:space="preserve"> </t>
  </si>
  <si>
    <t>BAU Electricity Demand</t>
  </si>
  <si>
    <t>Policy Electricity Demand</t>
  </si>
  <si>
    <t>BAU Import Electricty %</t>
  </si>
  <si>
    <t>Policy Required</t>
  </si>
  <si>
    <t>Increased Electricity Demand</t>
  </si>
  <si>
    <t>Percentage Change in Electricity Import</t>
  </si>
  <si>
    <t>Electricity Generation by Type[hard coal es,preexisting retiring] : MostRecentRun</t>
  </si>
  <si>
    <t>Electricity Generation by Type[hard coal es,preexisting nonretiring] : MostRecentRun</t>
  </si>
  <si>
    <t>Electricity Generation by Type[hard coal es,newly built] : MostRecentRun</t>
  </si>
  <si>
    <t>Electricity Generation by Type[natural gas nonpeaker es,preexisting retiring] : MostRecentRun</t>
  </si>
  <si>
    <t>Electricity Generation by Type[natural gas nonpeaker es,preexisting nonretiring] : MostRecentRun</t>
  </si>
  <si>
    <t>Electricity Generation by Type[natural gas nonpeaker es,newly built] : MostRecentRun</t>
  </si>
  <si>
    <t>Electricity Generation by Type[nuclear es,preexisting retiring] : MostRecentRun</t>
  </si>
  <si>
    <t>Electricity Generation by Type[nuclear es,preexisting nonretiring] : MostRecentRun</t>
  </si>
  <si>
    <t>Electricity Generation by Type[nuclear es,newly built] : MostRecentRun</t>
  </si>
  <si>
    <t>Electricity Generation by Type[hydro es,preexisting retiring] : MostRecentRun</t>
  </si>
  <si>
    <t>Electricity Generation by Type[hydro es,preexisting nonretiring] : MostRecentRun</t>
  </si>
  <si>
    <t>Electricity Generation by Type[hydro es,newly built] : MostRecentRun</t>
  </si>
  <si>
    <t>Electricity Generation by Type[onshore wind es,preexisting retiring] : MostRecentRun</t>
  </si>
  <si>
    <t>Electricity Generation by Type[onshore wind es,preexisting nonretiring] : MostRecentRun</t>
  </si>
  <si>
    <t>Electricity Generation by Type[onshore wind es,newly built] : MostRecentRun</t>
  </si>
  <si>
    <t>Electricity Generation by Type[solar PV es,preexisting retiring] : MostRecentRun</t>
  </si>
  <si>
    <t>Electricity Generation by Type[solar PV es,preexisting nonretiring] : MostRecentRun</t>
  </si>
  <si>
    <t>Electricity Generation by Type[solar PV es,newly built] : MostRecentRun</t>
  </si>
  <si>
    <t>Electricity Generation by Type[solar thermal es,preexisting retiring] : MostRecentRun</t>
  </si>
  <si>
    <t>Electricity Generation by Type[solar thermal es,preexisting nonretiring] : MostRecentRun</t>
  </si>
  <si>
    <t>Electricity Generation by Type[solar thermal es,newly built] : MostRecentRun</t>
  </si>
  <si>
    <t>Electricity Generation by Type[biomass es,preexisting retiring] : MostRecentRun</t>
  </si>
  <si>
    <t>Electricity Generation by Type[biomass es,preexisting nonretiring] : MostRecentRun</t>
  </si>
  <si>
    <t>Electricity Generation by Type[biomass es,newly built] : MostRecentRun</t>
  </si>
  <si>
    <t>Electricity Generation by Type[geothermal es,preexisting retiring] : MostRecentRun</t>
  </si>
  <si>
    <t>Electricity Generation by Type[geothermal es,preexisting nonretiring] : MostRecentRun</t>
  </si>
  <si>
    <t>Electricity Generation by Type[geothermal es,newly built] : MostRecentRun</t>
  </si>
  <si>
    <t>Electricity Generation by Type[petroleum es,preexisting retiring] : MostRecentRun</t>
  </si>
  <si>
    <t>Electricity Generation by Type[petroleum es,preexisting nonretiring] : MostRecentRun</t>
  </si>
  <si>
    <t>Electricity Generation by Type[petroleum es,newly built] : MostRecentRun</t>
  </si>
  <si>
    <t>Electricity Generation by Type[natural gas peaker es,preexisting retiring] : MostRecentRun</t>
  </si>
  <si>
    <t>Electricity Generation by Type[natural gas peaker es,preexisting nonretiring] : MostRecentRun</t>
  </si>
  <si>
    <t>Electricity Generation by Type[natural gas peaker es,newly built] : MostRecentRun</t>
  </si>
  <si>
    <t>Electricity Generation by Type[lignite es,preexisting retiring] : MostRecentRun</t>
  </si>
  <si>
    <t>Electricity Generation by Type[lignite es,preexisting nonretiring] : MostRecentRun</t>
  </si>
  <si>
    <t>Electricity Generation by Type[lignite es,newly built] : MostRecentRun</t>
  </si>
  <si>
    <t>Electricity Generation by Type[offshore wind es,preexisting retiring] : MostRecentRun</t>
  </si>
  <si>
    <t>Electricity Generation by Type[offshore wind es,preexisting nonretiring] : MostRecentRun</t>
  </si>
  <si>
    <t>Electricity Generation by Type[offshore wind es,newly built] : MostRecentRun</t>
  </si>
  <si>
    <t>Electricity Generation by Type[crude oil es,preexisting retiring] : MostRecentRun</t>
  </si>
  <si>
    <t>Electricity Generation by Type[crude oil es,preexisting nonretiring] : MostRecentRun</t>
  </si>
  <si>
    <t>Electricity Generation by Type[crude oil es,newly built] : MostRecentRun</t>
  </si>
  <si>
    <t>Electricity Generation by Type[heavy or residual fuel oil es,preexisting retiring] : MostRecentRun</t>
  </si>
  <si>
    <t>Electricity Generation by Type[heavy or residual fuel oil es,preexisting nonretiring] : MostRecentRun</t>
  </si>
  <si>
    <t>Electricity Generation by Type[heavy or residual fuel oil es,newly built] : MostRecentRun</t>
  </si>
  <si>
    <t>Electricity Generation by Type[municipal solid waste es,preexisting retiring] : MostRecentRun</t>
  </si>
  <si>
    <t>Electricity Generation by Type[municipal solid waste es,preexisting nonretiring] : MostRecentRun</t>
  </si>
  <si>
    <t>Electricity Generation by Type[municipal solid waste es,newly built] : MostRecentRun</t>
  </si>
  <si>
    <t>Percentage Electricity Generation by Source[hard coal es] : MostRecentRun</t>
  </si>
  <si>
    <t>Percentage Electricity Generation by Source[natural gas nonpeaker es] : MostRecentRun</t>
  </si>
  <si>
    <t>Percentage Electricity Generation by Source[nuclear es] : MostRecentRun</t>
  </si>
  <si>
    <t>Percentage Electricity Generation by Source[hydro es] : MostRecentRun</t>
  </si>
  <si>
    <t>Percentage Electricity Generation by Source[onshore wind es] : MostRecentRun</t>
  </si>
  <si>
    <t>Percentage Electricity Generation by Source[solar PV es] : MostRecentRun</t>
  </si>
  <si>
    <t>Percentage Electricity Generation by Source[solar thermal es] : MostRecentRun</t>
  </si>
  <si>
    <t>Percentage Electricity Generation by Source[biomass es] : MostRecentRun</t>
  </si>
  <si>
    <t>Percentage Electricity Generation by Source[geothermal es] : MostRecentRun</t>
  </si>
  <si>
    <t>Percentage Electricity Generation by Source[petroleum es] : MostRecentRun</t>
  </si>
  <si>
    <t>Percentage Electricity Generation by Source[natural gas peaker es] : MostRecentRun</t>
  </si>
  <si>
    <t>Percentage Electricity Generation by Source[lignite es] : MostRecentRun</t>
  </si>
  <si>
    <t>Percentage Electricity Generation by Source[offshore wind es] : MostRecentRun</t>
  </si>
  <si>
    <t>Percentage Electricity Generation by Source[crude oil es] : MostRecentRun</t>
  </si>
  <si>
    <t>Percentage Electricity Generation by Source[heavy or residual fuel oil es] : MostRecentRun</t>
  </si>
  <si>
    <t>Percentage Electricity Generation by Source[municipal solid waste es] : MostRecentRun</t>
  </si>
  <si>
    <t>Time (Year)</t>
  </si>
  <si>
    <t>RQSD BAU RPS Qualifying Source Definitions[hard coal es] : MostRecentRun</t>
  </si>
  <si>
    <t>RQSD BAU RPS Qualifying Source Definitions[natural gas nonpeaker es] : MostRecentRun</t>
  </si>
  <si>
    <t>RQSD BAU RPS Qualifying Source Definitions[nuclear es] : MostRecentRun</t>
  </si>
  <si>
    <t>RQSD BAU RPS Qualifying Source Definitions[hydro es] : MostRecentRun</t>
  </si>
  <si>
    <t>RQSD BAU RPS Qualifying Source Definitions[onshore wind es] : MostRecentRun</t>
  </si>
  <si>
    <t>RQSD BAU RPS Qualifying Source Definitions[solar PV es] : MostRecentRun</t>
  </si>
  <si>
    <t>RQSD BAU RPS Qualifying Source Definitions[solar thermal es] : MostRecentRun</t>
  </si>
  <si>
    <t>RQSD BAU RPS Qualifying Source Definitions[biomass es] : MostRecentRun</t>
  </si>
  <si>
    <t>RQSD BAU RPS Qualifying Source Definitions[geothermal es] : MostRecentRun</t>
  </si>
  <si>
    <t>RQSD BAU RPS Qualifying Source Definitions[petroleum es] : MostRecentRun</t>
  </si>
  <si>
    <t>RQSD BAU RPS Qualifying Source Definitions[natural gas peaker es] : MostRecentRun</t>
  </si>
  <si>
    <t>RQSD BAU RPS Qualifying Source Definitions[lignite es] : MostRecentRun</t>
  </si>
  <si>
    <t>RQSD BAU RPS Qualifying Source Definitions[offshore wind es] : MostRecentRun</t>
  </si>
  <si>
    <t>RQSD BAU RPS Qualifying Source Definitions[crude oil es] : MostRecentRun</t>
  </si>
  <si>
    <t>RQSD BAU RPS Qualifying Source Definitions[heavy or residual fuel oil es] : MostRecentRun</t>
  </si>
  <si>
    <t>RQSD BAU RPS Qualifying Source Definitions[municipal solid waste es] : MostRecentRun</t>
  </si>
  <si>
    <t>Past Renewable Consumption Ratio</t>
  </si>
  <si>
    <t>可再生消纳比例</t>
  </si>
  <si>
    <t>Renewable Consumption Ratio set in 2021</t>
  </si>
  <si>
    <t>21年预设目标</t>
  </si>
  <si>
    <t>Annual Renewal Consumption Target</t>
  </si>
  <si>
    <t>历年目标</t>
  </si>
  <si>
    <t>Past non-Hydro RE Consumption Ratio</t>
  </si>
  <si>
    <t>非水可再生消纳比例</t>
  </si>
  <si>
    <t>non-Hydro RE Consumption Ratio set in 2021</t>
  </si>
  <si>
    <t>Past RE Consumed</t>
  </si>
  <si>
    <t>可再生消纳量</t>
  </si>
  <si>
    <t>Past non-Hydro RE Consumed</t>
  </si>
  <si>
    <t>非水可再生消纳量</t>
  </si>
  <si>
    <t>Total Generation</t>
  </si>
  <si>
    <t>Hydro Generation</t>
  </si>
  <si>
    <t>Biogas Generation</t>
  </si>
  <si>
    <t>Wood and Crop Biomass Generation</t>
  </si>
  <si>
    <t>Solid Waste Generation</t>
  </si>
  <si>
    <t>Wind Generation</t>
  </si>
  <si>
    <t>Solar Generation</t>
  </si>
  <si>
    <t>Nuclear Generation</t>
  </si>
  <si>
    <t>Other Renewable Generation</t>
  </si>
  <si>
    <t>发电量增量</t>
  </si>
  <si>
    <t>Total Renewable Generation</t>
  </si>
  <si>
    <t>可再生能源发电量(亿千瓦小时)</t>
  </si>
  <si>
    <t>Total non-Hydro RE Generation</t>
  </si>
  <si>
    <t>非水可再生能源发电量(亿千瓦小时)</t>
  </si>
  <si>
    <t>间歇性可再生能源发电（亿千瓦小时）</t>
  </si>
  <si>
    <t>Imported Electricity</t>
  </si>
  <si>
    <t>调入电量(亿千瓦小时)</t>
  </si>
  <si>
    <t>Exported Electricity</t>
  </si>
  <si>
    <t>调出电量(亿千瓦小时)</t>
  </si>
  <si>
    <t>Exported Renewable Power</t>
  </si>
  <si>
    <t>调出可再生电量</t>
  </si>
  <si>
    <t>Exported non-Hydro RE Power</t>
  </si>
  <si>
    <t>调出非水可再生电量</t>
  </si>
  <si>
    <t>Imported Renewable Power</t>
  </si>
  <si>
    <t>调入可再生电量</t>
  </si>
  <si>
    <t>Imported non-Hydro RE Power</t>
  </si>
  <si>
    <t>调入非水可再生电量</t>
  </si>
  <si>
    <t>Local Renewable Generation Ratio</t>
  </si>
  <si>
    <t>本地发电可再生能源比例</t>
  </si>
  <si>
    <t>Local non-Hydro RE Generation Ratio</t>
  </si>
  <si>
    <t>本地发电非水可再生能源比例</t>
  </si>
  <si>
    <t>Local Hydro Generation Ratio</t>
  </si>
  <si>
    <t>本地水力发电比例</t>
  </si>
  <si>
    <t>Imported Renewable Generation Ratio</t>
  </si>
  <si>
    <t>调入电力可再生能源比例</t>
  </si>
  <si>
    <t>Import non-Hydro RE Generation Ratio</t>
  </si>
  <si>
    <t>调入电非水可再生能源比例</t>
  </si>
  <si>
    <t>Ratio of RPS vs Renewable Consumed</t>
  </si>
  <si>
    <t>可再生生产配额与消费配额比例</t>
  </si>
  <si>
    <t>Ratio of non-Hydro RPS vs RE Consumed</t>
  </si>
  <si>
    <t>非水可再生生产配额与消费配额比例</t>
  </si>
  <si>
    <t>核电发电占比</t>
  </si>
  <si>
    <t>Extrapolated RPS</t>
  </si>
  <si>
    <t>预期可再生生产配额</t>
  </si>
  <si>
    <t>Extrapolated non-Hydro RPS</t>
  </si>
  <si>
    <t>预期非水可再生生产配额</t>
  </si>
  <si>
    <t>17.2%</t>
  </si>
  <si>
    <t>18.7%</t>
  </si>
  <si>
    <t>20.3%</t>
  </si>
  <si>
    <t>21.8%</t>
  </si>
  <si>
    <t>23.4%</t>
  </si>
  <si>
    <t>25.0%</t>
  </si>
  <si>
    <t>26.5%</t>
  </si>
  <si>
    <t>水电对应发电量</t>
  </si>
  <si>
    <t>水电生产配额</t>
  </si>
  <si>
    <t>2030：水电发电量不变，反算比例</t>
  </si>
  <si>
    <t>Expected Electricirty Generation from Calibration</t>
  </si>
  <si>
    <t>模型预期总发电量</t>
  </si>
  <si>
    <t>RPS Percentage Achieved from Calibration</t>
  </si>
  <si>
    <t>模型预测可再生能源发电配额</t>
  </si>
  <si>
    <t>Targeted Percentage</t>
  </si>
  <si>
    <t xml:space="preserve">Policy: </t>
  </si>
  <si>
    <t>2025: Double Solar and Wind generation</t>
  </si>
  <si>
    <t>Excluding Nuclear</t>
  </si>
  <si>
    <t>十四五情景：Policy Target</t>
  </si>
  <si>
    <t>十五五情景：Policy Target</t>
  </si>
  <si>
    <t>Unit: dimensionless</t>
  </si>
  <si>
    <t>Year2020</t>
  </si>
  <si>
    <t>Year2021</t>
  </si>
  <si>
    <t>Year2022</t>
  </si>
  <si>
    <t>Year2023</t>
  </si>
  <si>
    <t>Year2024</t>
  </si>
  <si>
    <t>Year2025</t>
  </si>
  <si>
    <t>Year2026</t>
  </si>
  <si>
    <t>Year2027</t>
  </si>
  <si>
    <t>Year2028</t>
  </si>
  <si>
    <t>Year2029</t>
  </si>
  <si>
    <t>Year2030</t>
  </si>
  <si>
    <t>Year2031</t>
  </si>
  <si>
    <t>Year2032</t>
  </si>
  <si>
    <t>Year2033</t>
  </si>
  <si>
    <t>Year2034</t>
  </si>
  <si>
    <t>Year2035</t>
  </si>
  <si>
    <t>Year2036</t>
  </si>
  <si>
    <t>Year2037</t>
  </si>
  <si>
    <t>Year2038</t>
  </si>
  <si>
    <t>Year2039</t>
  </si>
  <si>
    <t>Year2040</t>
  </si>
  <si>
    <t>Year2041</t>
  </si>
  <si>
    <t>Year2042</t>
  </si>
  <si>
    <t>Year2043</t>
  </si>
  <si>
    <t>Year2044</t>
  </si>
  <si>
    <t>Year2045</t>
  </si>
  <si>
    <t>Year2046</t>
  </si>
  <si>
    <t>Year2047</t>
  </si>
  <si>
    <t>Year2048</t>
  </si>
  <si>
    <t>Year2049</t>
  </si>
  <si>
    <t>Year2050</t>
  </si>
  <si>
    <t>Year2051</t>
  </si>
  <si>
    <t>Year2052</t>
  </si>
  <si>
    <t>Year2053</t>
  </si>
  <si>
    <t>Year2054</t>
  </si>
  <si>
    <t>Year2055</t>
  </si>
  <si>
    <t>Year2056</t>
  </si>
  <si>
    <t>Year2057</t>
  </si>
  <si>
    <t>Year2058</t>
  </si>
  <si>
    <t>Year2059</t>
  </si>
  <si>
    <t>Year2060</t>
  </si>
  <si>
    <t>Year2061</t>
  </si>
  <si>
    <t>Year2062</t>
  </si>
  <si>
    <t>Year2063</t>
  </si>
  <si>
    <t>Year2064</t>
  </si>
  <si>
    <t>Year2065</t>
  </si>
  <si>
    <t>Year2066</t>
  </si>
  <si>
    <t>Year2067</t>
  </si>
  <si>
    <t>Year2068</t>
  </si>
  <si>
    <t>Year2069</t>
  </si>
  <si>
    <t>Year2070</t>
  </si>
  <si>
    <t>Year2071</t>
  </si>
  <si>
    <t>Year2072</t>
  </si>
  <si>
    <t>Year2073</t>
  </si>
  <si>
    <t>Year2074</t>
  </si>
  <si>
    <t>Year2075</t>
  </si>
  <si>
    <t>Year2076</t>
  </si>
  <si>
    <t>Year2077</t>
  </si>
  <si>
    <t>Year2078</t>
  </si>
  <si>
    <t>Year2079</t>
  </si>
  <si>
    <t>Year2080</t>
  </si>
  <si>
    <t>Year2081</t>
  </si>
  <si>
    <t>Year2082</t>
  </si>
  <si>
    <t>Year2083</t>
  </si>
  <si>
    <t>Year2084</t>
  </si>
  <si>
    <t>Year2085</t>
  </si>
  <si>
    <t>Year2086</t>
  </si>
  <si>
    <t>Year2087</t>
  </si>
  <si>
    <t>Year2088</t>
  </si>
  <si>
    <t>Year2089</t>
  </si>
  <si>
    <t>Year2090</t>
  </si>
  <si>
    <t>Year2091</t>
  </si>
  <si>
    <t>Year2092</t>
  </si>
  <si>
    <t>Year2093</t>
  </si>
  <si>
    <t>Year2094</t>
  </si>
  <si>
    <t>Year2095</t>
  </si>
  <si>
    <t>Year2096</t>
  </si>
  <si>
    <t>Year2097</t>
  </si>
  <si>
    <t>Year2098</t>
  </si>
  <si>
    <t>Year2099</t>
  </si>
  <si>
    <t>Year2100</t>
  </si>
  <si>
    <t>RPS Fraction</t>
  </si>
  <si>
    <t>Note that this variable is populating the Future Year subscript.  It is not a normal time-series data variable.  Therefore, this sheet must include a value for every year that exists in the Future Year subscript (and no other years should be present).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</si>
</sst>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_);[Red]\(0\)"/>
    <numFmt numFmtId="178" formatCode="0.0%"/>
    <numFmt numFmtId="179" formatCode="0_ "/>
  </numFmts>
  <fonts count="33">
    <font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2" tint="-0.5"/>
      <name val="等线"/>
      <charset val="134"/>
      <scheme val="minor"/>
    </font>
    <font>
      <sz val="11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1"/>
      <color theme="2" tint="-0.5"/>
      <name val="等线"/>
      <charset val="134"/>
      <scheme val="minor"/>
    </font>
    <font>
      <b/>
      <sz val="11"/>
      <name val="等线"/>
      <charset val="134"/>
      <scheme val="minor"/>
    </font>
    <font>
      <sz val="9.75"/>
      <color theme="2" tint="-0.5"/>
      <name val="等线"/>
      <charset val="134"/>
      <scheme val="minor"/>
    </font>
    <font>
      <sz val="9.75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23" fillId="14" borderId="11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25" fillId="15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</cellStyleXfs>
  <cellXfs count="125">
    <xf numFmtId="0" fontId="0" fillId="0" borderId="0" xfId="0">
      <alignment vertical="center"/>
    </xf>
    <xf numFmtId="0" fontId="0" fillId="0" borderId="0" xfId="50"/>
    <xf numFmtId="0" fontId="1" fillId="0" borderId="0" xfId="50" applyFont="1"/>
    <xf numFmtId="0" fontId="0" fillId="0" borderId="0" xfId="50" applyAlignment="1">
      <alignment horizontal="right"/>
    </xf>
    <xf numFmtId="0" fontId="0" fillId="2" borderId="0" xfId="50" applyFill="1" applyAlignment="1">
      <alignment horizontal="right"/>
    </xf>
    <xf numFmtId="0" fontId="0" fillId="0" borderId="0" xfId="50" applyAlignment="1">
      <alignment wrapText="1"/>
    </xf>
    <xf numFmtId="176" fontId="0" fillId="0" borderId="0" xfId="49" applyNumberFormat="1" applyFont="1"/>
    <xf numFmtId="0" fontId="2" fillId="0" borderId="0" xfId="50" applyFo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3" borderId="0" xfId="0" applyFont="1" applyFill="1" applyAlignment="1">
      <alignment horizontal="left" vertical="center" wrapText="1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177" fontId="3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0" fontId="4" fillId="5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6" borderId="0" xfId="0" applyFont="1" applyFill="1">
      <alignment vertical="center"/>
    </xf>
    <xf numFmtId="178" fontId="3" fillId="0" borderId="0" xfId="0" applyNumberFormat="1" applyFont="1">
      <alignment vertical="center"/>
    </xf>
    <xf numFmtId="178" fontId="4" fillId="0" borderId="0" xfId="0" applyNumberFormat="1" applyFont="1">
      <alignment vertical="center"/>
    </xf>
    <xf numFmtId="178" fontId="4" fillId="5" borderId="0" xfId="0" applyNumberFormat="1" applyFont="1" applyFill="1">
      <alignment vertical="center"/>
    </xf>
    <xf numFmtId="9" fontId="4" fillId="6" borderId="0" xfId="3" applyFont="1" applyFill="1">
      <alignment vertical="center"/>
    </xf>
    <xf numFmtId="11" fontId="0" fillId="0" borderId="0" xfId="0" applyNumberFormat="1">
      <alignment vertical="center"/>
    </xf>
    <xf numFmtId="0" fontId="3" fillId="4" borderId="0" xfId="0" applyFont="1" applyFill="1">
      <alignment vertical="center"/>
    </xf>
    <xf numFmtId="0" fontId="4" fillId="4" borderId="0" xfId="0" applyFont="1" applyFill="1">
      <alignment vertical="center"/>
    </xf>
    <xf numFmtId="11" fontId="0" fillId="4" borderId="0" xfId="0" applyNumberFormat="1" applyFill="1">
      <alignment vertical="center"/>
    </xf>
    <xf numFmtId="0" fontId="0" fillId="0" borderId="0" xfId="0" applyFont="1" applyFill="1" applyAlignment="1">
      <alignment vertical="center"/>
    </xf>
    <xf numFmtId="0" fontId="2" fillId="3" borderId="0" xfId="0" applyFont="1" applyFill="1">
      <alignment vertical="center"/>
    </xf>
    <xf numFmtId="178" fontId="6" fillId="6" borderId="0" xfId="0" applyNumberFormat="1" applyFont="1" applyFill="1">
      <alignment vertical="center"/>
    </xf>
    <xf numFmtId="178" fontId="7" fillId="6" borderId="0" xfId="0" applyNumberFormat="1" applyFont="1" applyFill="1">
      <alignment vertical="center"/>
    </xf>
    <xf numFmtId="9" fontId="7" fillId="7" borderId="0" xfId="3" applyFont="1" applyFill="1">
      <alignment vertical="center"/>
    </xf>
    <xf numFmtId="9" fontId="2" fillId="7" borderId="0" xfId="3" applyFont="1" applyFill="1">
      <alignment vertical="center"/>
    </xf>
    <xf numFmtId="9" fontId="2" fillId="6" borderId="0" xfId="3" applyFont="1" applyFill="1">
      <alignment vertical="center"/>
    </xf>
    <xf numFmtId="178" fontId="7" fillId="7" borderId="0" xfId="0" applyNumberFormat="1" applyFont="1" applyFill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6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1" fontId="7" fillId="0" borderId="0" xfId="0" applyNumberFormat="1" applyFont="1">
      <alignment vertical="center"/>
    </xf>
    <xf numFmtId="11" fontId="2" fillId="0" borderId="0" xfId="0" applyNumberFormat="1" applyFont="1">
      <alignment vertical="center"/>
    </xf>
    <xf numFmtId="178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6" borderId="0" xfId="0" applyFill="1">
      <alignment vertical="center"/>
    </xf>
    <xf numFmtId="9" fontId="4" fillId="0" borderId="0" xfId="3" applyFont="1">
      <alignment vertical="center"/>
    </xf>
    <xf numFmtId="9" fontId="0" fillId="0" borderId="0" xfId="3">
      <alignment vertical="center"/>
    </xf>
    <xf numFmtId="9" fontId="0" fillId="6" borderId="0" xfId="3" applyFill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8" borderId="0" xfId="0" applyFont="1" applyFill="1">
      <alignment vertical="center"/>
    </xf>
    <xf numFmtId="177" fontId="0" fillId="0" borderId="0" xfId="0" applyNumberFormat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178" fontId="0" fillId="5" borderId="0" xfId="0" applyNumberFormat="1" applyFill="1">
      <alignment vertical="center"/>
    </xf>
    <xf numFmtId="178" fontId="2" fillId="6" borderId="0" xfId="0" applyNumberFormat="1" applyFont="1" applyFill="1">
      <alignment vertical="center"/>
    </xf>
    <xf numFmtId="178" fontId="2" fillId="7" borderId="0" xfId="0" applyNumberFormat="1" applyFont="1" applyFill="1">
      <alignment vertical="center"/>
    </xf>
    <xf numFmtId="0" fontId="2" fillId="9" borderId="0" xfId="0" applyFont="1" applyFill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1" fillId="10" borderId="0" xfId="0" applyFont="1" applyFill="1" applyAlignment="1">
      <alignment horizontal="center" vertical="center"/>
    </xf>
    <xf numFmtId="0" fontId="12" fillId="0" borderId="0" xfId="6" applyAlignment="1">
      <alignment vertical="top"/>
    </xf>
    <xf numFmtId="0" fontId="12" fillId="0" borderId="0" xfId="6" applyFont="1" applyAlignment="1">
      <alignment vertical="top"/>
    </xf>
    <xf numFmtId="0" fontId="0" fillId="0" borderId="0" xfId="0" applyFont="1" applyAlignment="1">
      <alignment vertical="center" wrapText="1"/>
    </xf>
    <xf numFmtId="0" fontId="0" fillId="0" borderId="0" xfId="50" applyFont="1" applyAlignment="1">
      <alignment wrapText="1"/>
    </xf>
    <xf numFmtId="178" fontId="0" fillId="0" borderId="0" xfId="49" applyNumberFormat="1" applyFont="1"/>
    <xf numFmtId="0" fontId="0" fillId="0" borderId="0" xfId="50" applyFont="1"/>
    <xf numFmtId="178" fontId="0" fillId="0" borderId="0" xfId="50" applyNumberFormat="1"/>
    <xf numFmtId="0" fontId="13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Fill="1" applyAlignment="1"/>
    <xf numFmtId="0" fontId="0" fillId="0" borderId="0" xfId="0" applyNumberFormat="1">
      <alignment vertical="center"/>
    </xf>
    <xf numFmtId="0" fontId="0" fillId="0" borderId="0" xfId="0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179" fontId="5" fillId="11" borderId="1" xfId="0" applyNumberFormat="1" applyFont="1" applyFill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8" fontId="5" fillId="11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/>
    </xf>
    <xf numFmtId="179" fontId="14" fillId="11" borderId="1" xfId="0" applyNumberFormat="1" applyFont="1" applyFill="1" applyBorder="1" applyAlignment="1">
      <alignment horizontal="center" vertical="center" wrapText="1"/>
    </xf>
    <xf numFmtId="179" fontId="14" fillId="0" borderId="1" xfId="0" applyNumberFormat="1" applyFont="1" applyBorder="1" applyAlignment="1">
      <alignment horizontal="center" vertical="center" wrapText="1"/>
    </xf>
    <xf numFmtId="178" fontId="14" fillId="11" borderId="1" xfId="0" applyNumberFormat="1" applyFont="1" applyFill="1" applyBorder="1" applyAlignment="1">
      <alignment horizontal="center" vertical="center" wrapText="1"/>
    </xf>
    <xf numFmtId="178" fontId="14" fillId="0" borderId="1" xfId="0" applyNumberFormat="1" applyFont="1" applyBorder="1" applyAlignment="1">
      <alignment horizontal="center" vertical="center" wrapText="1"/>
    </xf>
    <xf numFmtId="0" fontId="2" fillId="0" borderId="0" xfId="51" applyFont="1" applyAlignment="1">
      <alignment horizontal="center"/>
    </xf>
    <xf numFmtId="0" fontId="0" fillId="0" borderId="0" xfId="51" applyAlignment="1">
      <alignment horizontal="center"/>
    </xf>
    <xf numFmtId="0" fontId="0" fillId="0" borderId="0" xfId="51" applyAlignment="1"/>
    <xf numFmtId="0" fontId="2" fillId="0" borderId="0" xfId="0" applyFont="1" applyAlignment="1"/>
    <xf numFmtId="0" fontId="2" fillId="9" borderId="0" xfId="0" applyFont="1" applyFill="1" applyAlignment="1"/>
    <xf numFmtId="0" fontId="0" fillId="0" borderId="0" xfId="0" applyFont="1" applyAlignment="1"/>
    <xf numFmtId="0" fontId="12" fillId="0" borderId="0" xfId="6" applyFont="1" applyAlignment="1">
      <alignment vertical="top" wrapText="1"/>
    </xf>
    <xf numFmtId="0" fontId="2" fillId="0" borderId="1" xfId="50" applyFont="1" applyBorder="1" applyAlignment="1">
      <alignment horizontal="center"/>
    </xf>
    <xf numFmtId="0" fontId="0" fillId="10" borderId="1" xfId="50" applyFill="1" applyBorder="1" applyAlignment="1">
      <alignment horizontal="center"/>
    </xf>
    <xf numFmtId="0" fontId="0" fillId="0" borderId="0" xfId="51" applyAlignment="1" quotePrefix="1">
      <alignment horizontal="center"/>
    </xf>
    <xf numFmtId="178" fontId="2" fillId="7" borderId="0" xfId="0" applyNumberFormat="1" applyFont="1" applyFill="1" quotePrefix="1">
      <alignment vertical="center"/>
    </xf>
    <xf numFmtId="178" fontId="7" fillId="7" borderId="0" xfId="0" applyNumberFormat="1" applyFont="1" applyFill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2 2" xfId="51"/>
    <cellStyle name="常规 2 4" xfId="52"/>
  </cellStyles>
  <dxfs count="2">
    <dxf>
      <numFmt numFmtId="179" formatCode="0_ 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eetMetadata" Target="metadata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cat>
            <c:numRef>
              <c:f>calculation!$R$1:$AL$1</c:f>
              <c:numCache>
                <c:formatCode>General</c:formatCode>
                <c:ptCount val="21"/>
                <c:pt idx="0">
                  <c:v>2030</c:v>
                </c:pt>
                <c:pt idx="1">
                  <c:v>2031</c:v>
                </c:pt>
                <c:pt idx="2">
                  <c:v>2032</c:v>
                </c:pt>
                <c:pt idx="3">
                  <c:v>2033</c:v>
                </c:pt>
                <c:pt idx="4">
                  <c:v>2034</c:v>
                </c:pt>
                <c:pt idx="5">
                  <c:v>2035</c:v>
                </c:pt>
                <c:pt idx="6">
                  <c:v>2036</c:v>
                </c:pt>
                <c:pt idx="7">
                  <c:v>2037</c:v>
                </c:pt>
                <c:pt idx="8">
                  <c:v>2038</c:v>
                </c:pt>
                <c:pt idx="9">
                  <c:v>2039</c:v>
                </c:pt>
                <c:pt idx="10">
                  <c:v>2040</c:v>
                </c:pt>
                <c:pt idx="11">
                  <c:v>2041</c:v>
                </c:pt>
                <c:pt idx="12">
                  <c:v>2042</c:v>
                </c:pt>
                <c:pt idx="13">
                  <c:v>2043</c:v>
                </c:pt>
                <c:pt idx="14">
                  <c:v>2044</c:v>
                </c:pt>
                <c:pt idx="15">
                  <c:v>2045</c:v>
                </c:pt>
                <c:pt idx="16">
                  <c:v>2046</c:v>
                </c:pt>
                <c:pt idx="17">
                  <c:v>2047</c:v>
                </c:pt>
                <c:pt idx="18">
                  <c:v>2048</c:v>
                </c:pt>
                <c:pt idx="19">
                  <c:v>2049</c:v>
                </c:pt>
                <c:pt idx="20">
                  <c:v>2050</c:v>
                </c:pt>
              </c:numCache>
            </c:numRef>
          </c:cat>
          <c:val>
            <c:numRef>
              <c:f>calculation!$R$48:$AL$48</c:f>
              <c:numCache>
                <c:formatCode>0.0%</c:formatCode>
                <c:ptCount val="21"/>
                <c:pt idx="0">
                  <c:v>0.42</c:v>
                </c:pt>
                <c:pt idx="1" c:formatCode="0%">
                  <c:v>0.4315</c:v>
                </c:pt>
                <c:pt idx="2" c:formatCode="0%">
                  <c:v>0.443</c:v>
                </c:pt>
                <c:pt idx="3" c:formatCode="0%">
                  <c:v>0.4545</c:v>
                </c:pt>
                <c:pt idx="4" c:formatCode="0%">
                  <c:v>0.466</c:v>
                </c:pt>
                <c:pt idx="5" c:formatCode="0%">
                  <c:v>0.4775</c:v>
                </c:pt>
                <c:pt idx="6" c:formatCode="0%">
                  <c:v>0.489</c:v>
                </c:pt>
                <c:pt idx="7" c:formatCode="0%">
                  <c:v>0.5005</c:v>
                </c:pt>
                <c:pt idx="8" c:formatCode="0%">
                  <c:v>0.512</c:v>
                </c:pt>
                <c:pt idx="9" c:formatCode="0%">
                  <c:v>0.5235</c:v>
                </c:pt>
                <c:pt idx="10" c:formatCode="0%">
                  <c:v>0.535</c:v>
                </c:pt>
                <c:pt idx="11" c:formatCode="0%">
                  <c:v>0.5465</c:v>
                </c:pt>
                <c:pt idx="12" c:formatCode="0%">
                  <c:v>0.558</c:v>
                </c:pt>
                <c:pt idx="13" c:formatCode="0%">
                  <c:v>0.5695</c:v>
                </c:pt>
                <c:pt idx="14" c:formatCode="0%">
                  <c:v>0.581</c:v>
                </c:pt>
                <c:pt idx="15" c:formatCode="0%">
                  <c:v>0.5925</c:v>
                </c:pt>
                <c:pt idx="16" c:formatCode="0%">
                  <c:v>0.604</c:v>
                </c:pt>
                <c:pt idx="17" c:formatCode="0%">
                  <c:v>0.6155</c:v>
                </c:pt>
                <c:pt idx="18" c:formatCode="0%">
                  <c:v>0.627</c:v>
                </c:pt>
                <c:pt idx="19" c:formatCode="0%">
                  <c:v>0.6385</c:v>
                </c:pt>
                <c:pt idx="20" c:formatCode="0%">
                  <c:v>0.65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2688712"/>
        <c:axId val="460877248"/>
      </c:lineChart>
      <c:catAx>
        <c:axId val="962688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0877248"/>
        <c:crosses val="autoZero"/>
        <c:auto val="1"/>
        <c:lblAlgn val="ctr"/>
        <c:lblOffset val="100"/>
        <c:noMultiLvlLbl val="0"/>
      </c:catAx>
      <c:valAx>
        <c:axId val="4608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2688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2d0910-d1a9-4a3a-ace4-73c826cd8c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calculation!$H$1:$AV$1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calculation!$H$61:$AV$61</c:f>
              <c:numCache>
                <c:formatCode>0%</c:formatCode>
                <c:ptCount val="41"/>
                <c:pt idx="0">
                  <c:v>0.389602481880847</c:v>
                </c:pt>
                <c:pt idx="1">
                  <c:v>0.396516745379141</c:v>
                </c:pt>
                <c:pt idx="2">
                  <c:v>0.413221993293422</c:v>
                </c:pt>
                <c:pt idx="3">
                  <c:v>0.42337970086456</c:v>
                </c:pt>
                <c:pt idx="4">
                  <c:v>0.433537408435699</c:v>
                </c:pt>
                <c:pt idx="5">
                  <c:v>0.443695116006837</c:v>
                </c:pt>
                <c:pt idx="6">
                  <c:v>0.450511815732036</c:v>
                </c:pt>
                <c:pt idx="7">
                  <c:v>0.45660398446186</c:v>
                </c:pt>
                <c:pt idx="8">
                  <c:v>0.491651102183908</c:v>
                </c:pt>
                <c:pt idx="9">
                  <c:v>0.517537335747126</c:v>
                </c:pt>
                <c:pt idx="10">
                  <c:v>0.546899495632184</c:v>
                </c:pt>
                <c:pt idx="11">
                  <c:v>0.579366129195402</c:v>
                </c:pt>
                <c:pt idx="12">
                  <c:v>0.614664543333333</c:v>
                </c:pt>
                <c:pt idx="13">
                  <c:v>0.652583454252874</c:v>
                </c:pt>
                <c:pt idx="14">
                  <c:v>0.692952875747126</c:v>
                </c:pt>
                <c:pt idx="15">
                  <c:v>0.735632183908046</c:v>
                </c:pt>
                <c:pt idx="16">
                  <c:v>0.746206896551724</c:v>
                </c:pt>
                <c:pt idx="17">
                  <c:v>0.756781609195402</c:v>
                </c:pt>
                <c:pt idx="18">
                  <c:v>0.76735632183908</c:v>
                </c:pt>
                <c:pt idx="19">
                  <c:v>0.777931034482759</c:v>
                </c:pt>
                <c:pt idx="20">
                  <c:v>0.788505747126437</c:v>
                </c:pt>
                <c:pt idx="21">
                  <c:v>0.799080459770115</c:v>
                </c:pt>
                <c:pt idx="22">
                  <c:v>0.809655172413793</c:v>
                </c:pt>
                <c:pt idx="23">
                  <c:v>0.820229885057471</c:v>
                </c:pt>
                <c:pt idx="24">
                  <c:v>0.830804597701149</c:v>
                </c:pt>
                <c:pt idx="25">
                  <c:v>0.841379310344828</c:v>
                </c:pt>
                <c:pt idx="26">
                  <c:v>0.851954022988506</c:v>
                </c:pt>
                <c:pt idx="27">
                  <c:v>0.862528735632184</c:v>
                </c:pt>
                <c:pt idx="28">
                  <c:v>0.873103448275862</c:v>
                </c:pt>
                <c:pt idx="29">
                  <c:v>0.88367816091954</c:v>
                </c:pt>
                <c:pt idx="30">
                  <c:v>0.894252873563218</c:v>
                </c:pt>
                <c:pt idx="31">
                  <c:v>0.904827586206897</c:v>
                </c:pt>
                <c:pt idx="32">
                  <c:v>0.915402298850575</c:v>
                </c:pt>
                <c:pt idx="33">
                  <c:v>0.925977011494253</c:v>
                </c:pt>
                <c:pt idx="34">
                  <c:v>0.936551724137931</c:v>
                </c:pt>
                <c:pt idx="35">
                  <c:v>0.947126436781609</c:v>
                </c:pt>
                <c:pt idx="36">
                  <c:v>0.957701149425287</c:v>
                </c:pt>
                <c:pt idx="37">
                  <c:v>0.968275862068966</c:v>
                </c:pt>
                <c:pt idx="38">
                  <c:v>0.978850574712644</c:v>
                </c:pt>
                <c:pt idx="39">
                  <c:v>0.989425287356322</c:v>
                </c:pt>
                <c:pt idx="4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6389533"/>
        <c:axId val="367223976"/>
      </c:lineChart>
      <c:catAx>
        <c:axId val="5763895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223976"/>
        <c:crosses val="autoZero"/>
        <c:auto val="1"/>
        <c:lblAlgn val="ctr"/>
        <c:lblOffset val="100"/>
        <c:noMultiLvlLbl val="0"/>
      </c:catAx>
      <c:valAx>
        <c:axId val="36722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3895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2b9d2b-dc9f-4255-bac6-b88caac276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cat>
            <c:numRef>
              <c:f>'calculation - 2019 Scenario'!$R$1:$AL$1</c:f>
              <c:numCache>
                <c:formatCode>General</c:formatCode>
                <c:ptCount val="21"/>
                <c:pt idx="0">
                  <c:v>2030</c:v>
                </c:pt>
                <c:pt idx="1">
                  <c:v>2031</c:v>
                </c:pt>
                <c:pt idx="2">
                  <c:v>2032</c:v>
                </c:pt>
                <c:pt idx="3">
                  <c:v>2033</c:v>
                </c:pt>
                <c:pt idx="4">
                  <c:v>2034</c:v>
                </c:pt>
                <c:pt idx="5">
                  <c:v>2035</c:v>
                </c:pt>
                <c:pt idx="6">
                  <c:v>2036</c:v>
                </c:pt>
                <c:pt idx="7">
                  <c:v>2037</c:v>
                </c:pt>
                <c:pt idx="8">
                  <c:v>2038</c:v>
                </c:pt>
                <c:pt idx="9">
                  <c:v>2039</c:v>
                </c:pt>
                <c:pt idx="10">
                  <c:v>2040</c:v>
                </c:pt>
                <c:pt idx="11">
                  <c:v>2041</c:v>
                </c:pt>
                <c:pt idx="12">
                  <c:v>2042</c:v>
                </c:pt>
                <c:pt idx="13">
                  <c:v>2043</c:v>
                </c:pt>
                <c:pt idx="14">
                  <c:v>2044</c:v>
                </c:pt>
                <c:pt idx="15">
                  <c:v>2045</c:v>
                </c:pt>
                <c:pt idx="16">
                  <c:v>2046</c:v>
                </c:pt>
                <c:pt idx="17">
                  <c:v>2047</c:v>
                </c:pt>
                <c:pt idx="18">
                  <c:v>2048</c:v>
                </c:pt>
                <c:pt idx="19">
                  <c:v>2049</c:v>
                </c:pt>
                <c:pt idx="20">
                  <c:v>2050</c:v>
                </c:pt>
              </c:numCache>
            </c:numRef>
          </c:cat>
          <c:val>
            <c:numRef>
              <c:f>'calculation - 2019 Scenario'!$R$48:$AL$48</c:f>
              <c:numCache>
                <c:formatCode>0.0%</c:formatCode>
                <c:ptCount val="21"/>
                <c:pt idx="0">
                  <c:v>0.42</c:v>
                </c:pt>
                <c:pt idx="1" c:formatCode="0%">
                  <c:v>0.4315</c:v>
                </c:pt>
                <c:pt idx="2" c:formatCode="0%">
                  <c:v>0.443</c:v>
                </c:pt>
                <c:pt idx="3" c:formatCode="0%">
                  <c:v>0.4545</c:v>
                </c:pt>
                <c:pt idx="4" c:formatCode="0%">
                  <c:v>0.466</c:v>
                </c:pt>
                <c:pt idx="5" c:formatCode="0%">
                  <c:v>0.4775</c:v>
                </c:pt>
                <c:pt idx="6" c:formatCode="0%">
                  <c:v>0.489</c:v>
                </c:pt>
                <c:pt idx="7" c:formatCode="0%">
                  <c:v>0.5005</c:v>
                </c:pt>
                <c:pt idx="8" c:formatCode="0%">
                  <c:v>0.512</c:v>
                </c:pt>
                <c:pt idx="9" c:formatCode="0%">
                  <c:v>0.5235</c:v>
                </c:pt>
                <c:pt idx="10" c:formatCode="0%">
                  <c:v>0.535</c:v>
                </c:pt>
                <c:pt idx="11" c:formatCode="0%">
                  <c:v>0.5465</c:v>
                </c:pt>
                <c:pt idx="12" c:formatCode="0%">
                  <c:v>0.558</c:v>
                </c:pt>
                <c:pt idx="13" c:formatCode="0%">
                  <c:v>0.5695</c:v>
                </c:pt>
                <c:pt idx="14" c:formatCode="0%">
                  <c:v>0.581</c:v>
                </c:pt>
                <c:pt idx="15" c:formatCode="0%">
                  <c:v>0.5925</c:v>
                </c:pt>
                <c:pt idx="16" c:formatCode="0%">
                  <c:v>0.604</c:v>
                </c:pt>
                <c:pt idx="17" c:formatCode="0%">
                  <c:v>0.6155</c:v>
                </c:pt>
                <c:pt idx="18" c:formatCode="0%">
                  <c:v>0.627</c:v>
                </c:pt>
                <c:pt idx="19" c:formatCode="0%">
                  <c:v>0.6385</c:v>
                </c:pt>
                <c:pt idx="20" c:formatCode="0%">
                  <c:v>0.65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2688712"/>
        <c:axId val="460877248"/>
      </c:lineChart>
      <c:catAx>
        <c:axId val="962688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0877248"/>
        <c:crosses val="autoZero"/>
        <c:auto val="1"/>
        <c:lblAlgn val="ctr"/>
        <c:lblOffset val="100"/>
        <c:noMultiLvlLbl val="0"/>
      </c:catAx>
      <c:valAx>
        <c:axId val="4608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2688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2d0910-d1a9-4a3a-ace4-73c826cd8c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'calculation - 2019 Scenario'!$H$1:$AV$1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'calculation - 2019 Scenario'!$H$61:$AV$61</c:f>
              <c:numCache>
                <c:formatCode>0%</c:formatCode>
                <c:ptCount val="41"/>
                <c:pt idx="0">
                  <c:v>0.389602481880847</c:v>
                </c:pt>
                <c:pt idx="1">
                  <c:v>0.396516745379142</c:v>
                </c:pt>
                <c:pt idx="2">
                  <c:v>0.413221993293422</c:v>
                </c:pt>
                <c:pt idx="3">
                  <c:v>0.42337970086456</c:v>
                </c:pt>
                <c:pt idx="4">
                  <c:v>0.433537408435698</c:v>
                </c:pt>
                <c:pt idx="5">
                  <c:v>0.443695116006837</c:v>
                </c:pt>
                <c:pt idx="6">
                  <c:v>0.450511815732035</c:v>
                </c:pt>
                <c:pt idx="7">
                  <c:v>0.456603984461859</c:v>
                </c:pt>
                <c:pt idx="8">
                  <c:v>0.491651102183908</c:v>
                </c:pt>
                <c:pt idx="9">
                  <c:v>0.517537335747126</c:v>
                </c:pt>
                <c:pt idx="10">
                  <c:v>0.546899495632184</c:v>
                </c:pt>
                <c:pt idx="11">
                  <c:v>0.579366129195402</c:v>
                </c:pt>
                <c:pt idx="12">
                  <c:v>0.614664543333333</c:v>
                </c:pt>
                <c:pt idx="13">
                  <c:v>0.652583454252874</c:v>
                </c:pt>
                <c:pt idx="14">
                  <c:v>0.692952875747126</c:v>
                </c:pt>
                <c:pt idx="15">
                  <c:v>0.735632183908046</c:v>
                </c:pt>
                <c:pt idx="16">
                  <c:v>0.746206896551724</c:v>
                </c:pt>
                <c:pt idx="17">
                  <c:v>0.756781609195402</c:v>
                </c:pt>
                <c:pt idx="18">
                  <c:v>0.76735632183908</c:v>
                </c:pt>
                <c:pt idx="19">
                  <c:v>0.777931034482759</c:v>
                </c:pt>
                <c:pt idx="20">
                  <c:v>0.788505747126437</c:v>
                </c:pt>
                <c:pt idx="21">
                  <c:v>0.799080459770115</c:v>
                </c:pt>
                <c:pt idx="22">
                  <c:v>0.809655172413793</c:v>
                </c:pt>
                <c:pt idx="23">
                  <c:v>0.820229885057471</c:v>
                </c:pt>
                <c:pt idx="24">
                  <c:v>0.830804597701149</c:v>
                </c:pt>
                <c:pt idx="25">
                  <c:v>0.841379310344828</c:v>
                </c:pt>
                <c:pt idx="26">
                  <c:v>0.851954022988506</c:v>
                </c:pt>
                <c:pt idx="27">
                  <c:v>0.862528735632184</c:v>
                </c:pt>
                <c:pt idx="28">
                  <c:v>0.873103448275862</c:v>
                </c:pt>
                <c:pt idx="29">
                  <c:v>0.88367816091954</c:v>
                </c:pt>
                <c:pt idx="30">
                  <c:v>0.894252873563218</c:v>
                </c:pt>
                <c:pt idx="31">
                  <c:v>0.904827586206897</c:v>
                </c:pt>
                <c:pt idx="32">
                  <c:v>0.915402298850575</c:v>
                </c:pt>
                <c:pt idx="33">
                  <c:v>0.925977011494253</c:v>
                </c:pt>
                <c:pt idx="34">
                  <c:v>0.936551724137931</c:v>
                </c:pt>
                <c:pt idx="35">
                  <c:v>0.947126436781609</c:v>
                </c:pt>
                <c:pt idx="36">
                  <c:v>0.957701149425287</c:v>
                </c:pt>
                <c:pt idx="37">
                  <c:v>0.968275862068966</c:v>
                </c:pt>
                <c:pt idx="38">
                  <c:v>0.978850574712644</c:v>
                </c:pt>
                <c:pt idx="39">
                  <c:v>0.989425287356322</c:v>
                </c:pt>
                <c:pt idx="4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6389533"/>
        <c:axId val="367223976"/>
      </c:lineChart>
      <c:catAx>
        <c:axId val="5763895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223976"/>
        <c:crosses val="autoZero"/>
        <c:auto val="1"/>
        <c:lblAlgn val="ctr"/>
        <c:lblOffset val="100"/>
        <c:noMultiLvlLbl val="0"/>
      </c:catAx>
      <c:valAx>
        <c:axId val="36722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3895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2b9d2b-dc9f-4255-bac6-b88caac276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9</xdr:col>
      <xdr:colOff>596411</xdr:colOff>
      <xdr:row>23</xdr:row>
      <xdr:rowOff>99060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5895"/>
          <a:ext cx="6408420" cy="396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32</xdr:col>
      <xdr:colOff>177800</xdr:colOff>
      <xdr:row>19</xdr:row>
      <xdr:rowOff>146050</xdr:rowOff>
    </xdr:from>
    <xdr:to>
      <xdr:col>37</xdr:col>
      <xdr:colOff>155575</xdr:colOff>
      <xdr:row>41</xdr:row>
      <xdr:rowOff>44450</xdr:rowOff>
    </xdr:to>
    <xdr:graphicFrame>
      <xdr:nvGraphicFramePr>
        <xdr:cNvPr id="2" name="图表 1"/>
        <xdr:cNvGraphicFramePr/>
      </xdr:nvGraphicFramePr>
      <xdr:xfrm>
        <a:off x="27882215" y="3488690"/>
        <a:ext cx="4521200" cy="3768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368300</xdr:colOff>
      <xdr:row>25</xdr:row>
      <xdr:rowOff>12700</xdr:rowOff>
    </xdr:from>
    <xdr:to>
      <xdr:col>22</xdr:col>
      <xdr:colOff>19050</xdr:colOff>
      <xdr:row>49</xdr:row>
      <xdr:rowOff>88900</xdr:rowOff>
    </xdr:to>
    <xdr:graphicFrame>
      <xdr:nvGraphicFramePr>
        <xdr:cNvPr id="3" name="图表 2"/>
        <xdr:cNvGraphicFramePr/>
      </xdr:nvGraphicFramePr>
      <xdr:xfrm>
        <a:off x="14112875" y="4410710"/>
        <a:ext cx="4523740" cy="429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32</xdr:col>
      <xdr:colOff>177800</xdr:colOff>
      <xdr:row>19</xdr:row>
      <xdr:rowOff>146050</xdr:rowOff>
    </xdr:from>
    <xdr:to>
      <xdr:col>37</xdr:col>
      <xdr:colOff>155575</xdr:colOff>
      <xdr:row>41</xdr:row>
      <xdr:rowOff>44450</xdr:rowOff>
    </xdr:to>
    <xdr:graphicFrame>
      <xdr:nvGraphicFramePr>
        <xdr:cNvPr id="2" name="图表 1"/>
        <xdr:cNvGraphicFramePr/>
      </xdr:nvGraphicFramePr>
      <xdr:xfrm>
        <a:off x="24815165" y="3488690"/>
        <a:ext cx="4521200" cy="3768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368300</xdr:colOff>
      <xdr:row>25</xdr:row>
      <xdr:rowOff>12700</xdr:rowOff>
    </xdr:from>
    <xdr:to>
      <xdr:col>22</xdr:col>
      <xdr:colOff>19050</xdr:colOff>
      <xdr:row>49</xdr:row>
      <xdr:rowOff>88900</xdr:rowOff>
    </xdr:to>
    <xdr:graphicFrame>
      <xdr:nvGraphicFramePr>
        <xdr:cNvPr id="3" name="图表 2"/>
        <xdr:cNvGraphicFramePr/>
      </xdr:nvGraphicFramePr>
      <xdr:xfrm>
        <a:off x="11017250" y="4410710"/>
        <a:ext cx="4552315" cy="429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266.7092707176" refreshedBy="admin" recordCount="1086">
  <cacheSource type="worksheet">
    <worksheetSource ref="A1:F1048576" sheet="historic exchange"/>
  </cacheSource>
  <cacheFields count="6">
    <cacheField name="索引" numFmtId="0"/>
    <cacheField name="地区" numFmtId="0">
      <sharedItems containsBlank="1" count="32">
        <s v="全国"/>
        <s v="安徽省"/>
        <s v="北京市"/>
        <s v="福建省"/>
        <s v="甘肃省"/>
        <s v="广东省"/>
        <s v="广西壮族自治区"/>
        <s v="贵州省"/>
        <s v="海南省"/>
        <s v="河北省"/>
        <s v="河南省"/>
        <s v="黑龙江省"/>
        <s v="湖北省"/>
        <s v="湖南省"/>
        <s v="吉林省"/>
        <s v="江苏省"/>
        <s v="江西省"/>
        <s v="辽宁省"/>
        <s v="内蒙古自治区"/>
        <s v="宁夏回族自治区"/>
        <s v="青海省"/>
        <s v="山东省"/>
        <s v="山西省"/>
        <s v="陕西省"/>
        <s v="上海市"/>
        <s v="四川省"/>
        <s v="天津市"/>
        <s v="新疆维吾尔自治区"/>
        <s v="云南省"/>
        <s v="浙江省"/>
        <s v="重庆市"/>
        <m/>
      </sharedItems>
    </cacheField>
    <cacheField name="年份" numFmtId="0">
      <sharedItems containsString="0" containsBlank="1" containsNumber="1" containsInteger="1" minValue="0" maxValue="2021" count="8">
        <n v="2015"/>
        <n v="2016"/>
        <n v="2017"/>
        <n v="2018"/>
        <n v="2019"/>
        <n v="2020"/>
        <n v="2021"/>
        <m/>
      </sharedItems>
    </cacheField>
    <cacheField name="项目" numFmtId="0">
      <sharedItems containsBlank="1" count="6">
        <s v="1.1. 一次能源生产量"/>
        <s v="1.2. 外省(区、市)调入量"/>
        <s v="1.3. 进口量"/>
        <s v="1.5. 本省(区、市)调出量(-)"/>
        <s v="1.6. 出口量(-)"/>
        <m/>
      </sharedItems>
    </cacheField>
    <cacheField name="能源品种" numFmtId="0"/>
    <cacheField name="实物消费量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6"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  <r>
    <m/>
    <x v="4294967295"/>
    <x v="4294967295"/>
    <x v="429496729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2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I1:R191" firstHeaderRow="1" firstDataRow="2" firstDataCol="1"/>
  <pivotFields count="6">
    <pivotField showAll="0"/>
    <pivotField axis="axisRow" showAll="0">
      <items count="3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2">
    <field x="1"/>
    <field x="3"/>
  </rowFields>
  <rowItems count="18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2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1"/>
    </i>
    <i r="1">
      <x v="2"/>
    </i>
    <i r="1">
      <x v="3"/>
    </i>
    <i r="1">
      <x v="4"/>
    </i>
    <i>
      <x v="15"/>
    </i>
    <i r="1">
      <x/>
    </i>
    <i r="1">
      <x v="1"/>
    </i>
    <i r="1">
      <x v="2"/>
    </i>
    <i r="1">
      <x v="3"/>
    </i>
    <i r="1">
      <x v="4"/>
    </i>
    <i>
      <x v="16"/>
    </i>
    <i r="1">
      <x/>
    </i>
    <i r="1">
      <x v="1"/>
    </i>
    <i r="1">
      <x v="2"/>
    </i>
    <i r="1">
      <x v="3"/>
    </i>
    <i r="1">
      <x v="4"/>
    </i>
    <i>
      <x v="17"/>
    </i>
    <i r="1">
      <x/>
    </i>
    <i r="1">
      <x v="1"/>
    </i>
    <i r="1">
      <x v="2"/>
    </i>
    <i r="1">
      <x v="3"/>
    </i>
    <i r="1">
      <x v="4"/>
    </i>
    <i>
      <x v="18"/>
    </i>
    <i r="1">
      <x/>
    </i>
    <i r="1">
      <x v="1"/>
    </i>
    <i r="1">
      <x v="2"/>
    </i>
    <i r="1">
      <x v="3"/>
    </i>
    <i r="1">
      <x v="4"/>
    </i>
    <i>
      <x v="19"/>
    </i>
    <i r="1">
      <x/>
    </i>
    <i r="1">
      <x v="1"/>
    </i>
    <i r="1">
      <x v="2"/>
    </i>
    <i r="1">
      <x v="3"/>
    </i>
    <i r="1">
      <x v="4"/>
    </i>
    <i>
      <x v="20"/>
    </i>
    <i r="1">
      <x/>
    </i>
    <i r="1">
      <x v="1"/>
    </i>
    <i r="1">
      <x v="2"/>
    </i>
    <i r="1">
      <x v="3"/>
    </i>
    <i r="1">
      <x v="4"/>
    </i>
    <i>
      <x v="21"/>
    </i>
    <i r="1">
      <x/>
    </i>
    <i r="1">
      <x v="1"/>
    </i>
    <i r="1">
      <x v="2"/>
    </i>
    <i r="1">
      <x v="3"/>
    </i>
    <i r="1">
      <x v="4"/>
    </i>
    <i>
      <x v="22"/>
    </i>
    <i r="1">
      <x/>
    </i>
    <i r="1">
      <x v="1"/>
    </i>
    <i r="1">
      <x v="2"/>
    </i>
    <i r="1">
      <x v="3"/>
    </i>
    <i r="1">
      <x v="4"/>
    </i>
    <i>
      <x v="23"/>
    </i>
    <i r="1">
      <x/>
    </i>
    <i r="1">
      <x v="1"/>
    </i>
    <i r="1">
      <x v="2"/>
    </i>
    <i r="1">
      <x v="3"/>
    </i>
    <i r="1">
      <x v="4"/>
    </i>
    <i>
      <x v="24"/>
    </i>
    <i r="1">
      <x/>
    </i>
    <i r="1">
      <x v="1"/>
    </i>
    <i r="1">
      <x v="2"/>
    </i>
    <i r="1">
      <x v="3"/>
    </i>
    <i r="1">
      <x v="4"/>
    </i>
    <i>
      <x v="25"/>
    </i>
    <i r="1">
      <x/>
    </i>
    <i r="1">
      <x v="1"/>
    </i>
    <i r="1">
      <x v="2"/>
    </i>
    <i r="1">
      <x v="3"/>
    </i>
    <i r="1">
      <x v="4"/>
    </i>
    <i>
      <x v="26"/>
    </i>
    <i r="1">
      <x/>
    </i>
    <i r="1">
      <x v="1"/>
    </i>
    <i r="1">
      <x v="2"/>
    </i>
    <i r="1">
      <x v="3"/>
    </i>
    <i r="1">
      <x v="4"/>
    </i>
    <i>
      <x v="27"/>
    </i>
    <i r="1">
      <x/>
    </i>
    <i r="1">
      <x v="1"/>
    </i>
    <i r="1">
      <x v="2"/>
    </i>
    <i r="1">
      <x v="3"/>
    </i>
    <i r="1">
      <x v="4"/>
    </i>
    <i>
      <x v="28"/>
    </i>
    <i r="1">
      <x/>
    </i>
    <i r="1">
      <x v="1"/>
    </i>
    <i r="1">
      <x v="2"/>
    </i>
    <i r="1">
      <x v="3"/>
    </i>
    <i r="1">
      <x v="4"/>
    </i>
    <i>
      <x v="29"/>
    </i>
    <i r="1">
      <x/>
    </i>
    <i r="1">
      <x v="1"/>
    </i>
    <i r="1">
      <x v="2"/>
    </i>
    <i r="1">
      <x v="3"/>
    </i>
    <i r="1">
      <x v="4"/>
    </i>
    <i>
      <x v="30"/>
    </i>
    <i r="1">
      <x/>
    </i>
    <i r="1">
      <x v="1"/>
    </i>
    <i r="1">
      <x v="2"/>
    </i>
    <i r="1">
      <x v="3"/>
    </i>
    <i r="1">
      <x v="4"/>
    </i>
    <i>
      <x v="31"/>
    </i>
    <i r="1">
      <x v="5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求和项:实物消费量" fld="5" baseField="0" baseItem="0" numFmtId="179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nyj.nmg.gov.cn/zwgk/zfxxgkzl/fdzdgknr/tzgg_16482/tz_16483/202203/P020220329568378960686.pd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opLeftCell="A16" workbookViewId="0">
      <selection activeCell="C56" sqref="C56"/>
    </sheetView>
  </sheetViews>
  <sheetFormatPr defaultColWidth="9" defaultRowHeight="13.5" customHeight="1" outlineLevelCol="5"/>
  <cols>
    <col min="3" max="3" width="57.8761061946903" customWidth="1"/>
    <col min="4" max="4" width="10.7522123893805" customWidth="1"/>
    <col min="5" max="5" width="62" customWidth="1"/>
  </cols>
  <sheetData>
    <row r="1" customHeight="1" spans="1:5">
      <c r="A1" s="119" t="s">
        <v>0</v>
      </c>
      <c r="B1" s="92"/>
    </row>
    <row r="2" customHeight="1" spans="1:5">
      <c r="A2" s="92"/>
      <c r="B2" s="92"/>
    </row>
    <row r="3" customHeight="1" spans="1:5">
      <c r="A3" s="119" t="s">
        <v>1</v>
      </c>
      <c r="B3" s="120" t="s">
        <v>2</v>
      </c>
      <c r="C3" s="120"/>
      <c r="D3" s="62"/>
      <c r="E3" s="120" t="s">
        <v>3</v>
      </c>
    </row>
    <row r="4" customHeight="1" spans="1:5">
      <c r="B4" s="62" t="s">
        <v>4</v>
      </c>
      <c r="C4" s="62"/>
      <c r="D4" s="62"/>
      <c r="E4" s="121" t="s">
        <v>5</v>
      </c>
    </row>
    <row r="5" customHeight="1" spans="1:5">
      <c r="B5" s="62" t="s">
        <v>6</v>
      </c>
      <c r="C5" s="62"/>
      <c r="D5" s="62"/>
      <c r="E5" s="12" t="s">
        <v>7</v>
      </c>
    </row>
    <row r="6" customHeight="1" spans="1:5">
      <c r="B6" s="62" t="s">
        <v>8</v>
      </c>
      <c r="C6" s="62"/>
      <c r="D6" s="62"/>
      <c r="E6" s="12" t="s">
        <v>9</v>
      </c>
    </row>
    <row r="7" customHeight="1" spans="1:5">
      <c r="B7" s="62" t="s">
        <v>10</v>
      </c>
      <c r="C7" s="62"/>
      <c r="D7" s="62"/>
      <c r="E7" s="12" t="s">
        <v>11</v>
      </c>
    </row>
    <row r="8" customHeight="1" spans="1:5">
      <c r="B8" s="62">
        <v>2015</v>
      </c>
      <c r="C8" s="68" t="s">
        <v>12</v>
      </c>
      <c r="D8" s="62"/>
      <c r="E8" s="62"/>
    </row>
    <row r="9" customHeight="1" spans="1:5">
      <c r="B9" s="62">
        <v>2016</v>
      </c>
      <c r="C9" s="68" t="s">
        <v>13</v>
      </c>
      <c r="D9" s="62"/>
      <c r="E9" s="120" t="s">
        <v>14</v>
      </c>
    </row>
    <row r="10" customHeight="1" spans="1:5">
      <c r="B10" s="62">
        <v>2017</v>
      </c>
      <c r="C10" s="122" t="s">
        <v>15</v>
      </c>
      <c r="D10" s="62"/>
      <c r="E10" s="121" t="s">
        <v>16</v>
      </c>
    </row>
    <row r="11" customHeight="1" spans="1:5">
      <c r="B11" s="62">
        <v>2018</v>
      </c>
      <c r="C11" s="68" t="s">
        <v>17</v>
      </c>
      <c r="D11" s="62"/>
      <c r="E11" s="12" t="s">
        <v>18</v>
      </c>
    </row>
    <row r="12" customHeight="1" spans="1:5">
      <c r="B12" s="62">
        <v>2019</v>
      </c>
      <c r="C12" s="68" t="s">
        <v>19</v>
      </c>
      <c r="D12" s="62"/>
      <c r="E12" s="12" t="s">
        <v>9</v>
      </c>
    </row>
    <row r="13" customHeight="1" spans="1:5">
      <c r="B13" s="62">
        <v>2020</v>
      </c>
      <c r="C13" s="68" t="s">
        <v>20</v>
      </c>
      <c r="D13" s="62"/>
      <c r="E13" s="12" t="s">
        <v>21</v>
      </c>
    </row>
    <row r="14" customHeight="1" spans="1:5">
      <c r="B14" s="62">
        <v>2021</v>
      </c>
      <c r="C14" s="68" t="s">
        <v>22</v>
      </c>
      <c r="D14" s="62"/>
      <c r="E14" s="62"/>
    </row>
    <row r="15" customHeight="1" spans="1:5">
      <c r="B15" s="62">
        <v>2022</v>
      </c>
      <c r="C15" s="68" t="s">
        <v>23</v>
      </c>
      <c r="D15" s="62"/>
      <c r="E15" s="62"/>
    </row>
    <row r="16" customHeight="1" spans="1:5">
      <c r="B16" s="62"/>
      <c r="C16" s="62"/>
      <c r="D16" s="62"/>
      <c r="E16" s="62"/>
    </row>
    <row r="17" customHeight="1" spans="1:6">
      <c r="B17" s="120" t="s">
        <v>24</v>
      </c>
      <c r="C17" s="120"/>
      <c r="D17" s="62"/>
      <c r="E17" s="120" t="s">
        <v>25</v>
      </c>
      <c r="F17" s="120"/>
    </row>
    <row r="18" customHeight="1" spans="1:6">
      <c r="B18" s="62" t="s">
        <v>4</v>
      </c>
      <c r="C18" s="62"/>
      <c r="D18" s="62"/>
      <c r="E18" s="62" t="s">
        <v>4</v>
      </c>
      <c r="F18" s="62"/>
    </row>
    <row r="19" customHeight="1" spans="1:6">
      <c r="B19" s="62" t="s">
        <v>26</v>
      </c>
      <c r="C19" s="62"/>
      <c r="D19" s="62"/>
      <c r="E19" s="62" t="s">
        <v>27</v>
      </c>
      <c r="F19" s="62"/>
    </row>
    <row r="20" customHeight="1" spans="1:6">
      <c r="B20" s="62" t="s">
        <v>28</v>
      </c>
      <c r="C20" s="62"/>
      <c r="D20" s="62"/>
      <c r="E20" t="s">
        <v>29</v>
      </c>
    </row>
    <row r="21" customHeight="1" spans="1:6">
      <c r="B21" s="62" t="s">
        <v>30</v>
      </c>
      <c r="C21" s="62" t="s">
        <v>31</v>
      </c>
      <c r="D21" s="62"/>
      <c r="E21" s="62" t="s">
        <v>32</v>
      </c>
    </row>
    <row r="22" customHeight="1" spans="1:6">
      <c r="B22" s="62" t="s">
        <v>33</v>
      </c>
      <c r="C22" s="62" t="s">
        <v>34</v>
      </c>
      <c r="D22" s="62"/>
      <c r="E22" s="62" t="s">
        <v>35</v>
      </c>
    </row>
    <row r="23" customHeight="1" spans="1:6">
      <c r="B23" s="62"/>
      <c r="C23" s="62"/>
      <c r="D23" s="62"/>
      <c r="E23" s="62"/>
    </row>
    <row r="24" customHeight="1" spans="1:6">
      <c r="D24" s="62"/>
      <c r="E24" s="62"/>
    </row>
    <row r="26" customHeight="1" spans="1:6">
      <c r="A26" s="119" t="s">
        <v>36</v>
      </c>
      <c r="B26" s="92"/>
    </row>
    <row r="27" customHeight="1" spans="1:6">
      <c r="A27" s="92" t="s">
        <v>37</v>
      </c>
      <c r="B27" s="92"/>
    </row>
    <row r="28" customHeight="1" spans="1:6">
      <c r="A28" s="92" t="s">
        <v>38</v>
      </c>
      <c r="B28" s="92"/>
    </row>
    <row r="29" customHeight="1" spans="1:6">
      <c r="A29" s="92"/>
      <c r="B29" s="92"/>
    </row>
    <row r="30" customHeight="1" spans="1:6">
      <c r="A30" s="92" t="s">
        <v>39</v>
      </c>
      <c r="B30" s="92"/>
    </row>
    <row r="31" customHeight="1" spans="1:6">
      <c r="A31" s="92" t="s">
        <v>40</v>
      </c>
      <c r="B31" s="92"/>
    </row>
    <row r="32" customHeight="1" spans="1:6">
      <c r="A32" s="92" t="s">
        <v>41</v>
      </c>
      <c r="B32" s="92"/>
    </row>
    <row r="33" customHeight="1" spans="1:2">
      <c r="A33" s="92" t="s">
        <v>42</v>
      </c>
      <c r="B33" s="92"/>
    </row>
    <row r="35" customHeight="1" spans="1:2">
      <c r="A35" s="92" t="s">
        <v>43</v>
      </c>
    </row>
    <row r="36" customHeight="1" spans="1:2">
      <c r="A36" s="92" t="s">
        <v>44</v>
      </c>
    </row>
    <row r="37" customHeight="1" spans="1:2">
      <c r="A37" s="92" t="s">
        <v>45</v>
      </c>
    </row>
    <row r="38" customHeight="1" spans="1:2">
      <c r="A38" s="92" t="s">
        <v>46</v>
      </c>
    </row>
    <row r="39" customHeight="1" spans="1:2">
      <c r="A39" s="92" t="s">
        <v>47</v>
      </c>
    </row>
    <row r="40" customHeight="1" spans="1:2">
      <c r="A40" s="92" t="s">
        <v>48</v>
      </c>
    </row>
    <row r="42" customHeight="1" spans="1:2">
      <c r="A42" s="10" t="s">
        <v>49</v>
      </c>
    </row>
    <row r="43" customHeight="1" spans="1:2">
      <c r="A43" s="92" t="s">
        <v>50</v>
      </c>
    </row>
    <row r="44" customHeight="1" spans="1:2">
      <c r="A44" s="92" t="s">
        <v>51</v>
      </c>
    </row>
    <row r="45" customHeight="1" spans="1:2">
      <c r="A45" s="92" t="s">
        <v>52</v>
      </c>
    </row>
    <row r="46" customHeight="1" spans="1:2">
      <c r="A46" s="92" t="s">
        <v>53</v>
      </c>
    </row>
    <row r="47" customHeight="1" spans="1:2">
      <c r="A47" s="92" t="s">
        <v>54</v>
      </c>
    </row>
    <row r="48" customHeight="1" spans="1:2">
      <c r="A48" s="92" t="s">
        <v>55</v>
      </c>
    </row>
    <row r="49" customHeight="1" spans="1:3">
      <c r="A49" s="92" t="s">
        <v>56</v>
      </c>
    </row>
    <row r="50" customHeight="1" spans="1:3">
      <c r="A50" s="92"/>
    </row>
    <row r="51" customHeight="1" spans="1:3">
      <c r="A51" s="7" t="s">
        <v>57</v>
      </c>
      <c r="B51" s="1"/>
    </row>
    <row r="52" customHeight="1" spans="1:3">
      <c r="A52" s="1" t="s">
        <v>58</v>
      </c>
      <c r="B52" s="1"/>
    </row>
    <row r="53" customHeight="1" spans="1:3">
      <c r="A53" s="1" t="s">
        <v>59</v>
      </c>
      <c r="B53" s="1"/>
    </row>
    <row r="54" customHeight="1" spans="1:3">
      <c r="A54" s="1" t="s">
        <v>60</v>
      </c>
      <c r="B54" s="1"/>
    </row>
    <row r="55" customHeight="1" spans="1:3">
      <c r="A55" s="1"/>
      <c r="C55" s="123" t="s">
        <v>61</v>
      </c>
    </row>
    <row r="56" customHeight="1" spans="1:3">
      <c r="A56" s="1"/>
      <c r="C56" s="124" t="s">
        <v>62</v>
      </c>
    </row>
  </sheetData>
  <mergeCells count="3">
    <mergeCell ref="B3:C3"/>
    <mergeCell ref="B17:C17"/>
    <mergeCell ref="E17:F17"/>
  </mergeCells>
  <dataValidations count="1">
    <dataValidation type="list" allowBlank="1" showInputMessage="1" showErrorMessage="1" sqref="C56">
      <formula1>'Province Selector'!$B$2:$B$33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C50" sqref="C50"/>
    </sheetView>
  </sheetViews>
  <sheetFormatPr defaultColWidth="9" defaultRowHeight="13.85" outlineLevelCol="5"/>
  <cols>
    <col min="1" max="1" width="5.87610619469027" customWidth="1"/>
    <col min="2" max="2" width="27.3716814159292" customWidth="1"/>
    <col min="3" max="3" width="17.2477876106195" customWidth="1"/>
  </cols>
  <sheetData>
    <row r="1" spans="1:6">
      <c r="A1" s="116" t="s">
        <v>63</v>
      </c>
      <c r="B1" s="10" t="s">
        <v>64</v>
      </c>
      <c r="C1" s="10" t="s">
        <v>65</v>
      </c>
      <c r="D1" s="10" t="s">
        <v>66</v>
      </c>
      <c r="E1" s="10" t="s">
        <v>67</v>
      </c>
      <c r="F1" s="10" t="s">
        <v>68</v>
      </c>
    </row>
    <row r="2" spans="1:6">
      <c r="A2" s="125" t="s">
        <v>69</v>
      </c>
      <c r="B2" s="118" t="s">
        <v>62</v>
      </c>
      <c r="C2" t="s">
        <v>70</v>
      </c>
      <c r="D2" t="s">
        <v>70</v>
      </c>
      <c r="E2" t="s">
        <v>71</v>
      </c>
      <c r="F2" t="s">
        <v>72</v>
      </c>
    </row>
    <row r="3" spans="1:6">
      <c r="A3" s="117">
        <v>11</v>
      </c>
      <c r="B3" s="118" t="s">
        <v>73</v>
      </c>
      <c r="C3" t="s">
        <v>74</v>
      </c>
      <c r="D3" t="s">
        <v>75</v>
      </c>
      <c r="E3" t="s">
        <v>76</v>
      </c>
      <c r="F3" t="s">
        <v>77</v>
      </c>
    </row>
    <row r="4" spans="1:6">
      <c r="A4" s="117">
        <v>12</v>
      </c>
      <c r="B4" s="118" t="s">
        <v>78</v>
      </c>
      <c r="C4" t="s">
        <v>79</v>
      </c>
      <c r="D4" t="s">
        <v>80</v>
      </c>
      <c r="E4" t="s">
        <v>81</v>
      </c>
      <c r="F4" t="s">
        <v>82</v>
      </c>
    </row>
    <row r="5" spans="1:6">
      <c r="A5" s="117">
        <v>13</v>
      </c>
      <c r="B5" s="118" t="s">
        <v>83</v>
      </c>
      <c r="C5" t="s">
        <v>84</v>
      </c>
      <c r="D5" t="s">
        <v>85</v>
      </c>
      <c r="E5" t="s">
        <v>86</v>
      </c>
      <c r="F5" t="s">
        <v>87</v>
      </c>
    </row>
    <row r="6" spans="1:6">
      <c r="A6" s="117">
        <v>14</v>
      </c>
      <c r="B6" s="118" t="s">
        <v>88</v>
      </c>
      <c r="C6" t="s">
        <v>89</v>
      </c>
      <c r="D6" t="s">
        <v>90</v>
      </c>
      <c r="E6" t="s">
        <v>91</v>
      </c>
      <c r="F6" t="s">
        <v>92</v>
      </c>
    </row>
    <row r="7" spans="1:6">
      <c r="A7" s="117">
        <v>15</v>
      </c>
      <c r="B7" s="118" t="s">
        <v>93</v>
      </c>
      <c r="C7" t="s">
        <v>94</v>
      </c>
      <c r="D7" t="s">
        <v>95</v>
      </c>
      <c r="E7" t="s">
        <v>96</v>
      </c>
      <c r="F7" t="s">
        <v>97</v>
      </c>
    </row>
    <row r="8" spans="1:6">
      <c r="A8" s="117">
        <v>21</v>
      </c>
      <c r="B8" s="118" t="s">
        <v>98</v>
      </c>
      <c r="C8" t="s">
        <v>99</v>
      </c>
      <c r="D8" t="s">
        <v>100</v>
      </c>
      <c r="E8" t="s">
        <v>101</v>
      </c>
      <c r="F8" t="s">
        <v>102</v>
      </c>
    </row>
    <row r="9" spans="1:6">
      <c r="A9" s="117">
        <v>22</v>
      </c>
      <c r="B9" s="118" t="s">
        <v>103</v>
      </c>
      <c r="C9" t="s">
        <v>104</v>
      </c>
      <c r="D9" t="s">
        <v>105</v>
      </c>
      <c r="E9" t="s">
        <v>106</v>
      </c>
      <c r="F9" t="s">
        <v>107</v>
      </c>
    </row>
    <row r="10" spans="1:6">
      <c r="A10" s="117">
        <v>23</v>
      </c>
      <c r="B10" s="118" t="s">
        <v>108</v>
      </c>
      <c r="C10" t="s">
        <v>109</v>
      </c>
      <c r="D10" t="s">
        <v>110</v>
      </c>
      <c r="E10" t="s">
        <v>111</v>
      </c>
      <c r="F10" t="s">
        <v>112</v>
      </c>
    </row>
    <row r="11" spans="1:6">
      <c r="A11" s="117">
        <v>31</v>
      </c>
      <c r="B11" s="118" t="s">
        <v>113</v>
      </c>
      <c r="C11" t="s">
        <v>114</v>
      </c>
      <c r="D11" t="s">
        <v>115</v>
      </c>
      <c r="E11" t="s">
        <v>116</v>
      </c>
      <c r="F11" t="s">
        <v>117</v>
      </c>
    </row>
    <row r="12" spans="1:6">
      <c r="A12" s="117">
        <v>32</v>
      </c>
      <c r="B12" s="118" t="s">
        <v>118</v>
      </c>
      <c r="C12" t="s">
        <v>119</v>
      </c>
      <c r="D12" t="s">
        <v>120</v>
      </c>
      <c r="E12" t="s">
        <v>121</v>
      </c>
      <c r="F12" t="s">
        <v>122</v>
      </c>
    </row>
    <row r="13" spans="1:6">
      <c r="A13" s="117">
        <v>33</v>
      </c>
      <c r="B13" s="118" t="s">
        <v>123</v>
      </c>
      <c r="C13" t="s">
        <v>124</v>
      </c>
      <c r="D13" t="s">
        <v>125</v>
      </c>
      <c r="E13" t="s">
        <v>126</v>
      </c>
      <c r="F13" t="s">
        <v>127</v>
      </c>
    </row>
    <row r="14" spans="1:6">
      <c r="A14" s="117">
        <v>34</v>
      </c>
      <c r="B14" s="118" t="s">
        <v>128</v>
      </c>
      <c r="C14" t="s">
        <v>129</v>
      </c>
      <c r="D14" t="s">
        <v>130</v>
      </c>
      <c r="E14" t="s">
        <v>131</v>
      </c>
      <c r="F14" t="s">
        <v>132</v>
      </c>
    </row>
    <row r="15" spans="1:6">
      <c r="A15" s="117">
        <v>35</v>
      </c>
      <c r="B15" s="118" t="s">
        <v>133</v>
      </c>
      <c r="C15" t="s">
        <v>134</v>
      </c>
      <c r="D15" t="s">
        <v>135</v>
      </c>
      <c r="E15" t="s">
        <v>136</v>
      </c>
      <c r="F15" t="s">
        <v>137</v>
      </c>
    </row>
    <row r="16" spans="1:6">
      <c r="A16" s="117">
        <v>36</v>
      </c>
      <c r="B16" s="118" t="s">
        <v>138</v>
      </c>
      <c r="C16" t="s">
        <v>139</v>
      </c>
      <c r="D16" t="s">
        <v>140</v>
      </c>
      <c r="E16" t="s">
        <v>141</v>
      </c>
      <c r="F16" t="s">
        <v>142</v>
      </c>
    </row>
    <row r="17" spans="1:6">
      <c r="A17" s="117">
        <v>37</v>
      </c>
      <c r="B17" s="118" t="s">
        <v>143</v>
      </c>
      <c r="C17" t="s">
        <v>144</v>
      </c>
      <c r="D17" t="s">
        <v>145</v>
      </c>
      <c r="E17" t="s">
        <v>146</v>
      </c>
      <c r="F17" t="s">
        <v>147</v>
      </c>
    </row>
    <row r="18" spans="1:6">
      <c r="A18" s="117">
        <v>41</v>
      </c>
      <c r="B18" s="118" t="s">
        <v>148</v>
      </c>
      <c r="C18" t="s">
        <v>149</v>
      </c>
      <c r="D18" t="s">
        <v>150</v>
      </c>
      <c r="E18" t="s">
        <v>151</v>
      </c>
      <c r="F18" t="s">
        <v>152</v>
      </c>
    </row>
    <row r="19" spans="1:6">
      <c r="A19" s="117">
        <v>42</v>
      </c>
      <c r="B19" s="118" t="s">
        <v>153</v>
      </c>
      <c r="C19" t="s">
        <v>154</v>
      </c>
      <c r="D19" t="s">
        <v>155</v>
      </c>
      <c r="E19" t="s">
        <v>156</v>
      </c>
      <c r="F19" t="s">
        <v>157</v>
      </c>
    </row>
    <row r="20" spans="1:6">
      <c r="A20" s="117">
        <v>43</v>
      </c>
      <c r="B20" s="118" t="s">
        <v>158</v>
      </c>
      <c r="C20" t="s">
        <v>159</v>
      </c>
      <c r="D20" t="s">
        <v>160</v>
      </c>
      <c r="E20" t="s">
        <v>161</v>
      </c>
      <c r="F20" t="s">
        <v>162</v>
      </c>
    </row>
    <row r="21" spans="1:6">
      <c r="A21" s="117">
        <v>44</v>
      </c>
      <c r="B21" s="118" t="s">
        <v>163</v>
      </c>
      <c r="C21" t="s">
        <v>164</v>
      </c>
      <c r="D21" t="s">
        <v>165</v>
      </c>
      <c r="E21" t="s">
        <v>166</v>
      </c>
      <c r="F21" t="s">
        <v>167</v>
      </c>
    </row>
    <row r="22" spans="1:6">
      <c r="A22" s="117">
        <v>45</v>
      </c>
      <c r="B22" s="118" t="s">
        <v>168</v>
      </c>
      <c r="C22" t="s">
        <v>169</v>
      </c>
      <c r="D22" t="s">
        <v>170</v>
      </c>
      <c r="E22" t="s">
        <v>171</v>
      </c>
      <c r="F22" t="s">
        <v>172</v>
      </c>
    </row>
    <row r="23" spans="1:6">
      <c r="A23" s="117">
        <v>46</v>
      </c>
      <c r="B23" s="118" t="s">
        <v>173</v>
      </c>
      <c r="C23" t="s">
        <v>174</v>
      </c>
      <c r="D23" t="s">
        <v>175</v>
      </c>
      <c r="E23" t="s">
        <v>176</v>
      </c>
      <c r="F23" t="s">
        <v>177</v>
      </c>
    </row>
    <row r="24" spans="1:6">
      <c r="A24" s="117">
        <v>50</v>
      </c>
      <c r="B24" s="118" t="s">
        <v>178</v>
      </c>
      <c r="C24" t="s">
        <v>179</v>
      </c>
      <c r="D24" t="s">
        <v>180</v>
      </c>
      <c r="E24" t="s">
        <v>181</v>
      </c>
      <c r="F24" t="s">
        <v>182</v>
      </c>
    </row>
    <row r="25" spans="1:6">
      <c r="A25" s="117">
        <v>51</v>
      </c>
      <c r="B25" s="118" t="s">
        <v>183</v>
      </c>
      <c r="C25" t="s">
        <v>184</v>
      </c>
      <c r="D25" t="s">
        <v>185</v>
      </c>
      <c r="E25" t="s">
        <v>186</v>
      </c>
      <c r="F25" t="s">
        <v>187</v>
      </c>
    </row>
    <row r="26" spans="1:6">
      <c r="A26" s="117">
        <v>52</v>
      </c>
      <c r="B26" s="118" t="s">
        <v>188</v>
      </c>
      <c r="C26" t="s">
        <v>189</v>
      </c>
      <c r="D26" t="s">
        <v>190</v>
      </c>
      <c r="E26" t="s">
        <v>191</v>
      </c>
      <c r="F26" t="s">
        <v>192</v>
      </c>
    </row>
    <row r="27" spans="1:6">
      <c r="A27" s="117">
        <v>53</v>
      </c>
      <c r="B27" s="118" t="s">
        <v>193</v>
      </c>
      <c r="C27" t="s">
        <v>194</v>
      </c>
      <c r="D27" t="s">
        <v>195</v>
      </c>
      <c r="E27" t="s">
        <v>196</v>
      </c>
      <c r="F27" t="s">
        <v>197</v>
      </c>
    </row>
    <row r="28" spans="1:6">
      <c r="A28" s="117">
        <v>54</v>
      </c>
      <c r="B28" s="118" t="s">
        <v>198</v>
      </c>
      <c r="C28" t="s">
        <v>199</v>
      </c>
      <c r="D28" t="s">
        <v>200</v>
      </c>
      <c r="E28" t="s">
        <v>201</v>
      </c>
      <c r="F28" t="s">
        <v>202</v>
      </c>
    </row>
    <row r="29" spans="1:6">
      <c r="A29" s="117">
        <v>61</v>
      </c>
      <c r="B29" s="118" t="s">
        <v>203</v>
      </c>
      <c r="C29" t="s">
        <v>204</v>
      </c>
      <c r="D29" t="s">
        <v>205</v>
      </c>
      <c r="E29" t="s">
        <v>206</v>
      </c>
      <c r="F29" t="s">
        <v>207</v>
      </c>
    </row>
    <row r="30" spans="1:6">
      <c r="A30" s="117">
        <v>62</v>
      </c>
      <c r="B30" s="118" t="s">
        <v>208</v>
      </c>
      <c r="C30" t="s">
        <v>209</v>
      </c>
      <c r="D30" t="s">
        <v>210</v>
      </c>
      <c r="E30" t="s">
        <v>211</v>
      </c>
      <c r="F30" t="s">
        <v>212</v>
      </c>
    </row>
    <row r="31" spans="1:6">
      <c r="A31" s="117">
        <v>63</v>
      </c>
      <c r="B31" s="118" t="s">
        <v>213</v>
      </c>
      <c r="C31" t="s">
        <v>214</v>
      </c>
      <c r="D31" t="s">
        <v>215</v>
      </c>
      <c r="E31" t="s">
        <v>216</v>
      </c>
      <c r="F31" t="s">
        <v>217</v>
      </c>
    </row>
    <row r="32" spans="1:6">
      <c r="A32" s="117">
        <v>64</v>
      </c>
      <c r="B32" s="118" t="s">
        <v>218</v>
      </c>
      <c r="C32" t="s">
        <v>219</v>
      </c>
      <c r="D32" t="s">
        <v>220</v>
      </c>
      <c r="E32" t="s">
        <v>221</v>
      </c>
      <c r="F32" t="s">
        <v>222</v>
      </c>
    </row>
    <row r="33" spans="1:6">
      <c r="A33" s="117">
        <v>65</v>
      </c>
      <c r="B33" s="118" t="s">
        <v>223</v>
      </c>
      <c r="C33" t="s">
        <v>224</v>
      </c>
      <c r="D33" t="s">
        <v>225</v>
      </c>
      <c r="E33" t="s">
        <v>226</v>
      </c>
      <c r="F33" t="s">
        <v>227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5"/>
  <sheetViews>
    <sheetView workbookViewId="0">
      <selection activeCell="J23" sqref="J23"/>
    </sheetView>
  </sheetViews>
  <sheetFormatPr defaultColWidth="9" defaultRowHeight="13.85"/>
  <cols>
    <col min="1" max="1" width="9" style="98"/>
    <col min="2" max="33" width="6.87610619469027" style="62" customWidth="1"/>
    <col min="34" max="16384" width="9" style="62"/>
  </cols>
  <sheetData>
    <row r="1" s="98" customFormat="1" ht="13.9" spans="1:33">
      <c r="A1" s="99" t="s">
        <v>228</v>
      </c>
      <c r="B1" s="88">
        <v>2015</v>
      </c>
      <c r="C1" s="88">
        <v>2016</v>
      </c>
      <c r="D1" s="88">
        <v>2017</v>
      </c>
      <c r="E1" s="88">
        <v>2018</v>
      </c>
      <c r="F1" s="88">
        <v>2019</v>
      </c>
      <c r="G1" s="88">
        <v>2020</v>
      </c>
      <c r="H1" s="88">
        <v>2021</v>
      </c>
      <c r="I1" s="88">
        <v>2022</v>
      </c>
      <c r="J1" s="88">
        <v>2015</v>
      </c>
      <c r="K1" s="88">
        <v>2016</v>
      </c>
      <c r="L1" s="88">
        <v>2017</v>
      </c>
      <c r="M1" s="88">
        <v>2018</v>
      </c>
      <c r="N1" s="88">
        <v>2019</v>
      </c>
      <c r="O1" s="88">
        <v>2020</v>
      </c>
      <c r="P1" s="88">
        <v>2021</v>
      </c>
      <c r="Q1" s="88">
        <v>2022</v>
      </c>
      <c r="R1" s="88">
        <v>2015</v>
      </c>
      <c r="S1" s="88">
        <v>2016</v>
      </c>
      <c r="T1" s="88">
        <v>2017</v>
      </c>
      <c r="U1" s="88">
        <v>2018</v>
      </c>
      <c r="V1" s="88">
        <v>2019</v>
      </c>
      <c r="W1" s="88">
        <v>2020</v>
      </c>
      <c r="X1" s="88">
        <v>2021</v>
      </c>
      <c r="Y1" s="88">
        <v>2022</v>
      </c>
      <c r="Z1" s="88">
        <v>2015</v>
      </c>
      <c r="AA1" s="88">
        <v>2016</v>
      </c>
      <c r="AB1" s="88">
        <v>2017</v>
      </c>
      <c r="AC1" s="88">
        <v>2018</v>
      </c>
      <c r="AD1" s="88">
        <v>2019</v>
      </c>
      <c r="AE1" s="88">
        <v>2020</v>
      </c>
      <c r="AF1" s="88">
        <v>2021</v>
      </c>
      <c r="AG1" s="88">
        <v>2022</v>
      </c>
    </row>
    <row r="2" ht="14.25" customHeight="1" spans="1:33">
      <c r="A2" s="100" t="s">
        <v>229</v>
      </c>
      <c r="B2" s="100" t="s">
        <v>230</v>
      </c>
      <c r="C2" s="100"/>
      <c r="D2" s="100"/>
      <c r="E2" s="100"/>
      <c r="F2" s="100"/>
      <c r="G2" s="100"/>
      <c r="H2" s="100"/>
      <c r="I2" s="100"/>
      <c r="J2" s="100" t="s">
        <v>231</v>
      </c>
      <c r="K2" s="100"/>
      <c r="L2" s="100"/>
      <c r="M2" s="100"/>
      <c r="N2" s="100"/>
      <c r="O2" s="100"/>
      <c r="P2" s="100"/>
      <c r="Q2" s="100"/>
      <c r="R2" s="100" t="s">
        <v>232</v>
      </c>
      <c r="S2" s="100"/>
      <c r="T2" s="100"/>
      <c r="U2" s="100"/>
      <c r="V2" s="100"/>
      <c r="W2" s="100"/>
      <c r="X2" s="100"/>
      <c r="Y2" s="100"/>
      <c r="Z2" s="101" t="s">
        <v>233</v>
      </c>
      <c r="AA2" s="102"/>
      <c r="AB2" s="102"/>
      <c r="AC2" s="102"/>
      <c r="AD2" s="102"/>
      <c r="AE2" s="102"/>
      <c r="AF2" s="102"/>
      <c r="AG2" s="103"/>
    </row>
    <row r="3" spans="1:33">
      <c r="A3" s="88" t="s">
        <v>234</v>
      </c>
      <c r="B3" s="101" t="s">
        <v>233</v>
      </c>
      <c r="C3" s="102"/>
      <c r="D3" s="102"/>
      <c r="E3" s="102"/>
      <c r="F3" s="102"/>
      <c r="G3" s="102"/>
      <c r="H3" s="102"/>
      <c r="I3" s="103"/>
      <c r="J3" s="101" t="s">
        <v>235</v>
      </c>
      <c r="K3" s="102"/>
      <c r="L3" s="102"/>
      <c r="M3" s="102"/>
      <c r="N3" s="102"/>
      <c r="O3" s="102"/>
      <c r="P3" s="102"/>
      <c r="Q3" s="103"/>
      <c r="R3" s="101" t="s">
        <v>236</v>
      </c>
      <c r="S3" s="102"/>
      <c r="T3" s="102"/>
      <c r="U3" s="102"/>
      <c r="V3" s="102"/>
      <c r="W3" s="102"/>
      <c r="X3" s="102"/>
      <c r="Y3" s="103"/>
      <c r="Z3" s="101" t="s">
        <v>237</v>
      </c>
      <c r="AA3" s="102"/>
      <c r="AB3" s="102"/>
      <c r="AC3" s="102"/>
      <c r="AD3" s="102"/>
      <c r="AE3" s="102"/>
      <c r="AF3" s="102"/>
      <c r="AG3" s="103"/>
    </row>
    <row r="4" ht="13.9" spans="1:33">
      <c r="A4" s="104" t="s">
        <v>75</v>
      </c>
      <c r="B4" s="105">
        <v>81</v>
      </c>
      <c r="C4" s="106">
        <v>107</v>
      </c>
      <c r="D4" s="107">
        <v>130</v>
      </c>
      <c r="E4" s="106">
        <v>150.75</v>
      </c>
      <c r="F4" s="106">
        <v>148</v>
      </c>
      <c r="G4" s="106">
        <v>187</v>
      </c>
      <c r="H4" s="106">
        <v>244</v>
      </c>
      <c r="I4" s="106">
        <v>292</v>
      </c>
      <c r="J4" s="108">
        <v>0.085</v>
      </c>
      <c r="K4" s="109">
        <v>0.105</v>
      </c>
      <c r="L4" s="110">
        <v>0.121</v>
      </c>
      <c r="M4" s="109">
        <v>0.132</v>
      </c>
      <c r="N4" s="110">
        <v>0.127</v>
      </c>
      <c r="O4" s="110">
        <v>0.164</v>
      </c>
      <c r="P4" s="110">
        <v>0.198</v>
      </c>
      <c r="Q4" s="110">
        <v>0.228</v>
      </c>
      <c r="R4" s="105">
        <v>72</v>
      </c>
      <c r="S4" s="106">
        <v>91</v>
      </c>
      <c r="T4" s="107">
        <v>111</v>
      </c>
      <c r="U4" s="106">
        <v>133.42</v>
      </c>
      <c r="V4" s="106">
        <v>141</v>
      </c>
      <c r="W4" s="106">
        <v>183</v>
      </c>
      <c r="X4" s="106">
        <v>239</v>
      </c>
      <c r="Y4" s="106">
        <v>283</v>
      </c>
      <c r="Z4" s="108">
        <v>0.076</v>
      </c>
      <c r="AA4" s="109">
        <v>0.09</v>
      </c>
      <c r="AB4" s="110">
        <v>0.104</v>
      </c>
      <c r="AC4" s="109">
        <v>0.117</v>
      </c>
      <c r="AD4" s="110">
        <v>0.12</v>
      </c>
      <c r="AE4" s="110">
        <v>0.161</v>
      </c>
      <c r="AF4" s="110">
        <v>0.194</v>
      </c>
      <c r="AG4" s="110">
        <v>0.221</v>
      </c>
    </row>
    <row r="5" ht="13.9" spans="1:33">
      <c r="A5" s="104" t="s">
        <v>80</v>
      </c>
      <c r="B5" s="105">
        <v>63</v>
      </c>
      <c r="C5" s="106">
        <v>75</v>
      </c>
      <c r="D5" s="107">
        <v>89</v>
      </c>
      <c r="E5" s="106">
        <v>98.2</v>
      </c>
      <c r="F5" s="106">
        <v>112</v>
      </c>
      <c r="G5" s="106">
        <v>141</v>
      </c>
      <c r="H5" s="106">
        <v>191</v>
      </c>
      <c r="I5" s="106">
        <v>209</v>
      </c>
      <c r="J5" s="108">
        <v>0.078</v>
      </c>
      <c r="K5" s="109">
        <v>0.093</v>
      </c>
      <c r="L5" s="110">
        <v>0.11</v>
      </c>
      <c r="M5" s="109">
        <v>0.114</v>
      </c>
      <c r="N5" s="110">
        <v>0.126</v>
      </c>
      <c r="O5" s="110">
        <v>0.161</v>
      </c>
      <c r="P5" s="110">
        <v>0.195</v>
      </c>
      <c r="Q5" s="110">
        <v>0.211</v>
      </c>
      <c r="R5" s="105">
        <v>61</v>
      </c>
      <c r="S5" s="106">
        <v>72</v>
      </c>
      <c r="T5" s="107">
        <v>84</v>
      </c>
      <c r="U5" s="106">
        <v>94.47</v>
      </c>
      <c r="V5" s="106">
        <v>106</v>
      </c>
      <c r="W5" s="106">
        <v>132</v>
      </c>
      <c r="X5" s="106">
        <v>181</v>
      </c>
      <c r="Y5" s="106">
        <v>192</v>
      </c>
      <c r="Z5" s="108">
        <v>0.076</v>
      </c>
      <c r="AA5" s="109">
        <v>0.09</v>
      </c>
      <c r="AB5" s="110">
        <v>0.104</v>
      </c>
      <c r="AC5" s="109">
        <v>0.11</v>
      </c>
      <c r="AD5" s="110">
        <v>0.12</v>
      </c>
      <c r="AE5" s="110">
        <v>0.151</v>
      </c>
      <c r="AF5" s="110">
        <v>0.184</v>
      </c>
      <c r="AG5" s="110">
        <v>0.194</v>
      </c>
    </row>
    <row r="6" ht="13.9" spans="1:33">
      <c r="A6" s="104" t="s">
        <v>85</v>
      </c>
      <c r="B6" s="105">
        <v>260</v>
      </c>
      <c r="C6" s="106">
        <v>335</v>
      </c>
      <c r="D6" s="107">
        <v>401</v>
      </c>
      <c r="E6" s="106">
        <v>448.38</v>
      </c>
      <c r="F6" s="106">
        <v>530</v>
      </c>
      <c r="G6" s="106">
        <v>559</v>
      </c>
      <c r="H6" s="106">
        <v>756</v>
      </c>
      <c r="I6" s="106">
        <v>930</v>
      </c>
      <c r="J6" s="108">
        <v>0.082</v>
      </c>
      <c r="K6" s="109">
        <v>0.103</v>
      </c>
      <c r="L6" s="110">
        <v>0.116</v>
      </c>
      <c r="M6" s="109">
        <v>0.122</v>
      </c>
      <c r="N6" s="110">
        <v>0.137</v>
      </c>
      <c r="O6" s="110">
        <v>0.142</v>
      </c>
      <c r="P6" s="110">
        <v>0.176</v>
      </c>
      <c r="Q6" s="110">
        <v>0.214</v>
      </c>
      <c r="R6" s="105">
        <v>241</v>
      </c>
      <c r="S6" s="106">
        <v>293</v>
      </c>
      <c r="T6" s="107">
        <v>357</v>
      </c>
      <c r="U6" s="106">
        <v>415.31</v>
      </c>
      <c r="V6" s="106">
        <v>505</v>
      </c>
      <c r="W6" s="106">
        <v>530</v>
      </c>
      <c r="X6" s="106">
        <v>721</v>
      </c>
      <c r="Y6" s="106">
        <v>904</v>
      </c>
      <c r="Z6" s="108">
        <v>0.076</v>
      </c>
      <c r="AA6" s="109">
        <v>0.09</v>
      </c>
      <c r="AB6" s="110">
        <v>0.104</v>
      </c>
      <c r="AC6" s="109">
        <v>0.113</v>
      </c>
      <c r="AD6" s="110">
        <v>0.13</v>
      </c>
      <c r="AE6" s="110">
        <v>0.135</v>
      </c>
      <c r="AF6" s="110">
        <v>0.168</v>
      </c>
      <c r="AG6" s="110">
        <v>0.208</v>
      </c>
    </row>
    <row r="7" ht="13.9" spans="1:33">
      <c r="A7" s="104" t="s">
        <v>90</v>
      </c>
      <c r="B7" s="105">
        <v>152</v>
      </c>
      <c r="C7" s="106">
        <v>218</v>
      </c>
      <c r="D7" s="107">
        <v>280</v>
      </c>
      <c r="E7" s="106">
        <v>355.25</v>
      </c>
      <c r="F7" s="106">
        <v>417</v>
      </c>
      <c r="G7" s="106">
        <v>440</v>
      </c>
      <c r="H7" s="106">
        <v>649</v>
      </c>
      <c r="I7" s="106">
        <v>675</v>
      </c>
      <c r="J7" s="108">
        <v>0.088</v>
      </c>
      <c r="K7" s="109">
        <v>0.121</v>
      </c>
      <c r="L7" s="110">
        <v>0.141</v>
      </c>
      <c r="M7" s="109">
        <v>0.164</v>
      </c>
      <c r="N7" s="110">
        <v>0.184</v>
      </c>
      <c r="O7" s="110">
        <v>0.188</v>
      </c>
      <c r="P7" s="110">
        <v>0.249</v>
      </c>
      <c r="Q7" s="110">
        <v>0.248</v>
      </c>
      <c r="R7" s="105">
        <v>121</v>
      </c>
      <c r="S7" s="106">
        <v>179</v>
      </c>
      <c r="T7" s="107">
        <v>238</v>
      </c>
      <c r="U7" s="106">
        <v>312.35</v>
      </c>
      <c r="V7" s="106">
        <v>368</v>
      </c>
      <c r="W7" s="106">
        <v>393</v>
      </c>
      <c r="X7" s="106">
        <v>610</v>
      </c>
      <c r="Y7" s="106">
        <v>637</v>
      </c>
      <c r="Z7" s="108">
        <v>0.07</v>
      </c>
      <c r="AA7" s="109">
        <v>0.1</v>
      </c>
      <c r="AB7" s="110">
        <v>0.12</v>
      </c>
      <c r="AC7" s="109">
        <v>0.145</v>
      </c>
      <c r="AD7" s="110">
        <v>0.162</v>
      </c>
      <c r="AE7" s="110">
        <v>0.168</v>
      </c>
      <c r="AF7" s="110">
        <v>0.234</v>
      </c>
      <c r="AG7" s="110">
        <v>0.234</v>
      </c>
    </row>
    <row r="8" ht="13.9" spans="1:33">
      <c r="A8" s="104" t="s">
        <v>95</v>
      </c>
      <c r="B8" s="105">
        <v>354</v>
      </c>
      <c r="C8" s="106">
        <v>428</v>
      </c>
      <c r="D8" s="107">
        <v>554</v>
      </c>
      <c r="E8" s="106">
        <v>624.34</v>
      </c>
      <c r="F8" s="106">
        <v>672</v>
      </c>
      <c r="G8" s="106">
        <v>821</v>
      </c>
      <c r="H8" s="106">
        <v>954</v>
      </c>
      <c r="I8" s="106">
        <v>1075</v>
      </c>
      <c r="J8" s="108">
        <v>0.139</v>
      </c>
      <c r="K8" s="109">
        <v>0.164</v>
      </c>
      <c r="L8" s="110">
        <v>0.192</v>
      </c>
      <c r="M8" s="109">
        <v>0.186</v>
      </c>
      <c r="N8" s="110">
        <v>0.183</v>
      </c>
      <c r="O8" s="110">
        <v>0.211</v>
      </c>
      <c r="P8" s="110">
        <v>0.241</v>
      </c>
      <c r="Q8" s="110">
        <v>0.256</v>
      </c>
      <c r="R8" s="105">
        <v>306</v>
      </c>
      <c r="S8" s="106">
        <v>398</v>
      </c>
      <c r="T8" s="107">
        <v>528</v>
      </c>
      <c r="U8" s="106">
        <v>579.28</v>
      </c>
      <c r="V8" s="106">
        <v>611</v>
      </c>
      <c r="W8" s="106">
        <v>760</v>
      </c>
      <c r="X8" s="106">
        <v>890</v>
      </c>
      <c r="Y8" s="106">
        <v>1029</v>
      </c>
      <c r="Z8" s="108">
        <v>0.12</v>
      </c>
      <c r="AA8" s="109">
        <v>0.153</v>
      </c>
      <c r="AB8" s="110">
        <v>0.183</v>
      </c>
      <c r="AC8" s="109">
        <v>0.173</v>
      </c>
      <c r="AD8" s="110">
        <v>0.167</v>
      </c>
      <c r="AE8" s="110">
        <v>0.195</v>
      </c>
      <c r="AF8" s="110">
        <v>0.225</v>
      </c>
      <c r="AG8" s="110">
        <v>0.245</v>
      </c>
    </row>
    <row r="9" ht="13.9" spans="1:33">
      <c r="A9" s="104" t="s">
        <v>100</v>
      </c>
      <c r="B9" s="105">
        <v>197</v>
      </c>
      <c r="C9" s="106">
        <v>259</v>
      </c>
      <c r="D9" s="107">
        <v>260</v>
      </c>
      <c r="E9" s="106">
        <v>326.37</v>
      </c>
      <c r="F9" s="106">
        <v>371</v>
      </c>
      <c r="G9" s="106">
        <v>418</v>
      </c>
      <c r="H9" s="106">
        <v>492</v>
      </c>
      <c r="I9" s="106">
        <v>551</v>
      </c>
      <c r="J9" s="108">
        <v>0.099</v>
      </c>
      <c r="K9" s="109">
        <v>0.127</v>
      </c>
      <c r="L9" s="110">
        <v>0.122</v>
      </c>
      <c r="M9" s="109">
        <v>0.142</v>
      </c>
      <c r="N9" s="110">
        <v>0.154</v>
      </c>
      <c r="O9" s="110">
        <v>0.172</v>
      </c>
      <c r="P9" s="110">
        <v>0.191</v>
      </c>
      <c r="Q9" s="110">
        <v>0.216</v>
      </c>
      <c r="R9" s="105">
        <v>152</v>
      </c>
      <c r="S9" s="106">
        <v>175</v>
      </c>
      <c r="T9" s="107">
        <v>197</v>
      </c>
      <c r="U9" s="106">
        <v>269.82</v>
      </c>
      <c r="V9" s="106">
        <v>302</v>
      </c>
      <c r="W9" s="106">
        <v>331</v>
      </c>
      <c r="X9" s="106">
        <v>361</v>
      </c>
      <c r="Y9" s="106">
        <v>421</v>
      </c>
      <c r="Z9" s="108">
        <v>0.077</v>
      </c>
      <c r="AA9" s="109">
        <v>0.086</v>
      </c>
      <c r="AB9" s="110">
        <v>0.092</v>
      </c>
      <c r="AC9" s="109">
        <v>0.117</v>
      </c>
      <c r="AD9" s="110">
        <v>0.125</v>
      </c>
      <c r="AE9" s="110">
        <v>0.136</v>
      </c>
      <c r="AF9" s="110">
        <v>0.14</v>
      </c>
      <c r="AG9" s="110">
        <v>0.165</v>
      </c>
    </row>
    <row r="10" ht="13.9" spans="1:33">
      <c r="A10" s="104" t="s">
        <v>105</v>
      </c>
      <c r="B10" s="105">
        <v>105</v>
      </c>
      <c r="C10" s="106">
        <v>138</v>
      </c>
      <c r="D10" s="107">
        <v>156</v>
      </c>
      <c r="E10" s="106">
        <v>186.53</v>
      </c>
      <c r="F10" s="106">
        <v>196</v>
      </c>
      <c r="G10" s="106">
        <v>244</v>
      </c>
      <c r="H10" s="106">
        <v>252</v>
      </c>
      <c r="I10" s="106">
        <v>294</v>
      </c>
      <c r="J10" s="108">
        <v>0.16</v>
      </c>
      <c r="K10" s="109">
        <v>0.207</v>
      </c>
      <c r="L10" s="110">
        <v>0.222</v>
      </c>
      <c r="M10" s="109">
        <v>0.249</v>
      </c>
      <c r="N10" s="110">
        <v>0.25</v>
      </c>
      <c r="O10" s="110">
        <v>0.303</v>
      </c>
      <c r="P10" s="110">
        <v>0.299</v>
      </c>
      <c r="Q10" s="110">
        <v>0.345</v>
      </c>
      <c r="R10" s="105">
        <v>79</v>
      </c>
      <c r="S10" s="106">
        <v>91</v>
      </c>
      <c r="T10" s="107">
        <v>115</v>
      </c>
      <c r="U10" s="106">
        <v>127.59</v>
      </c>
      <c r="V10" s="106">
        <v>147</v>
      </c>
      <c r="W10" s="106">
        <v>172</v>
      </c>
      <c r="X10" s="106">
        <v>177</v>
      </c>
      <c r="Y10" s="106">
        <v>218</v>
      </c>
      <c r="Z10" s="108">
        <v>0.122</v>
      </c>
      <c r="AA10" s="109">
        <v>0.137</v>
      </c>
      <c r="AB10" s="110">
        <v>0.164</v>
      </c>
      <c r="AC10" s="109">
        <v>0.17</v>
      </c>
      <c r="AD10" s="110">
        <v>0.188</v>
      </c>
      <c r="AE10" s="110">
        <v>0.213</v>
      </c>
      <c r="AF10" s="110">
        <v>0.21</v>
      </c>
      <c r="AG10" s="110">
        <v>0.256</v>
      </c>
    </row>
    <row r="11" ht="13.9" spans="1:33">
      <c r="A11" s="104" t="s">
        <v>110</v>
      </c>
      <c r="B11" s="105">
        <v>119</v>
      </c>
      <c r="C11" s="106">
        <v>141</v>
      </c>
      <c r="D11" s="107">
        <v>188</v>
      </c>
      <c r="E11" s="106">
        <v>188.7</v>
      </c>
      <c r="F11" s="106">
        <v>219</v>
      </c>
      <c r="G11" s="106">
        <v>238</v>
      </c>
      <c r="H11" s="106">
        <v>254</v>
      </c>
      <c r="I11" s="106">
        <v>372</v>
      </c>
      <c r="J11" s="108">
        <v>0.137</v>
      </c>
      <c r="K11" s="109">
        <v>0.157</v>
      </c>
      <c r="L11" s="110">
        <v>0.202</v>
      </c>
      <c r="M11" s="109">
        <v>0.194</v>
      </c>
      <c r="N11" s="110">
        <v>0.22</v>
      </c>
      <c r="O11" s="110">
        <v>0.234</v>
      </c>
      <c r="P11" s="110">
        <v>0.233</v>
      </c>
      <c r="Q11" s="110">
        <v>0.327</v>
      </c>
      <c r="R11" s="105">
        <v>97</v>
      </c>
      <c r="S11" s="106">
        <v>111</v>
      </c>
      <c r="T11" s="107">
        <v>146</v>
      </c>
      <c r="U11" s="106">
        <v>157.51</v>
      </c>
      <c r="V11" s="106">
        <v>202</v>
      </c>
      <c r="W11" s="106">
        <v>218</v>
      </c>
      <c r="X11" s="106">
        <v>253</v>
      </c>
      <c r="Y11" s="106">
        <v>347</v>
      </c>
      <c r="Z11" s="108">
        <v>0.111</v>
      </c>
      <c r="AA11" s="109">
        <v>0.124</v>
      </c>
      <c r="AB11" s="110">
        <v>0.158</v>
      </c>
      <c r="AC11" s="109">
        <v>0.162</v>
      </c>
      <c r="AD11" s="110">
        <v>0.202</v>
      </c>
      <c r="AE11" s="110">
        <v>0.215</v>
      </c>
      <c r="AF11" s="110">
        <v>0.232</v>
      </c>
      <c r="AG11" s="110">
        <v>0.305</v>
      </c>
    </row>
    <row r="12" ht="13.9" spans="1:33">
      <c r="A12" s="104" t="s">
        <v>115</v>
      </c>
      <c r="B12" s="105">
        <v>419</v>
      </c>
      <c r="C12" s="106">
        <v>484</v>
      </c>
      <c r="D12" s="107">
        <v>509</v>
      </c>
      <c r="E12" s="106">
        <v>503.23</v>
      </c>
      <c r="F12" s="106">
        <v>542</v>
      </c>
      <c r="G12" s="106">
        <v>561</v>
      </c>
      <c r="H12" s="106">
        <v>558</v>
      </c>
      <c r="I12" s="106">
        <v>520</v>
      </c>
      <c r="J12" s="108">
        <v>0.298</v>
      </c>
      <c r="K12" s="109">
        <v>0.326</v>
      </c>
      <c r="L12" s="110">
        <v>0.333</v>
      </c>
      <c r="M12" s="109">
        <v>0.321</v>
      </c>
      <c r="N12" s="110">
        <v>0.345</v>
      </c>
      <c r="O12" s="110">
        <v>0.356</v>
      </c>
      <c r="P12" s="110">
        <v>0.319</v>
      </c>
      <c r="Q12" s="110">
        <v>0.298</v>
      </c>
      <c r="R12" s="105">
        <v>23</v>
      </c>
      <c r="S12" s="106">
        <v>30</v>
      </c>
      <c r="T12" s="107">
        <v>41</v>
      </c>
      <c r="U12" s="106">
        <v>51.93</v>
      </c>
      <c r="V12" s="106">
        <v>66</v>
      </c>
      <c r="W12" s="106">
        <v>76</v>
      </c>
      <c r="X12" s="106">
        <v>91</v>
      </c>
      <c r="Y12" s="106">
        <v>105</v>
      </c>
      <c r="Z12" s="108">
        <v>0.016</v>
      </c>
      <c r="AA12" s="109">
        <v>0.02</v>
      </c>
      <c r="AB12" s="110">
        <v>0.027</v>
      </c>
      <c r="AC12" s="109">
        <v>0.033</v>
      </c>
      <c r="AD12" s="110">
        <v>0.042</v>
      </c>
      <c r="AE12" s="110">
        <v>0.048</v>
      </c>
      <c r="AF12" s="110">
        <v>0.052</v>
      </c>
      <c r="AG12" s="110">
        <v>0.06</v>
      </c>
    </row>
    <row r="13" ht="13.9" spans="1:33">
      <c r="A13" s="104" t="s">
        <v>120</v>
      </c>
      <c r="B13" s="105">
        <v>599</v>
      </c>
      <c r="C13" s="106">
        <v>699</v>
      </c>
      <c r="D13" s="107">
        <v>856</v>
      </c>
      <c r="E13" s="106">
        <v>902.91</v>
      </c>
      <c r="F13" s="106">
        <v>941</v>
      </c>
      <c r="G13" s="106">
        <v>1072</v>
      </c>
      <c r="H13" s="106">
        <v>1321</v>
      </c>
      <c r="I13" s="106">
        <v>1650</v>
      </c>
      <c r="J13" s="108">
        <v>0.117</v>
      </c>
      <c r="K13" s="109">
        <v>0.128</v>
      </c>
      <c r="L13" s="110">
        <v>0.147</v>
      </c>
      <c r="M13" s="109">
        <v>0.147</v>
      </c>
      <c r="N13" s="110">
        <v>0.15</v>
      </c>
      <c r="O13" s="110">
        <v>0.168</v>
      </c>
      <c r="P13" s="110">
        <v>0.186</v>
      </c>
      <c r="Q13" s="110">
        <v>0.223</v>
      </c>
      <c r="R13" s="105">
        <v>169</v>
      </c>
      <c r="S13" s="106">
        <v>227</v>
      </c>
      <c r="T13" s="107">
        <v>316</v>
      </c>
      <c r="U13" s="106">
        <v>427.43</v>
      </c>
      <c r="V13" s="106">
        <v>467</v>
      </c>
      <c r="W13" s="106">
        <v>574</v>
      </c>
      <c r="X13" s="106">
        <v>859</v>
      </c>
      <c r="Y13" s="106">
        <v>1080</v>
      </c>
      <c r="Z13" s="108">
        <v>0.033</v>
      </c>
      <c r="AA13" s="109">
        <v>0.042</v>
      </c>
      <c r="AB13" s="110">
        <v>0.054</v>
      </c>
      <c r="AC13" s="109">
        <v>0.07</v>
      </c>
      <c r="AD13" s="110">
        <v>0.074</v>
      </c>
      <c r="AE13" s="110">
        <v>0.09</v>
      </c>
      <c r="AF13" s="110">
        <v>0.121</v>
      </c>
      <c r="AG13" s="110">
        <v>0.146</v>
      </c>
    </row>
    <row r="14" ht="13.9" spans="1:33">
      <c r="A14" s="104" t="s">
        <v>125</v>
      </c>
      <c r="B14" s="105">
        <v>658</v>
      </c>
      <c r="C14" s="106">
        <v>772</v>
      </c>
      <c r="D14" s="107">
        <v>809</v>
      </c>
      <c r="E14" s="106">
        <v>826.98</v>
      </c>
      <c r="F14" s="106">
        <v>946</v>
      </c>
      <c r="G14" s="106">
        <v>946</v>
      </c>
      <c r="H14" s="106">
        <v>1042</v>
      </c>
      <c r="I14" s="106">
        <v>1154</v>
      </c>
      <c r="J14" s="108">
        <v>0.185</v>
      </c>
      <c r="K14" s="109">
        <v>0.199</v>
      </c>
      <c r="L14" s="110">
        <v>0.193</v>
      </c>
      <c r="M14" s="109">
        <v>0.178</v>
      </c>
      <c r="N14" s="110">
        <v>0.2</v>
      </c>
      <c r="O14" s="110">
        <v>0.196</v>
      </c>
      <c r="P14" s="110">
        <v>0.189</v>
      </c>
      <c r="Q14" s="110">
        <v>0.199</v>
      </c>
      <c r="R14" s="105">
        <v>84</v>
      </c>
      <c r="S14" s="106">
        <v>138</v>
      </c>
      <c r="T14" s="107">
        <v>176</v>
      </c>
      <c r="U14" s="106">
        <v>259.56</v>
      </c>
      <c r="V14" s="106">
        <v>319</v>
      </c>
      <c r="W14" s="106">
        <v>362</v>
      </c>
      <c r="X14" s="106">
        <v>474</v>
      </c>
      <c r="Y14" s="106">
        <v>609</v>
      </c>
      <c r="Z14" s="108">
        <v>0.024</v>
      </c>
      <c r="AA14" s="109">
        <v>0.036</v>
      </c>
      <c r="AB14" s="110">
        <v>0.042</v>
      </c>
      <c r="AC14" s="109">
        <v>0.053</v>
      </c>
      <c r="AD14" s="110">
        <v>0.067</v>
      </c>
      <c r="AE14" s="110">
        <v>0.075</v>
      </c>
      <c r="AF14" s="110">
        <v>0.086</v>
      </c>
      <c r="AG14" s="110">
        <v>0.105</v>
      </c>
    </row>
    <row r="15" ht="13.9" spans="1:33">
      <c r="A15" s="104" t="s">
        <v>130</v>
      </c>
      <c r="B15" s="105">
        <v>157</v>
      </c>
      <c r="C15" s="106">
        <v>221</v>
      </c>
      <c r="D15" s="107">
        <v>274</v>
      </c>
      <c r="E15" s="106">
        <v>317.06</v>
      </c>
      <c r="F15" s="106">
        <v>363</v>
      </c>
      <c r="G15" s="106">
        <v>427</v>
      </c>
      <c r="H15" s="106">
        <v>524</v>
      </c>
      <c r="I15" s="106">
        <v>614</v>
      </c>
      <c r="J15" s="108">
        <v>0.096</v>
      </c>
      <c r="K15" s="109">
        <v>0.123</v>
      </c>
      <c r="L15" s="110">
        <v>0.143</v>
      </c>
      <c r="M15" s="109">
        <v>0.149</v>
      </c>
      <c r="N15" s="110">
        <v>0.157</v>
      </c>
      <c r="O15" s="110">
        <v>0.176</v>
      </c>
      <c r="P15" s="110">
        <v>0.193</v>
      </c>
      <c r="Q15" s="110">
        <v>0.205</v>
      </c>
      <c r="R15" s="105">
        <v>64</v>
      </c>
      <c r="S15" s="106">
        <v>110</v>
      </c>
      <c r="T15" s="107">
        <v>169</v>
      </c>
      <c r="U15" s="106">
        <v>235.82</v>
      </c>
      <c r="V15" s="106">
        <v>284</v>
      </c>
      <c r="W15" s="106">
        <v>330</v>
      </c>
      <c r="X15" s="106">
        <v>434</v>
      </c>
      <c r="Y15" s="106">
        <v>530</v>
      </c>
      <c r="Z15" s="108">
        <v>0.039</v>
      </c>
      <c r="AA15" s="109">
        <v>0.061</v>
      </c>
      <c r="AB15" s="110">
        <v>0.088</v>
      </c>
      <c r="AC15" s="109">
        <v>0.11</v>
      </c>
      <c r="AD15" s="110">
        <v>0.123</v>
      </c>
      <c r="AE15" s="110">
        <v>0.136</v>
      </c>
      <c r="AF15" s="110">
        <v>0.16</v>
      </c>
      <c r="AG15" s="110">
        <v>0.177</v>
      </c>
    </row>
    <row r="16" ht="13.9" spans="1:33">
      <c r="A16" s="104" t="s">
        <v>135</v>
      </c>
      <c r="B16" s="105">
        <v>504</v>
      </c>
      <c r="C16" s="106">
        <v>704</v>
      </c>
      <c r="D16" s="107">
        <v>511</v>
      </c>
      <c r="E16" s="106">
        <v>439.71</v>
      </c>
      <c r="F16" s="106">
        <v>577</v>
      </c>
      <c r="G16" s="106">
        <v>473</v>
      </c>
      <c r="H16" s="106">
        <v>539</v>
      </c>
      <c r="I16" s="106">
        <v>711</v>
      </c>
      <c r="J16" s="108">
        <v>0.272</v>
      </c>
      <c r="K16" s="109">
        <v>0.358</v>
      </c>
      <c r="L16" s="110">
        <v>0.242</v>
      </c>
      <c r="M16" s="109">
        <v>0.19</v>
      </c>
      <c r="N16" s="110">
        <v>0.24</v>
      </c>
      <c r="O16" s="110">
        <v>0.19</v>
      </c>
      <c r="P16" s="110">
        <v>0.19</v>
      </c>
      <c r="Q16" s="110">
        <v>0.245</v>
      </c>
      <c r="R16" s="105">
        <v>63</v>
      </c>
      <c r="S16" s="106">
        <v>74</v>
      </c>
      <c r="T16" s="107">
        <v>95</v>
      </c>
      <c r="U16" s="106">
        <v>114.44</v>
      </c>
      <c r="V16" s="106">
        <v>135</v>
      </c>
      <c r="W16" s="106">
        <v>181</v>
      </c>
      <c r="X16" s="106">
        <v>258</v>
      </c>
      <c r="Y16" s="106">
        <v>325</v>
      </c>
      <c r="Z16" s="108">
        <v>0.034</v>
      </c>
      <c r="AA16" s="109">
        <v>0.037</v>
      </c>
      <c r="AB16" s="110">
        <v>0.045</v>
      </c>
      <c r="AC16" s="109">
        <v>0.049</v>
      </c>
      <c r="AD16" s="110">
        <v>0.056</v>
      </c>
      <c r="AE16" s="110">
        <v>0.073</v>
      </c>
      <c r="AF16" s="110">
        <v>0.091</v>
      </c>
      <c r="AG16" s="110">
        <v>0.112</v>
      </c>
    </row>
    <row r="17" ht="13.9" spans="1:33">
      <c r="A17" s="104" t="s">
        <v>140</v>
      </c>
      <c r="B17" s="105">
        <v>266</v>
      </c>
      <c r="C17" s="106">
        <v>322</v>
      </c>
      <c r="D17" s="107">
        <v>328</v>
      </c>
      <c r="E17" s="106">
        <v>326.96</v>
      </c>
      <c r="F17" s="106">
        <v>392</v>
      </c>
      <c r="G17" s="106">
        <v>410</v>
      </c>
      <c r="H17" s="106">
        <v>546</v>
      </c>
      <c r="I17" s="106">
        <v>615</v>
      </c>
      <c r="J17" s="108">
        <v>0.244</v>
      </c>
      <c r="K17" s="109">
        <v>0.272</v>
      </c>
      <c r="L17" s="110">
        <v>0.254</v>
      </c>
      <c r="M17" s="109">
        <v>0.229</v>
      </c>
      <c r="N17" s="110">
        <v>0.255</v>
      </c>
      <c r="O17" s="110">
        <v>0.252</v>
      </c>
      <c r="P17" s="110">
        <v>0.293</v>
      </c>
      <c r="Q17" s="110">
        <v>0.31</v>
      </c>
      <c r="R17" s="105">
        <v>24</v>
      </c>
      <c r="S17" s="106">
        <v>44</v>
      </c>
      <c r="T17" s="107">
        <v>84</v>
      </c>
      <c r="U17" s="106">
        <v>123.07</v>
      </c>
      <c r="V17" s="106">
        <v>135</v>
      </c>
      <c r="W17" s="106">
        <v>172</v>
      </c>
      <c r="X17" s="106">
        <v>244</v>
      </c>
      <c r="Y17" s="106">
        <v>297</v>
      </c>
      <c r="Z17" s="108">
        <v>0.022</v>
      </c>
      <c r="AA17" s="109">
        <v>0.038</v>
      </c>
      <c r="AB17" s="110">
        <v>0.065</v>
      </c>
      <c r="AC17" s="109">
        <v>0.086</v>
      </c>
      <c r="AD17" s="110">
        <v>0.087</v>
      </c>
      <c r="AE17" s="110">
        <v>0.106</v>
      </c>
      <c r="AF17" s="110">
        <v>0.131</v>
      </c>
      <c r="AG17" s="110">
        <v>0.15</v>
      </c>
    </row>
    <row r="18" ht="13.9" spans="1:33">
      <c r="A18" s="104" t="s">
        <v>145</v>
      </c>
      <c r="B18" s="105">
        <v>270</v>
      </c>
      <c r="C18" s="106">
        <v>327</v>
      </c>
      <c r="D18" s="107">
        <v>399</v>
      </c>
      <c r="E18" s="106">
        <v>583.6</v>
      </c>
      <c r="F18" s="106">
        <v>727</v>
      </c>
      <c r="G18" s="106">
        <v>860</v>
      </c>
      <c r="H18" s="106">
        <v>1167</v>
      </c>
      <c r="I18" s="106">
        <v>1277</v>
      </c>
      <c r="J18" s="108">
        <v>0.064</v>
      </c>
      <c r="K18" s="109">
        <v>0.061</v>
      </c>
      <c r="L18" s="110">
        <v>0.073</v>
      </c>
      <c r="M18" s="109">
        <v>0.099</v>
      </c>
      <c r="N18" s="110">
        <v>0.116</v>
      </c>
      <c r="O18" s="110">
        <v>0.124</v>
      </c>
      <c r="P18" s="110">
        <v>0.158</v>
      </c>
      <c r="Q18" s="110">
        <v>0.169</v>
      </c>
      <c r="R18" s="105">
        <v>257</v>
      </c>
      <c r="S18" s="106">
        <v>302</v>
      </c>
      <c r="T18" s="107">
        <v>372</v>
      </c>
      <c r="U18" s="106">
        <v>555.62</v>
      </c>
      <c r="V18" s="106">
        <v>692</v>
      </c>
      <c r="W18" s="106">
        <v>792</v>
      </c>
      <c r="X18" s="106">
        <v>1100</v>
      </c>
      <c r="Y18" s="106">
        <v>1232</v>
      </c>
      <c r="Z18" s="108">
        <v>0.06</v>
      </c>
      <c r="AA18" s="109">
        <v>0.056</v>
      </c>
      <c r="AB18" s="110">
        <v>0.069</v>
      </c>
      <c r="AC18" s="109">
        <v>0.094</v>
      </c>
      <c r="AD18" s="110">
        <v>0.111</v>
      </c>
      <c r="AE18" s="110">
        <v>0.114</v>
      </c>
      <c r="AF18" s="110">
        <v>0.149</v>
      </c>
      <c r="AG18" s="110">
        <v>0.163</v>
      </c>
    </row>
    <row r="19" ht="13.9" spans="1:33">
      <c r="A19" s="104" t="s">
        <v>150</v>
      </c>
      <c r="B19" s="105">
        <v>261</v>
      </c>
      <c r="C19" s="106">
        <v>311</v>
      </c>
      <c r="D19" s="107">
        <v>461</v>
      </c>
      <c r="E19" s="106">
        <v>578.39</v>
      </c>
      <c r="F19" s="106">
        <v>692</v>
      </c>
      <c r="G19" s="106">
        <v>731</v>
      </c>
      <c r="H19" s="106">
        <v>1058</v>
      </c>
      <c r="I19" s="106">
        <v>1086</v>
      </c>
      <c r="J19" s="108">
        <v>0.091</v>
      </c>
      <c r="K19" s="109">
        <v>0.104</v>
      </c>
      <c r="L19" s="110">
        <v>0.146</v>
      </c>
      <c r="M19" s="109">
        <v>0.169</v>
      </c>
      <c r="N19" s="110">
        <v>0.205</v>
      </c>
      <c r="O19" s="110">
        <v>0.216</v>
      </c>
      <c r="P19" s="110">
        <v>0.29</v>
      </c>
      <c r="Q19" s="110">
        <v>0.278</v>
      </c>
      <c r="R19" s="105">
        <v>67</v>
      </c>
      <c r="S19" s="106">
        <v>132</v>
      </c>
      <c r="T19" s="107">
        <v>255</v>
      </c>
      <c r="U19" s="106">
        <v>322.05</v>
      </c>
      <c r="V19" s="106">
        <v>444</v>
      </c>
      <c r="W19" s="106">
        <v>465</v>
      </c>
      <c r="X19" s="106">
        <v>780</v>
      </c>
      <c r="Y19" s="106">
        <v>895</v>
      </c>
      <c r="Z19" s="108">
        <v>0.023</v>
      </c>
      <c r="AA19" s="109">
        <v>0.044</v>
      </c>
      <c r="AB19" s="110">
        <v>0.081</v>
      </c>
      <c r="AC19" s="109">
        <v>0.094</v>
      </c>
      <c r="AD19" s="110">
        <v>0.131</v>
      </c>
      <c r="AE19" s="110">
        <v>0.137</v>
      </c>
      <c r="AF19" s="110">
        <v>0.214</v>
      </c>
      <c r="AG19" s="110">
        <v>0.229</v>
      </c>
    </row>
    <row r="20" ht="13.9" spans="1:33">
      <c r="A20" s="104" t="s">
        <v>155</v>
      </c>
      <c r="B20" s="105">
        <v>616</v>
      </c>
      <c r="C20" s="106">
        <v>678</v>
      </c>
      <c r="D20" s="107">
        <v>803</v>
      </c>
      <c r="E20" s="106">
        <v>787.92</v>
      </c>
      <c r="F20" s="106">
        <v>721</v>
      </c>
      <c r="G20" s="106">
        <v>927</v>
      </c>
      <c r="H20" s="106">
        <v>1026</v>
      </c>
      <c r="I20" s="106">
        <v>1004</v>
      </c>
      <c r="J20" s="108">
        <v>0.37</v>
      </c>
      <c r="K20" s="109">
        <v>0.384</v>
      </c>
      <c r="L20" s="110">
        <v>0.43</v>
      </c>
      <c r="M20" s="109">
        <v>0.38</v>
      </c>
      <c r="N20" s="110">
        <v>0.325</v>
      </c>
      <c r="O20" s="110">
        <v>0.432</v>
      </c>
      <c r="P20" s="110">
        <v>0.415</v>
      </c>
      <c r="Q20" s="110">
        <v>0.379</v>
      </c>
      <c r="R20" s="105">
        <v>62</v>
      </c>
      <c r="S20" s="106">
        <v>83</v>
      </c>
      <c r="T20" s="107">
        <v>127</v>
      </c>
      <c r="U20" s="106">
        <v>155.76</v>
      </c>
      <c r="V20" s="106">
        <v>174</v>
      </c>
      <c r="W20" s="106">
        <v>194</v>
      </c>
      <c r="X20" s="106">
        <v>269</v>
      </c>
      <c r="Y20" s="106">
        <v>400</v>
      </c>
      <c r="Z20" s="108">
        <v>0.037</v>
      </c>
      <c r="AA20" s="109">
        <v>0.047</v>
      </c>
      <c r="AB20" s="110">
        <v>0.068</v>
      </c>
      <c r="AC20" s="109">
        <v>0.075</v>
      </c>
      <c r="AD20" s="110">
        <v>0.078</v>
      </c>
      <c r="AE20" s="110">
        <v>0.091</v>
      </c>
      <c r="AF20" s="110">
        <v>0.109</v>
      </c>
      <c r="AG20" s="110">
        <v>0.151</v>
      </c>
    </row>
    <row r="21" ht="13.9" spans="1:33">
      <c r="A21" s="104" t="s">
        <v>160</v>
      </c>
      <c r="B21" s="105">
        <v>672</v>
      </c>
      <c r="C21" s="106">
        <v>743</v>
      </c>
      <c r="D21" s="107">
        <v>798</v>
      </c>
      <c r="E21" s="106">
        <v>735.14</v>
      </c>
      <c r="F21" s="106">
        <v>828</v>
      </c>
      <c r="G21" s="106">
        <v>909</v>
      </c>
      <c r="H21" s="106">
        <v>1000</v>
      </c>
      <c r="I21" s="106">
        <v>1122</v>
      </c>
      <c r="J21" s="108">
        <v>0.464</v>
      </c>
      <c r="K21" s="109">
        <v>0.497</v>
      </c>
      <c r="L21" s="110">
        <v>0.504</v>
      </c>
      <c r="M21" s="109">
        <v>0.421</v>
      </c>
      <c r="N21" s="110">
        <v>0.444</v>
      </c>
      <c r="O21" s="110">
        <v>0.471</v>
      </c>
      <c r="P21" s="110">
        <v>0.464</v>
      </c>
      <c r="Q21" s="110">
        <v>0.502</v>
      </c>
      <c r="R21" s="105">
        <v>41</v>
      </c>
      <c r="S21" s="106">
        <v>62</v>
      </c>
      <c r="T21" s="107">
        <v>115</v>
      </c>
      <c r="U21" s="106">
        <v>177.86</v>
      </c>
      <c r="V21" s="106">
        <v>161</v>
      </c>
      <c r="W21" s="106">
        <v>215</v>
      </c>
      <c r="X21" s="106">
        <v>302</v>
      </c>
      <c r="Y21" s="106">
        <v>402</v>
      </c>
      <c r="Z21" s="108">
        <v>0.028</v>
      </c>
      <c r="AA21" s="109">
        <v>0.041</v>
      </c>
      <c r="AB21" s="110">
        <v>0.072</v>
      </c>
      <c r="AC21" s="109">
        <v>0.102</v>
      </c>
      <c r="AD21" s="110">
        <v>0.086</v>
      </c>
      <c r="AE21" s="110">
        <v>0.111</v>
      </c>
      <c r="AF21" s="110">
        <v>0.14</v>
      </c>
      <c r="AG21" s="110">
        <v>0.18</v>
      </c>
    </row>
    <row r="22" ht="13.9" spans="1:33">
      <c r="A22" s="104" t="s">
        <v>165</v>
      </c>
      <c r="B22" s="105">
        <v>1758</v>
      </c>
      <c r="C22" s="106">
        <v>1902</v>
      </c>
      <c r="D22" s="107">
        <v>1932</v>
      </c>
      <c r="E22" s="106">
        <v>2079.53</v>
      </c>
      <c r="F22" s="106">
        <v>2308</v>
      </c>
      <c r="G22" s="106">
        <v>2294</v>
      </c>
      <c r="H22" s="106">
        <v>2281</v>
      </c>
      <c r="I22" s="106">
        <v>2385</v>
      </c>
      <c r="J22" s="108">
        <v>0.331</v>
      </c>
      <c r="K22" s="109">
        <v>0.339</v>
      </c>
      <c r="L22" s="110">
        <v>0.324</v>
      </c>
      <c r="M22" s="109">
        <v>0.329</v>
      </c>
      <c r="N22" s="110">
        <v>0.344</v>
      </c>
      <c r="O22" s="110">
        <v>0.331</v>
      </c>
      <c r="P22" s="110">
        <v>0.29</v>
      </c>
      <c r="Q22" s="110">
        <v>0.303</v>
      </c>
      <c r="R22" s="105">
        <v>97</v>
      </c>
      <c r="S22" s="106">
        <v>104</v>
      </c>
      <c r="T22" s="107">
        <v>189</v>
      </c>
      <c r="U22" s="106">
        <v>221.08</v>
      </c>
      <c r="V22" s="106">
        <v>286</v>
      </c>
      <c r="W22" s="106">
        <v>375</v>
      </c>
      <c r="X22" s="106">
        <v>448</v>
      </c>
      <c r="Y22" s="106">
        <v>637</v>
      </c>
      <c r="Z22" s="108">
        <v>0.018</v>
      </c>
      <c r="AA22" s="109">
        <v>0.019</v>
      </c>
      <c r="AB22" s="110">
        <v>0.032</v>
      </c>
      <c r="AC22" s="109">
        <v>0.035</v>
      </c>
      <c r="AD22" s="110">
        <v>0.042</v>
      </c>
      <c r="AE22" s="110">
        <v>0.054</v>
      </c>
      <c r="AF22" s="110">
        <v>0.057</v>
      </c>
      <c r="AG22" s="110">
        <v>0.081</v>
      </c>
    </row>
    <row r="23" ht="13.9" spans="1:33">
      <c r="A23" s="104" t="s">
        <v>170</v>
      </c>
      <c r="B23" s="105">
        <v>770</v>
      </c>
      <c r="C23" s="106">
        <v>678</v>
      </c>
      <c r="D23" s="107">
        <v>744</v>
      </c>
      <c r="E23" s="106">
        <v>783.33</v>
      </c>
      <c r="F23" s="106">
        <v>824</v>
      </c>
      <c r="G23" s="106">
        <v>878</v>
      </c>
      <c r="H23" s="106">
        <v>964</v>
      </c>
      <c r="I23" s="106">
        <v>1073</v>
      </c>
      <c r="J23" s="108">
        <v>0.577</v>
      </c>
      <c r="K23" s="109">
        <v>0.499</v>
      </c>
      <c r="L23" s="110">
        <v>0.516</v>
      </c>
      <c r="M23" s="109">
        <v>0.46</v>
      </c>
      <c r="N23" s="110">
        <v>0.431</v>
      </c>
      <c r="O23" s="110">
        <v>0.433</v>
      </c>
      <c r="P23" s="110">
        <v>0.431</v>
      </c>
      <c r="Q23" s="110">
        <v>0.484</v>
      </c>
      <c r="R23" s="105">
        <v>14</v>
      </c>
      <c r="S23" s="106">
        <v>18</v>
      </c>
      <c r="T23" s="107">
        <v>44</v>
      </c>
      <c r="U23" s="106">
        <v>71.35</v>
      </c>
      <c r="V23" s="106">
        <v>126</v>
      </c>
      <c r="W23" s="106">
        <v>180</v>
      </c>
      <c r="X23" s="106">
        <v>255</v>
      </c>
      <c r="Y23" s="106">
        <v>290</v>
      </c>
      <c r="Z23" s="108">
        <v>0.01</v>
      </c>
      <c r="AA23" s="109">
        <v>0.013</v>
      </c>
      <c r="AB23" s="110">
        <v>0.03</v>
      </c>
      <c r="AC23" s="109">
        <v>0.042</v>
      </c>
      <c r="AD23" s="110">
        <v>0.065</v>
      </c>
      <c r="AE23" s="110">
        <v>0.089</v>
      </c>
      <c r="AF23" s="110">
        <v>0.114</v>
      </c>
      <c r="AG23" s="110">
        <v>0.131</v>
      </c>
    </row>
    <row r="24" ht="13.9" spans="1:33">
      <c r="A24" s="104" t="s">
        <v>175</v>
      </c>
      <c r="B24" s="105">
        <v>26</v>
      </c>
      <c r="C24" s="106">
        <v>35</v>
      </c>
      <c r="D24" s="107">
        <v>41</v>
      </c>
      <c r="E24" s="106">
        <v>44.28</v>
      </c>
      <c r="F24" s="106">
        <v>52</v>
      </c>
      <c r="G24" s="106">
        <v>59</v>
      </c>
      <c r="H24" s="106">
        <v>71</v>
      </c>
      <c r="I24" s="106">
        <v>82</v>
      </c>
      <c r="J24" s="108">
        <v>0.098</v>
      </c>
      <c r="K24" s="109">
        <v>0.123</v>
      </c>
      <c r="L24" s="110">
        <v>0.133</v>
      </c>
      <c r="M24" s="109">
        <v>0.136</v>
      </c>
      <c r="N24" s="110">
        <v>0.145</v>
      </c>
      <c r="O24" s="110">
        <v>0.162</v>
      </c>
      <c r="P24" s="110">
        <v>0.175</v>
      </c>
      <c r="Q24" s="110">
        <v>0.197</v>
      </c>
      <c r="R24" s="105">
        <v>11</v>
      </c>
      <c r="S24" s="106">
        <v>13</v>
      </c>
      <c r="T24" s="107">
        <v>14</v>
      </c>
      <c r="U24" s="106">
        <v>16.97</v>
      </c>
      <c r="V24" s="106">
        <v>24</v>
      </c>
      <c r="W24" s="106">
        <v>27</v>
      </c>
      <c r="X24" s="106">
        <v>38</v>
      </c>
      <c r="Y24" s="106">
        <v>46</v>
      </c>
      <c r="Z24" s="108">
        <v>0.04</v>
      </c>
      <c r="AA24" s="109">
        <v>0.045</v>
      </c>
      <c r="AB24" s="110">
        <v>0.047</v>
      </c>
      <c r="AC24" s="109">
        <v>0.052</v>
      </c>
      <c r="AD24" s="110">
        <v>0.068</v>
      </c>
      <c r="AE24" s="110">
        <v>0.074</v>
      </c>
      <c r="AF24" s="110">
        <v>0.094</v>
      </c>
      <c r="AG24" s="110">
        <v>0.111</v>
      </c>
    </row>
    <row r="25" ht="13.9" spans="1:33">
      <c r="A25" s="104" t="s">
        <v>180</v>
      </c>
      <c r="B25" s="105">
        <v>432</v>
      </c>
      <c r="C25" s="106">
        <v>447</v>
      </c>
      <c r="D25" s="107">
        <v>488</v>
      </c>
      <c r="E25" s="106">
        <v>511.94</v>
      </c>
      <c r="F25" s="106">
        <v>529</v>
      </c>
      <c r="G25" s="106">
        <v>610</v>
      </c>
      <c r="H25" s="106">
        <v>610</v>
      </c>
      <c r="I25" s="106">
        <v>571</v>
      </c>
      <c r="J25" s="108">
        <v>0.494</v>
      </c>
      <c r="K25" s="109">
        <v>0.487</v>
      </c>
      <c r="L25" s="110">
        <v>0.492</v>
      </c>
      <c r="M25" s="109">
        <v>0.459</v>
      </c>
      <c r="N25" s="110">
        <v>0.455</v>
      </c>
      <c r="O25" s="110">
        <v>0.514</v>
      </c>
      <c r="P25" s="110">
        <v>0.455</v>
      </c>
      <c r="Q25" s="110">
        <v>0.407</v>
      </c>
      <c r="R25" s="105">
        <v>12</v>
      </c>
      <c r="S25" s="106">
        <v>15</v>
      </c>
      <c r="T25" s="107">
        <v>24</v>
      </c>
      <c r="U25" s="106">
        <v>32.59</v>
      </c>
      <c r="V25" s="106">
        <v>47</v>
      </c>
      <c r="W25" s="106">
        <v>49</v>
      </c>
      <c r="X25" s="106">
        <v>58</v>
      </c>
      <c r="Y25" s="106">
        <v>86</v>
      </c>
      <c r="Z25" s="108">
        <v>0.014</v>
      </c>
      <c r="AA25" s="109">
        <v>0.016</v>
      </c>
      <c r="AB25" s="110">
        <v>0.024</v>
      </c>
      <c r="AC25" s="109">
        <v>0.029</v>
      </c>
      <c r="AD25" s="110">
        <v>0.04</v>
      </c>
      <c r="AE25" s="110">
        <v>0.042</v>
      </c>
      <c r="AF25" s="110">
        <v>0.043</v>
      </c>
      <c r="AG25" s="110">
        <v>0.061</v>
      </c>
    </row>
    <row r="26" ht="13.9" spans="1:33">
      <c r="A26" s="104" t="s">
        <v>185</v>
      </c>
      <c r="B26" s="105">
        <v>1575</v>
      </c>
      <c r="C26" s="106">
        <v>1745</v>
      </c>
      <c r="D26" s="107">
        <v>1842</v>
      </c>
      <c r="E26" s="106">
        <v>2013.21</v>
      </c>
      <c r="F26" s="106">
        <v>2139</v>
      </c>
      <c r="G26" s="106">
        <v>2344</v>
      </c>
      <c r="H26" s="106">
        <v>2633</v>
      </c>
      <c r="I26" s="106">
        <v>2558</v>
      </c>
      <c r="J26" s="108">
        <v>0.791</v>
      </c>
      <c r="K26" s="109">
        <v>0.831</v>
      </c>
      <c r="L26" s="110">
        <v>0.835</v>
      </c>
      <c r="M26" s="109">
        <v>0.819</v>
      </c>
      <c r="N26" s="110">
        <v>0.811</v>
      </c>
      <c r="O26" s="110">
        <v>0.818</v>
      </c>
      <c r="P26" s="110">
        <v>0.804</v>
      </c>
      <c r="Q26" s="110">
        <v>0.742</v>
      </c>
      <c r="R26" s="105">
        <v>28</v>
      </c>
      <c r="S26" s="106">
        <v>48</v>
      </c>
      <c r="T26" s="107">
        <v>73</v>
      </c>
      <c r="U26" s="106">
        <v>107.7</v>
      </c>
      <c r="V26" s="106">
        <v>148</v>
      </c>
      <c r="W26" s="106">
        <v>174</v>
      </c>
      <c r="X26" s="106">
        <v>233</v>
      </c>
      <c r="Y26" s="106">
        <v>265</v>
      </c>
      <c r="Z26" s="108">
        <v>0.014</v>
      </c>
      <c r="AA26" s="109">
        <v>0.023</v>
      </c>
      <c r="AB26" s="110">
        <v>0.033</v>
      </c>
      <c r="AC26" s="109">
        <v>0.044</v>
      </c>
      <c r="AD26" s="110">
        <v>0.056</v>
      </c>
      <c r="AE26" s="110">
        <v>0.061</v>
      </c>
      <c r="AF26" s="110">
        <v>0.071</v>
      </c>
      <c r="AG26" s="110">
        <v>0.077</v>
      </c>
    </row>
    <row r="27" ht="13.9" spans="1:33">
      <c r="A27" s="104" t="s">
        <v>190</v>
      </c>
      <c r="B27" s="105">
        <v>450</v>
      </c>
      <c r="C27" s="106">
        <v>512</v>
      </c>
      <c r="D27" s="107">
        <v>493</v>
      </c>
      <c r="E27" s="106">
        <v>537.22</v>
      </c>
      <c r="F27" s="106">
        <v>549</v>
      </c>
      <c r="G27" s="106">
        <v>646</v>
      </c>
      <c r="H27" s="106">
        <v>629</v>
      </c>
      <c r="I27" s="106">
        <v>764</v>
      </c>
      <c r="J27" s="108">
        <v>0.383</v>
      </c>
      <c r="K27" s="109">
        <v>0.412</v>
      </c>
      <c r="L27" s="110">
        <v>0.356</v>
      </c>
      <c r="M27" s="109">
        <v>0.362</v>
      </c>
      <c r="N27" s="110">
        <v>0.356</v>
      </c>
      <c r="O27" s="110">
        <v>0.407</v>
      </c>
      <c r="P27" s="110">
        <v>0.361</v>
      </c>
      <c r="Q27" s="110">
        <v>0.438</v>
      </c>
      <c r="R27" s="105">
        <v>23</v>
      </c>
      <c r="S27" s="106">
        <v>57</v>
      </c>
      <c r="T27" s="107">
        <v>59</v>
      </c>
      <c r="U27" s="106">
        <v>66.68</v>
      </c>
      <c r="V27" s="106">
        <v>81</v>
      </c>
      <c r="W27" s="106">
        <v>116</v>
      </c>
      <c r="X27" s="106">
        <v>171</v>
      </c>
      <c r="Y27" s="106">
        <v>246</v>
      </c>
      <c r="Z27" s="108">
        <v>0.02</v>
      </c>
      <c r="AA27" s="109">
        <v>0.046</v>
      </c>
      <c r="AB27" s="110">
        <v>0.043</v>
      </c>
      <c r="AC27" s="109">
        <v>0.045</v>
      </c>
      <c r="AD27" s="110">
        <v>0.052</v>
      </c>
      <c r="AE27" s="110">
        <v>0.073</v>
      </c>
      <c r="AF27" s="110">
        <v>0.098</v>
      </c>
      <c r="AG27" s="110">
        <v>0.141</v>
      </c>
    </row>
    <row r="28" ht="13.9" spans="1:33">
      <c r="A28" s="104" t="s">
        <v>195</v>
      </c>
      <c r="B28" s="105">
        <v>1233</v>
      </c>
      <c r="C28" s="106">
        <v>1147</v>
      </c>
      <c r="D28" s="107">
        <v>1317</v>
      </c>
      <c r="E28" s="106">
        <v>1399.74</v>
      </c>
      <c r="F28" s="106">
        <v>1503</v>
      </c>
      <c r="G28" s="106">
        <v>1634</v>
      </c>
      <c r="H28" s="106">
        <v>1657</v>
      </c>
      <c r="I28" s="106">
        <v>1953</v>
      </c>
      <c r="J28" s="108">
        <v>0.857</v>
      </c>
      <c r="K28" s="109">
        <v>0.813</v>
      </c>
      <c r="L28" s="110">
        <v>0.856</v>
      </c>
      <c r="M28" s="109">
        <v>0.834</v>
      </c>
      <c r="N28" s="110">
        <v>0.829</v>
      </c>
      <c r="O28" s="110">
        <v>0.806</v>
      </c>
      <c r="P28" s="110">
        <v>0.775</v>
      </c>
      <c r="Q28" s="110">
        <v>0.817</v>
      </c>
      <c r="R28" s="105">
        <v>73</v>
      </c>
      <c r="S28" s="106">
        <v>176</v>
      </c>
      <c r="T28" s="107">
        <v>219</v>
      </c>
      <c r="U28" s="106">
        <v>261.86</v>
      </c>
      <c r="V28" s="106">
        <v>296</v>
      </c>
      <c r="W28" s="106">
        <v>307</v>
      </c>
      <c r="X28" s="106">
        <v>321</v>
      </c>
      <c r="Y28" s="106">
        <v>289</v>
      </c>
      <c r="Z28" s="108">
        <v>0.051</v>
      </c>
      <c r="AA28" s="109">
        <v>0.125</v>
      </c>
      <c r="AB28" s="110">
        <v>0.142</v>
      </c>
      <c r="AC28" s="109">
        <v>0.156</v>
      </c>
      <c r="AD28" s="110">
        <v>0.163</v>
      </c>
      <c r="AE28" s="110">
        <v>0.151</v>
      </c>
      <c r="AF28" s="110">
        <v>0.15</v>
      </c>
      <c r="AG28" s="110">
        <v>0.121</v>
      </c>
    </row>
    <row r="29" ht="13.9" spans="1:33">
      <c r="A29" s="104" t="s">
        <v>200</v>
      </c>
      <c r="B29" s="105">
        <v>38</v>
      </c>
      <c r="C29" s="106">
        <v>42</v>
      </c>
      <c r="D29" s="107">
        <v>49</v>
      </c>
      <c r="E29" s="106">
        <v>61.42</v>
      </c>
      <c r="F29" s="106">
        <v>69</v>
      </c>
      <c r="G29" s="106">
        <v>72</v>
      </c>
      <c r="H29" s="106">
        <v>95</v>
      </c>
      <c r="I29" s="106">
        <v>114</v>
      </c>
      <c r="J29" s="108">
        <v>0.844</v>
      </c>
      <c r="K29" s="109">
        <v>0.849</v>
      </c>
      <c r="L29" s="110">
        <v>0.838</v>
      </c>
      <c r="M29" s="109">
        <v>0.89</v>
      </c>
      <c r="N29" s="110">
        <v>0.887</v>
      </c>
      <c r="O29" s="110">
        <v>0.871</v>
      </c>
      <c r="P29" s="110">
        <v>0.941</v>
      </c>
      <c r="Q29" s="110">
        <v>0.958</v>
      </c>
      <c r="R29" s="105">
        <v>4</v>
      </c>
      <c r="S29" s="106">
        <v>5</v>
      </c>
      <c r="T29" s="107">
        <v>8</v>
      </c>
      <c r="U29" s="106">
        <v>16.97</v>
      </c>
      <c r="V29" s="106">
        <v>16</v>
      </c>
      <c r="W29" s="106">
        <v>18</v>
      </c>
      <c r="X29" s="106">
        <v>21</v>
      </c>
      <c r="Y29" s="106">
        <v>24</v>
      </c>
      <c r="Z29" s="108">
        <v>0.082</v>
      </c>
      <c r="AA29" s="109">
        <v>0.101</v>
      </c>
      <c r="AB29" s="110">
        <v>0.14</v>
      </c>
      <c r="AC29" s="109">
        <v>0.169</v>
      </c>
      <c r="AD29" s="110">
        <v>0.209</v>
      </c>
      <c r="AE29" s="110">
        <v>0.216</v>
      </c>
      <c r="AF29" s="110">
        <v>0.208</v>
      </c>
      <c r="AG29" s="110">
        <v>0.197</v>
      </c>
    </row>
    <row r="30" ht="13.9" spans="1:33">
      <c r="A30" s="104" t="s">
        <v>205</v>
      </c>
      <c r="B30" s="105">
        <v>163</v>
      </c>
      <c r="C30" s="106">
        <v>135</v>
      </c>
      <c r="D30" s="107">
        <v>240</v>
      </c>
      <c r="E30" s="106">
        <v>324.11</v>
      </c>
      <c r="F30" s="106">
        <v>379</v>
      </c>
      <c r="G30" s="106">
        <v>434</v>
      </c>
      <c r="H30" s="106">
        <v>525</v>
      </c>
      <c r="I30" s="106">
        <v>511</v>
      </c>
      <c r="J30" s="108">
        <v>0.134</v>
      </c>
      <c r="K30" s="109">
        <v>0.101</v>
      </c>
      <c r="L30" s="110">
        <v>0.16</v>
      </c>
      <c r="M30" s="109">
        <v>0.203</v>
      </c>
      <c r="N30" s="110">
        <v>0.224</v>
      </c>
      <c r="O30" s="110">
        <v>0.249</v>
      </c>
      <c r="P30" s="110">
        <v>0.267</v>
      </c>
      <c r="Q30" s="110">
        <v>0.215</v>
      </c>
      <c r="R30" s="105">
        <v>33</v>
      </c>
      <c r="S30" s="106">
        <v>50</v>
      </c>
      <c r="T30" s="107">
        <v>115</v>
      </c>
      <c r="U30" s="106">
        <v>168.58</v>
      </c>
      <c r="V30" s="106">
        <v>197</v>
      </c>
      <c r="W30" s="106">
        <v>236</v>
      </c>
      <c r="X30" s="106">
        <v>352</v>
      </c>
      <c r="Y30" s="106">
        <v>411</v>
      </c>
      <c r="Z30" s="108">
        <v>0.027</v>
      </c>
      <c r="AA30" s="109">
        <v>0.038</v>
      </c>
      <c r="AB30" s="110">
        <v>0.077</v>
      </c>
      <c r="AC30" s="109">
        <v>0.106</v>
      </c>
      <c r="AD30" s="110">
        <v>0.117</v>
      </c>
      <c r="AE30" s="110">
        <v>0.136</v>
      </c>
      <c r="AF30" s="110">
        <v>0.179</v>
      </c>
      <c r="AG30" s="110">
        <v>0.173</v>
      </c>
    </row>
    <row r="31" ht="13.9" spans="1:33">
      <c r="A31" s="104" t="s">
        <v>210</v>
      </c>
      <c r="B31" s="105">
        <v>466</v>
      </c>
      <c r="C31" s="106">
        <v>457</v>
      </c>
      <c r="D31" s="107">
        <v>546</v>
      </c>
      <c r="E31" s="106">
        <v>624.51</v>
      </c>
      <c r="F31" s="106">
        <v>696</v>
      </c>
      <c r="G31" s="106">
        <v>722</v>
      </c>
      <c r="H31" s="106">
        <v>701</v>
      </c>
      <c r="I31" s="106">
        <v>752</v>
      </c>
      <c r="J31" s="108">
        <v>0.424</v>
      </c>
      <c r="K31" s="109">
        <v>0.429</v>
      </c>
      <c r="L31" s="110">
        <v>0.469</v>
      </c>
      <c r="M31" s="109">
        <v>0.484</v>
      </c>
      <c r="N31" s="110">
        <v>0.539</v>
      </c>
      <c r="O31" s="110">
        <v>0.525</v>
      </c>
      <c r="P31" s="110">
        <v>0.469</v>
      </c>
      <c r="Q31" s="110">
        <v>0.501</v>
      </c>
      <c r="R31" s="105">
        <v>125</v>
      </c>
      <c r="S31" s="106">
        <v>133</v>
      </c>
      <c r="T31" s="107">
        <v>160</v>
      </c>
      <c r="U31" s="106">
        <v>173.28</v>
      </c>
      <c r="V31" s="106">
        <v>219</v>
      </c>
      <c r="W31" s="106">
        <v>245</v>
      </c>
      <c r="X31" s="106">
        <v>283</v>
      </c>
      <c r="Y31" s="106">
        <v>363</v>
      </c>
      <c r="Z31" s="108">
        <v>0.114</v>
      </c>
      <c r="AA31" s="109">
        <v>0.125</v>
      </c>
      <c r="AB31" s="110">
        <v>0.138</v>
      </c>
      <c r="AC31" s="109">
        <v>0.134</v>
      </c>
      <c r="AD31" s="110">
        <v>0.169</v>
      </c>
      <c r="AE31" s="110">
        <v>0.178</v>
      </c>
      <c r="AF31" s="110">
        <v>0.189</v>
      </c>
      <c r="AG31" s="110">
        <v>0.242</v>
      </c>
    </row>
    <row r="32" ht="13.9" spans="1:33">
      <c r="A32" s="104" t="s">
        <v>215</v>
      </c>
      <c r="B32" s="105">
        <v>461</v>
      </c>
      <c r="C32" s="106">
        <v>398</v>
      </c>
      <c r="D32" s="107">
        <v>446</v>
      </c>
      <c r="E32" s="106">
        <v>577.45</v>
      </c>
      <c r="F32" s="106">
        <v>586</v>
      </c>
      <c r="G32" s="106">
        <v>629</v>
      </c>
      <c r="H32" s="106">
        <v>662</v>
      </c>
      <c r="I32" s="106">
        <v>694</v>
      </c>
      <c r="J32" s="108">
        <v>0.7</v>
      </c>
      <c r="K32" s="109">
        <v>0.624</v>
      </c>
      <c r="L32" s="110">
        <v>0.649</v>
      </c>
      <c r="M32" s="109">
        <v>0.782</v>
      </c>
      <c r="N32" s="110">
        <v>0.818</v>
      </c>
      <c r="O32" s="110">
        <v>0.847</v>
      </c>
      <c r="P32" s="110">
        <v>0.771</v>
      </c>
      <c r="Q32" s="110">
        <v>0.753</v>
      </c>
      <c r="R32" s="105">
        <v>89</v>
      </c>
      <c r="S32" s="106">
        <v>117</v>
      </c>
      <c r="T32" s="107">
        <v>127</v>
      </c>
      <c r="U32" s="106">
        <v>136.53</v>
      </c>
      <c r="V32" s="106">
        <v>142</v>
      </c>
      <c r="W32" s="106">
        <v>188</v>
      </c>
      <c r="X32" s="106">
        <v>251</v>
      </c>
      <c r="Y32" s="106">
        <v>306</v>
      </c>
      <c r="Z32" s="108">
        <v>0.135</v>
      </c>
      <c r="AA32" s="109">
        <v>0.183</v>
      </c>
      <c r="AB32" s="110">
        <v>0.185</v>
      </c>
      <c r="AC32" s="109">
        <v>0.185</v>
      </c>
      <c r="AD32" s="110">
        <v>0.197</v>
      </c>
      <c r="AE32" s="110">
        <v>0.254</v>
      </c>
      <c r="AF32" s="110">
        <v>0.293</v>
      </c>
      <c r="AG32" s="110">
        <v>0.332</v>
      </c>
    </row>
    <row r="33" ht="13.9" spans="1:33">
      <c r="A33" s="104" t="s">
        <v>220</v>
      </c>
      <c r="B33" s="105">
        <v>137</v>
      </c>
      <c r="C33" s="106">
        <v>187</v>
      </c>
      <c r="D33" s="107">
        <v>225</v>
      </c>
      <c r="E33" s="106">
        <v>268.31</v>
      </c>
      <c r="F33" s="106">
        <v>280</v>
      </c>
      <c r="G33" s="106">
        <v>277</v>
      </c>
      <c r="H33" s="106">
        <v>334</v>
      </c>
      <c r="I33" s="106">
        <v>388</v>
      </c>
      <c r="J33" s="108">
        <v>0.156</v>
      </c>
      <c r="K33" s="109">
        <v>0.211</v>
      </c>
      <c r="L33" s="110">
        <v>0.23</v>
      </c>
      <c r="M33" s="109">
        <v>0.252</v>
      </c>
      <c r="N33" s="110">
        <v>0.257</v>
      </c>
      <c r="O33" s="110">
        <v>0.267</v>
      </c>
      <c r="P33" s="110">
        <v>0.288</v>
      </c>
      <c r="Q33" s="110">
        <v>0.31</v>
      </c>
      <c r="R33" s="105">
        <v>118</v>
      </c>
      <c r="S33" s="106">
        <v>169</v>
      </c>
      <c r="T33" s="107">
        <v>206</v>
      </c>
      <c r="U33" s="106">
        <v>237.47</v>
      </c>
      <c r="V33" s="106">
        <v>231</v>
      </c>
      <c r="W33" s="106">
        <v>222</v>
      </c>
      <c r="X33" s="106">
        <v>303</v>
      </c>
      <c r="Y33" s="106">
        <v>361</v>
      </c>
      <c r="Z33" s="108">
        <v>0.134</v>
      </c>
      <c r="AA33" s="109">
        <v>0.191</v>
      </c>
      <c r="AB33" s="110">
        <v>0.21</v>
      </c>
      <c r="AC33" s="109">
        <v>0.223</v>
      </c>
      <c r="AD33" s="110">
        <v>0.213</v>
      </c>
      <c r="AE33" s="110">
        <v>0.214</v>
      </c>
      <c r="AF33" s="110">
        <v>0.262</v>
      </c>
      <c r="AG33" s="110">
        <v>0.289</v>
      </c>
    </row>
    <row r="34" ht="13.9" spans="1:33">
      <c r="A34" s="104" t="s">
        <v>225</v>
      </c>
      <c r="B34" s="105">
        <v>362</v>
      </c>
      <c r="C34" s="106">
        <v>410</v>
      </c>
      <c r="D34" s="107">
        <v>521</v>
      </c>
      <c r="E34" s="106">
        <v>573.5</v>
      </c>
      <c r="F34" s="106">
        <v>631</v>
      </c>
      <c r="G34" s="106">
        <v>652</v>
      </c>
      <c r="H34" s="106">
        <v>712</v>
      </c>
      <c r="I34" s="106">
        <v>815</v>
      </c>
      <c r="J34" s="108">
        <v>0.226</v>
      </c>
      <c r="K34" s="109">
        <v>0.229</v>
      </c>
      <c r="L34" s="110">
        <v>0.26</v>
      </c>
      <c r="M34" s="109">
        <v>0.268</v>
      </c>
      <c r="N34" s="110">
        <v>0.219</v>
      </c>
      <c r="O34" s="110">
        <v>0.2054</v>
      </c>
      <c r="P34" s="110">
        <v>0.202</v>
      </c>
      <c r="Q34" s="110">
        <v>0.235</v>
      </c>
      <c r="R34" s="105">
        <v>169</v>
      </c>
      <c r="S34" s="106">
        <v>199</v>
      </c>
      <c r="T34" s="107">
        <v>263</v>
      </c>
      <c r="U34" s="106">
        <v>315.17</v>
      </c>
      <c r="V34" s="106">
        <v>319</v>
      </c>
      <c r="W34" s="106">
        <v>345</v>
      </c>
      <c r="X34" s="106">
        <v>420</v>
      </c>
      <c r="Y34" s="106">
        <v>444</v>
      </c>
      <c r="Z34" s="108">
        <v>0.105</v>
      </c>
      <c r="AA34" s="109">
        <v>0.111</v>
      </c>
      <c r="AB34" s="110">
        <v>0.131</v>
      </c>
      <c r="AC34" s="109">
        <v>0.147</v>
      </c>
      <c r="AD34" s="110">
        <v>0.111</v>
      </c>
      <c r="AE34" s="110">
        <v>0.109</v>
      </c>
      <c r="AF34" s="110">
        <v>0.119</v>
      </c>
      <c r="AG34" s="110">
        <v>0.128</v>
      </c>
    </row>
    <row r="35" ht="13.9" spans="1:33">
      <c r="A35" s="111" t="s">
        <v>70</v>
      </c>
      <c r="B35" s="112">
        <v>13625</v>
      </c>
      <c r="C35" s="113">
        <v>15058</v>
      </c>
      <c r="D35" s="113">
        <v>16686</v>
      </c>
      <c r="E35" s="113">
        <v>18158.97</v>
      </c>
      <c r="F35" s="113">
        <v>19938</v>
      </c>
      <c r="G35" s="113">
        <v>21613</v>
      </c>
      <c r="H35" s="113">
        <v>24446</v>
      </c>
      <c r="I35" s="113">
        <v>26810</v>
      </c>
      <c r="J35" s="114">
        <v>0.245</v>
      </c>
      <c r="K35" s="115">
        <v>0.254</v>
      </c>
      <c r="L35" s="115">
        <v>0.265</v>
      </c>
      <c r="M35" s="115">
        <v>0.265</v>
      </c>
      <c r="N35" s="115">
        <v>0.275</v>
      </c>
      <c r="O35" s="115">
        <v>0.288</v>
      </c>
      <c r="P35" s="115">
        <v>0.294</v>
      </c>
      <c r="Q35" s="115">
        <v>0.316</v>
      </c>
      <c r="R35" s="112">
        <v>2778</v>
      </c>
      <c r="S35" s="113">
        <v>3717</v>
      </c>
      <c r="T35" s="113">
        <v>5025</v>
      </c>
      <c r="U35" s="113">
        <v>6314.2</v>
      </c>
      <c r="V35" s="113">
        <v>7388</v>
      </c>
      <c r="W35" s="113">
        <v>8562</v>
      </c>
      <c r="X35" s="113">
        <v>11398</v>
      </c>
      <c r="Y35" s="113">
        <v>13676</v>
      </c>
      <c r="Z35" s="114">
        <v>0.05</v>
      </c>
      <c r="AA35" s="115">
        <v>0.063</v>
      </c>
      <c r="AB35" s="115">
        <v>0.08</v>
      </c>
      <c r="AC35" s="115">
        <v>0.092</v>
      </c>
      <c r="AD35" s="115">
        <v>0.102</v>
      </c>
      <c r="AE35" s="115">
        <v>0.114</v>
      </c>
      <c r="AF35" s="115">
        <v>0.137</v>
      </c>
      <c r="AG35" s="115">
        <v>0.159</v>
      </c>
    </row>
  </sheetData>
  <mergeCells count="8">
    <mergeCell ref="B2:I2"/>
    <mergeCell ref="J2:Q2"/>
    <mergeCell ref="R2:Y2"/>
    <mergeCell ref="Z2:AG2"/>
    <mergeCell ref="B3:I3"/>
    <mergeCell ref="J3:Q3"/>
    <mergeCell ref="R3:Y3"/>
    <mergeCell ref="Z3:AG3"/>
  </mergeCells>
  <conditionalFormatting sqref="J4:Q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:AG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67"/>
  <sheetViews>
    <sheetView topLeftCell="A3900" workbookViewId="0">
      <selection activeCell="A1" sqref="A1:D3967"/>
    </sheetView>
  </sheetViews>
  <sheetFormatPr defaultColWidth="9" defaultRowHeight="13.85" outlineLevelCol="3"/>
  <cols>
    <col min="1" max="1" width="17.2477876106195" customWidth="1"/>
    <col min="2" max="2" width="37.8761061946903" customWidth="1"/>
    <col min="3" max="3" width="5.50442477876106" customWidth="1"/>
    <col min="4" max="4" width="9.50442477876106" customWidth="1"/>
    <col min="8" max="8" width="37.8761061946903" customWidth="1"/>
  </cols>
  <sheetData>
    <row r="1" spans="1:4">
      <c r="A1" t="s">
        <v>229</v>
      </c>
      <c r="B1" t="s">
        <v>238</v>
      </c>
      <c r="C1" t="s">
        <v>239</v>
      </c>
      <c r="D1" t="s">
        <v>240</v>
      </c>
    </row>
    <row r="2" spans="1:4">
      <c r="A2" t="s">
        <v>129</v>
      </c>
      <c r="B2" t="s">
        <v>241</v>
      </c>
      <c r="C2">
        <v>2015</v>
      </c>
    </row>
    <row r="3" spans="1:4">
      <c r="A3" t="s">
        <v>74</v>
      </c>
      <c r="B3" t="s">
        <v>241</v>
      </c>
      <c r="C3">
        <v>2015</v>
      </c>
    </row>
    <row r="4" spans="1:4">
      <c r="A4" t="s">
        <v>134</v>
      </c>
      <c r="B4" t="s">
        <v>241</v>
      </c>
      <c r="C4">
        <v>2015</v>
      </c>
    </row>
    <row r="5" spans="1:4">
      <c r="A5" t="s">
        <v>209</v>
      </c>
      <c r="B5" t="s">
        <v>241</v>
      </c>
      <c r="C5">
        <v>2015</v>
      </c>
    </row>
    <row r="6" spans="1:4">
      <c r="A6" t="s">
        <v>164</v>
      </c>
      <c r="B6" t="s">
        <v>241</v>
      </c>
      <c r="C6">
        <v>2015</v>
      </c>
    </row>
    <row r="7" spans="1:4">
      <c r="A7" t="s">
        <v>169</v>
      </c>
      <c r="B7" t="s">
        <v>241</v>
      </c>
      <c r="C7">
        <v>2015</v>
      </c>
    </row>
    <row r="8" spans="1:4">
      <c r="A8" t="s">
        <v>189</v>
      </c>
      <c r="B8" t="s">
        <v>241</v>
      </c>
      <c r="C8">
        <v>2015</v>
      </c>
    </row>
    <row r="9" spans="1:4">
      <c r="A9" t="s">
        <v>174</v>
      </c>
      <c r="B9" t="s">
        <v>241</v>
      </c>
      <c r="C9">
        <v>2015</v>
      </c>
    </row>
    <row r="10" spans="1:4">
      <c r="A10" t="s">
        <v>84</v>
      </c>
      <c r="B10" t="s">
        <v>241</v>
      </c>
      <c r="C10">
        <v>2015</v>
      </c>
    </row>
    <row r="11" spans="1:4">
      <c r="A11" t="s">
        <v>149</v>
      </c>
      <c r="B11" t="s">
        <v>241</v>
      </c>
      <c r="C11">
        <v>2015</v>
      </c>
    </row>
    <row r="12" spans="1:4">
      <c r="A12" t="s">
        <v>109</v>
      </c>
      <c r="B12" t="s">
        <v>241</v>
      </c>
      <c r="C12">
        <v>2015</v>
      </c>
    </row>
    <row r="13" spans="1:4">
      <c r="A13" t="s">
        <v>154</v>
      </c>
      <c r="B13" t="s">
        <v>241</v>
      </c>
      <c r="C13">
        <v>2015</v>
      </c>
    </row>
    <row r="14" spans="1:4">
      <c r="A14" t="s">
        <v>159</v>
      </c>
      <c r="B14" t="s">
        <v>241</v>
      </c>
      <c r="C14">
        <v>2015</v>
      </c>
    </row>
    <row r="15" spans="1:4">
      <c r="A15" t="s">
        <v>104</v>
      </c>
      <c r="B15" t="s">
        <v>241</v>
      </c>
      <c r="C15">
        <v>2015</v>
      </c>
    </row>
    <row r="16" spans="1:4">
      <c r="A16" t="s">
        <v>119</v>
      </c>
      <c r="B16" t="s">
        <v>241</v>
      </c>
      <c r="C16">
        <v>2015</v>
      </c>
    </row>
    <row r="17" spans="1:3">
      <c r="A17" t="s">
        <v>139</v>
      </c>
      <c r="B17" t="s">
        <v>241</v>
      </c>
      <c r="C17">
        <v>2015</v>
      </c>
    </row>
    <row r="18" spans="1:3">
      <c r="A18" t="s">
        <v>99</v>
      </c>
      <c r="B18" t="s">
        <v>241</v>
      </c>
      <c r="C18">
        <v>2015</v>
      </c>
    </row>
    <row r="19" spans="1:3">
      <c r="A19" t="s">
        <v>94</v>
      </c>
      <c r="B19" t="s">
        <v>241</v>
      </c>
      <c r="C19">
        <v>2015</v>
      </c>
    </row>
    <row r="20" spans="1:3">
      <c r="A20" t="s">
        <v>219</v>
      </c>
      <c r="B20" t="s">
        <v>241</v>
      </c>
      <c r="C20">
        <v>2015</v>
      </c>
    </row>
    <row r="21" spans="1:3">
      <c r="A21" t="s">
        <v>214</v>
      </c>
      <c r="B21" t="s">
        <v>241</v>
      </c>
      <c r="C21">
        <v>2015</v>
      </c>
    </row>
    <row r="22" spans="1:3">
      <c r="A22" t="s">
        <v>70</v>
      </c>
      <c r="B22" t="s">
        <v>241</v>
      </c>
      <c r="C22">
        <v>2015</v>
      </c>
    </row>
    <row r="23" spans="1:3">
      <c r="A23" t="s">
        <v>144</v>
      </c>
      <c r="B23" t="s">
        <v>241</v>
      </c>
      <c r="C23">
        <v>2015</v>
      </c>
    </row>
    <row r="24" spans="1:3">
      <c r="A24" t="s">
        <v>89</v>
      </c>
      <c r="B24" t="s">
        <v>241</v>
      </c>
      <c r="C24">
        <v>2015</v>
      </c>
    </row>
    <row r="25" spans="1:3">
      <c r="A25" t="s">
        <v>204</v>
      </c>
      <c r="B25" t="s">
        <v>241</v>
      </c>
      <c r="C25">
        <v>2015</v>
      </c>
    </row>
    <row r="26" spans="1:3">
      <c r="A26" t="s">
        <v>114</v>
      </c>
      <c r="B26" t="s">
        <v>241</v>
      </c>
      <c r="C26">
        <v>2015</v>
      </c>
    </row>
    <row r="27" spans="1:3">
      <c r="A27" t="s">
        <v>184</v>
      </c>
      <c r="B27" t="s">
        <v>241</v>
      </c>
      <c r="C27">
        <v>2015</v>
      </c>
    </row>
    <row r="28" spans="1:3">
      <c r="A28" t="s">
        <v>79</v>
      </c>
      <c r="B28" t="s">
        <v>241</v>
      </c>
      <c r="C28">
        <v>2015</v>
      </c>
    </row>
    <row r="29" spans="1:3">
      <c r="A29" t="s">
        <v>199</v>
      </c>
      <c r="B29" t="s">
        <v>241</v>
      </c>
      <c r="C29">
        <v>2015</v>
      </c>
    </row>
    <row r="30" spans="1:3">
      <c r="A30" t="s">
        <v>224</v>
      </c>
      <c r="B30" t="s">
        <v>241</v>
      </c>
      <c r="C30">
        <v>2015</v>
      </c>
    </row>
    <row r="31" spans="1:3">
      <c r="A31" t="s">
        <v>194</v>
      </c>
      <c r="B31" t="s">
        <v>241</v>
      </c>
      <c r="C31">
        <v>2015</v>
      </c>
    </row>
    <row r="32" spans="1:3">
      <c r="A32" t="s">
        <v>124</v>
      </c>
      <c r="B32" t="s">
        <v>241</v>
      </c>
      <c r="C32">
        <v>2015</v>
      </c>
    </row>
    <row r="33" spans="1:3">
      <c r="A33" t="s">
        <v>179</v>
      </c>
      <c r="B33" t="s">
        <v>241</v>
      </c>
      <c r="C33">
        <v>2015</v>
      </c>
    </row>
    <row r="34" spans="1:3">
      <c r="A34" t="s">
        <v>129</v>
      </c>
      <c r="B34" t="s">
        <v>241</v>
      </c>
      <c r="C34">
        <v>2016</v>
      </c>
    </row>
    <row r="35" spans="1:3">
      <c r="A35" t="s">
        <v>74</v>
      </c>
      <c r="B35" t="s">
        <v>241</v>
      </c>
      <c r="C35">
        <v>2016</v>
      </c>
    </row>
    <row r="36" spans="1:3">
      <c r="A36" t="s">
        <v>134</v>
      </c>
      <c r="B36" t="s">
        <v>241</v>
      </c>
      <c r="C36">
        <v>2016</v>
      </c>
    </row>
    <row r="37" spans="1:3">
      <c r="A37" t="s">
        <v>209</v>
      </c>
      <c r="B37" t="s">
        <v>241</v>
      </c>
      <c r="C37">
        <v>2016</v>
      </c>
    </row>
    <row r="38" spans="1:3">
      <c r="A38" t="s">
        <v>164</v>
      </c>
      <c r="B38" t="s">
        <v>241</v>
      </c>
      <c r="C38">
        <v>2016</v>
      </c>
    </row>
    <row r="39" spans="1:3">
      <c r="A39" t="s">
        <v>169</v>
      </c>
      <c r="B39" t="s">
        <v>241</v>
      </c>
      <c r="C39">
        <v>2016</v>
      </c>
    </row>
    <row r="40" spans="1:3">
      <c r="A40" t="s">
        <v>189</v>
      </c>
      <c r="B40" t="s">
        <v>241</v>
      </c>
      <c r="C40">
        <v>2016</v>
      </c>
    </row>
    <row r="41" spans="1:3">
      <c r="A41" t="s">
        <v>174</v>
      </c>
      <c r="B41" t="s">
        <v>241</v>
      </c>
      <c r="C41">
        <v>2016</v>
      </c>
    </row>
    <row r="42" spans="1:3">
      <c r="A42" t="s">
        <v>84</v>
      </c>
      <c r="B42" t="s">
        <v>241</v>
      </c>
      <c r="C42">
        <v>2016</v>
      </c>
    </row>
    <row r="43" spans="1:3">
      <c r="A43" t="s">
        <v>149</v>
      </c>
      <c r="B43" t="s">
        <v>241</v>
      </c>
      <c r="C43">
        <v>2016</v>
      </c>
    </row>
    <row r="44" spans="1:3">
      <c r="A44" t="s">
        <v>109</v>
      </c>
      <c r="B44" t="s">
        <v>241</v>
      </c>
      <c r="C44">
        <v>2016</v>
      </c>
    </row>
    <row r="45" spans="1:3">
      <c r="A45" t="s">
        <v>154</v>
      </c>
      <c r="B45" t="s">
        <v>241</v>
      </c>
      <c r="C45">
        <v>2016</v>
      </c>
    </row>
    <row r="46" spans="1:3">
      <c r="A46" t="s">
        <v>159</v>
      </c>
      <c r="B46" t="s">
        <v>241</v>
      </c>
      <c r="C46">
        <v>2016</v>
      </c>
    </row>
    <row r="47" spans="1:3">
      <c r="A47" t="s">
        <v>104</v>
      </c>
      <c r="B47" t="s">
        <v>241</v>
      </c>
      <c r="C47">
        <v>2016</v>
      </c>
    </row>
    <row r="48" spans="1:3">
      <c r="A48" t="s">
        <v>119</v>
      </c>
      <c r="B48" t="s">
        <v>241</v>
      </c>
      <c r="C48">
        <v>2016</v>
      </c>
    </row>
    <row r="49" spans="1:3">
      <c r="A49" t="s">
        <v>139</v>
      </c>
      <c r="B49" t="s">
        <v>241</v>
      </c>
      <c r="C49">
        <v>2016</v>
      </c>
    </row>
    <row r="50" spans="1:3">
      <c r="A50" t="s">
        <v>99</v>
      </c>
      <c r="B50" t="s">
        <v>241</v>
      </c>
      <c r="C50">
        <v>2016</v>
      </c>
    </row>
    <row r="51" spans="1:3">
      <c r="A51" t="s">
        <v>94</v>
      </c>
      <c r="B51" t="s">
        <v>241</v>
      </c>
      <c r="C51">
        <v>2016</v>
      </c>
    </row>
    <row r="52" spans="1:3">
      <c r="A52" t="s">
        <v>219</v>
      </c>
      <c r="B52" t="s">
        <v>241</v>
      </c>
      <c r="C52">
        <v>2016</v>
      </c>
    </row>
    <row r="53" spans="1:3">
      <c r="A53" t="s">
        <v>214</v>
      </c>
      <c r="B53" t="s">
        <v>241</v>
      </c>
      <c r="C53">
        <v>2016</v>
      </c>
    </row>
    <row r="54" spans="1:3">
      <c r="A54" t="s">
        <v>70</v>
      </c>
      <c r="B54" t="s">
        <v>241</v>
      </c>
      <c r="C54">
        <v>2016</v>
      </c>
    </row>
    <row r="55" spans="1:3">
      <c r="A55" t="s">
        <v>144</v>
      </c>
      <c r="B55" t="s">
        <v>241</v>
      </c>
      <c r="C55">
        <v>2016</v>
      </c>
    </row>
    <row r="56" spans="1:3">
      <c r="A56" t="s">
        <v>89</v>
      </c>
      <c r="B56" t="s">
        <v>241</v>
      </c>
      <c r="C56">
        <v>2016</v>
      </c>
    </row>
    <row r="57" spans="1:3">
      <c r="A57" t="s">
        <v>204</v>
      </c>
      <c r="B57" t="s">
        <v>241</v>
      </c>
      <c r="C57">
        <v>2016</v>
      </c>
    </row>
    <row r="58" spans="1:3">
      <c r="A58" t="s">
        <v>114</v>
      </c>
      <c r="B58" t="s">
        <v>241</v>
      </c>
      <c r="C58">
        <v>2016</v>
      </c>
    </row>
    <row r="59" spans="1:3">
      <c r="A59" t="s">
        <v>184</v>
      </c>
      <c r="B59" t="s">
        <v>241</v>
      </c>
      <c r="C59">
        <v>2016</v>
      </c>
    </row>
    <row r="60" spans="1:3">
      <c r="A60" t="s">
        <v>79</v>
      </c>
      <c r="B60" t="s">
        <v>241</v>
      </c>
      <c r="C60">
        <v>2016</v>
      </c>
    </row>
    <row r="61" spans="1:3">
      <c r="A61" t="s">
        <v>199</v>
      </c>
      <c r="B61" t="s">
        <v>241</v>
      </c>
      <c r="C61">
        <v>2016</v>
      </c>
    </row>
    <row r="62" spans="1:3">
      <c r="A62" t="s">
        <v>224</v>
      </c>
      <c r="B62" t="s">
        <v>241</v>
      </c>
      <c r="C62">
        <v>2016</v>
      </c>
    </row>
    <row r="63" spans="1:3">
      <c r="A63" t="s">
        <v>194</v>
      </c>
      <c r="B63" t="s">
        <v>241</v>
      </c>
      <c r="C63">
        <v>2016</v>
      </c>
    </row>
    <row r="64" spans="1:3">
      <c r="A64" t="s">
        <v>124</v>
      </c>
      <c r="B64" t="s">
        <v>241</v>
      </c>
      <c r="C64">
        <v>2016</v>
      </c>
    </row>
    <row r="65" spans="1:4">
      <c r="A65" t="s">
        <v>179</v>
      </c>
      <c r="B65" t="s">
        <v>241</v>
      </c>
      <c r="C65">
        <v>2016</v>
      </c>
    </row>
    <row r="66" spans="1:4">
      <c r="A66" t="s">
        <v>129</v>
      </c>
      <c r="B66" t="s">
        <v>241</v>
      </c>
      <c r="C66">
        <v>2017</v>
      </c>
      <c r="D66">
        <v>18</v>
      </c>
    </row>
    <row r="67" spans="1:4">
      <c r="A67" t="s">
        <v>74</v>
      </c>
      <c r="B67" t="s">
        <v>241</v>
      </c>
      <c r="C67">
        <v>2017</v>
      </c>
      <c r="D67">
        <v>1</v>
      </c>
    </row>
    <row r="68" spans="1:4">
      <c r="A68" t="s">
        <v>134</v>
      </c>
      <c r="B68" t="s">
        <v>241</v>
      </c>
      <c r="C68">
        <v>2017</v>
      </c>
      <c r="D68">
        <v>3</v>
      </c>
    </row>
    <row r="69" spans="1:4">
      <c r="A69" t="s">
        <v>209</v>
      </c>
      <c r="B69" t="s">
        <v>241</v>
      </c>
      <c r="C69">
        <v>2017</v>
      </c>
      <c r="D69">
        <v>1</v>
      </c>
    </row>
    <row r="70" spans="1:4">
      <c r="A70" t="s">
        <v>164</v>
      </c>
      <c r="B70" t="s">
        <v>241</v>
      </c>
      <c r="C70">
        <v>2017</v>
      </c>
      <c r="D70">
        <v>8</v>
      </c>
    </row>
    <row r="71" spans="1:4">
      <c r="A71" t="s">
        <v>169</v>
      </c>
      <c r="B71" t="s">
        <v>241</v>
      </c>
      <c r="C71">
        <v>2017</v>
      </c>
      <c r="D71">
        <v>1</v>
      </c>
    </row>
    <row r="72" spans="1:4">
      <c r="A72" t="s">
        <v>189</v>
      </c>
      <c r="B72" t="s">
        <v>241</v>
      </c>
      <c r="C72">
        <v>2017</v>
      </c>
    </row>
    <row r="73" spans="1:4">
      <c r="A73" t="s">
        <v>174</v>
      </c>
      <c r="B73" t="s">
        <v>241</v>
      </c>
      <c r="C73">
        <v>2017</v>
      </c>
      <c r="D73">
        <v>0.2</v>
      </c>
    </row>
    <row r="74" spans="1:4">
      <c r="A74" t="s">
        <v>84</v>
      </c>
      <c r="B74" t="s">
        <v>241</v>
      </c>
      <c r="C74">
        <v>2017</v>
      </c>
      <c r="D74">
        <v>11</v>
      </c>
    </row>
    <row r="75" spans="1:4">
      <c r="A75" t="s">
        <v>149</v>
      </c>
      <c r="B75" t="s">
        <v>241</v>
      </c>
      <c r="C75">
        <v>2017</v>
      </c>
      <c r="D75">
        <v>4</v>
      </c>
    </row>
    <row r="76" spans="1:4">
      <c r="A76" t="s">
        <v>109</v>
      </c>
      <c r="B76" t="s">
        <v>241</v>
      </c>
      <c r="C76">
        <v>2017</v>
      </c>
      <c r="D76">
        <v>1</v>
      </c>
    </row>
    <row r="77" spans="1:4">
      <c r="A77" t="s">
        <v>154</v>
      </c>
      <c r="B77" t="s">
        <v>241</v>
      </c>
      <c r="C77">
        <v>2017</v>
      </c>
      <c r="D77">
        <v>5</v>
      </c>
    </row>
    <row r="78" spans="1:4">
      <c r="A78" t="s">
        <v>159</v>
      </c>
      <c r="B78" t="s">
        <v>241</v>
      </c>
      <c r="C78">
        <v>2017</v>
      </c>
      <c r="D78">
        <v>4</v>
      </c>
    </row>
    <row r="79" spans="1:4">
      <c r="A79" t="s">
        <v>104</v>
      </c>
      <c r="B79" t="s">
        <v>241</v>
      </c>
      <c r="C79">
        <v>2017</v>
      </c>
      <c r="D79">
        <v>2</v>
      </c>
    </row>
    <row r="80" spans="1:4">
      <c r="A80" t="s">
        <v>119</v>
      </c>
      <c r="B80" t="s">
        <v>241</v>
      </c>
      <c r="C80">
        <v>2017</v>
      </c>
      <c r="D80">
        <v>19</v>
      </c>
    </row>
    <row r="81" spans="1:4">
      <c r="A81" t="s">
        <v>139</v>
      </c>
      <c r="B81" t="s">
        <v>241</v>
      </c>
      <c r="C81">
        <v>2017</v>
      </c>
      <c r="D81">
        <v>8</v>
      </c>
    </row>
    <row r="82" spans="1:4">
      <c r="A82" t="s">
        <v>99</v>
      </c>
      <c r="B82" t="s">
        <v>241</v>
      </c>
      <c r="C82">
        <v>2017</v>
      </c>
      <c r="D82">
        <v>3</v>
      </c>
    </row>
    <row r="83" spans="1:4">
      <c r="A83" t="s">
        <v>94</v>
      </c>
      <c r="B83" t="s">
        <v>241</v>
      </c>
      <c r="C83">
        <v>2017</v>
      </c>
      <c r="D83">
        <v>0.3</v>
      </c>
    </row>
    <row r="84" spans="1:4">
      <c r="A84" t="s">
        <v>219</v>
      </c>
      <c r="B84" t="s">
        <v>241</v>
      </c>
      <c r="C84">
        <v>2017</v>
      </c>
      <c r="D84">
        <v>3</v>
      </c>
    </row>
    <row r="85" spans="1:4">
      <c r="A85" t="s">
        <v>214</v>
      </c>
      <c r="B85" t="s">
        <v>241</v>
      </c>
      <c r="C85">
        <v>2017</v>
      </c>
      <c r="D85">
        <v>0.3</v>
      </c>
    </row>
    <row r="86" spans="1:4">
      <c r="A86" t="s">
        <v>70</v>
      </c>
      <c r="B86" t="s">
        <v>241</v>
      </c>
      <c r="C86">
        <v>2017</v>
      </c>
      <c r="D86">
        <v>154</v>
      </c>
    </row>
    <row r="87" spans="1:4">
      <c r="A87" t="s">
        <v>144</v>
      </c>
      <c r="B87" t="s">
        <v>241</v>
      </c>
      <c r="C87">
        <v>2017</v>
      </c>
      <c r="D87">
        <v>20</v>
      </c>
    </row>
    <row r="88" spans="1:4">
      <c r="A88" t="s">
        <v>89</v>
      </c>
      <c r="B88" t="s">
        <v>241</v>
      </c>
      <c r="C88">
        <v>2017</v>
      </c>
      <c r="D88">
        <v>5</v>
      </c>
    </row>
    <row r="89" spans="1:4">
      <c r="A89" t="s">
        <v>204</v>
      </c>
      <c r="B89" t="s">
        <v>241</v>
      </c>
      <c r="C89">
        <v>2017</v>
      </c>
      <c r="D89">
        <v>2</v>
      </c>
    </row>
    <row r="90" spans="1:4">
      <c r="A90" t="s">
        <v>114</v>
      </c>
      <c r="B90" t="s">
        <v>241</v>
      </c>
      <c r="C90">
        <v>2017</v>
      </c>
      <c r="D90">
        <v>2</v>
      </c>
    </row>
    <row r="91" spans="1:4">
      <c r="A91" t="s">
        <v>184</v>
      </c>
      <c r="B91" t="s">
        <v>241</v>
      </c>
      <c r="C91">
        <v>2017</v>
      </c>
      <c r="D91">
        <v>1</v>
      </c>
    </row>
    <row r="92" spans="1:4">
      <c r="A92" t="s">
        <v>79</v>
      </c>
      <c r="B92" t="s">
        <v>241</v>
      </c>
      <c r="C92">
        <v>2017</v>
      </c>
      <c r="D92">
        <v>1</v>
      </c>
    </row>
    <row r="93" spans="1:4">
      <c r="A93" t="s">
        <v>199</v>
      </c>
      <c r="B93" t="s">
        <v>241</v>
      </c>
      <c r="C93">
        <v>2017</v>
      </c>
    </row>
    <row r="94" spans="1:4">
      <c r="A94" t="s">
        <v>224</v>
      </c>
      <c r="B94" t="s">
        <v>241</v>
      </c>
      <c r="C94">
        <v>2017</v>
      </c>
      <c r="D94">
        <v>0.01</v>
      </c>
    </row>
    <row r="95" spans="1:4">
      <c r="A95" t="s">
        <v>194</v>
      </c>
      <c r="B95" t="s">
        <v>241</v>
      </c>
      <c r="C95">
        <v>2017</v>
      </c>
      <c r="D95">
        <v>0.3</v>
      </c>
    </row>
    <row r="96" spans="1:4">
      <c r="A96" t="s">
        <v>124</v>
      </c>
      <c r="B96" t="s">
        <v>241</v>
      </c>
      <c r="C96">
        <v>2017</v>
      </c>
      <c r="D96">
        <v>31</v>
      </c>
    </row>
    <row r="97" spans="1:4">
      <c r="A97" t="s">
        <v>179</v>
      </c>
      <c r="B97" t="s">
        <v>241</v>
      </c>
      <c r="C97">
        <v>2017</v>
      </c>
      <c r="D97">
        <v>0.2</v>
      </c>
    </row>
    <row r="98" spans="1:4">
      <c r="A98" t="s">
        <v>129</v>
      </c>
      <c r="B98" t="s">
        <v>241</v>
      </c>
      <c r="C98">
        <v>2018</v>
      </c>
      <c r="D98">
        <v>36</v>
      </c>
    </row>
    <row r="99" spans="1:4">
      <c r="A99" t="s">
        <v>74</v>
      </c>
      <c r="B99" t="s">
        <v>241</v>
      </c>
      <c r="C99">
        <v>2018</v>
      </c>
      <c r="D99">
        <v>2</v>
      </c>
    </row>
    <row r="100" spans="1:4">
      <c r="A100" t="s">
        <v>134</v>
      </c>
      <c r="B100" t="s">
        <v>241</v>
      </c>
      <c r="C100">
        <v>2018</v>
      </c>
      <c r="D100">
        <v>9</v>
      </c>
    </row>
    <row r="101" spans="1:4">
      <c r="A101" t="s">
        <v>209</v>
      </c>
      <c r="B101" t="s">
        <v>241</v>
      </c>
      <c r="C101">
        <v>2018</v>
      </c>
      <c r="D101">
        <v>2</v>
      </c>
    </row>
    <row r="102" spans="1:4">
      <c r="A102" t="s">
        <v>164</v>
      </c>
      <c r="B102" t="s">
        <v>241</v>
      </c>
      <c r="C102">
        <v>2018</v>
      </c>
      <c r="D102">
        <v>15</v>
      </c>
    </row>
    <row r="103" spans="1:4">
      <c r="A103" t="s">
        <v>169</v>
      </c>
      <c r="B103" t="s">
        <v>241</v>
      </c>
      <c r="C103">
        <v>2018</v>
      </c>
      <c r="D103">
        <v>1</v>
      </c>
    </row>
    <row r="104" spans="1:4">
      <c r="A104" t="s">
        <v>189</v>
      </c>
      <c r="B104" t="s">
        <v>241</v>
      </c>
      <c r="C104">
        <v>2018</v>
      </c>
      <c r="D104">
        <v>1</v>
      </c>
    </row>
    <row r="105" spans="1:4">
      <c r="A105" t="s">
        <v>174</v>
      </c>
      <c r="B105" t="s">
        <v>241</v>
      </c>
      <c r="C105">
        <v>2018</v>
      </c>
      <c r="D105">
        <v>1</v>
      </c>
    </row>
    <row r="106" spans="1:4">
      <c r="A106" t="s">
        <v>84</v>
      </c>
      <c r="B106" t="s">
        <v>241</v>
      </c>
      <c r="C106">
        <v>2018</v>
      </c>
      <c r="D106">
        <v>32</v>
      </c>
    </row>
    <row r="107" spans="1:4">
      <c r="A107" t="s">
        <v>149</v>
      </c>
      <c r="B107" t="s">
        <v>241</v>
      </c>
      <c r="C107">
        <v>2018</v>
      </c>
      <c r="D107">
        <v>27</v>
      </c>
    </row>
    <row r="108" spans="1:4">
      <c r="A108" t="s">
        <v>109</v>
      </c>
      <c r="B108" t="s">
        <v>241</v>
      </c>
      <c r="C108">
        <v>2018</v>
      </c>
      <c r="D108">
        <v>5</v>
      </c>
    </row>
    <row r="109" spans="1:4">
      <c r="A109" t="s">
        <v>154</v>
      </c>
      <c r="B109" t="s">
        <v>241</v>
      </c>
      <c r="C109">
        <v>2018</v>
      </c>
      <c r="D109">
        <v>13</v>
      </c>
    </row>
    <row r="110" spans="1:4">
      <c r="A110" t="s">
        <v>159</v>
      </c>
      <c r="B110" t="s">
        <v>241</v>
      </c>
      <c r="C110">
        <v>2018</v>
      </c>
      <c r="D110">
        <v>10</v>
      </c>
    </row>
    <row r="111" spans="1:4">
      <c r="A111" t="s">
        <v>104</v>
      </c>
      <c r="B111" t="s">
        <v>241</v>
      </c>
      <c r="C111">
        <v>2018</v>
      </c>
      <c r="D111">
        <v>7</v>
      </c>
    </row>
    <row r="112" spans="1:4">
      <c r="A112" t="s">
        <v>119</v>
      </c>
      <c r="B112" t="s">
        <v>241</v>
      </c>
      <c r="C112">
        <v>2018</v>
      </c>
      <c r="D112">
        <v>40</v>
      </c>
    </row>
    <row r="113" spans="1:4">
      <c r="A113" t="s">
        <v>139</v>
      </c>
      <c r="B113" t="s">
        <v>241</v>
      </c>
      <c r="C113">
        <v>2018</v>
      </c>
      <c r="D113">
        <v>21</v>
      </c>
    </row>
    <row r="114" spans="1:4">
      <c r="A114" t="s">
        <v>99</v>
      </c>
      <c r="B114" t="s">
        <v>241</v>
      </c>
      <c r="C114">
        <v>2018</v>
      </c>
      <c r="D114">
        <v>7</v>
      </c>
    </row>
    <row r="115" spans="1:4">
      <c r="A115" t="s">
        <v>94</v>
      </c>
      <c r="B115" t="s">
        <v>241</v>
      </c>
      <c r="C115">
        <v>2018</v>
      </c>
      <c r="D115">
        <v>1</v>
      </c>
    </row>
    <row r="116" spans="1:4">
      <c r="A116" t="s">
        <v>219</v>
      </c>
      <c r="B116" t="s">
        <v>241</v>
      </c>
      <c r="C116">
        <v>2018</v>
      </c>
      <c r="D116">
        <v>4</v>
      </c>
    </row>
    <row r="117" spans="1:4">
      <c r="A117" t="s">
        <v>214</v>
      </c>
      <c r="B117" t="s">
        <v>241</v>
      </c>
      <c r="C117">
        <v>2018</v>
      </c>
      <c r="D117">
        <v>1</v>
      </c>
    </row>
    <row r="118" spans="1:4">
      <c r="A118" t="s">
        <v>70</v>
      </c>
      <c r="B118" t="s">
        <v>241</v>
      </c>
      <c r="C118">
        <v>2018</v>
      </c>
      <c r="D118">
        <v>388</v>
      </c>
    </row>
    <row r="119" spans="1:4">
      <c r="A119" t="s">
        <v>144</v>
      </c>
      <c r="B119" t="s">
        <v>241</v>
      </c>
      <c r="C119">
        <v>2018</v>
      </c>
      <c r="D119">
        <v>60</v>
      </c>
    </row>
    <row r="120" spans="1:4">
      <c r="A120" t="s">
        <v>89</v>
      </c>
      <c r="B120" t="s">
        <v>241</v>
      </c>
      <c r="C120">
        <v>2018</v>
      </c>
      <c r="D120">
        <v>14</v>
      </c>
    </row>
    <row r="121" spans="1:4">
      <c r="A121" t="s">
        <v>204</v>
      </c>
      <c r="B121" t="s">
        <v>241</v>
      </c>
      <c r="C121">
        <v>2018</v>
      </c>
      <c r="D121">
        <v>6</v>
      </c>
    </row>
    <row r="122" spans="1:4">
      <c r="A122" t="s">
        <v>114</v>
      </c>
      <c r="B122" t="s">
        <v>241</v>
      </c>
      <c r="C122">
        <v>2018</v>
      </c>
      <c r="D122">
        <v>5</v>
      </c>
    </row>
    <row r="123" spans="1:4">
      <c r="A123" t="s">
        <v>184</v>
      </c>
      <c r="B123" t="s">
        <v>241</v>
      </c>
      <c r="C123">
        <v>2018</v>
      </c>
      <c r="D123">
        <v>1</v>
      </c>
    </row>
    <row r="124" spans="1:4">
      <c r="A124" t="s">
        <v>79</v>
      </c>
      <c r="B124" t="s">
        <v>241</v>
      </c>
      <c r="C124">
        <v>2018</v>
      </c>
      <c r="D124">
        <v>2</v>
      </c>
    </row>
    <row r="125" spans="1:4">
      <c r="A125" t="s">
        <v>199</v>
      </c>
      <c r="B125" t="s">
        <v>241</v>
      </c>
      <c r="C125">
        <v>2018</v>
      </c>
    </row>
    <row r="126" spans="1:4">
      <c r="A126" t="s">
        <v>224</v>
      </c>
      <c r="B126" t="s">
        <v>241</v>
      </c>
      <c r="C126">
        <v>2018</v>
      </c>
      <c r="D126">
        <v>0.1</v>
      </c>
    </row>
    <row r="127" spans="1:4">
      <c r="A127" t="s">
        <v>194</v>
      </c>
      <c r="B127" t="s">
        <v>241</v>
      </c>
      <c r="C127">
        <v>2018</v>
      </c>
      <c r="D127">
        <v>1</v>
      </c>
    </row>
    <row r="128" spans="1:4">
      <c r="A128" t="s">
        <v>124</v>
      </c>
      <c r="B128" t="s">
        <v>241</v>
      </c>
      <c r="C128">
        <v>2018</v>
      </c>
      <c r="D128">
        <v>63</v>
      </c>
    </row>
    <row r="129" spans="1:4">
      <c r="A129" t="s">
        <v>179</v>
      </c>
      <c r="B129" t="s">
        <v>241</v>
      </c>
      <c r="C129">
        <v>2018</v>
      </c>
      <c r="D129">
        <v>2</v>
      </c>
    </row>
    <row r="130" spans="1:4">
      <c r="A130" t="s">
        <v>129</v>
      </c>
      <c r="B130" t="s">
        <v>241</v>
      </c>
      <c r="C130">
        <v>2019</v>
      </c>
      <c r="D130">
        <v>46</v>
      </c>
    </row>
    <row r="131" spans="1:4">
      <c r="A131" t="s">
        <v>74</v>
      </c>
      <c r="B131" t="s">
        <v>241</v>
      </c>
      <c r="C131">
        <v>2019</v>
      </c>
      <c r="D131">
        <v>4</v>
      </c>
    </row>
    <row r="132" spans="1:4">
      <c r="A132" t="s">
        <v>134</v>
      </c>
      <c r="B132" t="s">
        <v>241</v>
      </c>
      <c r="C132">
        <v>2019</v>
      </c>
      <c r="D132">
        <v>11</v>
      </c>
    </row>
    <row r="133" spans="1:4">
      <c r="A133" t="s">
        <v>209</v>
      </c>
      <c r="B133" t="s">
        <v>241</v>
      </c>
      <c r="C133">
        <v>2019</v>
      </c>
      <c r="D133">
        <v>6</v>
      </c>
    </row>
    <row r="134" spans="1:4">
      <c r="A134" t="s">
        <v>164</v>
      </c>
      <c r="B134" t="s">
        <v>241</v>
      </c>
      <c r="C134">
        <v>2019</v>
      </c>
      <c r="D134">
        <v>22</v>
      </c>
    </row>
    <row r="135" spans="1:4">
      <c r="A135" t="s">
        <v>169</v>
      </c>
      <c r="B135" t="s">
        <v>241</v>
      </c>
      <c r="C135">
        <v>2019</v>
      </c>
      <c r="D135">
        <v>2</v>
      </c>
    </row>
    <row r="136" spans="1:4">
      <c r="A136" t="s">
        <v>189</v>
      </c>
      <c r="B136" t="s">
        <v>241</v>
      </c>
      <c r="C136">
        <v>2019</v>
      </c>
      <c r="D136">
        <v>1</v>
      </c>
    </row>
    <row r="137" spans="1:4">
      <c r="A137" t="s">
        <v>174</v>
      </c>
      <c r="B137" t="s">
        <v>241</v>
      </c>
      <c r="C137">
        <v>2019</v>
      </c>
      <c r="D137">
        <v>1</v>
      </c>
    </row>
    <row r="138" spans="1:4">
      <c r="A138" t="s">
        <v>84</v>
      </c>
      <c r="B138" t="s">
        <v>241</v>
      </c>
      <c r="C138">
        <v>2019</v>
      </c>
      <c r="D138">
        <v>53</v>
      </c>
    </row>
    <row r="139" spans="1:4">
      <c r="A139" t="s">
        <v>149</v>
      </c>
      <c r="B139" t="s">
        <v>241</v>
      </c>
      <c r="C139">
        <v>2019</v>
      </c>
      <c r="D139">
        <v>38</v>
      </c>
    </row>
    <row r="140" spans="1:4">
      <c r="A140" t="s">
        <v>109</v>
      </c>
      <c r="B140" t="s">
        <v>241</v>
      </c>
      <c r="C140">
        <v>2019</v>
      </c>
      <c r="D140">
        <v>9</v>
      </c>
    </row>
    <row r="141" spans="1:4">
      <c r="A141" t="s">
        <v>154</v>
      </c>
      <c r="B141" t="s">
        <v>241</v>
      </c>
      <c r="C141">
        <v>2019</v>
      </c>
      <c r="D141">
        <v>17</v>
      </c>
    </row>
    <row r="142" spans="1:4">
      <c r="A142" t="s">
        <v>159</v>
      </c>
      <c r="B142" t="s">
        <v>241</v>
      </c>
      <c r="C142">
        <v>2019</v>
      </c>
      <c r="D142">
        <v>13</v>
      </c>
    </row>
    <row r="143" spans="1:4">
      <c r="A143" t="s">
        <v>104</v>
      </c>
      <c r="B143" t="s">
        <v>241</v>
      </c>
      <c r="C143">
        <v>2019</v>
      </c>
      <c r="D143">
        <v>9</v>
      </c>
    </row>
    <row r="144" spans="1:4">
      <c r="A144" t="s">
        <v>119</v>
      </c>
      <c r="B144" t="s">
        <v>241</v>
      </c>
      <c r="C144">
        <v>2019</v>
      </c>
      <c r="D144">
        <v>53</v>
      </c>
    </row>
    <row r="145" spans="1:4">
      <c r="A145" t="s">
        <v>139</v>
      </c>
      <c r="B145" t="s">
        <v>241</v>
      </c>
      <c r="C145">
        <v>2019</v>
      </c>
      <c r="D145">
        <v>24</v>
      </c>
    </row>
    <row r="146" spans="1:4">
      <c r="A146" t="s">
        <v>99</v>
      </c>
      <c r="B146" t="s">
        <v>241</v>
      </c>
      <c r="C146">
        <v>2019</v>
      </c>
      <c r="D146">
        <v>10</v>
      </c>
    </row>
    <row r="147" spans="1:4">
      <c r="A147" t="s">
        <v>94</v>
      </c>
      <c r="B147" t="s">
        <v>241</v>
      </c>
      <c r="C147">
        <v>2019</v>
      </c>
      <c r="D147">
        <v>3</v>
      </c>
    </row>
    <row r="148" spans="1:4">
      <c r="A148" t="s">
        <v>219</v>
      </c>
      <c r="B148" t="s">
        <v>241</v>
      </c>
      <c r="C148">
        <v>2019</v>
      </c>
      <c r="D148">
        <v>8</v>
      </c>
    </row>
    <row r="149" spans="1:4">
      <c r="A149" t="s">
        <v>214</v>
      </c>
      <c r="B149" t="s">
        <v>241</v>
      </c>
      <c r="C149">
        <v>2019</v>
      </c>
      <c r="D149">
        <v>2</v>
      </c>
    </row>
    <row r="150" spans="1:4">
      <c r="A150" t="s">
        <v>70</v>
      </c>
      <c r="B150" t="s">
        <v>241</v>
      </c>
      <c r="C150">
        <v>2019</v>
      </c>
      <c r="D150">
        <v>538</v>
      </c>
    </row>
    <row r="151" spans="1:4">
      <c r="A151" t="s">
        <v>144</v>
      </c>
      <c r="B151" t="s">
        <v>241</v>
      </c>
      <c r="C151">
        <v>2019</v>
      </c>
      <c r="D151">
        <v>80</v>
      </c>
    </row>
    <row r="152" spans="1:4">
      <c r="A152" t="s">
        <v>89</v>
      </c>
      <c r="B152" t="s">
        <v>241</v>
      </c>
      <c r="C152">
        <v>2019</v>
      </c>
      <c r="D152">
        <v>25</v>
      </c>
    </row>
    <row r="153" spans="1:4">
      <c r="A153" t="s">
        <v>204</v>
      </c>
      <c r="B153" t="s">
        <v>241</v>
      </c>
      <c r="C153">
        <v>2019</v>
      </c>
      <c r="D153">
        <v>9</v>
      </c>
    </row>
    <row r="154" spans="1:4">
      <c r="A154" t="s">
        <v>114</v>
      </c>
      <c r="B154" t="s">
        <v>241</v>
      </c>
      <c r="C154">
        <v>2019</v>
      </c>
      <c r="D154">
        <v>7</v>
      </c>
    </row>
    <row r="155" spans="1:4">
      <c r="A155" t="s">
        <v>184</v>
      </c>
      <c r="B155" t="s">
        <v>241</v>
      </c>
      <c r="C155">
        <v>2019</v>
      </c>
      <c r="D155">
        <v>2</v>
      </c>
    </row>
    <row r="156" spans="1:4">
      <c r="A156" t="s">
        <v>79</v>
      </c>
      <c r="B156" t="s">
        <v>241</v>
      </c>
      <c r="C156">
        <v>2019</v>
      </c>
      <c r="D156">
        <v>3</v>
      </c>
    </row>
    <row r="157" spans="1:4">
      <c r="A157" t="s">
        <v>199</v>
      </c>
      <c r="B157" t="s">
        <v>241</v>
      </c>
      <c r="C157">
        <v>2019</v>
      </c>
    </row>
    <row r="158" spans="1:4">
      <c r="A158" t="s">
        <v>224</v>
      </c>
      <c r="B158" t="s">
        <v>241</v>
      </c>
      <c r="C158">
        <v>2019</v>
      </c>
      <c r="D158">
        <v>1</v>
      </c>
    </row>
    <row r="159" spans="1:4">
      <c r="A159" t="s">
        <v>194</v>
      </c>
      <c r="B159" t="s">
        <v>241</v>
      </c>
      <c r="C159">
        <v>2019</v>
      </c>
      <c r="D159">
        <v>2</v>
      </c>
    </row>
    <row r="160" spans="1:4">
      <c r="A160" t="s">
        <v>124</v>
      </c>
      <c r="B160" t="s">
        <v>241</v>
      </c>
      <c r="C160">
        <v>2019</v>
      </c>
      <c r="D160">
        <v>75</v>
      </c>
    </row>
    <row r="161" spans="1:4">
      <c r="A161" t="s">
        <v>179</v>
      </c>
      <c r="B161" t="s">
        <v>241</v>
      </c>
      <c r="C161">
        <v>2019</v>
      </c>
      <c r="D161">
        <v>3</v>
      </c>
    </row>
    <row r="162" spans="1:4">
      <c r="A162" t="s">
        <v>129</v>
      </c>
      <c r="B162" t="s">
        <v>241</v>
      </c>
      <c r="C162">
        <v>2020</v>
      </c>
      <c r="D162">
        <v>45</v>
      </c>
    </row>
    <row r="163" spans="1:4">
      <c r="A163" t="s">
        <v>74</v>
      </c>
      <c r="B163" t="s">
        <v>241</v>
      </c>
      <c r="C163">
        <v>2020</v>
      </c>
      <c r="D163">
        <v>5</v>
      </c>
    </row>
    <row r="164" spans="1:4">
      <c r="A164" t="s">
        <v>134</v>
      </c>
      <c r="B164" t="s">
        <v>241</v>
      </c>
      <c r="C164">
        <v>2020</v>
      </c>
      <c r="D164">
        <v>15</v>
      </c>
    </row>
    <row r="165" spans="1:4">
      <c r="A165" t="s">
        <v>209</v>
      </c>
      <c r="B165" t="s">
        <v>241</v>
      </c>
      <c r="C165">
        <v>2020</v>
      </c>
      <c r="D165">
        <v>9</v>
      </c>
    </row>
    <row r="166" spans="1:4">
      <c r="A166" t="s">
        <v>164</v>
      </c>
      <c r="B166" t="s">
        <v>241</v>
      </c>
      <c r="C166">
        <v>2020</v>
      </c>
      <c r="D166">
        <v>32</v>
      </c>
    </row>
    <row r="167" spans="1:4">
      <c r="A167" t="s">
        <v>169</v>
      </c>
      <c r="B167" t="s">
        <v>241</v>
      </c>
      <c r="C167">
        <v>2020</v>
      </c>
      <c r="D167">
        <v>3</v>
      </c>
    </row>
    <row r="168" spans="1:4">
      <c r="A168" t="s">
        <v>189</v>
      </c>
      <c r="B168" t="s">
        <v>241</v>
      </c>
      <c r="C168">
        <v>2020</v>
      </c>
      <c r="D168">
        <v>1</v>
      </c>
    </row>
    <row r="169" spans="1:4">
      <c r="A169" t="s">
        <v>174</v>
      </c>
      <c r="B169" t="s">
        <v>241</v>
      </c>
      <c r="C169">
        <v>2020</v>
      </c>
      <c r="D169">
        <v>1</v>
      </c>
    </row>
    <row r="170" spans="1:4">
      <c r="A170" t="s">
        <v>84</v>
      </c>
      <c r="B170" t="s">
        <v>241</v>
      </c>
      <c r="C170">
        <v>2020</v>
      </c>
      <c r="D170">
        <v>70</v>
      </c>
    </row>
    <row r="171" spans="1:4">
      <c r="A171" t="s">
        <v>149</v>
      </c>
      <c r="B171" t="s">
        <v>241</v>
      </c>
      <c r="C171">
        <v>2020</v>
      </c>
      <c r="D171">
        <v>49</v>
      </c>
    </row>
    <row r="172" spans="1:4">
      <c r="A172" t="s">
        <v>109</v>
      </c>
      <c r="B172" t="s">
        <v>241</v>
      </c>
      <c r="C172">
        <v>2020</v>
      </c>
      <c r="D172">
        <v>10</v>
      </c>
    </row>
    <row r="173" spans="1:4">
      <c r="A173" t="s">
        <v>154</v>
      </c>
      <c r="B173" t="s">
        <v>241</v>
      </c>
      <c r="C173">
        <v>2020</v>
      </c>
      <c r="D173">
        <v>19</v>
      </c>
    </row>
    <row r="174" spans="1:4">
      <c r="A174" t="s">
        <v>159</v>
      </c>
      <c r="B174" t="s">
        <v>241</v>
      </c>
      <c r="C174">
        <v>2020</v>
      </c>
      <c r="D174">
        <v>14</v>
      </c>
    </row>
    <row r="175" spans="1:4">
      <c r="A175" t="s">
        <v>104</v>
      </c>
      <c r="B175" t="s">
        <v>241</v>
      </c>
      <c r="C175">
        <v>2020</v>
      </c>
      <c r="D175">
        <v>9</v>
      </c>
    </row>
    <row r="176" spans="1:4">
      <c r="A176" t="s">
        <v>119</v>
      </c>
      <c r="B176" t="s">
        <v>241</v>
      </c>
      <c r="C176">
        <v>2020</v>
      </c>
      <c r="D176">
        <v>61</v>
      </c>
    </row>
    <row r="177" spans="1:4">
      <c r="A177" t="s">
        <v>139</v>
      </c>
      <c r="B177" t="s">
        <v>241</v>
      </c>
      <c r="C177">
        <v>2020</v>
      </c>
      <c r="D177">
        <v>26</v>
      </c>
    </row>
    <row r="178" spans="1:4">
      <c r="A178" t="s">
        <v>99</v>
      </c>
      <c r="B178" t="s">
        <v>241</v>
      </c>
      <c r="C178">
        <v>2020</v>
      </c>
      <c r="D178">
        <v>12</v>
      </c>
    </row>
    <row r="179" spans="1:4">
      <c r="A179" t="s">
        <v>94</v>
      </c>
      <c r="B179" t="s">
        <v>241</v>
      </c>
      <c r="C179">
        <v>2020</v>
      </c>
      <c r="D179">
        <v>13</v>
      </c>
    </row>
    <row r="180" spans="1:4">
      <c r="A180" t="s">
        <v>219</v>
      </c>
      <c r="B180" t="s">
        <v>241</v>
      </c>
      <c r="C180">
        <v>2020</v>
      </c>
      <c r="D180">
        <v>10</v>
      </c>
    </row>
    <row r="181" spans="1:4">
      <c r="A181" t="s">
        <v>214</v>
      </c>
      <c r="B181" t="s">
        <v>241</v>
      </c>
      <c r="C181">
        <v>2020</v>
      </c>
      <c r="D181">
        <v>2</v>
      </c>
    </row>
    <row r="182" spans="1:4">
      <c r="A182" t="s">
        <v>70</v>
      </c>
      <c r="B182" t="s">
        <v>241</v>
      </c>
      <c r="C182">
        <v>2020</v>
      </c>
      <c r="D182">
        <v>679</v>
      </c>
    </row>
    <row r="183" spans="1:4">
      <c r="A183" t="s">
        <v>144</v>
      </c>
      <c r="B183" t="s">
        <v>241</v>
      </c>
      <c r="C183">
        <v>2020</v>
      </c>
      <c r="D183">
        <v>117</v>
      </c>
    </row>
    <row r="184" spans="1:4">
      <c r="A184" t="s">
        <v>89</v>
      </c>
      <c r="B184" t="s">
        <v>241</v>
      </c>
      <c r="C184">
        <v>2020</v>
      </c>
      <c r="D184">
        <v>31</v>
      </c>
    </row>
    <row r="185" spans="1:4">
      <c r="A185" t="s">
        <v>204</v>
      </c>
      <c r="B185" t="s">
        <v>241</v>
      </c>
      <c r="C185">
        <v>2020</v>
      </c>
      <c r="D185">
        <v>16</v>
      </c>
    </row>
    <row r="186" spans="1:4">
      <c r="A186" t="s">
        <v>114</v>
      </c>
      <c r="B186" t="s">
        <v>241</v>
      </c>
      <c r="C186">
        <v>2020</v>
      </c>
      <c r="D186">
        <v>9</v>
      </c>
    </row>
    <row r="187" spans="1:4">
      <c r="A187" t="s">
        <v>184</v>
      </c>
      <c r="B187" t="s">
        <v>241</v>
      </c>
      <c r="C187">
        <v>2020</v>
      </c>
      <c r="D187">
        <v>2</v>
      </c>
    </row>
    <row r="188" spans="1:4">
      <c r="A188" t="s">
        <v>79</v>
      </c>
      <c r="B188" t="s">
        <v>241</v>
      </c>
      <c r="C188">
        <v>2020</v>
      </c>
      <c r="D188">
        <v>4</v>
      </c>
    </row>
    <row r="189" spans="1:4">
      <c r="A189" t="s">
        <v>199</v>
      </c>
      <c r="B189" t="s">
        <v>241</v>
      </c>
      <c r="C189">
        <v>2020</v>
      </c>
    </row>
    <row r="190" spans="1:4">
      <c r="A190" t="s">
        <v>224</v>
      </c>
      <c r="B190" t="s">
        <v>241</v>
      </c>
      <c r="C190">
        <v>2020</v>
      </c>
      <c r="D190">
        <v>2</v>
      </c>
    </row>
    <row r="191" spans="1:4">
      <c r="A191" t="s">
        <v>194</v>
      </c>
      <c r="B191" t="s">
        <v>241</v>
      </c>
      <c r="C191">
        <v>2020</v>
      </c>
      <c r="D191">
        <v>3</v>
      </c>
    </row>
    <row r="192" spans="1:4">
      <c r="A192" t="s">
        <v>124</v>
      </c>
      <c r="B192" t="s">
        <v>241</v>
      </c>
      <c r="C192">
        <v>2020</v>
      </c>
      <c r="D192">
        <v>88</v>
      </c>
    </row>
    <row r="193" spans="1:4">
      <c r="A193" t="s">
        <v>179</v>
      </c>
      <c r="B193" t="s">
        <v>241</v>
      </c>
      <c r="C193">
        <v>2020</v>
      </c>
      <c r="D193">
        <v>0.4</v>
      </c>
    </row>
    <row r="194" spans="1:4">
      <c r="A194" t="s">
        <v>129</v>
      </c>
      <c r="B194" t="s">
        <v>241</v>
      </c>
      <c r="C194">
        <v>2021</v>
      </c>
      <c r="D194">
        <v>52</v>
      </c>
    </row>
    <row r="195" spans="1:4">
      <c r="A195" t="s">
        <v>74</v>
      </c>
      <c r="B195" t="s">
        <v>241</v>
      </c>
      <c r="C195">
        <v>2021</v>
      </c>
      <c r="D195">
        <v>5</v>
      </c>
    </row>
    <row r="196" spans="1:4">
      <c r="A196" t="s">
        <v>134</v>
      </c>
      <c r="B196" t="s">
        <v>241</v>
      </c>
      <c r="C196">
        <v>2021</v>
      </c>
      <c r="D196">
        <v>20</v>
      </c>
    </row>
    <row r="197" spans="1:4">
      <c r="A197" t="s">
        <v>209</v>
      </c>
      <c r="B197" t="s">
        <v>241</v>
      </c>
      <c r="C197">
        <v>2021</v>
      </c>
      <c r="D197">
        <v>9</v>
      </c>
    </row>
    <row r="198" spans="1:4">
      <c r="A198" t="s">
        <v>164</v>
      </c>
      <c r="B198" t="s">
        <v>241</v>
      </c>
      <c r="C198">
        <v>2021</v>
      </c>
      <c r="D198">
        <v>50</v>
      </c>
    </row>
    <row r="199" spans="1:4">
      <c r="A199" t="s">
        <v>169</v>
      </c>
      <c r="B199" t="s">
        <v>241</v>
      </c>
      <c r="C199">
        <v>2021</v>
      </c>
      <c r="D199">
        <v>4</v>
      </c>
    </row>
    <row r="200" spans="1:4">
      <c r="A200" t="s">
        <v>189</v>
      </c>
      <c r="B200" t="s">
        <v>241</v>
      </c>
      <c r="C200">
        <v>2021</v>
      </c>
      <c r="D200">
        <v>1</v>
      </c>
    </row>
    <row r="201" spans="1:4">
      <c r="A201" t="s">
        <v>174</v>
      </c>
      <c r="B201" t="s">
        <v>241</v>
      </c>
      <c r="C201">
        <v>2021</v>
      </c>
      <c r="D201">
        <v>1</v>
      </c>
    </row>
    <row r="202" spans="1:4">
      <c r="A202" t="s">
        <v>84</v>
      </c>
      <c r="B202" t="s">
        <v>241</v>
      </c>
      <c r="C202">
        <v>2021</v>
      </c>
      <c r="D202">
        <v>114</v>
      </c>
    </row>
    <row r="203" spans="1:4">
      <c r="A203" t="s">
        <v>149</v>
      </c>
      <c r="B203" t="s">
        <v>241</v>
      </c>
      <c r="C203">
        <v>2021</v>
      </c>
      <c r="D203">
        <v>72</v>
      </c>
    </row>
    <row r="204" spans="1:4">
      <c r="A204" t="s">
        <v>109</v>
      </c>
      <c r="B204" t="s">
        <v>241</v>
      </c>
      <c r="C204">
        <v>2021</v>
      </c>
      <c r="D204">
        <v>10</v>
      </c>
    </row>
    <row r="205" spans="1:4">
      <c r="A205" t="s">
        <v>154</v>
      </c>
      <c r="B205" t="s">
        <v>241</v>
      </c>
      <c r="C205">
        <v>2021</v>
      </c>
      <c r="D205">
        <v>20</v>
      </c>
    </row>
    <row r="206" spans="1:4">
      <c r="A206" t="s">
        <v>159</v>
      </c>
      <c r="B206" t="s">
        <v>241</v>
      </c>
      <c r="C206">
        <v>2021</v>
      </c>
      <c r="D206">
        <v>17</v>
      </c>
    </row>
    <row r="207" spans="1:4">
      <c r="A207" t="s">
        <v>104</v>
      </c>
      <c r="B207" t="s">
        <v>241</v>
      </c>
      <c r="C207">
        <v>2021</v>
      </c>
      <c r="D207">
        <v>10</v>
      </c>
    </row>
    <row r="208" spans="1:4">
      <c r="A208" t="s">
        <v>119</v>
      </c>
      <c r="B208" t="s">
        <v>241</v>
      </c>
      <c r="C208">
        <v>2021</v>
      </c>
      <c r="D208">
        <v>77</v>
      </c>
    </row>
    <row r="209" spans="1:4">
      <c r="A209" t="s">
        <v>139</v>
      </c>
      <c r="B209" t="s">
        <v>241</v>
      </c>
      <c r="C209">
        <v>2021</v>
      </c>
      <c r="D209">
        <v>30</v>
      </c>
    </row>
    <row r="210" spans="1:4">
      <c r="A210" t="s">
        <v>99</v>
      </c>
      <c r="B210" t="s">
        <v>241</v>
      </c>
      <c r="C210">
        <v>2021</v>
      </c>
      <c r="D210">
        <v>14</v>
      </c>
    </row>
    <row r="211" spans="1:4">
      <c r="A211" t="s">
        <v>94</v>
      </c>
      <c r="B211" t="s">
        <v>241</v>
      </c>
      <c r="C211">
        <v>2021</v>
      </c>
      <c r="D211">
        <v>15</v>
      </c>
    </row>
    <row r="212" spans="1:4">
      <c r="A212" t="s">
        <v>219</v>
      </c>
      <c r="B212" t="s">
        <v>241</v>
      </c>
      <c r="C212">
        <v>2021</v>
      </c>
      <c r="D212">
        <v>10</v>
      </c>
    </row>
    <row r="213" spans="1:4">
      <c r="A213" t="s">
        <v>214</v>
      </c>
      <c r="B213" t="s">
        <v>241</v>
      </c>
      <c r="C213">
        <v>2021</v>
      </c>
      <c r="D213">
        <v>2</v>
      </c>
    </row>
    <row r="214" spans="1:4">
      <c r="A214" t="s">
        <v>70</v>
      </c>
      <c r="B214" t="s">
        <v>241</v>
      </c>
      <c r="C214">
        <v>2021</v>
      </c>
      <c r="D214">
        <v>925</v>
      </c>
    </row>
    <row r="215" spans="1:4">
      <c r="A215" t="s">
        <v>144</v>
      </c>
      <c r="B215" t="s">
        <v>241</v>
      </c>
      <c r="C215">
        <v>2021</v>
      </c>
      <c r="D215">
        <v>202</v>
      </c>
    </row>
    <row r="216" spans="1:4">
      <c r="A216" t="s">
        <v>89</v>
      </c>
      <c r="B216" t="s">
        <v>241</v>
      </c>
      <c r="C216">
        <v>2021</v>
      </c>
      <c r="D216">
        <v>60</v>
      </c>
    </row>
    <row r="217" spans="1:4">
      <c r="A217" t="s">
        <v>204</v>
      </c>
      <c r="B217" t="s">
        <v>241</v>
      </c>
      <c r="C217">
        <v>2021</v>
      </c>
      <c r="D217">
        <v>0</v>
      </c>
    </row>
    <row r="218" spans="1:4">
      <c r="A218" t="s">
        <v>114</v>
      </c>
      <c r="B218" t="s">
        <v>241</v>
      </c>
      <c r="C218">
        <v>2021</v>
      </c>
      <c r="D218">
        <v>12</v>
      </c>
    </row>
    <row r="219" spans="1:4">
      <c r="A219" t="s">
        <v>184</v>
      </c>
      <c r="B219" t="s">
        <v>241</v>
      </c>
      <c r="C219">
        <v>2021</v>
      </c>
      <c r="D219">
        <v>2</v>
      </c>
    </row>
    <row r="220" spans="1:4">
      <c r="A220" t="s">
        <v>79</v>
      </c>
      <c r="B220" t="s">
        <v>241</v>
      </c>
      <c r="C220">
        <v>2021</v>
      </c>
      <c r="D220">
        <v>4</v>
      </c>
    </row>
    <row r="221" spans="1:4">
      <c r="A221" t="s">
        <v>199</v>
      </c>
      <c r="B221" t="s">
        <v>241</v>
      </c>
      <c r="C221">
        <v>2021</v>
      </c>
      <c r="D221">
        <v>0.2</v>
      </c>
    </row>
    <row r="222" spans="1:4">
      <c r="A222" t="s">
        <v>224</v>
      </c>
      <c r="B222" t="s">
        <v>241</v>
      </c>
      <c r="C222">
        <v>2021</v>
      </c>
      <c r="D222">
        <v>2</v>
      </c>
    </row>
    <row r="223" spans="1:4">
      <c r="A223" t="s">
        <v>194</v>
      </c>
      <c r="B223" t="s">
        <v>241</v>
      </c>
      <c r="C223">
        <v>2021</v>
      </c>
      <c r="D223">
        <v>4</v>
      </c>
    </row>
    <row r="224" spans="1:4">
      <c r="A224" t="s">
        <v>124</v>
      </c>
      <c r="B224" t="s">
        <v>241</v>
      </c>
      <c r="C224">
        <v>2021</v>
      </c>
      <c r="D224">
        <v>103</v>
      </c>
    </row>
    <row r="225" spans="1:4">
      <c r="A225" t="s">
        <v>179</v>
      </c>
      <c r="B225" t="s">
        <v>241</v>
      </c>
      <c r="C225">
        <v>2021</v>
      </c>
      <c r="D225">
        <v>1</v>
      </c>
    </row>
    <row r="226" spans="1:4">
      <c r="A226" t="s">
        <v>129</v>
      </c>
      <c r="B226" t="s">
        <v>241</v>
      </c>
      <c r="C226">
        <v>2022</v>
      </c>
      <c r="D226">
        <v>80</v>
      </c>
    </row>
    <row r="227" spans="1:4">
      <c r="A227" t="s">
        <v>74</v>
      </c>
      <c r="B227" t="s">
        <v>241</v>
      </c>
      <c r="C227">
        <v>2022</v>
      </c>
      <c r="D227">
        <v>8</v>
      </c>
    </row>
    <row r="228" spans="1:4">
      <c r="A228" t="s">
        <v>134</v>
      </c>
      <c r="B228" t="s">
        <v>241</v>
      </c>
      <c r="C228">
        <v>2022</v>
      </c>
      <c r="D228">
        <v>34</v>
      </c>
    </row>
    <row r="229" spans="1:4">
      <c r="A229" t="s">
        <v>209</v>
      </c>
      <c r="B229" t="s">
        <v>241</v>
      </c>
      <c r="C229">
        <v>2022</v>
      </c>
      <c r="D229">
        <v>10</v>
      </c>
    </row>
    <row r="230" spans="1:4">
      <c r="A230" t="s">
        <v>164</v>
      </c>
      <c r="B230" t="s">
        <v>241</v>
      </c>
      <c r="C230">
        <v>2022</v>
      </c>
      <c r="D230">
        <v>67</v>
      </c>
    </row>
    <row r="231" spans="1:4">
      <c r="A231" t="s">
        <v>169</v>
      </c>
      <c r="B231" t="s">
        <v>241</v>
      </c>
      <c r="C231">
        <v>2022</v>
      </c>
      <c r="D231">
        <v>6</v>
      </c>
    </row>
    <row r="232" spans="1:4">
      <c r="A232" t="s">
        <v>189</v>
      </c>
      <c r="B232" t="s">
        <v>241</v>
      </c>
      <c r="C232">
        <v>2022</v>
      </c>
      <c r="D232">
        <v>1</v>
      </c>
    </row>
    <row r="233" spans="1:4">
      <c r="A233" t="s">
        <v>174</v>
      </c>
      <c r="B233" t="s">
        <v>241</v>
      </c>
      <c r="C233">
        <v>2022</v>
      </c>
      <c r="D233">
        <v>2</v>
      </c>
    </row>
    <row r="234" spans="1:4">
      <c r="A234" t="s">
        <v>84</v>
      </c>
      <c r="B234" t="s">
        <v>241</v>
      </c>
      <c r="C234">
        <v>2022</v>
      </c>
      <c r="D234">
        <v>201</v>
      </c>
    </row>
    <row r="235" spans="1:4">
      <c r="A235" t="s">
        <v>149</v>
      </c>
      <c r="B235" t="s">
        <v>241</v>
      </c>
      <c r="C235">
        <v>2022</v>
      </c>
      <c r="D235">
        <v>140</v>
      </c>
    </row>
    <row r="236" spans="1:4">
      <c r="A236" t="s">
        <v>109</v>
      </c>
      <c r="B236" t="s">
        <v>241</v>
      </c>
      <c r="C236">
        <v>2022</v>
      </c>
      <c r="D236">
        <v>13</v>
      </c>
    </row>
    <row r="237" spans="1:4">
      <c r="A237" t="s">
        <v>154</v>
      </c>
      <c r="B237" t="s">
        <v>241</v>
      </c>
      <c r="C237">
        <v>2022</v>
      </c>
      <c r="D237">
        <v>26</v>
      </c>
    </row>
    <row r="238" spans="1:4">
      <c r="A238" t="s">
        <v>159</v>
      </c>
      <c r="B238" t="s">
        <v>241</v>
      </c>
      <c r="C238">
        <v>2022</v>
      </c>
      <c r="D238">
        <v>25</v>
      </c>
    </row>
    <row r="239" spans="1:4">
      <c r="A239" t="s">
        <v>104</v>
      </c>
      <c r="B239" t="s">
        <v>241</v>
      </c>
      <c r="C239">
        <v>2022</v>
      </c>
      <c r="D239">
        <v>12</v>
      </c>
    </row>
    <row r="240" spans="1:4">
      <c r="A240" t="s">
        <v>119</v>
      </c>
      <c r="B240" t="s">
        <v>241</v>
      </c>
      <c r="C240">
        <v>2022</v>
      </c>
      <c r="D240">
        <v>131</v>
      </c>
    </row>
    <row r="241" spans="1:4">
      <c r="A241" t="s">
        <v>139</v>
      </c>
      <c r="B241" t="s">
        <v>241</v>
      </c>
      <c r="C241">
        <v>2022</v>
      </c>
      <c r="D241">
        <v>38</v>
      </c>
    </row>
    <row r="242" spans="1:4">
      <c r="A242" t="s">
        <v>99</v>
      </c>
      <c r="B242" t="s">
        <v>241</v>
      </c>
      <c r="C242">
        <v>2022</v>
      </c>
      <c r="D242">
        <v>24</v>
      </c>
    </row>
    <row r="243" spans="1:4">
      <c r="A243" t="s">
        <v>94</v>
      </c>
      <c r="B243" t="s">
        <v>241</v>
      </c>
      <c r="C243">
        <v>2022</v>
      </c>
      <c r="D243">
        <v>17</v>
      </c>
    </row>
    <row r="244" spans="1:4">
      <c r="A244" t="s">
        <v>219</v>
      </c>
      <c r="B244" t="s">
        <v>241</v>
      </c>
      <c r="C244">
        <v>2022</v>
      </c>
      <c r="D244">
        <v>12</v>
      </c>
    </row>
    <row r="245" spans="1:4">
      <c r="A245" t="s">
        <v>214</v>
      </c>
      <c r="B245" t="s">
        <v>241</v>
      </c>
      <c r="C245">
        <v>2022</v>
      </c>
      <c r="D245">
        <v>2</v>
      </c>
    </row>
    <row r="246" spans="1:4">
      <c r="A246" t="s">
        <v>70</v>
      </c>
      <c r="B246" t="s">
        <v>241</v>
      </c>
      <c r="C246">
        <v>2022</v>
      </c>
      <c r="D246">
        <v>1437</v>
      </c>
    </row>
    <row r="247" spans="1:4">
      <c r="A247" t="s">
        <v>144</v>
      </c>
      <c r="B247" t="s">
        <v>241</v>
      </c>
      <c r="C247">
        <v>2022</v>
      </c>
      <c r="D247">
        <v>328</v>
      </c>
    </row>
    <row r="248" spans="1:4">
      <c r="A248" t="s">
        <v>89</v>
      </c>
      <c r="B248" t="s">
        <v>241</v>
      </c>
      <c r="C248">
        <v>2022</v>
      </c>
      <c r="D248">
        <v>52</v>
      </c>
    </row>
    <row r="249" spans="1:4">
      <c r="A249" t="s">
        <v>204</v>
      </c>
      <c r="B249" t="s">
        <v>241</v>
      </c>
      <c r="C249">
        <v>2022</v>
      </c>
      <c r="D249">
        <v>25</v>
      </c>
    </row>
    <row r="250" spans="1:4">
      <c r="A250" t="s">
        <v>114</v>
      </c>
      <c r="B250" t="s">
        <v>241</v>
      </c>
      <c r="C250">
        <v>2022</v>
      </c>
      <c r="D250">
        <v>15</v>
      </c>
    </row>
    <row r="251" spans="1:4">
      <c r="A251" t="s">
        <v>184</v>
      </c>
      <c r="B251" t="s">
        <v>241</v>
      </c>
      <c r="C251">
        <v>2022</v>
      </c>
      <c r="D251">
        <v>3</v>
      </c>
    </row>
    <row r="252" spans="1:4">
      <c r="A252" t="s">
        <v>79</v>
      </c>
      <c r="B252" t="s">
        <v>241</v>
      </c>
      <c r="C252">
        <v>2022</v>
      </c>
      <c r="D252">
        <v>7</v>
      </c>
    </row>
    <row r="253" spans="1:4">
      <c r="A253" t="s">
        <v>199</v>
      </c>
      <c r="B253" t="s">
        <v>241</v>
      </c>
      <c r="C253">
        <v>2022</v>
      </c>
      <c r="D253">
        <v>0.2</v>
      </c>
    </row>
    <row r="254" spans="1:4">
      <c r="A254" t="s">
        <v>224</v>
      </c>
      <c r="B254" t="s">
        <v>241</v>
      </c>
      <c r="C254">
        <v>2022</v>
      </c>
      <c r="D254">
        <v>2</v>
      </c>
    </row>
    <row r="255" spans="1:4">
      <c r="A255" t="s">
        <v>194</v>
      </c>
      <c r="B255" t="s">
        <v>241</v>
      </c>
      <c r="C255">
        <v>2022</v>
      </c>
      <c r="D255">
        <v>4</v>
      </c>
    </row>
    <row r="256" spans="1:4">
      <c r="A256" t="s">
        <v>124</v>
      </c>
      <c r="B256" t="s">
        <v>241</v>
      </c>
      <c r="C256">
        <v>2022</v>
      </c>
      <c r="D256">
        <v>148</v>
      </c>
    </row>
    <row r="257" spans="1:4">
      <c r="A257" t="s">
        <v>179</v>
      </c>
      <c r="B257" t="s">
        <v>241</v>
      </c>
      <c r="C257">
        <v>2022</v>
      </c>
      <c r="D257">
        <v>1</v>
      </c>
    </row>
    <row r="258" spans="1:4">
      <c r="A258" t="s">
        <v>129</v>
      </c>
      <c r="B258" t="s">
        <v>242</v>
      </c>
      <c r="C258">
        <v>2015</v>
      </c>
      <c r="D258">
        <v>21</v>
      </c>
    </row>
    <row r="259" spans="1:4">
      <c r="A259" t="s">
        <v>74</v>
      </c>
      <c r="B259" t="s">
        <v>242</v>
      </c>
      <c r="C259">
        <v>2015</v>
      </c>
      <c r="D259">
        <v>3</v>
      </c>
    </row>
    <row r="260" spans="1:4">
      <c r="A260" t="s">
        <v>134</v>
      </c>
      <c r="B260" t="s">
        <v>242</v>
      </c>
      <c r="C260">
        <v>2015</v>
      </c>
      <c r="D260">
        <v>44</v>
      </c>
    </row>
    <row r="261" spans="1:4">
      <c r="A261" t="s">
        <v>209</v>
      </c>
      <c r="B261" t="s">
        <v>242</v>
      </c>
      <c r="C261">
        <v>2015</v>
      </c>
      <c r="D261">
        <v>127</v>
      </c>
    </row>
    <row r="262" spans="1:4">
      <c r="A262" t="s">
        <v>164</v>
      </c>
      <c r="B262" t="s">
        <v>242</v>
      </c>
      <c r="C262">
        <v>2015</v>
      </c>
      <c r="D262">
        <v>42</v>
      </c>
    </row>
    <row r="263" spans="1:4">
      <c r="A263" t="s">
        <v>169</v>
      </c>
      <c r="B263" t="s">
        <v>242</v>
      </c>
      <c r="C263">
        <v>2015</v>
      </c>
      <c r="D263">
        <v>6</v>
      </c>
    </row>
    <row r="264" spans="1:4">
      <c r="A264" t="s">
        <v>189</v>
      </c>
      <c r="B264" t="s">
        <v>242</v>
      </c>
      <c r="C264">
        <v>2015</v>
      </c>
      <c r="D264">
        <v>33</v>
      </c>
    </row>
    <row r="265" spans="1:4">
      <c r="A265" t="s">
        <v>174</v>
      </c>
      <c r="B265" t="s">
        <v>242</v>
      </c>
      <c r="C265">
        <v>2015</v>
      </c>
      <c r="D265">
        <v>6</v>
      </c>
    </row>
    <row r="266" spans="1:4">
      <c r="A266" t="s">
        <v>84</v>
      </c>
      <c r="B266" t="s">
        <v>242</v>
      </c>
      <c r="C266">
        <v>2015</v>
      </c>
      <c r="D266">
        <v>168</v>
      </c>
    </row>
    <row r="267" spans="1:4">
      <c r="A267" t="s">
        <v>149</v>
      </c>
      <c r="B267" t="s">
        <v>242</v>
      </c>
      <c r="C267">
        <v>2015</v>
      </c>
      <c r="D267">
        <v>12</v>
      </c>
    </row>
    <row r="268" spans="1:4">
      <c r="A268" t="s">
        <v>109</v>
      </c>
      <c r="B268" t="s">
        <v>242</v>
      </c>
      <c r="C268">
        <v>2015</v>
      </c>
      <c r="D268">
        <v>72</v>
      </c>
    </row>
    <row r="269" spans="1:4">
      <c r="A269" t="s">
        <v>154</v>
      </c>
      <c r="B269" t="s">
        <v>242</v>
      </c>
      <c r="C269">
        <v>2015</v>
      </c>
      <c r="D269">
        <v>21</v>
      </c>
    </row>
    <row r="270" spans="1:4">
      <c r="A270" t="s">
        <v>159</v>
      </c>
      <c r="B270" t="s">
        <v>242</v>
      </c>
      <c r="C270">
        <v>2015</v>
      </c>
      <c r="D270">
        <v>22</v>
      </c>
    </row>
    <row r="271" spans="1:4">
      <c r="A271" t="s">
        <v>104</v>
      </c>
      <c r="B271" t="s">
        <v>242</v>
      </c>
      <c r="C271">
        <v>2015</v>
      </c>
      <c r="D271">
        <v>60</v>
      </c>
    </row>
    <row r="272" spans="1:4">
      <c r="A272" t="s">
        <v>119</v>
      </c>
      <c r="B272" t="s">
        <v>242</v>
      </c>
      <c r="C272">
        <v>2015</v>
      </c>
      <c r="D272">
        <v>64</v>
      </c>
    </row>
    <row r="273" spans="1:4">
      <c r="A273" t="s">
        <v>139</v>
      </c>
      <c r="B273" t="s">
        <v>242</v>
      </c>
      <c r="C273">
        <v>2015</v>
      </c>
      <c r="D273">
        <v>11</v>
      </c>
    </row>
    <row r="274" spans="1:4">
      <c r="A274" t="s">
        <v>99</v>
      </c>
      <c r="B274" t="s">
        <v>242</v>
      </c>
      <c r="C274">
        <v>2015</v>
      </c>
      <c r="D274">
        <v>112</v>
      </c>
    </row>
    <row r="275" spans="1:4">
      <c r="A275" t="s">
        <v>94</v>
      </c>
      <c r="B275" t="s">
        <v>242</v>
      </c>
      <c r="C275">
        <v>2015</v>
      </c>
      <c r="D275">
        <v>408</v>
      </c>
    </row>
    <row r="276" spans="1:4">
      <c r="A276" t="s">
        <v>219</v>
      </c>
      <c r="B276" t="s">
        <v>242</v>
      </c>
      <c r="C276">
        <v>2015</v>
      </c>
      <c r="D276">
        <v>88</v>
      </c>
    </row>
    <row r="277" spans="1:4">
      <c r="A277" t="s">
        <v>214</v>
      </c>
      <c r="B277" t="s">
        <v>242</v>
      </c>
      <c r="C277">
        <v>2015</v>
      </c>
      <c r="D277">
        <v>7</v>
      </c>
    </row>
    <row r="278" spans="1:4">
      <c r="A278" t="s">
        <v>70</v>
      </c>
      <c r="B278" t="s">
        <v>242</v>
      </c>
      <c r="C278">
        <v>2015</v>
      </c>
      <c r="D278">
        <v>1856</v>
      </c>
    </row>
    <row r="279" spans="1:4">
      <c r="A279" t="s">
        <v>144</v>
      </c>
      <c r="B279" t="s">
        <v>242</v>
      </c>
      <c r="C279">
        <v>2015</v>
      </c>
      <c r="D279">
        <v>121</v>
      </c>
    </row>
    <row r="280" spans="1:4">
      <c r="A280" t="s">
        <v>89</v>
      </c>
      <c r="B280" t="s">
        <v>242</v>
      </c>
      <c r="C280">
        <v>2015</v>
      </c>
      <c r="D280">
        <v>100</v>
      </c>
    </row>
    <row r="281" spans="1:4">
      <c r="A281" t="s">
        <v>204</v>
      </c>
      <c r="B281" t="s">
        <v>242</v>
      </c>
      <c r="C281">
        <v>2015</v>
      </c>
      <c r="D281">
        <v>18</v>
      </c>
    </row>
    <row r="282" spans="1:4">
      <c r="A282" t="s">
        <v>114</v>
      </c>
      <c r="B282" t="s">
        <v>242</v>
      </c>
      <c r="C282">
        <v>2015</v>
      </c>
      <c r="D282">
        <v>10</v>
      </c>
    </row>
    <row r="283" spans="1:4">
      <c r="A283" t="s">
        <v>184</v>
      </c>
      <c r="B283" t="s">
        <v>242</v>
      </c>
      <c r="C283">
        <v>2015</v>
      </c>
      <c r="D283">
        <v>10</v>
      </c>
    </row>
    <row r="284" spans="1:4">
      <c r="A284" t="s">
        <v>79</v>
      </c>
      <c r="B284" t="s">
        <v>242</v>
      </c>
      <c r="C284">
        <v>2015</v>
      </c>
      <c r="D284">
        <v>6</v>
      </c>
    </row>
    <row r="285" spans="1:4">
      <c r="A285" t="s">
        <v>199</v>
      </c>
      <c r="B285" t="s">
        <v>242</v>
      </c>
      <c r="C285">
        <v>2015</v>
      </c>
      <c r="D285">
        <v>0.13</v>
      </c>
    </row>
    <row r="286" spans="1:4">
      <c r="A286" t="s">
        <v>224</v>
      </c>
      <c r="B286" t="s">
        <v>242</v>
      </c>
      <c r="C286">
        <v>2015</v>
      </c>
      <c r="D286">
        <v>151</v>
      </c>
    </row>
    <row r="287" spans="1:4">
      <c r="A287" t="s">
        <v>194</v>
      </c>
      <c r="B287" t="s">
        <v>242</v>
      </c>
      <c r="C287">
        <v>2015</v>
      </c>
      <c r="D287">
        <v>94</v>
      </c>
    </row>
    <row r="288" spans="1:4">
      <c r="A288" t="s">
        <v>124</v>
      </c>
      <c r="B288" t="s">
        <v>242</v>
      </c>
      <c r="C288">
        <v>2015</v>
      </c>
      <c r="D288">
        <v>16</v>
      </c>
    </row>
    <row r="289" spans="1:4">
      <c r="A289" t="s">
        <v>179</v>
      </c>
      <c r="B289" t="s">
        <v>242</v>
      </c>
      <c r="C289">
        <v>2015</v>
      </c>
      <c r="D289">
        <v>3</v>
      </c>
    </row>
    <row r="290" spans="1:4">
      <c r="A290" t="s">
        <v>129</v>
      </c>
      <c r="B290" t="s">
        <v>242</v>
      </c>
      <c r="C290">
        <v>2016</v>
      </c>
      <c r="D290">
        <v>34</v>
      </c>
    </row>
    <row r="291" spans="1:4">
      <c r="A291" t="s">
        <v>74</v>
      </c>
      <c r="B291" t="s">
        <v>242</v>
      </c>
      <c r="C291">
        <v>2016</v>
      </c>
      <c r="D291">
        <v>3</v>
      </c>
    </row>
    <row r="292" spans="1:4">
      <c r="A292" t="s">
        <v>134</v>
      </c>
      <c r="B292" t="s">
        <v>242</v>
      </c>
      <c r="C292">
        <v>2016</v>
      </c>
      <c r="D292">
        <v>50</v>
      </c>
    </row>
    <row r="293" spans="1:4">
      <c r="A293" t="s">
        <v>209</v>
      </c>
      <c r="B293" t="s">
        <v>242</v>
      </c>
      <c r="C293">
        <v>2016</v>
      </c>
      <c r="D293">
        <v>136</v>
      </c>
    </row>
    <row r="294" spans="1:4">
      <c r="A294" t="s">
        <v>164</v>
      </c>
      <c r="B294" t="s">
        <v>242</v>
      </c>
      <c r="C294">
        <v>2016</v>
      </c>
      <c r="D294">
        <v>50</v>
      </c>
    </row>
    <row r="295" spans="1:4">
      <c r="A295" t="s">
        <v>169</v>
      </c>
      <c r="B295" t="s">
        <v>242</v>
      </c>
      <c r="C295">
        <v>2016</v>
      </c>
      <c r="D295">
        <v>13</v>
      </c>
    </row>
    <row r="296" spans="1:4">
      <c r="A296" t="s">
        <v>189</v>
      </c>
      <c r="B296" t="s">
        <v>242</v>
      </c>
      <c r="C296">
        <v>2016</v>
      </c>
      <c r="D296">
        <v>55</v>
      </c>
    </row>
    <row r="297" spans="1:4">
      <c r="A297" t="s">
        <v>174</v>
      </c>
      <c r="B297" t="s">
        <v>242</v>
      </c>
      <c r="C297">
        <v>2016</v>
      </c>
      <c r="D297">
        <v>6</v>
      </c>
    </row>
    <row r="298" spans="1:4">
      <c r="A298" t="s">
        <v>84</v>
      </c>
      <c r="B298" t="s">
        <v>242</v>
      </c>
      <c r="C298">
        <v>2016</v>
      </c>
      <c r="D298">
        <v>216</v>
      </c>
    </row>
    <row r="299" spans="1:4">
      <c r="A299" t="s">
        <v>149</v>
      </c>
      <c r="B299" t="s">
        <v>242</v>
      </c>
      <c r="C299">
        <v>2016</v>
      </c>
      <c r="D299">
        <v>18</v>
      </c>
    </row>
    <row r="300" spans="1:4">
      <c r="A300" t="s">
        <v>109</v>
      </c>
      <c r="B300" t="s">
        <v>242</v>
      </c>
      <c r="C300">
        <v>2016</v>
      </c>
      <c r="D300">
        <v>88</v>
      </c>
    </row>
    <row r="301" spans="1:4">
      <c r="A301" t="s">
        <v>154</v>
      </c>
      <c r="B301" t="s">
        <v>242</v>
      </c>
      <c r="C301">
        <v>2016</v>
      </c>
      <c r="D301">
        <v>35</v>
      </c>
    </row>
    <row r="302" spans="1:4">
      <c r="A302" t="s">
        <v>159</v>
      </c>
      <c r="B302" t="s">
        <v>242</v>
      </c>
      <c r="C302">
        <v>2016</v>
      </c>
      <c r="D302">
        <v>39</v>
      </c>
    </row>
    <row r="303" spans="1:4">
      <c r="A303" t="s">
        <v>104</v>
      </c>
      <c r="B303" t="s">
        <v>242</v>
      </c>
      <c r="C303">
        <v>2016</v>
      </c>
      <c r="D303">
        <v>67</v>
      </c>
    </row>
    <row r="304" spans="1:4">
      <c r="A304" t="s">
        <v>119</v>
      </c>
      <c r="B304" t="s">
        <v>242</v>
      </c>
      <c r="C304">
        <v>2016</v>
      </c>
      <c r="D304">
        <v>98</v>
      </c>
    </row>
    <row r="305" spans="1:4">
      <c r="A305" t="s">
        <v>139</v>
      </c>
      <c r="B305" t="s">
        <v>242</v>
      </c>
      <c r="C305">
        <v>2016</v>
      </c>
      <c r="D305">
        <v>19</v>
      </c>
    </row>
    <row r="306" spans="1:4">
      <c r="A306" t="s">
        <v>99</v>
      </c>
      <c r="B306" t="s">
        <v>242</v>
      </c>
      <c r="C306">
        <v>2016</v>
      </c>
      <c r="D306">
        <v>129</v>
      </c>
    </row>
    <row r="307" spans="1:4">
      <c r="A307" t="s">
        <v>94</v>
      </c>
      <c r="B307" t="s">
        <v>242</v>
      </c>
      <c r="C307">
        <v>2016</v>
      </c>
      <c r="D307">
        <v>464</v>
      </c>
    </row>
    <row r="308" spans="1:4">
      <c r="A308" t="s">
        <v>219</v>
      </c>
      <c r="B308" t="s">
        <v>242</v>
      </c>
      <c r="C308">
        <v>2016</v>
      </c>
      <c r="D308">
        <v>129</v>
      </c>
    </row>
    <row r="309" spans="1:4">
      <c r="A309" t="s">
        <v>214</v>
      </c>
      <c r="B309" t="s">
        <v>242</v>
      </c>
      <c r="C309">
        <v>2016</v>
      </c>
      <c r="D309">
        <v>10</v>
      </c>
    </row>
    <row r="310" spans="1:4">
      <c r="A310" t="s">
        <v>70</v>
      </c>
      <c r="B310" t="s">
        <v>242</v>
      </c>
      <c r="C310">
        <v>2016</v>
      </c>
      <c r="D310">
        <v>2409</v>
      </c>
    </row>
    <row r="311" spans="1:4">
      <c r="A311" t="s">
        <v>144</v>
      </c>
      <c r="B311" t="s">
        <v>242</v>
      </c>
      <c r="C311">
        <v>2016</v>
      </c>
      <c r="D311">
        <v>147</v>
      </c>
    </row>
    <row r="312" spans="1:4">
      <c r="A312" t="s">
        <v>89</v>
      </c>
      <c r="B312" t="s">
        <v>242</v>
      </c>
      <c r="C312">
        <v>2016</v>
      </c>
      <c r="D312">
        <v>135</v>
      </c>
    </row>
    <row r="313" spans="1:4">
      <c r="A313" t="s">
        <v>204</v>
      </c>
      <c r="B313" t="s">
        <v>242</v>
      </c>
      <c r="C313">
        <v>2016</v>
      </c>
      <c r="D313">
        <v>28</v>
      </c>
    </row>
    <row r="314" spans="1:4">
      <c r="A314" t="s">
        <v>114</v>
      </c>
      <c r="B314" t="s">
        <v>242</v>
      </c>
      <c r="C314">
        <v>2016</v>
      </c>
      <c r="D314">
        <v>14</v>
      </c>
    </row>
    <row r="315" spans="1:4">
      <c r="A315" t="s">
        <v>184</v>
      </c>
      <c r="B315" t="s">
        <v>242</v>
      </c>
      <c r="C315">
        <v>2016</v>
      </c>
      <c r="D315">
        <v>21</v>
      </c>
    </row>
    <row r="316" spans="1:4">
      <c r="A316" t="s">
        <v>79</v>
      </c>
      <c r="B316" t="s">
        <v>242</v>
      </c>
      <c r="C316">
        <v>2016</v>
      </c>
      <c r="D316">
        <v>6</v>
      </c>
    </row>
    <row r="317" spans="1:4">
      <c r="A317" t="s">
        <v>199</v>
      </c>
      <c r="B317" t="s">
        <v>242</v>
      </c>
      <c r="C317">
        <v>2016</v>
      </c>
      <c r="D317">
        <v>0.14</v>
      </c>
    </row>
    <row r="318" spans="1:4">
      <c r="A318" t="s">
        <v>224</v>
      </c>
      <c r="B318" t="s">
        <v>242</v>
      </c>
      <c r="C318">
        <v>2016</v>
      </c>
      <c r="D318">
        <v>220</v>
      </c>
    </row>
    <row r="319" spans="1:4">
      <c r="A319" t="s">
        <v>194</v>
      </c>
      <c r="B319" t="s">
        <v>242</v>
      </c>
      <c r="C319">
        <v>2016</v>
      </c>
      <c r="D319">
        <v>149</v>
      </c>
    </row>
    <row r="320" spans="1:4">
      <c r="A320" t="s">
        <v>124</v>
      </c>
      <c r="B320" t="s">
        <v>242</v>
      </c>
      <c r="C320">
        <v>2016</v>
      </c>
      <c r="D320">
        <v>23</v>
      </c>
    </row>
    <row r="321" spans="1:4">
      <c r="A321" t="s">
        <v>179</v>
      </c>
      <c r="B321" t="s">
        <v>242</v>
      </c>
      <c r="C321">
        <v>2016</v>
      </c>
      <c r="D321">
        <v>5</v>
      </c>
    </row>
    <row r="322" spans="1:4">
      <c r="A322" t="s">
        <v>129</v>
      </c>
      <c r="B322" t="s">
        <v>242</v>
      </c>
      <c r="C322">
        <v>2017</v>
      </c>
      <c r="D322">
        <v>41</v>
      </c>
    </row>
    <row r="323" spans="1:4">
      <c r="A323" t="s">
        <v>74</v>
      </c>
      <c r="B323" t="s">
        <v>242</v>
      </c>
      <c r="C323">
        <v>2017</v>
      </c>
      <c r="D323">
        <v>3</v>
      </c>
    </row>
    <row r="324" spans="1:4">
      <c r="A324" t="s">
        <v>134</v>
      </c>
      <c r="B324" t="s">
        <v>242</v>
      </c>
      <c r="C324">
        <v>2017</v>
      </c>
      <c r="D324">
        <v>65</v>
      </c>
    </row>
    <row r="325" spans="1:4">
      <c r="A325" t="s">
        <v>209</v>
      </c>
      <c r="B325" t="s">
        <v>242</v>
      </c>
      <c r="C325">
        <v>2017</v>
      </c>
      <c r="D325">
        <v>188</v>
      </c>
    </row>
    <row r="326" spans="1:4">
      <c r="A326" t="s">
        <v>164</v>
      </c>
      <c r="B326" t="s">
        <v>242</v>
      </c>
      <c r="C326">
        <v>2017</v>
      </c>
      <c r="D326">
        <v>62</v>
      </c>
    </row>
    <row r="327" spans="1:4">
      <c r="A327" t="s">
        <v>169</v>
      </c>
      <c r="B327" t="s">
        <v>242</v>
      </c>
      <c r="C327">
        <v>2017</v>
      </c>
      <c r="D327">
        <v>25</v>
      </c>
    </row>
    <row r="328" spans="1:4">
      <c r="A328" t="s">
        <v>189</v>
      </c>
      <c r="B328" t="s">
        <v>242</v>
      </c>
      <c r="C328">
        <v>2017</v>
      </c>
      <c r="D328">
        <v>63</v>
      </c>
    </row>
    <row r="329" spans="1:4">
      <c r="A329" t="s">
        <v>174</v>
      </c>
      <c r="B329" t="s">
        <v>242</v>
      </c>
      <c r="C329">
        <v>2017</v>
      </c>
      <c r="D329">
        <v>6</v>
      </c>
    </row>
    <row r="330" spans="1:4">
      <c r="A330" t="s">
        <v>84</v>
      </c>
      <c r="B330" t="s">
        <v>242</v>
      </c>
      <c r="C330">
        <v>2017</v>
      </c>
      <c r="D330">
        <v>263</v>
      </c>
    </row>
    <row r="331" spans="1:4">
      <c r="A331" t="s">
        <v>149</v>
      </c>
      <c r="B331" t="s">
        <v>242</v>
      </c>
      <c r="C331">
        <v>2017</v>
      </c>
      <c r="D331">
        <v>30</v>
      </c>
    </row>
    <row r="332" spans="1:4">
      <c r="A332" t="s">
        <v>109</v>
      </c>
      <c r="B332" t="s">
        <v>242</v>
      </c>
      <c r="C332">
        <v>2017</v>
      </c>
      <c r="D332">
        <v>108</v>
      </c>
    </row>
    <row r="333" spans="1:4">
      <c r="A333" t="s">
        <v>154</v>
      </c>
      <c r="B333" t="s">
        <v>242</v>
      </c>
      <c r="C333">
        <v>2017</v>
      </c>
      <c r="D333">
        <v>48</v>
      </c>
    </row>
    <row r="334" spans="1:4">
      <c r="A334" t="s">
        <v>159</v>
      </c>
      <c r="B334" t="s">
        <v>242</v>
      </c>
      <c r="C334">
        <v>2017</v>
      </c>
      <c r="D334">
        <v>50</v>
      </c>
    </row>
    <row r="335" spans="1:4">
      <c r="A335" t="s">
        <v>104</v>
      </c>
      <c r="B335" t="s">
        <v>242</v>
      </c>
      <c r="C335">
        <v>2017</v>
      </c>
      <c r="D335">
        <v>87</v>
      </c>
    </row>
    <row r="336" spans="1:4">
      <c r="A336" t="s">
        <v>119</v>
      </c>
      <c r="B336" t="s">
        <v>242</v>
      </c>
      <c r="C336">
        <v>2017</v>
      </c>
      <c r="D336">
        <v>120</v>
      </c>
    </row>
    <row r="337" spans="1:4">
      <c r="A337" t="s">
        <v>139</v>
      </c>
      <c r="B337" t="s">
        <v>242</v>
      </c>
      <c r="C337">
        <v>2017</v>
      </c>
      <c r="D337">
        <v>31</v>
      </c>
    </row>
    <row r="338" spans="1:4">
      <c r="A338" t="s">
        <v>99</v>
      </c>
      <c r="B338" t="s">
        <v>242</v>
      </c>
      <c r="C338">
        <v>2017</v>
      </c>
      <c r="D338">
        <v>150</v>
      </c>
    </row>
    <row r="339" spans="1:4">
      <c r="A339" t="s">
        <v>94</v>
      </c>
      <c r="B339" t="s">
        <v>242</v>
      </c>
      <c r="C339">
        <v>2017</v>
      </c>
      <c r="D339">
        <v>551</v>
      </c>
    </row>
    <row r="340" spans="1:4">
      <c r="A340" t="s">
        <v>219</v>
      </c>
      <c r="B340" t="s">
        <v>242</v>
      </c>
      <c r="C340">
        <v>2017</v>
      </c>
      <c r="D340">
        <v>155</v>
      </c>
    </row>
    <row r="341" spans="1:4">
      <c r="A341" t="s">
        <v>214</v>
      </c>
      <c r="B341" t="s">
        <v>242</v>
      </c>
      <c r="C341">
        <v>2017</v>
      </c>
      <c r="D341">
        <v>18</v>
      </c>
    </row>
    <row r="342" spans="1:4">
      <c r="A342" t="s">
        <v>70</v>
      </c>
      <c r="B342" t="s">
        <v>242</v>
      </c>
      <c r="C342">
        <v>2017</v>
      </c>
      <c r="D342">
        <v>3034</v>
      </c>
    </row>
    <row r="343" spans="1:4">
      <c r="A343" t="s">
        <v>144</v>
      </c>
      <c r="B343" t="s">
        <v>242</v>
      </c>
      <c r="C343">
        <v>2017</v>
      </c>
      <c r="D343">
        <v>166</v>
      </c>
    </row>
    <row r="344" spans="1:4">
      <c r="A344" t="s">
        <v>89</v>
      </c>
      <c r="B344" t="s">
        <v>242</v>
      </c>
      <c r="C344">
        <v>2017</v>
      </c>
      <c r="D344">
        <v>165</v>
      </c>
    </row>
    <row r="345" spans="1:4">
      <c r="A345" t="s">
        <v>204</v>
      </c>
      <c r="B345" t="s">
        <v>242</v>
      </c>
      <c r="C345">
        <v>2017</v>
      </c>
      <c r="D345">
        <v>42</v>
      </c>
    </row>
    <row r="346" spans="1:4">
      <c r="A346" t="s">
        <v>114</v>
      </c>
      <c r="B346" t="s">
        <v>242</v>
      </c>
      <c r="C346">
        <v>2017</v>
      </c>
      <c r="D346">
        <v>17</v>
      </c>
    </row>
    <row r="347" spans="1:4">
      <c r="A347" t="s">
        <v>184</v>
      </c>
      <c r="B347" t="s">
        <v>242</v>
      </c>
      <c r="C347">
        <v>2017</v>
      </c>
      <c r="D347">
        <v>35</v>
      </c>
    </row>
    <row r="348" spans="1:4">
      <c r="A348" t="s">
        <v>79</v>
      </c>
      <c r="B348" t="s">
        <v>242</v>
      </c>
      <c r="C348">
        <v>2017</v>
      </c>
      <c r="D348">
        <v>6</v>
      </c>
    </row>
    <row r="349" spans="1:4">
      <c r="A349" t="s">
        <v>199</v>
      </c>
      <c r="B349" t="s">
        <v>242</v>
      </c>
      <c r="C349">
        <v>2017</v>
      </c>
      <c r="D349">
        <v>0.1</v>
      </c>
    </row>
    <row r="350" spans="1:4">
      <c r="A350" t="s">
        <v>224</v>
      </c>
      <c r="B350" t="s">
        <v>242</v>
      </c>
      <c r="C350">
        <v>2017</v>
      </c>
      <c r="D350">
        <v>318</v>
      </c>
    </row>
    <row r="351" spans="1:4">
      <c r="A351" t="s">
        <v>194</v>
      </c>
      <c r="B351" t="s">
        <v>242</v>
      </c>
      <c r="C351">
        <v>2017</v>
      </c>
      <c r="D351">
        <v>188</v>
      </c>
    </row>
    <row r="352" spans="1:4">
      <c r="A352" t="s">
        <v>124</v>
      </c>
      <c r="B352" t="s">
        <v>242</v>
      </c>
      <c r="C352">
        <v>2017</v>
      </c>
      <c r="D352">
        <v>25</v>
      </c>
    </row>
    <row r="353" spans="1:4">
      <c r="A353" t="s">
        <v>179</v>
      </c>
      <c r="B353" t="s">
        <v>242</v>
      </c>
      <c r="C353">
        <v>2017</v>
      </c>
      <c r="D353">
        <v>7</v>
      </c>
    </row>
    <row r="354" spans="1:4">
      <c r="A354" t="s">
        <v>129</v>
      </c>
      <c r="B354" t="s">
        <v>242</v>
      </c>
      <c r="C354">
        <v>2018</v>
      </c>
      <c r="D354">
        <v>50</v>
      </c>
    </row>
    <row r="355" spans="1:4">
      <c r="A355" t="s">
        <v>74</v>
      </c>
      <c r="B355" t="s">
        <v>242</v>
      </c>
      <c r="C355">
        <v>2018</v>
      </c>
      <c r="D355">
        <v>3</v>
      </c>
    </row>
    <row r="356" spans="1:4">
      <c r="A356" t="s">
        <v>134</v>
      </c>
      <c r="B356" t="s">
        <v>242</v>
      </c>
      <c r="C356">
        <v>2018</v>
      </c>
      <c r="D356">
        <v>72</v>
      </c>
    </row>
    <row r="357" spans="1:4">
      <c r="A357" t="s">
        <v>209</v>
      </c>
      <c r="B357" t="s">
        <v>242</v>
      </c>
      <c r="C357">
        <v>2018</v>
      </c>
      <c r="D357">
        <v>230</v>
      </c>
    </row>
    <row r="358" spans="1:4">
      <c r="A358" t="s">
        <v>164</v>
      </c>
      <c r="B358" t="s">
        <v>242</v>
      </c>
      <c r="C358">
        <v>2018</v>
      </c>
      <c r="D358">
        <v>63</v>
      </c>
    </row>
    <row r="359" spans="1:4">
      <c r="A359" t="s">
        <v>169</v>
      </c>
      <c r="B359" t="s">
        <v>242</v>
      </c>
      <c r="C359">
        <v>2018</v>
      </c>
      <c r="D359">
        <v>42</v>
      </c>
    </row>
    <row r="360" spans="1:4">
      <c r="A360" t="s">
        <v>189</v>
      </c>
      <c r="B360" t="s">
        <v>242</v>
      </c>
      <c r="C360">
        <v>2018</v>
      </c>
      <c r="D360">
        <v>68</v>
      </c>
    </row>
    <row r="361" spans="1:4">
      <c r="A361" t="s">
        <v>174</v>
      </c>
      <c r="B361" t="s">
        <v>242</v>
      </c>
      <c r="C361">
        <v>2018</v>
      </c>
      <c r="D361">
        <v>5</v>
      </c>
    </row>
    <row r="362" spans="1:4">
      <c r="A362" t="s">
        <v>84</v>
      </c>
      <c r="B362" t="s">
        <v>242</v>
      </c>
      <c r="C362">
        <v>2018</v>
      </c>
      <c r="D362">
        <v>283</v>
      </c>
    </row>
    <row r="363" spans="1:4">
      <c r="A363" t="s">
        <v>149</v>
      </c>
      <c r="B363" t="s">
        <v>242</v>
      </c>
      <c r="C363">
        <v>2018</v>
      </c>
      <c r="D363">
        <v>57</v>
      </c>
    </row>
    <row r="364" spans="1:4">
      <c r="A364" t="s">
        <v>109</v>
      </c>
      <c r="B364" t="s">
        <v>242</v>
      </c>
      <c r="C364">
        <v>2018</v>
      </c>
      <c r="D364">
        <v>125</v>
      </c>
    </row>
    <row r="365" spans="1:4">
      <c r="A365" t="s">
        <v>154</v>
      </c>
      <c r="B365" t="s">
        <v>242</v>
      </c>
      <c r="C365">
        <v>2018</v>
      </c>
      <c r="D365">
        <v>64</v>
      </c>
    </row>
    <row r="366" spans="1:4">
      <c r="A366" t="s">
        <v>159</v>
      </c>
      <c r="B366" t="s">
        <v>242</v>
      </c>
      <c r="C366">
        <v>2018</v>
      </c>
      <c r="D366">
        <v>60</v>
      </c>
    </row>
    <row r="367" spans="1:4">
      <c r="A367" t="s">
        <v>104</v>
      </c>
      <c r="B367" t="s">
        <v>242</v>
      </c>
      <c r="C367">
        <v>2018</v>
      </c>
      <c r="D367">
        <v>105</v>
      </c>
    </row>
    <row r="368" spans="1:4">
      <c r="A368" t="s">
        <v>119</v>
      </c>
      <c r="B368" t="s">
        <v>242</v>
      </c>
      <c r="C368">
        <v>2018</v>
      </c>
      <c r="D368">
        <v>173</v>
      </c>
    </row>
    <row r="369" spans="1:4">
      <c r="A369" t="s">
        <v>139</v>
      </c>
      <c r="B369" t="s">
        <v>242</v>
      </c>
      <c r="C369">
        <v>2018</v>
      </c>
      <c r="D369">
        <v>41</v>
      </c>
    </row>
    <row r="370" spans="1:4">
      <c r="A370" t="s">
        <v>99</v>
      </c>
      <c r="B370" t="s">
        <v>242</v>
      </c>
      <c r="C370">
        <v>2018</v>
      </c>
      <c r="D370">
        <v>165</v>
      </c>
    </row>
    <row r="371" spans="1:4">
      <c r="A371" t="s">
        <v>94</v>
      </c>
      <c r="B371" t="s">
        <v>242</v>
      </c>
      <c r="C371">
        <v>2018</v>
      </c>
      <c r="D371">
        <v>632</v>
      </c>
    </row>
    <row r="372" spans="1:4">
      <c r="A372" t="s">
        <v>219</v>
      </c>
      <c r="B372" t="s">
        <v>242</v>
      </c>
      <c r="C372">
        <v>2018</v>
      </c>
      <c r="D372">
        <v>187</v>
      </c>
    </row>
    <row r="373" spans="1:4">
      <c r="A373" t="s">
        <v>214</v>
      </c>
      <c r="B373" t="s">
        <v>242</v>
      </c>
      <c r="C373">
        <v>2018</v>
      </c>
      <c r="D373">
        <v>38</v>
      </c>
    </row>
    <row r="374" spans="1:4">
      <c r="A374" t="s">
        <v>70</v>
      </c>
      <c r="B374" t="s">
        <v>242</v>
      </c>
      <c r="C374">
        <v>2018</v>
      </c>
      <c r="D374">
        <v>3658</v>
      </c>
    </row>
    <row r="375" spans="1:4">
      <c r="A375" t="s">
        <v>144</v>
      </c>
      <c r="B375" t="s">
        <v>242</v>
      </c>
      <c r="C375">
        <v>2018</v>
      </c>
      <c r="D375">
        <v>214</v>
      </c>
    </row>
    <row r="376" spans="1:4">
      <c r="A376" t="s">
        <v>89</v>
      </c>
      <c r="B376" t="s">
        <v>242</v>
      </c>
      <c r="C376">
        <v>2018</v>
      </c>
      <c r="D376">
        <v>212</v>
      </c>
    </row>
    <row r="377" spans="1:4">
      <c r="A377" t="s">
        <v>204</v>
      </c>
      <c r="B377" t="s">
        <v>242</v>
      </c>
      <c r="C377">
        <v>2018</v>
      </c>
      <c r="D377">
        <v>72</v>
      </c>
    </row>
    <row r="378" spans="1:4">
      <c r="A378" t="s">
        <v>114</v>
      </c>
      <c r="B378" t="s">
        <v>242</v>
      </c>
      <c r="C378">
        <v>2018</v>
      </c>
      <c r="D378">
        <v>18</v>
      </c>
    </row>
    <row r="379" spans="1:4">
      <c r="A379" t="s">
        <v>184</v>
      </c>
      <c r="B379" t="s">
        <v>242</v>
      </c>
      <c r="C379">
        <v>2018</v>
      </c>
      <c r="D379">
        <v>55</v>
      </c>
    </row>
    <row r="380" spans="1:4">
      <c r="A380" t="s">
        <v>79</v>
      </c>
      <c r="B380" t="s">
        <v>242</v>
      </c>
      <c r="C380">
        <v>2018</v>
      </c>
      <c r="D380">
        <v>8</v>
      </c>
    </row>
    <row r="381" spans="1:4">
      <c r="A381" t="s">
        <v>199</v>
      </c>
      <c r="B381" t="s">
        <v>242</v>
      </c>
      <c r="C381">
        <v>2018</v>
      </c>
      <c r="D381">
        <v>0.1</v>
      </c>
    </row>
    <row r="382" spans="1:4">
      <c r="A382" t="s">
        <v>224</v>
      </c>
      <c r="B382" t="s">
        <v>242</v>
      </c>
      <c r="C382">
        <v>2018</v>
      </c>
      <c r="D382">
        <v>358</v>
      </c>
    </row>
    <row r="383" spans="1:4">
      <c r="A383" t="s">
        <v>194</v>
      </c>
      <c r="B383" t="s">
        <v>242</v>
      </c>
      <c r="C383">
        <v>2018</v>
      </c>
      <c r="D383">
        <v>220</v>
      </c>
    </row>
    <row r="384" spans="1:4">
      <c r="A384" t="s">
        <v>124</v>
      </c>
      <c r="B384" t="s">
        <v>242</v>
      </c>
      <c r="C384">
        <v>2018</v>
      </c>
      <c r="D384">
        <v>31</v>
      </c>
    </row>
    <row r="385" spans="1:4">
      <c r="A385" t="s">
        <v>179</v>
      </c>
      <c r="B385" t="s">
        <v>242</v>
      </c>
      <c r="C385">
        <v>2018</v>
      </c>
      <c r="D385">
        <v>8</v>
      </c>
    </row>
    <row r="386" spans="1:4">
      <c r="A386" t="s">
        <v>129</v>
      </c>
      <c r="B386" t="s">
        <v>242</v>
      </c>
      <c r="C386">
        <v>2019</v>
      </c>
      <c r="D386">
        <v>47</v>
      </c>
    </row>
    <row r="387" spans="1:4">
      <c r="A387" t="s">
        <v>74</v>
      </c>
      <c r="B387" t="s">
        <v>242</v>
      </c>
      <c r="C387">
        <v>2019</v>
      </c>
      <c r="D387">
        <v>3</v>
      </c>
    </row>
    <row r="388" spans="1:4">
      <c r="A388" t="s">
        <v>134</v>
      </c>
      <c r="B388" t="s">
        <v>242</v>
      </c>
      <c r="C388">
        <v>2019</v>
      </c>
      <c r="D388">
        <v>87</v>
      </c>
    </row>
    <row r="389" spans="1:4">
      <c r="A389" t="s">
        <v>209</v>
      </c>
      <c r="B389" t="s">
        <v>242</v>
      </c>
      <c r="C389">
        <v>2019</v>
      </c>
      <c r="D389">
        <v>228</v>
      </c>
    </row>
    <row r="390" spans="1:4">
      <c r="A390" t="s">
        <v>164</v>
      </c>
      <c r="B390" t="s">
        <v>242</v>
      </c>
      <c r="C390">
        <v>2019</v>
      </c>
      <c r="D390">
        <v>74</v>
      </c>
    </row>
    <row r="391" spans="1:4">
      <c r="A391" t="s">
        <v>169</v>
      </c>
      <c r="B391" t="s">
        <v>242</v>
      </c>
      <c r="C391">
        <v>2019</v>
      </c>
      <c r="D391">
        <v>61</v>
      </c>
    </row>
    <row r="392" spans="1:4">
      <c r="A392" t="s">
        <v>189</v>
      </c>
      <c r="B392" t="s">
        <v>242</v>
      </c>
      <c r="C392">
        <v>2019</v>
      </c>
      <c r="D392">
        <v>78</v>
      </c>
    </row>
    <row r="393" spans="1:4">
      <c r="A393" t="s">
        <v>174</v>
      </c>
      <c r="B393" t="s">
        <v>242</v>
      </c>
      <c r="C393">
        <v>2019</v>
      </c>
      <c r="D393">
        <v>5</v>
      </c>
    </row>
    <row r="394" spans="1:4">
      <c r="A394" t="s">
        <v>84</v>
      </c>
      <c r="B394" t="s">
        <v>242</v>
      </c>
      <c r="C394">
        <v>2019</v>
      </c>
      <c r="D394">
        <v>318</v>
      </c>
    </row>
    <row r="395" spans="1:4">
      <c r="A395" t="s">
        <v>149</v>
      </c>
      <c r="B395" t="s">
        <v>242</v>
      </c>
      <c r="C395">
        <v>2019</v>
      </c>
      <c r="D395">
        <v>88</v>
      </c>
    </row>
    <row r="396" spans="1:4">
      <c r="A396" t="s">
        <v>109</v>
      </c>
      <c r="B396" t="s">
        <v>242</v>
      </c>
      <c r="C396">
        <v>2019</v>
      </c>
      <c r="D396">
        <v>140</v>
      </c>
    </row>
    <row r="397" spans="1:4">
      <c r="A397" t="s">
        <v>154</v>
      </c>
      <c r="B397" t="s">
        <v>242</v>
      </c>
      <c r="C397">
        <v>2019</v>
      </c>
      <c r="D397">
        <v>74</v>
      </c>
    </row>
    <row r="398" spans="1:4">
      <c r="A398" t="s">
        <v>159</v>
      </c>
      <c r="B398" t="s">
        <v>242</v>
      </c>
      <c r="C398">
        <v>2019</v>
      </c>
      <c r="D398">
        <v>75</v>
      </c>
    </row>
    <row r="399" spans="1:4">
      <c r="A399" t="s">
        <v>104</v>
      </c>
      <c r="B399" t="s">
        <v>242</v>
      </c>
      <c r="C399">
        <v>2019</v>
      </c>
      <c r="D399">
        <v>115</v>
      </c>
    </row>
    <row r="400" spans="1:4">
      <c r="A400" t="s">
        <v>119</v>
      </c>
      <c r="B400" t="s">
        <v>242</v>
      </c>
      <c r="C400">
        <v>2019</v>
      </c>
      <c r="D400">
        <v>184</v>
      </c>
    </row>
    <row r="401" spans="1:4">
      <c r="A401" t="s">
        <v>139</v>
      </c>
      <c r="B401" t="s">
        <v>242</v>
      </c>
      <c r="C401">
        <v>2019</v>
      </c>
      <c r="D401">
        <v>51</v>
      </c>
    </row>
    <row r="402" spans="1:4">
      <c r="A402" t="s">
        <v>99</v>
      </c>
      <c r="B402" t="s">
        <v>242</v>
      </c>
      <c r="C402">
        <v>2019</v>
      </c>
      <c r="D402">
        <v>183</v>
      </c>
    </row>
    <row r="403" spans="1:4">
      <c r="A403" t="s">
        <v>94</v>
      </c>
      <c r="B403" t="s">
        <v>242</v>
      </c>
      <c r="C403">
        <v>2019</v>
      </c>
      <c r="D403">
        <v>666</v>
      </c>
    </row>
    <row r="404" spans="1:4">
      <c r="A404" t="s">
        <v>219</v>
      </c>
      <c r="B404" t="s">
        <v>242</v>
      </c>
      <c r="C404">
        <v>2019</v>
      </c>
      <c r="D404">
        <v>186</v>
      </c>
    </row>
    <row r="405" spans="1:4">
      <c r="A405" t="s">
        <v>214</v>
      </c>
      <c r="B405" t="s">
        <v>242</v>
      </c>
      <c r="C405">
        <v>2019</v>
      </c>
      <c r="D405">
        <v>66</v>
      </c>
    </row>
    <row r="406" spans="1:4">
      <c r="A406" t="s">
        <v>70</v>
      </c>
      <c r="B406" t="s">
        <v>242</v>
      </c>
      <c r="C406">
        <v>2019</v>
      </c>
      <c r="D406">
        <v>4053</v>
      </c>
    </row>
    <row r="407" spans="1:4">
      <c r="A407" t="s">
        <v>144</v>
      </c>
      <c r="B407" t="s">
        <v>242</v>
      </c>
      <c r="C407">
        <v>2019</v>
      </c>
      <c r="D407">
        <v>225</v>
      </c>
    </row>
    <row r="408" spans="1:4">
      <c r="A408" t="s">
        <v>89</v>
      </c>
      <c r="B408" t="s">
        <v>242</v>
      </c>
      <c r="C408">
        <v>2019</v>
      </c>
      <c r="D408">
        <v>224</v>
      </c>
    </row>
    <row r="409" spans="1:4">
      <c r="A409" t="s">
        <v>204</v>
      </c>
      <c r="B409" t="s">
        <v>242</v>
      </c>
      <c r="C409">
        <v>2019</v>
      </c>
      <c r="D409">
        <v>83</v>
      </c>
    </row>
    <row r="410" spans="1:4">
      <c r="A410" t="s">
        <v>114</v>
      </c>
      <c r="B410" t="s">
        <v>242</v>
      </c>
      <c r="C410">
        <v>2019</v>
      </c>
      <c r="D410">
        <v>17</v>
      </c>
    </row>
    <row r="411" spans="1:4">
      <c r="A411" t="s">
        <v>184</v>
      </c>
      <c r="B411" t="s">
        <v>242</v>
      </c>
      <c r="C411">
        <v>2019</v>
      </c>
      <c r="D411">
        <v>71</v>
      </c>
    </row>
    <row r="412" spans="1:4">
      <c r="A412" t="s">
        <v>79</v>
      </c>
      <c r="B412" t="s">
        <v>242</v>
      </c>
      <c r="C412">
        <v>2019</v>
      </c>
      <c r="D412">
        <v>11</v>
      </c>
    </row>
    <row r="413" spans="1:4">
      <c r="A413" t="s">
        <v>199</v>
      </c>
      <c r="B413" t="s">
        <v>242</v>
      </c>
      <c r="C413">
        <v>2019</v>
      </c>
      <c r="D413">
        <v>0.16</v>
      </c>
    </row>
    <row r="414" spans="1:4">
      <c r="A414" t="s">
        <v>224</v>
      </c>
      <c r="B414" t="s">
        <v>242</v>
      </c>
      <c r="C414">
        <v>2019</v>
      </c>
      <c r="D414">
        <v>407</v>
      </c>
    </row>
    <row r="415" spans="1:4">
      <c r="A415" t="s">
        <v>194</v>
      </c>
      <c r="B415" t="s">
        <v>242</v>
      </c>
      <c r="C415">
        <v>2019</v>
      </c>
      <c r="D415">
        <v>242</v>
      </c>
    </row>
    <row r="416" spans="1:4">
      <c r="A416" t="s">
        <v>124</v>
      </c>
      <c r="B416" t="s">
        <v>242</v>
      </c>
      <c r="C416">
        <v>2019</v>
      </c>
      <c r="D416">
        <v>33</v>
      </c>
    </row>
    <row r="417" spans="1:4">
      <c r="A417" t="s">
        <v>179</v>
      </c>
      <c r="B417" t="s">
        <v>242</v>
      </c>
      <c r="C417">
        <v>2019</v>
      </c>
      <c r="D417">
        <v>11</v>
      </c>
    </row>
    <row r="418" spans="1:4">
      <c r="A418" t="s">
        <v>129</v>
      </c>
      <c r="B418" t="s">
        <v>242</v>
      </c>
      <c r="C418">
        <v>2020</v>
      </c>
      <c r="D418">
        <v>57</v>
      </c>
    </row>
    <row r="419" spans="1:4">
      <c r="A419" t="s">
        <v>74</v>
      </c>
      <c r="B419" t="s">
        <v>242</v>
      </c>
      <c r="C419">
        <v>2020</v>
      </c>
      <c r="D419">
        <v>4</v>
      </c>
    </row>
    <row r="420" spans="1:4">
      <c r="A420" t="s">
        <v>134</v>
      </c>
      <c r="B420" t="s">
        <v>242</v>
      </c>
      <c r="C420">
        <v>2020</v>
      </c>
      <c r="D420">
        <v>122</v>
      </c>
    </row>
    <row r="421" spans="1:4">
      <c r="A421" t="s">
        <v>209</v>
      </c>
      <c r="B421" t="s">
        <v>242</v>
      </c>
      <c r="C421">
        <v>2020</v>
      </c>
      <c r="D421">
        <v>246</v>
      </c>
    </row>
    <row r="422" spans="1:4">
      <c r="A422" t="s">
        <v>164</v>
      </c>
      <c r="B422" t="s">
        <v>242</v>
      </c>
      <c r="C422">
        <v>2020</v>
      </c>
      <c r="D422">
        <v>103</v>
      </c>
    </row>
    <row r="423" spans="1:4">
      <c r="A423" t="s">
        <v>169</v>
      </c>
      <c r="B423" t="s">
        <v>242</v>
      </c>
      <c r="C423">
        <v>2020</v>
      </c>
      <c r="D423">
        <v>106</v>
      </c>
    </row>
    <row r="424" spans="1:4">
      <c r="A424" t="s">
        <v>189</v>
      </c>
      <c r="B424" t="s">
        <v>242</v>
      </c>
      <c r="C424">
        <v>2020</v>
      </c>
      <c r="D424">
        <v>97</v>
      </c>
    </row>
    <row r="425" spans="1:4">
      <c r="A425" t="s">
        <v>174</v>
      </c>
      <c r="B425" t="s">
        <v>242</v>
      </c>
      <c r="C425">
        <v>2020</v>
      </c>
      <c r="D425">
        <v>6</v>
      </c>
    </row>
    <row r="426" spans="1:4">
      <c r="A426" t="s">
        <v>84</v>
      </c>
      <c r="B426" t="s">
        <v>242</v>
      </c>
      <c r="C426">
        <v>2020</v>
      </c>
      <c r="D426">
        <v>368</v>
      </c>
    </row>
    <row r="427" spans="1:4">
      <c r="A427" t="s">
        <v>149</v>
      </c>
      <c r="B427" t="s">
        <v>242</v>
      </c>
      <c r="C427">
        <v>2020</v>
      </c>
      <c r="D427">
        <v>139</v>
      </c>
    </row>
    <row r="428" spans="1:4">
      <c r="A428" t="s">
        <v>109</v>
      </c>
      <c r="B428" t="s">
        <v>242</v>
      </c>
      <c r="C428">
        <v>2020</v>
      </c>
      <c r="D428">
        <v>141</v>
      </c>
    </row>
    <row r="429" spans="1:4">
      <c r="A429" t="s">
        <v>154</v>
      </c>
      <c r="B429" t="s">
        <v>242</v>
      </c>
      <c r="C429">
        <v>2020</v>
      </c>
      <c r="D429">
        <v>82</v>
      </c>
    </row>
    <row r="430" spans="1:4">
      <c r="A430" t="s">
        <v>159</v>
      </c>
      <c r="B430" t="s">
        <v>242</v>
      </c>
      <c r="C430">
        <v>2020</v>
      </c>
      <c r="D430">
        <v>99</v>
      </c>
    </row>
    <row r="431" spans="1:4">
      <c r="A431" t="s">
        <v>104</v>
      </c>
      <c r="B431" t="s">
        <v>242</v>
      </c>
      <c r="C431">
        <v>2020</v>
      </c>
      <c r="D431">
        <v>130</v>
      </c>
    </row>
    <row r="432" spans="1:4">
      <c r="A432" t="s">
        <v>119</v>
      </c>
      <c r="B432" t="s">
        <v>242</v>
      </c>
      <c r="C432">
        <v>2020</v>
      </c>
      <c r="D432">
        <v>229</v>
      </c>
    </row>
    <row r="433" spans="1:4">
      <c r="A433" t="s">
        <v>139</v>
      </c>
      <c r="B433" t="s">
        <v>242</v>
      </c>
      <c r="C433">
        <v>2020</v>
      </c>
      <c r="D433">
        <v>71</v>
      </c>
    </row>
    <row r="434" spans="1:4">
      <c r="A434" t="s">
        <v>99</v>
      </c>
      <c r="B434" t="s">
        <v>242</v>
      </c>
      <c r="C434">
        <v>2020</v>
      </c>
      <c r="D434">
        <v>194</v>
      </c>
    </row>
    <row r="435" spans="1:4">
      <c r="A435" t="s">
        <v>94</v>
      </c>
      <c r="B435" t="s">
        <v>242</v>
      </c>
      <c r="C435">
        <v>2020</v>
      </c>
      <c r="D435">
        <v>726</v>
      </c>
    </row>
    <row r="436" spans="1:4">
      <c r="A436" t="s">
        <v>219</v>
      </c>
      <c r="B436" t="s">
        <v>242</v>
      </c>
      <c r="C436">
        <v>2020</v>
      </c>
      <c r="D436">
        <v>194</v>
      </c>
    </row>
    <row r="437" spans="1:4">
      <c r="A437" t="s">
        <v>214</v>
      </c>
      <c r="B437" t="s">
        <v>242</v>
      </c>
      <c r="C437">
        <v>2020</v>
      </c>
      <c r="D437">
        <v>82</v>
      </c>
    </row>
    <row r="438" spans="1:4">
      <c r="A438" t="s">
        <v>70</v>
      </c>
      <c r="B438" t="s">
        <v>242</v>
      </c>
      <c r="C438">
        <v>2020</v>
      </c>
      <c r="D438">
        <v>4665</v>
      </c>
    </row>
    <row r="439" spans="1:4">
      <c r="A439" t="s">
        <v>144</v>
      </c>
      <c r="B439" t="s">
        <v>242</v>
      </c>
      <c r="C439">
        <v>2020</v>
      </c>
      <c r="D439">
        <v>259</v>
      </c>
    </row>
    <row r="440" spans="1:4">
      <c r="A440" t="s">
        <v>89</v>
      </c>
      <c r="B440" t="s">
        <v>242</v>
      </c>
      <c r="C440">
        <v>2020</v>
      </c>
      <c r="D440">
        <v>266</v>
      </c>
    </row>
    <row r="441" spans="1:4">
      <c r="A441" t="s">
        <v>204</v>
      </c>
      <c r="B441" t="s">
        <v>242</v>
      </c>
      <c r="C441">
        <v>2020</v>
      </c>
      <c r="D441">
        <v>95</v>
      </c>
    </row>
    <row r="442" spans="1:4">
      <c r="A442" t="s">
        <v>114</v>
      </c>
      <c r="B442" t="s">
        <v>242</v>
      </c>
      <c r="C442">
        <v>2020</v>
      </c>
      <c r="D442">
        <v>19</v>
      </c>
    </row>
    <row r="443" spans="1:4">
      <c r="A443" t="s">
        <v>184</v>
      </c>
      <c r="B443" t="s">
        <v>242</v>
      </c>
      <c r="C443">
        <v>2020</v>
      </c>
      <c r="D443">
        <v>86</v>
      </c>
    </row>
    <row r="444" spans="1:4">
      <c r="A444" t="s">
        <v>79</v>
      </c>
      <c r="B444" t="s">
        <v>242</v>
      </c>
      <c r="C444">
        <v>2020</v>
      </c>
      <c r="D444">
        <v>12</v>
      </c>
    </row>
    <row r="445" spans="1:4">
      <c r="A445" t="s">
        <v>199</v>
      </c>
      <c r="B445" t="s">
        <v>242</v>
      </c>
      <c r="C445">
        <v>2020</v>
      </c>
      <c r="D445">
        <v>0.14</v>
      </c>
    </row>
    <row r="446" spans="1:4">
      <c r="A446" t="s">
        <v>224</v>
      </c>
      <c r="B446" t="s">
        <v>242</v>
      </c>
      <c r="C446">
        <v>2020</v>
      </c>
      <c r="D446">
        <v>434</v>
      </c>
    </row>
    <row r="447" spans="1:4">
      <c r="A447" t="s">
        <v>194</v>
      </c>
      <c r="B447" t="s">
        <v>242</v>
      </c>
      <c r="C447">
        <v>2020</v>
      </c>
      <c r="D447">
        <v>250</v>
      </c>
    </row>
    <row r="448" spans="1:4">
      <c r="A448" t="s">
        <v>124</v>
      </c>
      <c r="B448" t="s">
        <v>242</v>
      </c>
      <c r="C448">
        <v>2020</v>
      </c>
      <c r="D448">
        <v>36</v>
      </c>
    </row>
    <row r="449" spans="1:4">
      <c r="A449" t="s">
        <v>179</v>
      </c>
      <c r="B449" t="s">
        <v>242</v>
      </c>
      <c r="C449">
        <v>2020</v>
      </c>
      <c r="D449">
        <v>14</v>
      </c>
    </row>
    <row r="450" spans="1:4">
      <c r="A450" t="s">
        <v>129</v>
      </c>
      <c r="B450" t="s">
        <v>242</v>
      </c>
      <c r="C450">
        <v>2021</v>
      </c>
      <c r="D450">
        <v>107</v>
      </c>
    </row>
    <row r="451" spans="1:4">
      <c r="A451" t="s">
        <v>74</v>
      </c>
      <c r="B451" t="s">
        <v>242</v>
      </c>
      <c r="C451">
        <v>2021</v>
      </c>
      <c r="D451">
        <v>4</v>
      </c>
    </row>
    <row r="452" spans="1:4">
      <c r="A452" t="s">
        <v>134</v>
      </c>
      <c r="B452" t="s">
        <v>242</v>
      </c>
      <c r="C452">
        <v>2021</v>
      </c>
      <c r="D452">
        <v>152</v>
      </c>
    </row>
    <row r="453" spans="1:4">
      <c r="A453" t="s">
        <v>209</v>
      </c>
      <c r="B453" t="s">
        <v>242</v>
      </c>
      <c r="C453">
        <v>2021</v>
      </c>
      <c r="D453">
        <v>288</v>
      </c>
    </row>
    <row r="454" spans="1:4">
      <c r="A454" t="s">
        <v>164</v>
      </c>
      <c r="B454" t="s">
        <v>242</v>
      </c>
      <c r="C454">
        <v>2021</v>
      </c>
      <c r="D454">
        <v>137</v>
      </c>
    </row>
    <row r="455" spans="1:4">
      <c r="A455" t="s">
        <v>169</v>
      </c>
      <c r="B455" t="s">
        <v>242</v>
      </c>
      <c r="C455">
        <v>2021</v>
      </c>
      <c r="D455">
        <v>161</v>
      </c>
    </row>
    <row r="456" spans="1:4">
      <c r="A456" t="s">
        <v>189</v>
      </c>
      <c r="B456" t="s">
        <v>242</v>
      </c>
      <c r="C456">
        <v>2021</v>
      </c>
      <c r="D456">
        <v>105</v>
      </c>
    </row>
    <row r="457" spans="1:4">
      <c r="A457" t="s">
        <v>174</v>
      </c>
      <c r="B457" t="s">
        <v>242</v>
      </c>
      <c r="C457">
        <v>2021</v>
      </c>
      <c r="D457">
        <v>5</v>
      </c>
    </row>
    <row r="458" spans="1:4">
      <c r="A458" t="s">
        <v>84</v>
      </c>
      <c r="B458" t="s">
        <v>242</v>
      </c>
      <c r="C458">
        <v>2021</v>
      </c>
      <c r="D458">
        <v>511</v>
      </c>
    </row>
    <row r="459" spans="1:4">
      <c r="A459" t="s">
        <v>149</v>
      </c>
      <c r="B459" t="s">
        <v>242</v>
      </c>
      <c r="C459">
        <v>2021</v>
      </c>
      <c r="D459">
        <v>328</v>
      </c>
    </row>
    <row r="460" spans="1:4">
      <c r="A460" t="s">
        <v>109</v>
      </c>
      <c r="B460" t="s">
        <v>242</v>
      </c>
      <c r="C460">
        <v>2021</v>
      </c>
      <c r="D460">
        <v>162</v>
      </c>
    </row>
    <row r="461" spans="1:4">
      <c r="A461" t="s">
        <v>154</v>
      </c>
      <c r="B461" t="s">
        <v>242</v>
      </c>
      <c r="C461">
        <v>2021</v>
      </c>
      <c r="D461">
        <v>134</v>
      </c>
    </row>
    <row r="462" spans="1:4">
      <c r="A462" t="s">
        <v>159</v>
      </c>
      <c r="B462" t="s">
        <v>242</v>
      </c>
      <c r="C462">
        <v>2021</v>
      </c>
      <c r="D462">
        <v>150</v>
      </c>
    </row>
    <row r="463" spans="1:4">
      <c r="A463" t="s">
        <v>104</v>
      </c>
      <c r="B463" t="s">
        <v>242</v>
      </c>
      <c r="C463">
        <v>2021</v>
      </c>
      <c r="D463">
        <v>138</v>
      </c>
    </row>
    <row r="464" spans="1:4">
      <c r="A464" t="s">
        <v>119</v>
      </c>
      <c r="B464" t="s">
        <v>242</v>
      </c>
      <c r="C464">
        <v>2021</v>
      </c>
      <c r="D464">
        <v>416</v>
      </c>
    </row>
    <row r="465" spans="1:4">
      <c r="A465" t="s">
        <v>139</v>
      </c>
      <c r="B465" t="s">
        <v>242</v>
      </c>
      <c r="C465">
        <v>2021</v>
      </c>
      <c r="D465">
        <v>104</v>
      </c>
    </row>
    <row r="466" spans="1:4">
      <c r="A466" t="s">
        <v>99</v>
      </c>
      <c r="B466" t="s">
        <v>242</v>
      </c>
      <c r="C466">
        <v>2021</v>
      </c>
      <c r="D466">
        <v>227</v>
      </c>
    </row>
    <row r="467" spans="1:4">
      <c r="A467" t="s">
        <v>94</v>
      </c>
      <c r="B467" t="s">
        <v>242</v>
      </c>
      <c r="C467">
        <v>2021</v>
      </c>
      <c r="D467">
        <v>967</v>
      </c>
    </row>
    <row r="468" spans="1:4">
      <c r="A468" t="s">
        <v>219</v>
      </c>
      <c r="B468" t="s">
        <v>242</v>
      </c>
      <c r="C468">
        <v>2021</v>
      </c>
      <c r="D468">
        <v>281</v>
      </c>
    </row>
    <row r="469" spans="1:4">
      <c r="A469" t="s">
        <v>214</v>
      </c>
      <c r="B469" t="s">
        <v>242</v>
      </c>
      <c r="C469">
        <v>2021</v>
      </c>
      <c r="D469">
        <v>130</v>
      </c>
    </row>
    <row r="470" spans="1:4">
      <c r="A470" t="s">
        <v>70</v>
      </c>
      <c r="B470" t="s">
        <v>242</v>
      </c>
      <c r="C470">
        <v>2021</v>
      </c>
      <c r="D470">
        <v>6558</v>
      </c>
    </row>
    <row r="471" spans="1:4">
      <c r="A471" t="s">
        <v>144</v>
      </c>
      <c r="B471" t="s">
        <v>242</v>
      </c>
      <c r="C471">
        <v>2021</v>
      </c>
      <c r="D471">
        <v>409</v>
      </c>
    </row>
    <row r="472" spans="1:4">
      <c r="A472" t="s">
        <v>89</v>
      </c>
      <c r="B472" t="s">
        <v>242</v>
      </c>
      <c r="C472">
        <v>2021</v>
      </c>
      <c r="D472">
        <v>469</v>
      </c>
    </row>
    <row r="473" spans="1:4">
      <c r="A473" t="s">
        <v>204</v>
      </c>
      <c r="B473" t="s">
        <v>242</v>
      </c>
      <c r="C473">
        <v>2021</v>
      </c>
      <c r="D473">
        <v>176</v>
      </c>
    </row>
    <row r="474" spans="1:4">
      <c r="A474" t="s">
        <v>114</v>
      </c>
      <c r="B474" t="s">
        <v>242</v>
      </c>
      <c r="C474">
        <v>2021</v>
      </c>
      <c r="D474">
        <v>18</v>
      </c>
    </row>
    <row r="475" spans="1:4">
      <c r="A475" t="s">
        <v>184</v>
      </c>
      <c r="B475" t="s">
        <v>242</v>
      </c>
      <c r="C475">
        <v>2021</v>
      </c>
      <c r="D475">
        <v>109</v>
      </c>
    </row>
    <row r="476" spans="1:4">
      <c r="A476" t="s">
        <v>79</v>
      </c>
      <c r="B476" t="s">
        <v>242</v>
      </c>
      <c r="C476">
        <v>2021</v>
      </c>
      <c r="D476">
        <v>18</v>
      </c>
    </row>
    <row r="477" spans="1:4">
      <c r="A477" t="s">
        <v>199</v>
      </c>
      <c r="B477" t="s">
        <v>242</v>
      </c>
      <c r="C477">
        <v>2021</v>
      </c>
      <c r="D477">
        <v>0.1</v>
      </c>
    </row>
    <row r="478" spans="1:4">
      <c r="A478" t="s">
        <v>224</v>
      </c>
      <c r="B478" t="s">
        <v>242</v>
      </c>
      <c r="C478">
        <v>2021</v>
      </c>
      <c r="D478">
        <v>548</v>
      </c>
    </row>
    <row r="479" spans="1:4">
      <c r="A479" t="s">
        <v>194</v>
      </c>
      <c r="B479" t="s">
        <v>242</v>
      </c>
      <c r="C479">
        <v>2021</v>
      </c>
      <c r="D479">
        <v>232</v>
      </c>
    </row>
    <row r="480" spans="1:4">
      <c r="A480" t="s">
        <v>124</v>
      </c>
      <c r="B480" t="s">
        <v>242</v>
      </c>
      <c r="C480">
        <v>2021</v>
      </c>
      <c r="D480">
        <v>49</v>
      </c>
    </row>
    <row r="481" spans="1:4">
      <c r="A481" t="s">
        <v>179</v>
      </c>
      <c r="B481" t="s">
        <v>242</v>
      </c>
      <c r="C481">
        <v>2021</v>
      </c>
      <c r="D481">
        <v>23</v>
      </c>
    </row>
    <row r="482" spans="1:4">
      <c r="A482" t="s">
        <v>129</v>
      </c>
      <c r="B482" t="s">
        <v>242</v>
      </c>
      <c r="C482">
        <v>2022</v>
      </c>
      <c r="D482">
        <v>117</v>
      </c>
    </row>
    <row r="483" spans="1:4">
      <c r="A483" t="s">
        <v>74</v>
      </c>
      <c r="B483" t="s">
        <v>242</v>
      </c>
      <c r="C483">
        <v>2022</v>
      </c>
      <c r="D483">
        <v>5</v>
      </c>
    </row>
    <row r="484" spans="1:4">
      <c r="A484" t="s">
        <v>134</v>
      </c>
      <c r="B484" t="s">
        <v>242</v>
      </c>
      <c r="C484">
        <v>2022</v>
      </c>
      <c r="D484">
        <v>231</v>
      </c>
    </row>
    <row r="485" spans="1:4">
      <c r="A485" t="s">
        <v>209</v>
      </c>
      <c r="B485" t="s">
        <v>242</v>
      </c>
      <c r="C485">
        <v>2022</v>
      </c>
      <c r="D485">
        <v>348</v>
      </c>
    </row>
    <row r="486" spans="1:4">
      <c r="A486" t="s">
        <v>164</v>
      </c>
      <c r="B486" t="s">
        <v>242</v>
      </c>
      <c r="C486">
        <v>2022</v>
      </c>
      <c r="D486">
        <v>269</v>
      </c>
    </row>
    <row r="487" spans="1:4">
      <c r="A487" t="s">
        <v>169</v>
      </c>
      <c r="B487" t="s">
        <v>242</v>
      </c>
      <c r="C487">
        <v>2022</v>
      </c>
      <c r="D487">
        <v>199</v>
      </c>
    </row>
    <row r="488" spans="1:4">
      <c r="A488" t="s">
        <v>189</v>
      </c>
      <c r="B488" t="s">
        <v>242</v>
      </c>
      <c r="C488">
        <v>2022</v>
      </c>
      <c r="D488">
        <v>109</v>
      </c>
    </row>
    <row r="489" spans="1:4">
      <c r="A489" t="s">
        <v>174</v>
      </c>
      <c r="B489" t="s">
        <v>242</v>
      </c>
      <c r="C489">
        <v>2022</v>
      </c>
      <c r="D489">
        <v>5</v>
      </c>
    </row>
    <row r="490" spans="1:4">
      <c r="A490" t="s">
        <v>84</v>
      </c>
      <c r="B490" t="s">
        <v>242</v>
      </c>
      <c r="C490">
        <v>2022</v>
      </c>
      <c r="D490">
        <v>587</v>
      </c>
    </row>
    <row r="491" spans="1:4">
      <c r="A491" t="s">
        <v>149</v>
      </c>
      <c r="B491" t="s">
        <v>242</v>
      </c>
      <c r="C491">
        <v>2022</v>
      </c>
      <c r="D491">
        <v>382</v>
      </c>
    </row>
    <row r="492" spans="1:4">
      <c r="A492" t="s">
        <v>109</v>
      </c>
      <c r="B492" t="s">
        <v>242</v>
      </c>
      <c r="C492">
        <v>2022</v>
      </c>
      <c r="D492">
        <v>228</v>
      </c>
    </row>
    <row r="493" spans="1:4">
      <c r="A493" t="s">
        <v>154</v>
      </c>
      <c r="B493" t="s">
        <v>242</v>
      </c>
      <c r="C493">
        <v>2022</v>
      </c>
      <c r="D493">
        <v>164</v>
      </c>
    </row>
    <row r="494" spans="1:4">
      <c r="A494" t="s">
        <v>159</v>
      </c>
      <c r="B494" t="s">
        <v>242</v>
      </c>
      <c r="C494">
        <v>2022</v>
      </c>
      <c r="D494">
        <v>182</v>
      </c>
    </row>
    <row r="495" spans="1:4">
      <c r="A495" t="s">
        <v>104</v>
      </c>
      <c r="B495" t="s">
        <v>242</v>
      </c>
      <c r="C495">
        <v>2022</v>
      </c>
      <c r="D495">
        <v>201</v>
      </c>
    </row>
    <row r="496" spans="1:4">
      <c r="A496" t="s">
        <v>119</v>
      </c>
      <c r="B496" t="s">
        <v>242</v>
      </c>
      <c r="C496">
        <v>2022</v>
      </c>
      <c r="D496">
        <v>513</v>
      </c>
    </row>
    <row r="497" spans="1:4">
      <c r="A497" t="s">
        <v>139</v>
      </c>
      <c r="B497" t="s">
        <v>242</v>
      </c>
      <c r="C497">
        <v>2022</v>
      </c>
      <c r="D497">
        <v>128</v>
      </c>
    </row>
    <row r="498" spans="1:4">
      <c r="A498" t="s">
        <v>99</v>
      </c>
      <c r="B498" t="s">
        <v>242</v>
      </c>
      <c r="C498">
        <v>2022</v>
      </c>
      <c r="D498">
        <v>255</v>
      </c>
    </row>
    <row r="499" spans="1:4">
      <c r="A499" t="s">
        <v>94</v>
      </c>
      <c r="B499" t="s">
        <v>242</v>
      </c>
      <c r="C499">
        <v>2022</v>
      </c>
      <c r="D499">
        <v>1077</v>
      </c>
    </row>
    <row r="500" spans="1:4">
      <c r="A500" t="s">
        <v>219</v>
      </c>
      <c r="B500" t="s">
        <v>242</v>
      </c>
      <c r="C500">
        <v>2022</v>
      </c>
      <c r="D500">
        <v>275</v>
      </c>
    </row>
    <row r="501" spans="1:4">
      <c r="A501" t="s">
        <v>214</v>
      </c>
      <c r="B501" t="s">
        <v>242</v>
      </c>
      <c r="C501">
        <v>2022</v>
      </c>
      <c r="D501">
        <v>156</v>
      </c>
    </row>
    <row r="502" spans="1:4">
      <c r="A502" t="s">
        <v>70</v>
      </c>
      <c r="B502" t="s">
        <v>242</v>
      </c>
      <c r="C502">
        <v>2022</v>
      </c>
      <c r="D502">
        <v>7624</v>
      </c>
    </row>
    <row r="503" spans="1:4">
      <c r="A503" t="s">
        <v>144</v>
      </c>
      <c r="B503" t="s">
        <v>242</v>
      </c>
      <c r="C503">
        <v>2022</v>
      </c>
      <c r="D503">
        <v>415</v>
      </c>
    </row>
    <row r="504" spans="1:4">
      <c r="A504" t="s">
        <v>89</v>
      </c>
      <c r="B504" t="s">
        <v>242</v>
      </c>
      <c r="C504">
        <v>2022</v>
      </c>
      <c r="D504">
        <v>466</v>
      </c>
    </row>
    <row r="505" spans="1:4">
      <c r="A505" t="s">
        <v>204</v>
      </c>
      <c r="B505" t="s">
        <v>242</v>
      </c>
      <c r="C505">
        <v>2022</v>
      </c>
      <c r="D505">
        <v>200</v>
      </c>
    </row>
    <row r="506" spans="1:4">
      <c r="A506" t="s">
        <v>114</v>
      </c>
      <c r="B506" t="s">
        <v>242</v>
      </c>
      <c r="C506">
        <v>2022</v>
      </c>
      <c r="D506">
        <v>25</v>
      </c>
    </row>
    <row r="507" spans="1:4">
      <c r="A507" t="s">
        <v>184</v>
      </c>
      <c r="B507" t="s">
        <v>242</v>
      </c>
      <c r="C507">
        <v>2022</v>
      </c>
      <c r="D507">
        <v>132</v>
      </c>
    </row>
    <row r="508" spans="1:4">
      <c r="A508" t="s">
        <v>79</v>
      </c>
      <c r="B508" t="s">
        <v>242</v>
      </c>
      <c r="C508">
        <v>2022</v>
      </c>
      <c r="D508">
        <v>26</v>
      </c>
    </row>
    <row r="509" spans="1:4">
      <c r="A509" t="s">
        <v>199</v>
      </c>
      <c r="B509" t="s">
        <v>242</v>
      </c>
      <c r="C509">
        <v>2022</v>
      </c>
      <c r="D509">
        <v>0.9</v>
      </c>
    </row>
    <row r="510" spans="1:4">
      <c r="A510" t="s">
        <v>224</v>
      </c>
      <c r="B510" t="s">
        <v>242</v>
      </c>
      <c r="C510">
        <v>2022</v>
      </c>
      <c r="D510">
        <v>588</v>
      </c>
    </row>
    <row r="511" spans="1:4">
      <c r="A511" t="s">
        <v>194</v>
      </c>
      <c r="B511" t="s">
        <v>242</v>
      </c>
      <c r="C511">
        <v>2022</v>
      </c>
      <c r="D511">
        <v>214</v>
      </c>
    </row>
    <row r="512" spans="1:4">
      <c r="A512" t="s">
        <v>124</v>
      </c>
      <c r="B512" t="s">
        <v>242</v>
      </c>
      <c r="C512">
        <v>2022</v>
      </c>
      <c r="D512">
        <v>95</v>
      </c>
    </row>
    <row r="513" spans="1:4">
      <c r="A513" t="s">
        <v>179</v>
      </c>
      <c r="B513" t="s">
        <v>242</v>
      </c>
      <c r="C513">
        <v>2022</v>
      </c>
      <c r="D513">
        <v>34</v>
      </c>
    </row>
    <row r="514" spans="1:4">
      <c r="A514" t="s">
        <v>129</v>
      </c>
      <c r="B514" t="s">
        <v>243</v>
      </c>
      <c r="C514">
        <v>2015</v>
      </c>
    </row>
    <row r="515" spans="1:4">
      <c r="A515" t="s">
        <v>74</v>
      </c>
      <c r="B515" t="s">
        <v>243</v>
      </c>
      <c r="C515">
        <v>2015</v>
      </c>
    </row>
    <row r="516" spans="1:4">
      <c r="A516" t="s">
        <v>134</v>
      </c>
      <c r="B516" t="s">
        <v>243</v>
      </c>
      <c r="C516">
        <v>2015</v>
      </c>
    </row>
    <row r="517" spans="1:4">
      <c r="A517" t="s">
        <v>209</v>
      </c>
      <c r="B517" t="s">
        <v>243</v>
      </c>
      <c r="C517">
        <v>2015</v>
      </c>
    </row>
    <row r="518" spans="1:4">
      <c r="A518" t="s">
        <v>164</v>
      </c>
      <c r="B518" t="s">
        <v>243</v>
      </c>
      <c r="C518">
        <v>2015</v>
      </c>
    </row>
    <row r="519" spans="1:4">
      <c r="A519" t="s">
        <v>169</v>
      </c>
      <c r="B519" t="s">
        <v>243</v>
      </c>
      <c r="C519">
        <v>2015</v>
      </c>
    </row>
    <row r="520" spans="1:4">
      <c r="A520" t="s">
        <v>189</v>
      </c>
      <c r="B520" t="s">
        <v>243</v>
      </c>
      <c r="C520">
        <v>2015</v>
      </c>
    </row>
    <row r="521" spans="1:4">
      <c r="A521" t="s">
        <v>174</v>
      </c>
      <c r="B521" t="s">
        <v>243</v>
      </c>
      <c r="C521">
        <v>2015</v>
      </c>
    </row>
    <row r="522" spans="1:4">
      <c r="A522" t="s">
        <v>84</v>
      </c>
      <c r="B522" t="s">
        <v>243</v>
      </c>
      <c r="C522">
        <v>2015</v>
      </c>
    </row>
    <row r="523" spans="1:4">
      <c r="A523" t="s">
        <v>149</v>
      </c>
      <c r="B523" t="s">
        <v>243</v>
      </c>
      <c r="C523">
        <v>2015</v>
      </c>
    </row>
    <row r="524" spans="1:4">
      <c r="A524" t="s">
        <v>109</v>
      </c>
      <c r="B524" t="s">
        <v>243</v>
      </c>
      <c r="C524">
        <v>2015</v>
      </c>
    </row>
    <row r="525" spans="1:4">
      <c r="A525" t="s">
        <v>154</v>
      </c>
      <c r="B525" t="s">
        <v>243</v>
      </c>
      <c r="C525">
        <v>2015</v>
      </c>
    </row>
    <row r="526" spans="1:4">
      <c r="A526" t="s">
        <v>159</v>
      </c>
      <c r="B526" t="s">
        <v>243</v>
      </c>
      <c r="C526">
        <v>2015</v>
      </c>
    </row>
    <row r="527" spans="1:4">
      <c r="A527" t="s">
        <v>104</v>
      </c>
      <c r="B527" t="s">
        <v>243</v>
      </c>
      <c r="C527">
        <v>2015</v>
      </c>
    </row>
    <row r="528" spans="1:4">
      <c r="A528" t="s">
        <v>119</v>
      </c>
      <c r="B528" t="s">
        <v>243</v>
      </c>
      <c r="C528">
        <v>2015</v>
      </c>
    </row>
    <row r="529" spans="1:3">
      <c r="A529" t="s">
        <v>139</v>
      </c>
      <c r="B529" t="s">
        <v>243</v>
      </c>
      <c r="C529">
        <v>2015</v>
      </c>
    </row>
    <row r="530" spans="1:3">
      <c r="A530" t="s">
        <v>99</v>
      </c>
      <c r="B530" t="s">
        <v>243</v>
      </c>
      <c r="C530">
        <v>2015</v>
      </c>
    </row>
    <row r="531" spans="1:3">
      <c r="A531" t="s">
        <v>94</v>
      </c>
      <c r="B531" t="s">
        <v>243</v>
      </c>
      <c r="C531">
        <v>2015</v>
      </c>
    </row>
    <row r="532" spans="1:3">
      <c r="A532" t="s">
        <v>219</v>
      </c>
      <c r="B532" t="s">
        <v>243</v>
      </c>
      <c r="C532">
        <v>2015</v>
      </c>
    </row>
    <row r="533" spans="1:3">
      <c r="A533" t="s">
        <v>214</v>
      </c>
      <c r="B533" t="s">
        <v>243</v>
      </c>
      <c r="C533">
        <v>2015</v>
      </c>
    </row>
    <row r="534" spans="1:3">
      <c r="A534" t="s">
        <v>70</v>
      </c>
      <c r="B534" t="s">
        <v>243</v>
      </c>
      <c r="C534">
        <v>2015</v>
      </c>
    </row>
    <row r="535" spans="1:3">
      <c r="A535" t="s">
        <v>144</v>
      </c>
      <c r="B535" t="s">
        <v>243</v>
      </c>
      <c r="C535">
        <v>2015</v>
      </c>
    </row>
    <row r="536" spans="1:3">
      <c r="A536" t="s">
        <v>89</v>
      </c>
      <c r="B536" t="s">
        <v>243</v>
      </c>
      <c r="C536">
        <v>2015</v>
      </c>
    </row>
    <row r="537" spans="1:3">
      <c r="A537" t="s">
        <v>204</v>
      </c>
      <c r="B537" t="s">
        <v>243</v>
      </c>
      <c r="C537">
        <v>2015</v>
      </c>
    </row>
    <row r="538" spans="1:3">
      <c r="A538" t="s">
        <v>114</v>
      </c>
      <c r="B538" t="s">
        <v>243</v>
      </c>
      <c r="C538">
        <v>2015</v>
      </c>
    </row>
    <row r="539" spans="1:3">
      <c r="A539" t="s">
        <v>184</v>
      </c>
      <c r="B539" t="s">
        <v>243</v>
      </c>
      <c r="C539">
        <v>2015</v>
      </c>
    </row>
    <row r="540" spans="1:3">
      <c r="A540" t="s">
        <v>79</v>
      </c>
      <c r="B540" t="s">
        <v>243</v>
      </c>
      <c r="C540">
        <v>2015</v>
      </c>
    </row>
    <row r="541" spans="1:3">
      <c r="A541" t="s">
        <v>199</v>
      </c>
      <c r="B541" t="s">
        <v>243</v>
      </c>
      <c r="C541">
        <v>2015</v>
      </c>
    </row>
    <row r="542" spans="1:3">
      <c r="A542" t="s">
        <v>224</v>
      </c>
      <c r="B542" t="s">
        <v>243</v>
      </c>
      <c r="C542">
        <v>2015</v>
      </c>
    </row>
    <row r="543" spans="1:3">
      <c r="A543" t="s">
        <v>194</v>
      </c>
      <c r="B543" t="s">
        <v>243</v>
      </c>
      <c r="C543">
        <v>2015</v>
      </c>
    </row>
    <row r="544" spans="1:3">
      <c r="A544" t="s">
        <v>124</v>
      </c>
      <c r="B544" t="s">
        <v>243</v>
      </c>
      <c r="C544">
        <v>2015</v>
      </c>
    </row>
    <row r="545" spans="1:3">
      <c r="A545" t="s">
        <v>179</v>
      </c>
      <c r="B545" t="s">
        <v>243</v>
      </c>
      <c r="C545">
        <v>2015</v>
      </c>
    </row>
    <row r="546" spans="1:3">
      <c r="A546" t="s">
        <v>129</v>
      </c>
      <c r="B546" t="s">
        <v>243</v>
      </c>
      <c r="C546">
        <v>2016</v>
      </c>
    </row>
    <row r="547" spans="1:3">
      <c r="A547" t="s">
        <v>74</v>
      </c>
      <c r="B547" t="s">
        <v>243</v>
      </c>
      <c r="C547">
        <v>2016</v>
      </c>
    </row>
    <row r="548" spans="1:3">
      <c r="A548" t="s">
        <v>134</v>
      </c>
      <c r="B548" t="s">
        <v>243</v>
      </c>
      <c r="C548">
        <v>2016</v>
      </c>
    </row>
    <row r="549" spans="1:3">
      <c r="A549" t="s">
        <v>209</v>
      </c>
      <c r="B549" t="s">
        <v>243</v>
      </c>
      <c r="C549">
        <v>2016</v>
      </c>
    </row>
    <row r="550" spans="1:3">
      <c r="A550" t="s">
        <v>164</v>
      </c>
      <c r="B550" t="s">
        <v>243</v>
      </c>
      <c r="C550">
        <v>2016</v>
      </c>
    </row>
    <row r="551" spans="1:3">
      <c r="A551" t="s">
        <v>169</v>
      </c>
      <c r="B551" t="s">
        <v>243</v>
      </c>
      <c r="C551">
        <v>2016</v>
      </c>
    </row>
    <row r="552" spans="1:3">
      <c r="A552" t="s">
        <v>189</v>
      </c>
      <c r="B552" t="s">
        <v>243</v>
      </c>
      <c r="C552">
        <v>2016</v>
      </c>
    </row>
    <row r="553" spans="1:3">
      <c r="A553" t="s">
        <v>174</v>
      </c>
      <c r="B553" t="s">
        <v>243</v>
      </c>
      <c r="C553">
        <v>2016</v>
      </c>
    </row>
    <row r="554" spans="1:3">
      <c r="A554" t="s">
        <v>84</v>
      </c>
      <c r="B554" t="s">
        <v>243</v>
      </c>
      <c r="C554">
        <v>2016</v>
      </c>
    </row>
    <row r="555" spans="1:3">
      <c r="A555" t="s">
        <v>149</v>
      </c>
      <c r="B555" t="s">
        <v>243</v>
      </c>
      <c r="C555">
        <v>2016</v>
      </c>
    </row>
    <row r="556" spans="1:3">
      <c r="A556" t="s">
        <v>109</v>
      </c>
      <c r="B556" t="s">
        <v>243</v>
      </c>
      <c r="C556">
        <v>2016</v>
      </c>
    </row>
    <row r="557" spans="1:3">
      <c r="A557" t="s">
        <v>154</v>
      </c>
      <c r="B557" t="s">
        <v>243</v>
      </c>
      <c r="C557">
        <v>2016</v>
      </c>
    </row>
    <row r="558" spans="1:3">
      <c r="A558" t="s">
        <v>159</v>
      </c>
      <c r="B558" t="s">
        <v>243</v>
      </c>
      <c r="C558">
        <v>2016</v>
      </c>
    </row>
    <row r="559" spans="1:3">
      <c r="A559" t="s">
        <v>104</v>
      </c>
      <c r="B559" t="s">
        <v>243</v>
      </c>
      <c r="C559">
        <v>2016</v>
      </c>
    </row>
    <row r="560" spans="1:3">
      <c r="A560" t="s">
        <v>119</v>
      </c>
      <c r="B560" t="s">
        <v>243</v>
      </c>
      <c r="C560">
        <v>2016</v>
      </c>
    </row>
    <row r="561" spans="1:3">
      <c r="A561" t="s">
        <v>139</v>
      </c>
      <c r="B561" t="s">
        <v>243</v>
      </c>
      <c r="C561">
        <v>2016</v>
      </c>
    </row>
    <row r="562" spans="1:3">
      <c r="A562" t="s">
        <v>99</v>
      </c>
      <c r="B562" t="s">
        <v>243</v>
      </c>
      <c r="C562">
        <v>2016</v>
      </c>
    </row>
    <row r="563" spans="1:3">
      <c r="A563" t="s">
        <v>94</v>
      </c>
      <c r="B563" t="s">
        <v>243</v>
      </c>
      <c r="C563">
        <v>2016</v>
      </c>
    </row>
    <row r="564" spans="1:3">
      <c r="A564" t="s">
        <v>219</v>
      </c>
      <c r="B564" t="s">
        <v>243</v>
      </c>
      <c r="C564">
        <v>2016</v>
      </c>
    </row>
    <row r="565" spans="1:3">
      <c r="A565" t="s">
        <v>214</v>
      </c>
      <c r="B565" t="s">
        <v>243</v>
      </c>
      <c r="C565">
        <v>2016</v>
      </c>
    </row>
    <row r="566" spans="1:3">
      <c r="A566" t="s">
        <v>70</v>
      </c>
      <c r="B566" t="s">
        <v>243</v>
      </c>
      <c r="C566">
        <v>2016</v>
      </c>
    </row>
    <row r="567" spans="1:3">
      <c r="A567" t="s">
        <v>144</v>
      </c>
      <c r="B567" t="s">
        <v>243</v>
      </c>
      <c r="C567">
        <v>2016</v>
      </c>
    </row>
    <row r="568" spans="1:3">
      <c r="A568" t="s">
        <v>89</v>
      </c>
      <c r="B568" t="s">
        <v>243</v>
      </c>
      <c r="C568">
        <v>2016</v>
      </c>
    </row>
    <row r="569" spans="1:3">
      <c r="A569" t="s">
        <v>204</v>
      </c>
      <c r="B569" t="s">
        <v>243</v>
      </c>
      <c r="C569">
        <v>2016</v>
      </c>
    </row>
    <row r="570" spans="1:3">
      <c r="A570" t="s">
        <v>114</v>
      </c>
      <c r="B570" t="s">
        <v>243</v>
      </c>
      <c r="C570">
        <v>2016</v>
      </c>
    </row>
    <row r="571" spans="1:3">
      <c r="A571" t="s">
        <v>184</v>
      </c>
      <c r="B571" t="s">
        <v>243</v>
      </c>
      <c r="C571">
        <v>2016</v>
      </c>
    </row>
    <row r="572" spans="1:3">
      <c r="A572" t="s">
        <v>79</v>
      </c>
      <c r="B572" t="s">
        <v>243</v>
      </c>
      <c r="C572">
        <v>2016</v>
      </c>
    </row>
    <row r="573" spans="1:3">
      <c r="A573" t="s">
        <v>199</v>
      </c>
      <c r="B573" t="s">
        <v>243</v>
      </c>
      <c r="C573">
        <v>2016</v>
      </c>
    </row>
    <row r="574" spans="1:3">
      <c r="A574" t="s">
        <v>224</v>
      </c>
      <c r="B574" t="s">
        <v>243</v>
      </c>
      <c r="C574">
        <v>2016</v>
      </c>
    </row>
    <row r="575" spans="1:3">
      <c r="A575" t="s">
        <v>194</v>
      </c>
      <c r="B575" t="s">
        <v>243</v>
      </c>
      <c r="C575">
        <v>2016</v>
      </c>
    </row>
    <row r="576" spans="1:3">
      <c r="A576" t="s">
        <v>124</v>
      </c>
      <c r="B576" t="s">
        <v>243</v>
      </c>
      <c r="C576">
        <v>2016</v>
      </c>
    </row>
    <row r="577" spans="1:4">
      <c r="A577" t="s">
        <v>179</v>
      </c>
      <c r="B577" t="s">
        <v>243</v>
      </c>
      <c r="C577">
        <v>2016</v>
      </c>
    </row>
    <row r="578" spans="1:4">
      <c r="A578" t="s">
        <v>129</v>
      </c>
      <c r="B578" t="s">
        <v>243</v>
      </c>
      <c r="C578">
        <v>2017</v>
      </c>
      <c r="D578">
        <v>44</v>
      </c>
    </row>
    <row r="579" spans="1:4">
      <c r="A579" t="s">
        <v>74</v>
      </c>
      <c r="B579" t="s">
        <v>243</v>
      </c>
      <c r="C579">
        <v>2017</v>
      </c>
      <c r="D579">
        <v>1</v>
      </c>
    </row>
    <row r="580" spans="1:4">
      <c r="A580" t="s">
        <v>134</v>
      </c>
      <c r="B580" t="s">
        <v>243</v>
      </c>
      <c r="C580">
        <v>2017</v>
      </c>
      <c r="D580">
        <v>3</v>
      </c>
    </row>
    <row r="581" spans="1:4">
      <c r="A581" t="s">
        <v>209</v>
      </c>
      <c r="B581" t="s">
        <v>243</v>
      </c>
      <c r="C581">
        <v>2017</v>
      </c>
      <c r="D581">
        <v>72</v>
      </c>
    </row>
    <row r="582" spans="1:4">
      <c r="A582" t="s">
        <v>164</v>
      </c>
      <c r="B582" t="s">
        <v>243</v>
      </c>
      <c r="C582">
        <v>2017</v>
      </c>
      <c r="D582">
        <v>12</v>
      </c>
    </row>
    <row r="583" spans="1:4">
      <c r="A583" t="s">
        <v>169</v>
      </c>
      <c r="B583" t="s">
        <v>243</v>
      </c>
      <c r="C583">
        <v>2017</v>
      </c>
      <c r="D583">
        <v>3</v>
      </c>
    </row>
    <row r="584" spans="1:4">
      <c r="A584" t="s">
        <v>189</v>
      </c>
      <c r="B584" t="s">
        <v>243</v>
      </c>
      <c r="C584">
        <v>2017</v>
      </c>
      <c r="D584">
        <v>6</v>
      </c>
    </row>
    <row r="585" spans="1:4">
      <c r="A585" t="s">
        <v>174</v>
      </c>
      <c r="B585" t="s">
        <v>243</v>
      </c>
      <c r="C585">
        <v>2017</v>
      </c>
      <c r="D585">
        <v>2.8</v>
      </c>
    </row>
    <row r="586" spans="1:4">
      <c r="A586" t="s">
        <v>84</v>
      </c>
      <c r="B586" t="s">
        <v>243</v>
      </c>
      <c r="C586">
        <v>2017</v>
      </c>
      <c r="D586">
        <v>66</v>
      </c>
    </row>
    <row r="587" spans="1:4">
      <c r="A587" t="s">
        <v>149</v>
      </c>
      <c r="B587" t="s">
        <v>243</v>
      </c>
      <c r="C587">
        <v>2017</v>
      </c>
      <c r="D587">
        <v>40</v>
      </c>
    </row>
    <row r="588" spans="1:4">
      <c r="A588" t="s">
        <v>109</v>
      </c>
      <c r="B588" t="s">
        <v>243</v>
      </c>
      <c r="C588">
        <v>2017</v>
      </c>
      <c r="D588">
        <v>5</v>
      </c>
    </row>
    <row r="589" spans="1:4">
      <c r="A589" t="s">
        <v>154</v>
      </c>
      <c r="B589" t="s">
        <v>243</v>
      </c>
      <c r="C589">
        <v>2017</v>
      </c>
      <c r="D589">
        <v>23</v>
      </c>
    </row>
    <row r="590" spans="1:4">
      <c r="A590" t="s">
        <v>159</v>
      </c>
      <c r="B590" t="s">
        <v>243</v>
      </c>
      <c r="C590">
        <v>2017</v>
      </c>
      <c r="D590">
        <v>2</v>
      </c>
    </row>
    <row r="591" spans="1:4">
      <c r="A591" t="s">
        <v>104</v>
      </c>
      <c r="B591" t="s">
        <v>243</v>
      </c>
      <c r="C591">
        <v>2017</v>
      </c>
      <c r="D591">
        <v>11</v>
      </c>
    </row>
    <row r="592" spans="1:4">
      <c r="A592" t="s">
        <v>119</v>
      </c>
      <c r="B592" t="s">
        <v>243</v>
      </c>
      <c r="C592">
        <v>2017</v>
      </c>
      <c r="D592">
        <v>62</v>
      </c>
    </row>
    <row r="593" spans="1:4">
      <c r="A593" t="s">
        <v>139</v>
      </c>
      <c r="B593" t="s">
        <v>243</v>
      </c>
      <c r="C593">
        <v>2017</v>
      </c>
      <c r="D593">
        <v>22</v>
      </c>
    </row>
    <row r="594" spans="1:4">
      <c r="A594" t="s">
        <v>99</v>
      </c>
      <c r="B594" t="s">
        <v>243</v>
      </c>
      <c r="C594">
        <v>2017</v>
      </c>
      <c r="D594">
        <v>9</v>
      </c>
    </row>
    <row r="595" spans="1:4">
      <c r="A595" t="s">
        <v>94</v>
      </c>
      <c r="B595" t="s">
        <v>243</v>
      </c>
      <c r="C595">
        <v>2017</v>
      </c>
      <c r="D595">
        <v>112.7</v>
      </c>
    </row>
    <row r="596" spans="1:4">
      <c r="A596" t="s">
        <v>219</v>
      </c>
      <c r="B596" t="s">
        <v>243</v>
      </c>
      <c r="C596">
        <v>2017</v>
      </c>
      <c r="D596">
        <v>73</v>
      </c>
    </row>
    <row r="597" spans="1:4">
      <c r="A597" t="s">
        <v>214</v>
      </c>
      <c r="B597" t="s">
        <v>243</v>
      </c>
      <c r="C597">
        <v>2017</v>
      </c>
      <c r="D597">
        <v>112.7</v>
      </c>
    </row>
    <row r="598" spans="1:4">
      <c r="A598" t="s">
        <v>70</v>
      </c>
      <c r="B598" t="s">
        <v>243</v>
      </c>
      <c r="C598">
        <v>2017</v>
      </c>
      <c r="D598">
        <v>1012</v>
      </c>
    </row>
    <row r="599" spans="1:4">
      <c r="A599" t="s">
        <v>144</v>
      </c>
      <c r="B599" t="s">
        <v>243</v>
      </c>
      <c r="C599">
        <v>2017</v>
      </c>
      <c r="D599">
        <v>53</v>
      </c>
    </row>
    <row r="600" spans="1:4">
      <c r="A600" t="s">
        <v>89</v>
      </c>
      <c r="B600" t="s">
        <v>243</v>
      </c>
      <c r="C600">
        <v>2017</v>
      </c>
      <c r="D600">
        <v>51</v>
      </c>
    </row>
    <row r="601" spans="1:4">
      <c r="A601" t="s">
        <v>204</v>
      </c>
      <c r="B601" t="s">
        <v>243</v>
      </c>
      <c r="C601">
        <v>2017</v>
      </c>
      <c r="D601">
        <v>39</v>
      </c>
    </row>
    <row r="602" spans="1:4">
      <c r="A602" t="s">
        <v>114</v>
      </c>
      <c r="B602" t="s">
        <v>243</v>
      </c>
      <c r="C602">
        <v>2017</v>
      </c>
      <c r="D602">
        <v>1</v>
      </c>
    </row>
    <row r="603" spans="1:4">
      <c r="A603" t="s">
        <v>184</v>
      </c>
      <c r="B603" t="s">
        <v>243</v>
      </c>
      <c r="C603">
        <v>2017</v>
      </c>
      <c r="D603">
        <v>15</v>
      </c>
    </row>
    <row r="604" spans="1:4">
      <c r="A604" t="s">
        <v>79</v>
      </c>
      <c r="B604" t="s">
        <v>243</v>
      </c>
      <c r="C604">
        <v>2017</v>
      </c>
      <c r="D604">
        <v>5</v>
      </c>
    </row>
    <row r="605" spans="1:4">
      <c r="A605" t="s">
        <v>199</v>
      </c>
      <c r="B605" t="s">
        <v>243</v>
      </c>
      <c r="C605">
        <v>2017</v>
      </c>
      <c r="D605">
        <v>6</v>
      </c>
    </row>
    <row r="606" spans="1:4">
      <c r="A606" t="s">
        <v>224</v>
      </c>
      <c r="B606" t="s">
        <v>243</v>
      </c>
      <c r="C606">
        <v>2017</v>
      </c>
      <c r="D606">
        <v>106.99</v>
      </c>
    </row>
    <row r="607" spans="1:4">
      <c r="A607" t="s">
        <v>194</v>
      </c>
      <c r="B607" t="s">
        <v>243</v>
      </c>
      <c r="C607">
        <v>2017</v>
      </c>
      <c r="D607">
        <v>27.7</v>
      </c>
    </row>
    <row r="608" spans="1:4">
      <c r="A608" t="s">
        <v>124</v>
      </c>
      <c r="B608" t="s">
        <v>243</v>
      </c>
      <c r="C608">
        <v>2017</v>
      </c>
      <c r="D608">
        <v>25</v>
      </c>
    </row>
    <row r="609" spans="1:4">
      <c r="A609" t="s">
        <v>179</v>
      </c>
      <c r="B609" t="s">
        <v>243</v>
      </c>
      <c r="C609">
        <v>2017</v>
      </c>
      <c r="D609">
        <v>0</v>
      </c>
    </row>
    <row r="610" spans="1:4">
      <c r="A610" t="s">
        <v>129</v>
      </c>
      <c r="B610" t="s">
        <v>243</v>
      </c>
      <c r="C610">
        <v>2018</v>
      </c>
      <c r="D610">
        <v>68</v>
      </c>
    </row>
    <row r="611" spans="1:4">
      <c r="A611" t="s">
        <v>74</v>
      </c>
      <c r="B611" t="s">
        <v>243</v>
      </c>
      <c r="C611">
        <v>2018</v>
      </c>
      <c r="D611">
        <v>1</v>
      </c>
    </row>
    <row r="612" spans="1:4">
      <c r="A612" t="s">
        <v>134</v>
      </c>
      <c r="B612" t="s">
        <v>243</v>
      </c>
      <c r="C612">
        <v>2018</v>
      </c>
      <c r="D612">
        <v>5</v>
      </c>
    </row>
    <row r="613" spans="1:4">
      <c r="A613" t="s">
        <v>209</v>
      </c>
      <c r="B613" t="s">
        <v>243</v>
      </c>
      <c r="C613">
        <v>2018</v>
      </c>
      <c r="D613">
        <v>93</v>
      </c>
    </row>
    <row r="614" spans="1:4">
      <c r="A614" t="s">
        <v>164</v>
      </c>
      <c r="B614" t="s">
        <v>243</v>
      </c>
      <c r="C614">
        <v>2018</v>
      </c>
      <c r="D614">
        <v>23</v>
      </c>
    </row>
    <row r="615" spans="1:4">
      <c r="A615" t="s">
        <v>169</v>
      </c>
      <c r="B615" t="s">
        <v>243</v>
      </c>
      <c r="C615">
        <v>2018</v>
      </c>
      <c r="D615">
        <v>8</v>
      </c>
    </row>
    <row r="616" spans="1:4">
      <c r="A616" t="s">
        <v>189</v>
      </c>
      <c r="B616" t="s">
        <v>243</v>
      </c>
      <c r="C616">
        <v>2018</v>
      </c>
      <c r="D616">
        <v>15</v>
      </c>
    </row>
    <row r="617" spans="1:4">
      <c r="A617" t="s">
        <v>174</v>
      </c>
      <c r="B617" t="s">
        <v>243</v>
      </c>
      <c r="C617">
        <v>2018</v>
      </c>
      <c r="D617">
        <v>5</v>
      </c>
    </row>
    <row r="618" spans="1:4">
      <c r="A618" t="s">
        <v>84</v>
      </c>
      <c r="B618" t="s">
        <v>243</v>
      </c>
      <c r="C618">
        <v>2018</v>
      </c>
      <c r="D618">
        <v>94</v>
      </c>
    </row>
    <row r="619" spans="1:4">
      <c r="A619" t="s">
        <v>149</v>
      </c>
      <c r="B619" t="s">
        <v>243</v>
      </c>
      <c r="C619">
        <v>2018</v>
      </c>
      <c r="D619">
        <v>57</v>
      </c>
    </row>
    <row r="620" spans="1:4">
      <c r="A620" t="s">
        <v>109</v>
      </c>
      <c r="B620" t="s">
        <v>243</v>
      </c>
      <c r="C620">
        <v>2018</v>
      </c>
      <c r="D620">
        <v>15</v>
      </c>
    </row>
    <row r="621" spans="1:4">
      <c r="A621" t="s">
        <v>154</v>
      </c>
      <c r="B621" t="s">
        <v>243</v>
      </c>
      <c r="C621">
        <v>2018</v>
      </c>
      <c r="D621">
        <v>36</v>
      </c>
    </row>
    <row r="622" spans="1:4">
      <c r="A622" t="s">
        <v>159</v>
      </c>
      <c r="B622" t="s">
        <v>243</v>
      </c>
      <c r="C622">
        <v>2018</v>
      </c>
      <c r="D622">
        <v>10</v>
      </c>
    </row>
    <row r="623" spans="1:4">
      <c r="A623" t="s">
        <v>104</v>
      </c>
      <c r="B623" t="s">
        <v>243</v>
      </c>
      <c r="C623">
        <v>2018</v>
      </c>
      <c r="D623">
        <v>17</v>
      </c>
    </row>
    <row r="624" spans="1:4">
      <c r="A624" t="s">
        <v>119</v>
      </c>
      <c r="B624" t="s">
        <v>243</v>
      </c>
      <c r="C624">
        <v>2018</v>
      </c>
      <c r="D624">
        <v>80</v>
      </c>
    </row>
    <row r="625" spans="1:4">
      <c r="A625" t="s">
        <v>139</v>
      </c>
      <c r="B625" t="s">
        <v>243</v>
      </c>
      <c r="C625">
        <v>2018</v>
      </c>
      <c r="D625">
        <v>31</v>
      </c>
    </row>
    <row r="626" spans="1:4">
      <c r="A626" t="s">
        <v>99</v>
      </c>
      <c r="B626" t="s">
        <v>243</v>
      </c>
      <c r="C626">
        <v>2018</v>
      </c>
      <c r="D626">
        <v>25</v>
      </c>
    </row>
    <row r="627" spans="1:4">
      <c r="A627" t="s">
        <v>94</v>
      </c>
      <c r="B627" t="s">
        <v>243</v>
      </c>
      <c r="C627">
        <v>2018</v>
      </c>
      <c r="D627">
        <v>129</v>
      </c>
    </row>
    <row r="628" spans="1:4">
      <c r="A628" t="s">
        <v>219</v>
      </c>
      <c r="B628" t="s">
        <v>243</v>
      </c>
      <c r="C628">
        <v>2018</v>
      </c>
      <c r="D628">
        <v>93</v>
      </c>
    </row>
    <row r="629" spans="1:4">
      <c r="A629" t="s">
        <v>214</v>
      </c>
      <c r="B629" t="s">
        <v>243</v>
      </c>
      <c r="C629">
        <v>2018</v>
      </c>
      <c r="D629">
        <v>130</v>
      </c>
    </row>
    <row r="630" spans="1:4">
      <c r="A630" t="s">
        <v>70</v>
      </c>
      <c r="B630" t="s">
        <v>243</v>
      </c>
      <c r="C630">
        <v>2018</v>
      </c>
      <c r="D630">
        <v>1381</v>
      </c>
    </row>
    <row r="631" spans="1:4">
      <c r="A631" t="s">
        <v>144</v>
      </c>
      <c r="B631" t="s">
        <v>243</v>
      </c>
      <c r="C631">
        <v>2018</v>
      </c>
      <c r="D631">
        <v>77</v>
      </c>
    </row>
    <row r="632" spans="1:4">
      <c r="A632" t="s">
        <v>89</v>
      </c>
      <c r="B632" t="s">
        <v>243</v>
      </c>
      <c r="C632">
        <v>2018</v>
      </c>
      <c r="D632">
        <v>80</v>
      </c>
    </row>
    <row r="633" spans="1:4">
      <c r="A633" t="s">
        <v>204</v>
      </c>
      <c r="B633" t="s">
        <v>243</v>
      </c>
      <c r="C633">
        <v>2018</v>
      </c>
      <c r="D633">
        <v>65</v>
      </c>
    </row>
    <row r="634" spans="1:4">
      <c r="A634" t="s">
        <v>114</v>
      </c>
      <c r="B634" t="s">
        <v>243</v>
      </c>
      <c r="C634">
        <v>2018</v>
      </c>
      <c r="D634">
        <v>1</v>
      </c>
    </row>
    <row r="635" spans="1:4">
      <c r="A635" t="s">
        <v>184</v>
      </c>
      <c r="B635" t="s">
        <v>243</v>
      </c>
      <c r="C635">
        <v>2018</v>
      </c>
      <c r="D635">
        <v>21</v>
      </c>
    </row>
    <row r="636" spans="1:4">
      <c r="A636" t="s">
        <v>79</v>
      </c>
      <c r="B636" t="s">
        <v>243</v>
      </c>
      <c r="C636">
        <v>2018</v>
      </c>
      <c r="D636">
        <v>6</v>
      </c>
    </row>
    <row r="637" spans="1:4">
      <c r="A637" t="s">
        <v>199</v>
      </c>
      <c r="B637" t="s">
        <v>243</v>
      </c>
      <c r="C637">
        <v>2018</v>
      </c>
      <c r="D637">
        <v>8</v>
      </c>
    </row>
    <row r="638" spans="1:4">
      <c r="A638" t="s">
        <v>224</v>
      </c>
      <c r="B638" t="s">
        <v>243</v>
      </c>
      <c r="C638">
        <v>2018</v>
      </c>
      <c r="D638">
        <v>115.9</v>
      </c>
    </row>
    <row r="639" spans="1:4">
      <c r="A639" t="s">
        <v>194</v>
      </c>
      <c r="B639" t="s">
        <v>243</v>
      </c>
      <c r="C639">
        <v>2018</v>
      </c>
      <c r="D639">
        <v>33</v>
      </c>
    </row>
    <row r="640" spans="1:4">
      <c r="A640" t="s">
        <v>124</v>
      </c>
      <c r="B640" t="s">
        <v>243</v>
      </c>
      <c r="C640">
        <v>2018</v>
      </c>
      <c r="D640">
        <v>37</v>
      </c>
    </row>
    <row r="641" spans="1:4">
      <c r="A641" t="s">
        <v>179</v>
      </c>
      <c r="B641" t="s">
        <v>243</v>
      </c>
      <c r="C641">
        <v>2018</v>
      </c>
      <c r="D641">
        <v>0</v>
      </c>
    </row>
    <row r="642" spans="1:4">
      <c r="A642" t="s">
        <v>129</v>
      </c>
      <c r="B642" t="s">
        <v>243</v>
      </c>
      <c r="C642">
        <v>2019</v>
      </c>
      <c r="D642">
        <v>79</v>
      </c>
    </row>
    <row r="643" spans="1:4">
      <c r="A643" t="s">
        <v>74</v>
      </c>
      <c r="B643" t="s">
        <v>243</v>
      </c>
      <c r="C643">
        <v>2019</v>
      </c>
      <c r="D643">
        <v>1</v>
      </c>
    </row>
    <row r="644" spans="1:4">
      <c r="A644" t="s">
        <v>134</v>
      </c>
      <c r="B644" t="s">
        <v>243</v>
      </c>
      <c r="C644">
        <v>2019</v>
      </c>
      <c r="D644">
        <v>5</v>
      </c>
    </row>
    <row r="645" spans="1:4">
      <c r="A645" t="s">
        <v>209</v>
      </c>
      <c r="B645" t="s">
        <v>243</v>
      </c>
      <c r="C645">
        <v>2019</v>
      </c>
      <c r="D645">
        <v>112</v>
      </c>
    </row>
    <row r="646" spans="1:4">
      <c r="A646" t="s">
        <v>164</v>
      </c>
      <c r="B646" t="s">
        <v>243</v>
      </c>
      <c r="C646">
        <v>2019</v>
      </c>
      <c r="D646">
        <v>31</v>
      </c>
    </row>
    <row r="647" spans="1:4">
      <c r="A647" t="s">
        <v>169</v>
      </c>
      <c r="B647" t="s">
        <v>243</v>
      </c>
      <c r="C647">
        <v>2019</v>
      </c>
      <c r="D647">
        <v>12</v>
      </c>
    </row>
    <row r="648" spans="1:4">
      <c r="A648" t="s">
        <v>189</v>
      </c>
      <c r="B648" t="s">
        <v>243</v>
      </c>
      <c r="C648">
        <v>2019</v>
      </c>
      <c r="D648">
        <v>19</v>
      </c>
    </row>
    <row r="649" spans="1:4">
      <c r="A649" t="s">
        <v>174</v>
      </c>
      <c r="B649" t="s">
        <v>243</v>
      </c>
      <c r="C649">
        <v>2019</v>
      </c>
      <c r="D649">
        <v>12</v>
      </c>
    </row>
    <row r="650" spans="1:4">
      <c r="A650" t="s">
        <v>84</v>
      </c>
      <c r="B650" t="s">
        <v>243</v>
      </c>
      <c r="C650">
        <v>2019</v>
      </c>
      <c r="D650">
        <v>123</v>
      </c>
    </row>
    <row r="651" spans="1:4">
      <c r="A651" t="s">
        <v>149</v>
      </c>
      <c r="B651" t="s">
        <v>243</v>
      </c>
      <c r="C651">
        <v>2019</v>
      </c>
      <c r="D651">
        <v>64</v>
      </c>
    </row>
    <row r="652" spans="1:4">
      <c r="A652" t="s">
        <v>109</v>
      </c>
      <c r="B652" t="s">
        <v>243</v>
      </c>
      <c r="C652">
        <v>2019</v>
      </c>
      <c r="D652">
        <v>23</v>
      </c>
    </row>
    <row r="653" spans="1:4">
      <c r="A653" t="s">
        <v>154</v>
      </c>
      <c r="B653" t="s">
        <v>243</v>
      </c>
      <c r="C653">
        <v>2019</v>
      </c>
      <c r="D653">
        <v>40</v>
      </c>
    </row>
    <row r="654" spans="1:4">
      <c r="A654" t="s">
        <v>159</v>
      </c>
      <c r="B654" t="s">
        <v>243</v>
      </c>
      <c r="C654">
        <v>2019</v>
      </c>
      <c r="D654">
        <v>13</v>
      </c>
    </row>
    <row r="655" spans="1:4">
      <c r="A655" t="s">
        <v>104</v>
      </c>
      <c r="B655" t="s">
        <v>243</v>
      </c>
      <c r="C655">
        <v>2019</v>
      </c>
      <c r="D655">
        <v>31</v>
      </c>
    </row>
    <row r="656" spans="1:4">
      <c r="A656" t="s">
        <v>119</v>
      </c>
      <c r="B656" t="s">
        <v>243</v>
      </c>
      <c r="C656">
        <v>2019</v>
      </c>
      <c r="D656">
        <v>101</v>
      </c>
    </row>
    <row r="657" spans="1:4">
      <c r="A657" t="s">
        <v>139</v>
      </c>
      <c r="B657" t="s">
        <v>243</v>
      </c>
      <c r="C657">
        <v>2019</v>
      </c>
      <c r="D657">
        <v>32</v>
      </c>
    </row>
    <row r="658" spans="1:4">
      <c r="A658" t="s">
        <v>99</v>
      </c>
      <c r="B658" t="s">
        <v>243</v>
      </c>
      <c r="C658">
        <v>2019</v>
      </c>
      <c r="D658">
        <v>32</v>
      </c>
    </row>
    <row r="659" spans="1:4">
      <c r="A659" t="s">
        <v>94</v>
      </c>
      <c r="B659" t="s">
        <v>243</v>
      </c>
      <c r="C659">
        <v>2019</v>
      </c>
      <c r="D659">
        <v>160</v>
      </c>
    </row>
    <row r="660" spans="1:4">
      <c r="A660" t="s">
        <v>219</v>
      </c>
      <c r="B660" t="s">
        <v>243</v>
      </c>
      <c r="C660">
        <v>2019</v>
      </c>
      <c r="D660">
        <v>107</v>
      </c>
    </row>
    <row r="661" spans="1:4">
      <c r="A661" t="s">
        <v>214</v>
      </c>
      <c r="B661" t="s">
        <v>243</v>
      </c>
      <c r="C661">
        <v>2019</v>
      </c>
      <c r="D661">
        <v>156</v>
      </c>
    </row>
    <row r="662" spans="1:4">
      <c r="A662" t="s">
        <v>70</v>
      </c>
      <c r="B662" t="s">
        <v>243</v>
      </c>
      <c r="C662">
        <v>2019</v>
      </c>
      <c r="D662">
        <v>1702</v>
      </c>
    </row>
    <row r="663" spans="1:4">
      <c r="A663" t="s">
        <v>144</v>
      </c>
      <c r="B663" t="s">
        <v>243</v>
      </c>
      <c r="C663">
        <v>2019</v>
      </c>
      <c r="D663">
        <v>87</v>
      </c>
    </row>
    <row r="664" spans="1:4">
      <c r="A664" t="s">
        <v>89</v>
      </c>
      <c r="B664" t="s">
        <v>243</v>
      </c>
      <c r="C664">
        <v>2019</v>
      </c>
      <c r="D664">
        <v>103</v>
      </c>
    </row>
    <row r="665" spans="1:4">
      <c r="A665" t="s">
        <v>204</v>
      </c>
      <c r="B665" t="s">
        <v>243</v>
      </c>
      <c r="C665">
        <v>2019</v>
      </c>
      <c r="D665">
        <v>85</v>
      </c>
    </row>
    <row r="666" spans="1:4">
      <c r="A666" t="s">
        <v>114</v>
      </c>
      <c r="B666" t="s">
        <v>243</v>
      </c>
      <c r="C666">
        <v>2019</v>
      </c>
      <c r="D666">
        <v>1</v>
      </c>
    </row>
    <row r="667" spans="1:4">
      <c r="A667" t="s">
        <v>184</v>
      </c>
      <c r="B667" t="s">
        <v>243</v>
      </c>
      <c r="C667">
        <v>2019</v>
      </c>
      <c r="D667">
        <v>26</v>
      </c>
    </row>
    <row r="668" spans="1:4">
      <c r="A668" t="s">
        <v>79</v>
      </c>
      <c r="B668" t="s">
        <v>243</v>
      </c>
      <c r="C668">
        <v>2019</v>
      </c>
      <c r="D668">
        <v>12</v>
      </c>
    </row>
    <row r="669" spans="1:4">
      <c r="A669" t="s">
        <v>199</v>
      </c>
      <c r="B669" t="s">
        <v>243</v>
      </c>
      <c r="C669">
        <v>2019</v>
      </c>
      <c r="D669">
        <v>13</v>
      </c>
    </row>
    <row r="670" spans="1:4">
      <c r="A670" t="s">
        <v>224</v>
      </c>
      <c r="B670" t="s">
        <v>243</v>
      </c>
      <c r="C670">
        <v>2019</v>
      </c>
      <c r="D670">
        <v>131</v>
      </c>
    </row>
    <row r="671" spans="1:4">
      <c r="A671" t="s">
        <v>194</v>
      </c>
      <c r="B671" t="s">
        <v>243</v>
      </c>
      <c r="C671">
        <v>2019</v>
      </c>
      <c r="D671">
        <v>46</v>
      </c>
    </row>
    <row r="672" spans="1:4">
      <c r="A672" t="s">
        <v>124</v>
      </c>
      <c r="B672" t="s">
        <v>243</v>
      </c>
      <c r="C672">
        <v>2019</v>
      </c>
      <c r="D672">
        <v>44</v>
      </c>
    </row>
    <row r="673" spans="1:4">
      <c r="A673" t="s">
        <v>179</v>
      </c>
      <c r="B673" t="s">
        <v>243</v>
      </c>
      <c r="C673">
        <v>2019</v>
      </c>
      <c r="D673">
        <v>0</v>
      </c>
    </row>
    <row r="674" spans="1:4">
      <c r="A674" t="s">
        <v>129</v>
      </c>
      <c r="B674" t="s">
        <v>243</v>
      </c>
      <c r="C674">
        <v>2020</v>
      </c>
      <c r="D674">
        <v>85</v>
      </c>
    </row>
    <row r="675" spans="1:4">
      <c r="A675" t="s">
        <v>74</v>
      </c>
      <c r="B675" t="s">
        <v>243</v>
      </c>
      <c r="C675">
        <v>2020</v>
      </c>
      <c r="D675">
        <v>1</v>
      </c>
    </row>
    <row r="676" spans="1:4">
      <c r="A676" t="s">
        <v>134</v>
      </c>
      <c r="B676" t="s">
        <v>243</v>
      </c>
      <c r="C676">
        <v>2020</v>
      </c>
      <c r="D676">
        <v>4</v>
      </c>
    </row>
    <row r="677" spans="1:4">
      <c r="A677" t="s">
        <v>209</v>
      </c>
      <c r="B677" t="s">
        <v>243</v>
      </c>
      <c r="C677">
        <v>2020</v>
      </c>
      <c r="D677">
        <v>124</v>
      </c>
    </row>
    <row r="678" spans="1:4">
      <c r="A678" t="s">
        <v>164</v>
      </c>
      <c r="B678" t="s">
        <v>243</v>
      </c>
      <c r="C678">
        <v>2020</v>
      </c>
      <c r="D678">
        <v>42</v>
      </c>
    </row>
    <row r="679" spans="1:4">
      <c r="A679" t="s">
        <v>169</v>
      </c>
      <c r="B679" t="s">
        <v>243</v>
      </c>
      <c r="C679">
        <v>2020</v>
      </c>
      <c r="D679">
        <v>16</v>
      </c>
    </row>
    <row r="680" spans="1:4">
      <c r="A680" t="s">
        <v>189</v>
      </c>
      <c r="B680" t="s">
        <v>243</v>
      </c>
      <c r="C680">
        <v>2020</v>
      </c>
      <c r="D680">
        <v>44</v>
      </c>
    </row>
    <row r="681" spans="1:4">
      <c r="A681" t="s">
        <v>174</v>
      </c>
      <c r="B681" t="s">
        <v>243</v>
      </c>
      <c r="C681">
        <v>2020</v>
      </c>
      <c r="D681">
        <v>14</v>
      </c>
    </row>
    <row r="682" spans="1:4">
      <c r="A682" t="s">
        <v>84</v>
      </c>
      <c r="B682" t="s">
        <v>243</v>
      </c>
      <c r="C682">
        <v>2020</v>
      </c>
      <c r="D682">
        <v>141</v>
      </c>
    </row>
    <row r="683" spans="1:4">
      <c r="A683" t="s">
        <v>149</v>
      </c>
      <c r="B683" t="s">
        <v>243</v>
      </c>
      <c r="C683">
        <v>2020</v>
      </c>
      <c r="D683">
        <v>63</v>
      </c>
    </row>
    <row r="684" spans="1:4">
      <c r="A684" t="s">
        <v>109</v>
      </c>
      <c r="B684" t="s">
        <v>243</v>
      </c>
      <c r="C684">
        <v>2020</v>
      </c>
      <c r="D684">
        <v>33</v>
      </c>
    </row>
    <row r="685" spans="1:4">
      <c r="A685" t="s">
        <v>154</v>
      </c>
      <c r="B685" t="s">
        <v>243</v>
      </c>
      <c r="C685">
        <v>2020</v>
      </c>
      <c r="D685">
        <v>46</v>
      </c>
    </row>
    <row r="686" spans="1:4">
      <c r="A686" t="s">
        <v>159</v>
      </c>
      <c r="B686" t="s">
        <v>243</v>
      </c>
      <c r="C686">
        <v>2020</v>
      </c>
      <c r="D686">
        <v>16</v>
      </c>
    </row>
    <row r="687" spans="1:4">
      <c r="A687" t="s">
        <v>104</v>
      </c>
      <c r="B687" t="s">
        <v>243</v>
      </c>
      <c r="C687">
        <v>2020</v>
      </c>
      <c r="D687">
        <v>36</v>
      </c>
    </row>
    <row r="688" spans="1:4">
      <c r="A688" t="s">
        <v>119</v>
      </c>
      <c r="B688" t="s">
        <v>243</v>
      </c>
      <c r="C688">
        <v>2020</v>
      </c>
      <c r="D688">
        <v>106</v>
      </c>
    </row>
    <row r="689" spans="1:4">
      <c r="A689" t="s">
        <v>139</v>
      </c>
      <c r="B689" t="s">
        <v>243</v>
      </c>
      <c r="C689">
        <v>2020</v>
      </c>
      <c r="D689">
        <v>36</v>
      </c>
    </row>
    <row r="690" spans="1:4">
      <c r="A690" t="s">
        <v>99</v>
      </c>
      <c r="B690" t="s">
        <v>243</v>
      </c>
      <c r="C690">
        <v>2020</v>
      </c>
      <c r="D690">
        <v>39</v>
      </c>
    </row>
    <row r="691" spans="1:4">
      <c r="A691" t="s">
        <v>94</v>
      </c>
      <c r="B691" t="s">
        <v>243</v>
      </c>
      <c r="C691">
        <v>2020</v>
      </c>
      <c r="D691">
        <v>175</v>
      </c>
    </row>
    <row r="692" spans="1:4">
      <c r="A692" t="s">
        <v>219</v>
      </c>
      <c r="B692" t="s">
        <v>243</v>
      </c>
      <c r="C692">
        <v>2020</v>
      </c>
      <c r="D692">
        <v>126</v>
      </c>
    </row>
    <row r="693" spans="1:4">
      <c r="A693" t="s">
        <v>214</v>
      </c>
      <c r="B693" t="s">
        <v>243</v>
      </c>
      <c r="C693">
        <v>2020</v>
      </c>
      <c r="D693">
        <v>165</v>
      </c>
    </row>
    <row r="694" spans="1:4">
      <c r="A694" t="s">
        <v>70</v>
      </c>
      <c r="B694" t="s">
        <v>243</v>
      </c>
      <c r="C694">
        <v>2020</v>
      </c>
      <c r="D694">
        <v>1932</v>
      </c>
    </row>
    <row r="695" spans="1:4">
      <c r="A695" t="s">
        <v>144</v>
      </c>
      <c r="B695" t="s">
        <v>243</v>
      </c>
      <c r="C695">
        <v>2020</v>
      </c>
      <c r="D695">
        <v>89</v>
      </c>
    </row>
    <row r="696" spans="1:4">
      <c r="A696" t="s">
        <v>89</v>
      </c>
      <c r="B696" t="s">
        <v>243</v>
      </c>
      <c r="C696">
        <v>2020</v>
      </c>
      <c r="D696">
        <v>128</v>
      </c>
    </row>
    <row r="697" spans="1:4">
      <c r="A697" t="s">
        <v>204</v>
      </c>
      <c r="B697" t="s">
        <v>243</v>
      </c>
      <c r="C697">
        <v>2020</v>
      </c>
      <c r="D697">
        <v>103</v>
      </c>
    </row>
    <row r="698" spans="1:4">
      <c r="A698" t="s">
        <v>114</v>
      </c>
      <c r="B698" t="s">
        <v>243</v>
      </c>
      <c r="C698">
        <v>2020</v>
      </c>
      <c r="D698">
        <v>1</v>
      </c>
    </row>
    <row r="699" spans="1:4">
      <c r="A699" t="s">
        <v>184</v>
      </c>
      <c r="B699" t="s">
        <v>243</v>
      </c>
      <c r="C699">
        <v>2020</v>
      </c>
      <c r="D699">
        <v>25</v>
      </c>
    </row>
    <row r="700" spans="1:4">
      <c r="A700" t="s">
        <v>79</v>
      </c>
      <c r="B700" t="s">
        <v>243</v>
      </c>
      <c r="C700">
        <v>2020</v>
      </c>
      <c r="D700">
        <v>15</v>
      </c>
    </row>
    <row r="701" spans="1:4">
      <c r="A701" t="s">
        <v>199</v>
      </c>
      <c r="B701" t="s">
        <v>243</v>
      </c>
      <c r="C701">
        <v>2020</v>
      </c>
      <c r="D701">
        <v>14</v>
      </c>
    </row>
    <row r="702" spans="1:4">
      <c r="A702" t="s">
        <v>224</v>
      </c>
      <c r="B702" t="s">
        <v>243</v>
      </c>
      <c r="C702">
        <v>2020</v>
      </c>
      <c r="D702">
        <v>155</v>
      </c>
    </row>
    <row r="703" spans="1:4">
      <c r="A703" t="s">
        <v>194</v>
      </c>
      <c r="B703" t="s">
        <v>243</v>
      </c>
      <c r="C703">
        <v>2020</v>
      </c>
      <c r="D703">
        <v>47</v>
      </c>
    </row>
    <row r="704" spans="1:4">
      <c r="A704" t="s">
        <v>124</v>
      </c>
      <c r="B704" t="s">
        <v>243</v>
      </c>
      <c r="C704">
        <v>2020</v>
      </c>
      <c r="D704">
        <v>43</v>
      </c>
    </row>
    <row r="705" spans="1:4">
      <c r="A705" t="s">
        <v>179</v>
      </c>
      <c r="B705" t="s">
        <v>243</v>
      </c>
      <c r="C705">
        <v>2020</v>
      </c>
      <c r="D705">
        <v>3.6</v>
      </c>
    </row>
    <row r="706" spans="1:4">
      <c r="A706" t="s">
        <v>129</v>
      </c>
      <c r="B706" t="s">
        <v>243</v>
      </c>
      <c r="C706">
        <v>2021</v>
      </c>
      <c r="D706">
        <v>103</v>
      </c>
    </row>
    <row r="707" spans="1:4">
      <c r="A707" t="s">
        <v>74</v>
      </c>
      <c r="B707" t="s">
        <v>243</v>
      </c>
      <c r="C707">
        <v>2021</v>
      </c>
      <c r="D707">
        <v>1</v>
      </c>
    </row>
    <row r="708" spans="1:4">
      <c r="A708" t="s">
        <v>134</v>
      </c>
      <c r="B708" t="s">
        <v>243</v>
      </c>
      <c r="C708">
        <v>2021</v>
      </c>
      <c r="D708">
        <v>5</v>
      </c>
    </row>
    <row r="709" spans="1:4">
      <c r="A709" t="s">
        <v>209</v>
      </c>
      <c r="B709" t="s">
        <v>243</v>
      </c>
      <c r="C709">
        <v>2021</v>
      </c>
      <c r="D709">
        <v>141</v>
      </c>
    </row>
    <row r="710" spans="1:4">
      <c r="A710" t="s">
        <v>164</v>
      </c>
      <c r="B710" t="s">
        <v>243</v>
      </c>
      <c r="C710">
        <v>2021</v>
      </c>
      <c r="D710">
        <v>53</v>
      </c>
    </row>
    <row r="711" spans="1:4">
      <c r="A711" t="s">
        <v>169</v>
      </c>
      <c r="B711" t="s">
        <v>243</v>
      </c>
      <c r="C711">
        <v>2021</v>
      </c>
      <c r="D711">
        <v>25</v>
      </c>
    </row>
    <row r="712" spans="1:4">
      <c r="A712" t="s">
        <v>189</v>
      </c>
      <c r="B712" t="s">
        <v>243</v>
      </c>
      <c r="C712">
        <v>2021</v>
      </c>
      <c r="D712">
        <v>82</v>
      </c>
    </row>
    <row r="713" spans="1:4">
      <c r="A713" t="s">
        <v>174</v>
      </c>
      <c r="B713" t="s">
        <v>243</v>
      </c>
      <c r="C713">
        <v>2021</v>
      </c>
      <c r="D713">
        <v>15</v>
      </c>
    </row>
    <row r="714" spans="1:4">
      <c r="A714" t="s">
        <v>84</v>
      </c>
      <c r="B714" t="s">
        <v>243</v>
      </c>
      <c r="C714">
        <v>2021</v>
      </c>
      <c r="D714">
        <v>165</v>
      </c>
    </row>
    <row r="715" spans="1:4">
      <c r="A715" t="s">
        <v>149</v>
      </c>
      <c r="B715" t="s">
        <v>243</v>
      </c>
      <c r="C715">
        <v>2021</v>
      </c>
      <c r="D715">
        <v>64</v>
      </c>
    </row>
    <row r="716" spans="1:4">
      <c r="A716" t="s">
        <v>109</v>
      </c>
      <c r="B716" t="s">
        <v>243</v>
      </c>
      <c r="C716">
        <v>2021</v>
      </c>
      <c r="D716">
        <v>41</v>
      </c>
    </row>
    <row r="717" spans="1:4">
      <c r="A717" t="s">
        <v>154</v>
      </c>
      <c r="B717" t="s">
        <v>243</v>
      </c>
      <c r="C717">
        <v>2021</v>
      </c>
      <c r="D717">
        <v>63</v>
      </c>
    </row>
    <row r="718" spans="1:4">
      <c r="A718" t="s">
        <v>159</v>
      </c>
      <c r="B718" t="s">
        <v>243</v>
      </c>
      <c r="C718">
        <v>2021</v>
      </c>
      <c r="D718">
        <v>21</v>
      </c>
    </row>
    <row r="719" spans="1:4">
      <c r="A719" t="s">
        <v>104</v>
      </c>
      <c r="B719" t="s">
        <v>243</v>
      </c>
      <c r="C719">
        <v>2021</v>
      </c>
      <c r="D719">
        <v>42</v>
      </c>
    </row>
    <row r="720" spans="1:4">
      <c r="A720" t="s">
        <v>119</v>
      </c>
      <c r="B720" t="s">
        <v>243</v>
      </c>
      <c r="C720">
        <v>2021</v>
      </c>
      <c r="D720">
        <v>118</v>
      </c>
    </row>
    <row r="721" spans="1:4">
      <c r="A721" t="s">
        <v>139</v>
      </c>
      <c r="B721" t="s">
        <v>243</v>
      </c>
      <c r="C721">
        <v>2021</v>
      </c>
      <c r="D721">
        <v>50</v>
      </c>
    </row>
    <row r="722" spans="1:4">
      <c r="A722" t="s">
        <v>99</v>
      </c>
      <c r="B722" t="s">
        <v>243</v>
      </c>
      <c r="C722">
        <v>2021</v>
      </c>
      <c r="D722">
        <v>41</v>
      </c>
    </row>
    <row r="723" spans="1:4">
      <c r="A723" t="s">
        <v>94</v>
      </c>
      <c r="B723" t="s">
        <v>243</v>
      </c>
      <c r="C723">
        <v>2021</v>
      </c>
      <c r="D723">
        <v>197</v>
      </c>
    </row>
    <row r="724" spans="1:4">
      <c r="A724" t="s">
        <v>219</v>
      </c>
      <c r="B724" t="s">
        <v>243</v>
      </c>
      <c r="C724">
        <v>2021</v>
      </c>
      <c r="D724">
        <v>173</v>
      </c>
    </row>
    <row r="725" spans="1:4">
      <c r="A725" t="s">
        <v>214</v>
      </c>
      <c r="B725" t="s">
        <v>243</v>
      </c>
      <c r="C725">
        <v>2021</v>
      </c>
      <c r="D725">
        <v>209</v>
      </c>
    </row>
    <row r="726" spans="1:4">
      <c r="A726" t="s">
        <v>70</v>
      </c>
      <c r="B726" t="s">
        <v>243</v>
      </c>
      <c r="C726">
        <v>2021</v>
      </c>
      <c r="D726">
        <v>2345</v>
      </c>
    </row>
    <row r="727" spans="1:4">
      <c r="A727" t="s">
        <v>144</v>
      </c>
      <c r="B727" t="s">
        <v>243</v>
      </c>
      <c r="C727">
        <v>2021</v>
      </c>
      <c r="D727">
        <v>108</v>
      </c>
    </row>
    <row r="728" spans="1:4">
      <c r="A728" t="s">
        <v>89</v>
      </c>
      <c r="B728" t="s">
        <v>243</v>
      </c>
      <c r="C728">
        <v>2021</v>
      </c>
      <c r="D728">
        <v>129</v>
      </c>
    </row>
    <row r="729" spans="1:4">
      <c r="A729" t="s">
        <v>204</v>
      </c>
      <c r="B729" t="s">
        <v>243</v>
      </c>
      <c r="C729">
        <v>2021</v>
      </c>
      <c r="D729">
        <v>141</v>
      </c>
    </row>
    <row r="730" spans="1:4">
      <c r="A730" t="s">
        <v>114</v>
      </c>
      <c r="B730" t="s">
        <v>243</v>
      </c>
      <c r="C730">
        <v>2021</v>
      </c>
      <c r="D730">
        <v>3</v>
      </c>
    </row>
    <row r="731" spans="1:4">
      <c r="A731" t="s">
        <v>184</v>
      </c>
      <c r="B731" t="s">
        <v>243</v>
      </c>
      <c r="C731">
        <v>2021</v>
      </c>
      <c r="D731">
        <v>28</v>
      </c>
    </row>
    <row r="732" spans="1:4">
      <c r="A732" t="s">
        <v>79</v>
      </c>
      <c r="B732" t="s">
        <v>243</v>
      </c>
      <c r="C732">
        <v>2021</v>
      </c>
      <c r="D732">
        <v>16</v>
      </c>
    </row>
    <row r="733" spans="1:4">
      <c r="A733" t="s">
        <v>199</v>
      </c>
      <c r="B733" t="s">
        <v>243</v>
      </c>
      <c r="C733">
        <v>2021</v>
      </c>
      <c r="D733">
        <v>16.8</v>
      </c>
    </row>
    <row r="734" spans="1:4">
      <c r="A734" t="s">
        <v>224</v>
      </c>
      <c r="B734" t="s">
        <v>243</v>
      </c>
      <c r="C734">
        <v>2021</v>
      </c>
      <c r="D734">
        <v>194</v>
      </c>
    </row>
    <row r="735" spans="1:4">
      <c r="A735" t="s">
        <v>194</v>
      </c>
      <c r="B735" t="s">
        <v>243</v>
      </c>
      <c r="C735">
        <v>2021</v>
      </c>
      <c r="D735">
        <v>47</v>
      </c>
    </row>
    <row r="736" spans="1:4">
      <c r="A736" t="s">
        <v>124</v>
      </c>
      <c r="B736" t="s">
        <v>243</v>
      </c>
      <c r="C736">
        <v>2021</v>
      </c>
      <c r="D736">
        <v>52</v>
      </c>
    </row>
    <row r="737" spans="1:4">
      <c r="A737" t="s">
        <v>179</v>
      </c>
      <c r="B737" t="s">
        <v>243</v>
      </c>
      <c r="C737">
        <v>2021</v>
      </c>
      <c r="D737">
        <v>4</v>
      </c>
    </row>
    <row r="738" spans="1:4">
      <c r="A738" t="s">
        <v>129</v>
      </c>
      <c r="B738" t="s">
        <v>243</v>
      </c>
      <c r="C738">
        <v>2022</v>
      </c>
    </row>
    <row r="739" spans="1:4">
      <c r="A739" t="s">
        <v>74</v>
      </c>
      <c r="B739" t="s">
        <v>243</v>
      </c>
      <c r="C739">
        <v>2022</v>
      </c>
    </row>
    <row r="740" spans="1:4">
      <c r="A740" t="s">
        <v>134</v>
      </c>
      <c r="B740" t="s">
        <v>243</v>
      </c>
      <c r="C740">
        <v>2022</v>
      </c>
    </row>
    <row r="741" spans="1:4">
      <c r="A741" t="s">
        <v>209</v>
      </c>
      <c r="B741" t="s">
        <v>243</v>
      </c>
      <c r="C741">
        <v>2022</v>
      </c>
    </row>
    <row r="742" spans="1:4">
      <c r="A742" t="s">
        <v>164</v>
      </c>
      <c r="B742" t="s">
        <v>243</v>
      </c>
      <c r="C742">
        <v>2022</v>
      </c>
    </row>
    <row r="743" spans="1:4">
      <c r="A743" t="s">
        <v>169</v>
      </c>
      <c r="B743" t="s">
        <v>243</v>
      </c>
      <c r="C743">
        <v>2022</v>
      </c>
    </row>
    <row r="744" spans="1:4">
      <c r="A744" t="s">
        <v>189</v>
      </c>
      <c r="B744" t="s">
        <v>243</v>
      </c>
      <c r="C744">
        <v>2022</v>
      </c>
    </row>
    <row r="745" spans="1:4">
      <c r="A745" t="s">
        <v>174</v>
      </c>
      <c r="B745" t="s">
        <v>243</v>
      </c>
      <c r="C745">
        <v>2022</v>
      </c>
    </row>
    <row r="746" spans="1:4">
      <c r="A746" t="s">
        <v>84</v>
      </c>
      <c r="B746" t="s">
        <v>243</v>
      </c>
      <c r="C746">
        <v>2022</v>
      </c>
    </row>
    <row r="747" spans="1:4">
      <c r="A747" t="s">
        <v>149</v>
      </c>
      <c r="B747" t="s">
        <v>243</v>
      </c>
      <c r="C747">
        <v>2022</v>
      </c>
    </row>
    <row r="748" spans="1:4">
      <c r="A748" t="s">
        <v>109</v>
      </c>
      <c r="B748" t="s">
        <v>243</v>
      </c>
      <c r="C748">
        <v>2022</v>
      </c>
    </row>
    <row r="749" spans="1:4">
      <c r="A749" t="s">
        <v>154</v>
      </c>
      <c r="B749" t="s">
        <v>243</v>
      </c>
      <c r="C749">
        <v>2022</v>
      </c>
    </row>
    <row r="750" spans="1:4">
      <c r="A750" t="s">
        <v>159</v>
      </c>
      <c r="B750" t="s">
        <v>243</v>
      </c>
      <c r="C750">
        <v>2022</v>
      </c>
    </row>
    <row r="751" spans="1:4">
      <c r="A751" t="s">
        <v>104</v>
      </c>
      <c r="B751" t="s">
        <v>243</v>
      </c>
      <c r="C751">
        <v>2022</v>
      </c>
    </row>
    <row r="752" spans="1:4">
      <c r="A752" t="s">
        <v>119</v>
      </c>
      <c r="B752" t="s">
        <v>243</v>
      </c>
      <c r="C752">
        <v>2022</v>
      </c>
    </row>
    <row r="753" spans="1:3">
      <c r="A753" t="s">
        <v>139</v>
      </c>
      <c r="B753" t="s">
        <v>243</v>
      </c>
      <c r="C753">
        <v>2022</v>
      </c>
    </row>
    <row r="754" spans="1:3">
      <c r="A754" t="s">
        <v>99</v>
      </c>
      <c r="B754" t="s">
        <v>243</v>
      </c>
      <c r="C754">
        <v>2022</v>
      </c>
    </row>
    <row r="755" spans="1:3">
      <c r="A755" t="s">
        <v>94</v>
      </c>
      <c r="B755" t="s">
        <v>243</v>
      </c>
      <c r="C755">
        <v>2022</v>
      </c>
    </row>
    <row r="756" spans="1:3">
      <c r="A756" t="s">
        <v>219</v>
      </c>
      <c r="B756" t="s">
        <v>243</v>
      </c>
      <c r="C756">
        <v>2022</v>
      </c>
    </row>
    <row r="757" spans="1:3">
      <c r="A757" t="s">
        <v>214</v>
      </c>
      <c r="B757" t="s">
        <v>243</v>
      </c>
      <c r="C757">
        <v>2022</v>
      </c>
    </row>
    <row r="758" spans="1:3">
      <c r="A758" t="s">
        <v>70</v>
      </c>
      <c r="B758" t="s">
        <v>243</v>
      </c>
      <c r="C758">
        <v>2022</v>
      </c>
    </row>
    <row r="759" spans="1:3">
      <c r="A759" t="s">
        <v>144</v>
      </c>
      <c r="B759" t="s">
        <v>243</v>
      </c>
      <c r="C759">
        <v>2022</v>
      </c>
    </row>
    <row r="760" spans="1:3">
      <c r="A760" t="s">
        <v>89</v>
      </c>
      <c r="B760" t="s">
        <v>243</v>
      </c>
      <c r="C760">
        <v>2022</v>
      </c>
    </row>
    <row r="761" spans="1:3">
      <c r="A761" t="s">
        <v>204</v>
      </c>
      <c r="B761" t="s">
        <v>243</v>
      </c>
      <c r="C761">
        <v>2022</v>
      </c>
    </row>
    <row r="762" spans="1:3">
      <c r="A762" t="s">
        <v>114</v>
      </c>
      <c r="B762" t="s">
        <v>243</v>
      </c>
      <c r="C762">
        <v>2022</v>
      </c>
    </row>
    <row r="763" spans="1:3">
      <c r="A763" t="s">
        <v>184</v>
      </c>
      <c r="B763" t="s">
        <v>243</v>
      </c>
      <c r="C763">
        <v>2022</v>
      </c>
    </row>
    <row r="764" spans="1:3">
      <c r="A764" t="s">
        <v>79</v>
      </c>
      <c r="B764" t="s">
        <v>243</v>
      </c>
      <c r="C764">
        <v>2022</v>
      </c>
    </row>
    <row r="765" spans="1:3">
      <c r="A765" t="s">
        <v>199</v>
      </c>
      <c r="B765" t="s">
        <v>243</v>
      </c>
      <c r="C765">
        <v>2022</v>
      </c>
    </row>
    <row r="766" spans="1:3">
      <c r="A766" t="s">
        <v>224</v>
      </c>
      <c r="B766" t="s">
        <v>243</v>
      </c>
      <c r="C766">
        <v>2022</v>
      </c>
    </row>
    <row r="767" spans="1:3">
      <c r="A767" t="s">
        <v>194</v>
      </c>
      <c r="B767" t="s">
        <v>243</v>
      </c>
      <c r="C767">
        <v>2022</v>
      </c>
    </row>
    <row r="768" spans="1:3">
      <c r="A768" t="s">
        <v>124</v>
      </c>
      <c r="B768" t="s">
        <v>243</v>
      </c>
      <c r="C768">
        <v>2022</v>
      </c>
    </row>
    <row r="769" spans="1:4">
      <c r="A769" t="s">
        <v>179</v>
      </c>
      <c r="B769" t="s">
        <v>243</v>
      </c>
      <c r="C769">
        <v>2022</v>
      </c>
    </row>
    <row r="770" spans="1:4">
      <c r="A770" t="s">
        <v>129</v>
      </c>
      <c r="B770" t="s">
        <v>244</v>
      </c>
      <c r="C770">
        <v>2015</v>
      </c>
    </row>
    <row r="771" spans="1:4">
      <c r="A771" t="s">
        <v>74</v>
      </c>
      <c r="B771" t="s">
        <v>244</v>
      </c>
      <c r="C771">
        <v>2015</v>
      </c>
    </row>
    <row r="772" spans="1:4">
      <c r="A772" t="s">
        <v>134</v>
      </c>
      <c r="B772" t="s">
        <v>244</v>
      </c>
      <c r="C772">
        <v>2015</v>
      </c>
      <c r="D772">
        <v>290</v>
      </c>
    </row>
    <row r="773" spans="1:4">
      <c r="A773" t="s">
        <v>209</v>
      </c>
      <c r="B773" t="s">
        <v>244</v>
      </c>
      <c r="C773">
        <v>2015</v>
      </c>
    </row>
    <row r="774" spans="1:4">
      <c r="A774" t="s">
        <v>164</v>
      </c>
      <c r="B774" t="s">
        <v>244</v>
      </c>
      <c r="C774">
        <v>2015</v>
      </c>
      <c r="D774">
        <v>606</v>
      </c>
    </row>
    <row r="775" spans="1:4">
      <c r="A775" t="s">
        <v>169</v>
      </c>
      <c r="B775" t="s">
        <v>244</v>
      </c>
      <c r="C775">
        <v>2015</v>
      </c>
      <c r="D775">
        <v>7</v>
      </c>
    </row>
    <row r="776" spans="1:4">
      <c r="A776" t="s">
        <v>189</v>
      </c>
      <c r="B776" t="s">
        <v>244</v>
      </c>
      <c r="C776">
        <v>2015</v>
      </c>
    </row>
    <row r="777" spans="1:4">
      <c r="A777" t="s">
        <v>174</v>
      </c>
      <c r="B777" t="s">
        <v>244</v>
      </c>
      <c r="C777">
        <v>2015</v>
      </c>
      <c r="D777">
        <v>4</v>
      </c>
    </row>
    <row r="778" spans="1:4">
      <c r="A778" t="s">
        <v>84</v>
      </c>
      <c r="B778" t="s">
        <v>244</v>
      </c>
      <c r="C778">
        <v>2015</v>
      </c>
    </row>
    <row r="779" spans="1:4">
      <c r="A779" t="s">
        <v>149</v>
      </c>
      <c r="B779" t="s">
        <v>244</v>
      </c>
      <c r="C779">
        <v>2015</v>
      </c>
    </row>
    <row r="780" spans="1:4">
      <c r="A780" t="s">
        <v>109</v>
      </c>
      <c r="B780" t="s">
        <v>244</v>
      </c>
      <c r="C780">
        <v>2015</v>
      </c>
    </row>
    <row r="781" spans="1:4">
      <c r="A781" t="s">
        <v>154</v>
      </c>
      <c r="B781" t="s">
        <v>244</v>
      </c>
      <c r="C781">
        <v>2015</v>
      </c>
    </row>
    <row r="782" spans="1:4">
      <c r="A782" t="s">
        <v>159</v>
      </c>
      <c r="B782" t="s">
        <v>244</v>
      </c>
      <c r="C782">
        <v>2015</v>
      </c>
    </row>
    <row r="783" spans="1:4">
      <c r="A783" t="s">
        <v>104</v>
      </c>
      <c r="B783" t="s">
        <v>244</v>
      </c>
      <c r="C783">
        <v>2015</v>
      </c>
    </row>
    <row r="784" spans="1:4">
      <c r="A784" t="s">
        <v>119</v>
      </c>
      <c r="B784" t="s">
        <v>244</v>
      </c>
      <c r="C784">
        <v>2015</v>
      </c>
      <c r="D784">
        <v>166</v>
      </c>
    </row>
    <row r="785" spans="1:4">
      <c r="A785" t="s">
        <v>139</v>
      </c>
      <c r="B785" t="s">
        <v>244</v>
      </c>
      <c r="C785">
        <v>2015</v>
      </c>
    </row>
    <row r="786" spans="1:4">
      <c r="A786" t="s">
        <v>99</v>
      </c>
      <c r="B786" t="s">
        <v>244</v>
      </c>
      <c r="C786">
        <v>2015</v>
      </c>
      <c r="D786">
        <v>145</v>
      </c>
    </row>
    <row r="787" spans="1:4">
      <c r="A787" t="s">
        <v>94</v>
      </c>
      <c r="B787" t="s">
        <v>244</v>
      </c>
      <c r="C787">
        <v>2015</v>
      </c>
    </row>
    <row r="788" spans="1:4">
      <c r="A788" t="s">
        <v>219</v>
      </c>
      <c r="B788" t="s">
        <v>244</v>
      </c>
      <c r="C788">
        <v>2015</v>
      </c>
    </row>
    <row r="789" spans="1:4">
      <c r="A789" t="s">
        <v>214</v>
      </c>
      <c r="B789" t="s">
        <v>244</v>
      </c>
      <c r="C789">
        <v>2015</v>
      </c>
    </row>
    <row r="790" spans="1:4">
      <c r="A790" t="s">
        <v>70</v>
      </c>
      <c r="B790" t="s">
        <v>244</v>
      </c>
      <c r="C790">
        <v>2015</v>
      </c>
      <c r="D790">
        <v>1714</v>
      </c>
    </row>
    <row r="791" spans="1:4">
      <c r="A791" t="s">
        <v>144</v>
      </c>
      <c r="B791" t="s">
        <v>244</v>
      </c>
      <c r="C791">
        <v>2015</v>
      </c>
    </row>
    <row r="792" spans="1:4">
      <c r="A792" t="s">
        <v>89</v>
      </c>
      <c r="B792" t="s">
        <v>244</v>
      </c>
      <c r="C792">
        <v>2015</v>
      </c>
    </row>
    <row r="793" spans="1:4">
      <c r="A793" t="s">
        <v>204</v>
      </c>
      <c r="B793" t="s">
        <v>244</v>
      </c>
      <c r="C793">
        <v>2015</v>
      </c>
    </row>
    <row r="794" spans="1:4">
      <c r="A794" t="s">
        <v>114</v>
      </c>
      <c r="B794" t="s">
        <v>244</v>
      </c>
      <c r="C794">
        <v>2015</v>
      </c>
    </row>
    <row r="795" spans="1:4">
      <c r="A795" t="s">
        <v>184</v>
      </c>
      <c r="B795" t="s">
        <v>244</v>
      </c>
      <c r="C795">
        <v>2015</v>
      </c>
    </row>
    <row r="796" spans="1:4">
      <c r="A796" t="s">
        <v>79</v>
      </c>
      <c r="B796" t="s">
        <v>244</v>
      </c>
      <c r="C796">
        <v>2015</v>
      </c>
    </row>
    <row r="797" spans="1:4">
      <c r="A797" t="s">
        <v>199</v>
      </c>
      <c r="B797" t="s">
        <v>244</v>
      </c>
      <c r="C797">
        <v>2015</v>
      </c>
    </row>
    <row r="798" spans="1:4">
      <c r="A798" t="s">
        <v>224</v>
      </c>
      <c r="B798" t="s">
        <v>244</v>
      </c>
      <c r="C798">
        <v>2015</v>
      </c>
    </row>
    <row r="799" spans="1:4">
      <c r="A799" t="s">
        <v>194</v>
      </c>
      <c r="B799" t="s">
        <v>244</v>
      </c>
      <c r="C799">
        <v>2015</v>
      </c>
    </row>
    <row r="800" spans="1:4">
      <c r="A800" t="s">
        <v>124</v>
      </c>
      <c r="B800" t="s">
        <v>244</v>
      </c>
      <c r="C800">
        <v>2015</v>
      </c>
      <c r="D800">
        <v>496</v>
      </c>
    </row>
    <row r="801" spans="1:4">
      <c r="A801" t="s">
        <v>179</v>
      </c>
      <c r="B801" t="s">
        <v>244</v>
      </c>
      <c r="C801">
        <v>2015</v>
      </c>
    </row>
    <row r="802" spans="1:4">
      <c r="A802" t="s">
        <v>129</v>
      </c>
      <c r="B802" t="s">
        <v>244</v>
      </c>
      <c r="C802">
        <v>2016</v>
      </c>
    </row>
    <row r="803" spans="1:4">
      <c r="A803" t="s">
        <v>74</v>
      </c>
      <c r="B803" t="s">
        <v>244</v>
      </c>
      <c r="C803">
        <v>2016</v>
      </c>
    </row>
    <row r="804" spans="1:4">
      <c r="A804" t="s">
        <v>134</v>
      </c>
      <c r="B804" t="s">
        <v>244</v>
      </c>
      <c r="C804">
        <v>2016</v>
      </c>
      <c r="D804">
        <v>407</v>
      </c>
    </row>
    <row r="805" spans="1:4">
      <c r="A805" t="s">
        <v>209</v>
      </c>
      <c r="B805" t="s">
        <v>244</v>
      </c>
      <c r="C805">
        <v>2016</v>
      </c>
    </row>
    <row r="806" spans="1:4">
      <c r="A806" t="s">
        <v>164</v>
      </c>
      <c r="B806" t="s">
        <v>244</v>
      </c>
      <c r="C806">
        <v>2016</v>
      </c>
      <c r="D806">
        <v>705</v>
      </c>
    </row>
    <row r="807" spans="1:4">
      <c r="A807" t="s">
        <v>169</v>
      </c>
      <c r="B807" t="s">
        <v>244</v>
      </c>
      <c r="C807">
        <v>2016</v>
      </c>
      <c r="D807">
        <v>103</v>
      </c>
    </row>
    <row r="808" spans="1:4">
      <c r="A808" t="s">
        <v>189</v>
      </c>
      <c r="B808" t="s">
        <v>244</v>
      </c>
      <c r="C808">
        <v>2016</v>
      </c>
    </row>
    <row r="809" spans="1:4">
      <c r="A809" t="s">
        <v>174</v>
      </c>
      <c r="B809" t="s">
        <v>244</v>
      </c>
      <c r="C809">
        <v>2016</v>
      </c>
      <c r="D809">
        <v>60</v>
      </c>
    </row>
    <row r="810" spans="1:4">
      <c r="A810" t="s">
        <v>84</v>
      </c>
      <c r="B810" t="s">
        <v>244</v>
      </c>
      <c r="C810">
        <v>2016</v>
      </c>
    </row>
    <row r="811" spans="1:4">
      <c r="A811" t="s">
        <v>149</v>
      </c>
      <c r="B811" t="s">
        <v>244</v>
      </c>
      <c r="C811">
        <v>2016</v>
      </c>
    </row>
    <row r="812" spans="1:4">
      <c r="A812" t="s">
        <v>109</v>
      </c>
      <c r="B812" t="s">
        <v>244</v>
      </c>
      <c r="C812">
        <v>2016</v>
      </c>
    </row>
    <row r="813" spans="1:4">
      <c r="A813" t="s">
        <v>154</v>
      </c>
      <c r="B813" t="s">
        <v>244</v>
      </c>
      <c r="C813">
        <v>2016</v>
      </c>
    </row>
    <row r="814" spans="1:4">
      <c r="A814" t="s">
        <v>159</v>
      </c>
      <c r="B814" t="s">
        <v>244</v>
      </c>
      <c r="C814">
        <v>2016</v>
      </c>
    </row>
    <row r="815" spans="1:4">
      <c r="A815" t="s">
        <v>104</v>
      </c>
      <c r="B815" t="s">
        <v>244</v>
      </c>
      <c r="C815">
        <v>2016</v>
      </c>
    </row>
    <row r="816" spans="1:4">
      <c r="A816" t="s">
        <v>119</v>
      </c>
      <c r="B816" t="s">
        <v>244</v>
      </c>
      <c r="C816">
        <v>2016</v>
      </c>
      <c r="D816">
        <v>153</v>
      </c>
    </row>
    <row r="817" spans="1:4">
      <c r="A817" t="s">
        <v>139</v>
      </c>
      <c r="B817" t="s">
        <v>244</v>
      </c>
      <c r="C817">
        <v>2016</v>
      </c>
    </row>
    <row r="818" spans="1:4">
      <c r="A818" t="s">
        <v>99</v>
      </c>
      <c r="B818" t="s">
        <v>244</v>
      </c>
      <c r="C818">
        <v>2016</v>
      </c>
      <c r="D818">
        <v>200</v>
      </c>
    </row>
    <row r="819" spans="1:4">
      <c r="A819" t="s">
        <v>94</v>
      </c>
      <c r="B819" t="s">
        <v>244</v>
      </c>
      <c r="C819">
        <v>2016</v>
      </c>
    </row>
    <row r="820" spans="1:4">
      <c r="A820" t="s">
        <v>219</v>
      </c>
      <c r="B820" t="s">
        <v>244</v>
      </c>
      <c r="C820">
        <v>2016</v>
      </c>
    </row>
    <row r="821" spans="1:4">
      <c r="A821" t="s">
        <v>214</v>
      </c>
      <c r="B821" t="s">
        <v>244</v>
      </c>
      <c r="C821">
        <v>2016</v>
      </c>
    </row>
    <row r="822" spans="1:4">
      <c r="A822" t="s">
        <v>70</v>
      </c>
      <c r="B822" t="s">
        <v>244</v>
      </c>
      <c r="C822">
        <v>2016</v>
      </c>
      <c r="D822">
        <v>2132</v>
      </c>
    </row>
    <row r="823" spans="1:4">
      <c r="A823" t="s">
        <v>144</v>
      </c>
      <c r="B823" t="s">
        <v>244</v>
      </c>
      <c r="C823">
        <v>2016</v>
      </c>
    </row>
    <row r="824" spans="1:4">
      <c r="A824" t="s">
        <v>89</v>
      </c>
      <c r="B824" t="s">
        <v>244</v>
      </c>
      <c r="C824">
        <v>2016</v>
      </c>
    </row>
    <row r="825" spans="1:4">
      <c r="A825" t="s">
        <v>204</v>
      </c>
      <c r="B825" t="s">
        <v>244</v>
      </c>
      <c r="C825">
        <v>2016</v>
      </c>
    </row>
    <row r="826" spans="1:4">
      <c r="A826" t="s">
        <v>114</v>
      </c>
      <c r="B826" t="s">
        <v>244</v>
      </c>
      <c r="C826">
        <v>2016</v>
      </c>
    </row>
    <row r="827" spans="1:4">
      <c r="A827" t="s">
        <v>184</v>
      </c>
      <c r="B827" t="s">
        <v>244</v>
      </c>
      <c r="C827">
        <v>2016</v>
      </c>
    </row>
    <row r="828" spans="1:4">
      <c r="A828" t="s">
        <v>79</v>
      </c>
      <c r="B828" t="s">
        <v>244</v>
      </c>
      <c r="C828">
        <v>2016</v>
      </c>
    </row>
    <row r="829" spans="1:4">
      <c r="A829" t="s">
        <v>199</v>
      </c>
      <c r="B829" t="s">
        <v>244</v>
      </c>
      <c r="C829">
        <v>2016</v>
      </c>
    </row>
    <row r="830" spans="1:4">
      <c r="A830" t="s">
        <v>224</v>
      </c>
      <c r="B830" t="s">
        <v>244</v>
      </c>
      <c r="C830">
        <v>2016</v>
      </c>
    </row>
    <row r="831" spans="1:4">
      <c r="A831" t="s">
        <v>194</v>
      </c>
      <c r="B831" t="s">
        <v>244</v>
      </c>
      <c r="C831">
        <v>2016</v>
      </c>
    </row>
    <row r="832" spans="1:4">
      <c r="A832" t="s">
        <v>124</v>
      </c>
      <c r="B832" t="s">
        <v>244</v>
      </c>
      <c r="C832">
        <v>2016</v>
      </c>
      <c r="D832">
        <v>504</v>
      </c>
    </row>
    <row r="833" spans="1:4">
      <c r="A833" t="s">
        <v>179</v>
      </c>
      <c r="B833" t="s">
        <v>244</v>
      </c>
      <c r="C833">
        <v>2016</v>
      </c>
    </row>
    <row r="834" spans="1:4">
      <c r="A834" t="s">
        <v>129</v>
      </c>
      <c r="B834" t="s">
        <v>244</v>
      </c>
      <c r="C834">
        <v>2017</v>
      </c>
    </row>
    <row r="835" spans="1:4">
      <c r="A835" t="s">
        <v>74</v>
      </c>
      <c r="B835" t="s">
        <v>244</v>
      </c>
      <c r="C835">
        <v>2017</v>
      </c>
    </row>
    <row r="836" spans="1:4">
      <c r="A836" t="s">
        <v>134</v>
      </c>
      <c r="B836" t="s">
        <v>244</v>
      </c>
      <c r="C836">
        <v>2017</v>
      </c>
      <c r="D836">
        <v>560</v>
      </c>
    </row>
    <row r="837" spans="1:4">
      <c r="A837" t="s">
        <v>209</v>
      </c>
      <c r="B837" t="s">
        <v>244</v>
      </c>
      <c r="C837">
        <v>2017</v>
      </c>
    </row>
    <row r="838" spans="1:4">
      <c r="A838" t="s">
        <v>164</v>
      </c>
      <c r="B838" t="s">
        <v>244</v>
      </c>
      <c r="C838">
        <v>2017</v>
      </c>
      <c r="D838">
        <v>800</v>
      </c>
    </row>
    <row r="839" spans="1:4">
      <c r="A839" t="s">
        <v>169</v>
      </c>
      <c r="B839" t="s">
        <v>244</v>
      </c>
      <c r="C839">
        <v>2017</v>
      </c>
      <c r="D839">
        <v>127</v>
      </c>
    </row>
    <row r="840" spans="1:4">
      <c r="A840" t="s">
        <v>189</v>
      </c>
      <c r="B840" t="s">
        <v>244</v>
      </c>
      <c r="C840">
        <v>2017</v>
      </c>
    </row>
    <row r="841" spans="1:4">
      <c r="A841" t="s">
        <v>174</v>
      </c>
      <c r="B841" t="s">
        <v>244</v>
      </c>
      <c r="C841">
        <v>2017</v>
      </c>
      <c r="D841">
        <v>75</v>
      </c>
    </row>
    <row r="842" spans="1:4">
      <c r="A842" t="s">
        <v>84</v>
      </c>
      <c r="B842" t="s">
        <v>244</v>
      </c>
      <c r="C842">
        <v>2017</v>
      </c>
    </row>
    <row r="843" spans="1:4">
      <c r="A843" t="s">
        <v>149</v>
      </c>
      <c r="B843" t="s">
        <v>244</v>
      </c>
      <c r="C843">
        <v>2017</v>
      </c>
    </row>
    <row r="844" spans="1:4">
      <c r="A844" t="s">
        <v>109</v>
      </c>
      <c r="B844" t="s">
        <v>244</v>
      </c>
      <c r="C844">
        <v>2017</v>
      </c>
    </row>
    <row r="845" spans="1:4">
      <c r="A845" t="s">
        <v>154</v>
      </c>
      <c r="B845" t="s">
        <v>244</v>
      </c>
      <c r="C845">
        <v>2017</v>
      </c>
    </row>
    <row r="846" spans="1:4">
      <c r="A846" t="s">
        <v>159</v>
      </c>
      <c r="B846" t="s">
        <v>244</v>
      </c>
      <c r="C846">
        <v>2017</v>
      </c>
    </row>
    <row r="847" spans="1:4">
      <c r="A847" t="s">
        <v>104</v>
      </c>
      <c r="B847" t="s">
        <v>244</v>
      </c>
      <c r="C847">
        <v>2017</v>
      </c>
    </row>
    <row r="848" spans="1:4">
      <c r="A848" t="s">
        <v>119</v>
      </c>
      <c r="B848" t="s">
        <v>244</v>
      </c>
      <c r="C848">
        <v>2017</v>
      </c>
      <c r="D848">
        <v>173</v>
      </c>
    </row>
    <row r="849" spans="1:4">
      <c r="A849" t="s">
        <v>139</v>
      </c>
      <c r="B849" t="s">
        <v>244</v>
      </c>
      <c r="C849">
        <v>2017</v>
      </c>
    </row>
    <row r="850" spans="1:4">
      <c r="A850" t="s">
        <v>99</v>
      </c>
      <c r="B850" t="s">
        <v>244</v>
      </c>
      <c r="C850">
        <v>2017</v>
      </c>
      <c r="D850">
        <v>236</v>
      </c>
    </row>
    <row r="851" spans="1:4">
      <c r="A851" t="s">
        <v>94</v>
      </c>
      <c r="B851" t="s">
        <v>244</v>
      </c>
      <c r="C851">
        <v>2017</v>
      </c>
    </row>
    <row r="852" spans="1:4">
      <c r="A852" t="s">
        <v>219</v>
      </c>
      <c r="B852" t="s">
        <v>244</v>
      </c>
      <c r="C852">
        <v>2017</v>
      </c>
    </row>
    <row r="853" spans="1:4">
      <c r="A853" t="s">
        <v>214</v>
      </c>
      <c r="B853" t="s">
        <v>244</v>
      </c>
      <c r="C853">
        <v>2017</v>
      </c>
    </row>
    <row r="854" spans="1:4">
      <c r="A854" t="s">
        <v>70</v>
      </c>
      <c r="B854" t="s">
        <v>244</v>
      </c>
      <c r="C854">
        <v>2017</v>
      </c>
      <c r="D854">
        <v>2481</v>
      </c>
    </row>
    <row r="855" spans="1:4">
      <c r="A855" t="s">
        <v>144</v>
      </c>
      <c r="B855" t="s">
        <v>244</v>
      </c>
      <c r="C855">
        <v>2017</v>
      </c>
    </row>
    <row r="856" spans="1:4">
      <c r="A856" t="s">
        <v>89</v>
      </c>
      <c r="B856" t="s">
        <v>244</v>
      </c>
      <c r="C856">
        <v>2017</v>
      </c>
    </row>
    <row r="857" spans="1:4">
      <c r="A857" t="s">
        <v>204</v>
      </c>
      <c r="B857" t="s">
        <v>244</v>
      </c>
      <c r="C857">
        <v>2017</v>
      </c>
    </row>
    <row r="858" spans="1:4">
      <c r="A858" t="s">
        <v>114</v>
      </c>
      <c r="B858" t="s">
        <v>244</v>
      </c>
      <c r="C858">
        <v>2017</v>
      </c>
    </row>
    <row r="859" spans="1:4">
      <c r="A859" t="s">
        <v>184</v>
      </c>
      <c r="B859" t="s">
        <v>244</v>
      </c>
      <c r="C859">
        <v>2017</v>
      </c>
    </row>
    <row r="860" spans="1:4">
      <c r="A860" t="s">
        <v>79</v>
      </c>
      <c r="B860" t="s">
        <v>244</v>
      </c>
      <c r="C860">
        <v>2017</v>
      </c>
    </row>
    <row r="861" spans="1:4">
      <c r="A861" t="s">
        <v>199</v>
      </c>
      <c r="B861" t="s">
        <v>244</v>
      </c>
      <c r="C861">
        <v>2017</v>
      </c>
    </row>
    <row r="862" spans="1:4">
      <c r="A862" t="s">
        <v>224</v>
      </c>
      <c r="B862" t="s">
        <v>244</v>
      </c>
      <c r="C862">
        <v>2017</v>
      </c>
    </row>
    <row r="863" spans="1:4">
      <c r="A863" t="s">
        <v>194</v>
      </c>
      <c r="B863" t="s">
        <v>244</v>
      </c>
      <c r="C863">
        <v>2017</v>
      </c>
    </row>
    <row r="864" spans="1:4">
      <c r="A864" t="s">
        <v>124</v>
      </c>
      <c r="B864" t="s">
        <v>244</v>
      </c>
      <c r="C864">
        <v>2017</v>
      </c>
      <c r="D864">
        <v>511</v>
      </c>
    </row>
    <row r="865" spans="1:4">
      <c r="A865" t="s">
        <v>179</v>
      </c>
      <c r="B865" t="s">
        <v>244</v>
      </c>
      <c r="C865">
        <v>2017</v>
      </c>
    </row>
    <row r="866" spans="1:4">
      <c r="A866" t="s">
        <v>129</v>
      </c>
      <c r="B866" t="s">
        <v>244</v>
      </c>
      <c r="C866">
        <v>2018</v>
      </c>
    </row>
    <row r="867" spans="1:4">
      <c r="A867" t="s">
        <v>74</v>
      </c>
      <c r="B867" t="s">
        <v>244</v>
      </c>
      <c r="C867">
        <v>2018</v>
      </c>
    </row>
    <row r="868" spans="1:4">
      <c r="A868" t="s">
        <v>134</v>
      </c>
      <c r="B868" t="s">
        <v>244</v>
      </c>
      <c r="C868">
        <v>2018</v>
      </c>
      <c r="D868">
        <v>646</v>
      </c>
    </row>
    <row r="869" spans="1:4">
      <c r="A869" t="s">
        <v>209</v>
      </c>
      <c r="B869" t="s">
        <v>244</v>
      </c>
      <c r="C869">
        <v>2018</v>
      </c>
    </row>
    <row r="870" spans="1:4">
      <c r="A870" t="s">
        <v>164</v>
      </c>
      <c r="B870" t="s">
        <v>244</v>
      </c>
      <c r="C870">
        <v>2018</v>
      </c>
      <c r="D870">
        <v>896</v>
      </c>
    </row>
    <row r="871" spans="1:4">
      <c r="A871" t="s">
        <v>169</v>
      </c>
      <c r="B871" t="s">
        <v>244</v>
      </c>
      <c r="C871">
        <v>2018</v>
      </c>
      <c r="D871">
        <v>161</v>
      </c>
    </row>
    <row r="872" spans="1:4">
      <c r="A872" t="s">
        <v>189</v>
      </c>
      <c r="B872" t="s">
        <v>244</v>
      </c>
      <c r="C872">
        <v>2018</v>
      </c>
    </row>
    <row r="873" spans="1:4">
      <c r="A873" t="s">
        <v>174</v>
      </c>
      <c r="B873" t="s">
        <v>244</v>
      </c>
      <c r="C873">
        <v>2018</v>
      </c>
      <c r="D873">
        <v>77</v>
      </c>
    </row>
    <row r="874" spans="1:4">
      <c r="A874" t="s">
        <v>84</v>
      </c>
      <c r="B874" t="s">
        <v>244</v>
      </c>
      <c r="C874">
        <v>2018</v>
      </c>
    </row>
    <row r="875" spans="1:4">
      <c r="A875" t="s">
        <v>149</v>
      </c>
      <c r="B875" t="s">
        <v>244</v>
      </c>
      <c r="C875">
        <v>2018</v>
      </c>
    </row>
    <row r="876" spans="1:4">
      <c r="A876" t="s">
        <v>109</v>
      </c>
      <c r="B876" t="s">
        <v>244</v>
      </c>
      <c r="C876">
        <v>2018</v>
      </c>
    </row>
    <row r="877" spans="1:4">
      <c r="A877" t="s">
        <v>154</v>
      </c>
      <c r="B877" t="s">
        <v>244</v>
      </c>
      <c r="C877">
        <v>2018</v>
      </c>
    </row>
    <row r="878" spans="1:4">
      <c r="A878" t="s">
        <v>159</v>
      </c>
      <c r="B878" t="s">
        <v>244</v>
      </c>
      <c r="C878">
        <v>2018</v>
      </c>
    </row>
    <row r="879" spans="1:4">
      <c r="A879" t="s">
        <v>104</v>
      </c>
      <c r="B879" t="s">
        <v>244</v>
      </c>
      <c r="C879">
        <v>2018</v>
      </c>
    </row>
    <row r="880" spans="1:4">
      <c r="A880" t="s">
        <v>119</v>
      </c>
      <c r="B880" t="s">
        <v>244</v>
      </c>
      <c r="C880">
        <v>2018</v>
      </c>
      <c r="D880">
        <v>242</v>
      </c>
    </row>
    <row r="881" spans="1:4">
      <c r="A881" t="s">
        <v>139</v>
      </c>
      <c r="B881" t="s">
        <v>244</v>
      </c>
      <c r="C881">
        <v>2018</v>
      </c>
    </row>
    <row r="882" spans="1:4">
      <c r="A882" t="s">
        <v>99</v>
      </c>
      <c r="B882" t="s">
        <v>244</v>
      </c>
      <c r="C882">
        <v>2018</v>
      </c>
      <c r="D882">
        <v>302</v>
      </c>
    </row>
    <row r="883" spans="1:4">
      <c r="A883" t="s">
        <v>94</v>
      </c>
      <c r="B883" t="s">
        <v>244</v>
      </c>
      <c r="C883">
        <v>2018</v>
      </c>
    </row>
    <row r="884" spans="1:4">
      <c r="A884" t="s">
        <v>219</v>
      </c>
      <c r="B884" t="s">
        <v>244</v>
      </c>
      <c r="C884">
        <v>2018</v>
      </c>
    </row>
    <row r="885" spans="1:4">
      <c r="A885" t="s">
        <v>214</v>
      </c>
      <c r="B885" t="s">
        <v>244</v>
      </c>
      <c r="C885">
        <v>2018</v>
      </c>
    </row>
    <row r="886" spans="1:4">
      <c r="A886" t="s">
        <v>70</v>
      </c>
      <c r="B886" t="s">
        <v>244</v>
      </c>
      <c r="C886">
        <v>2018</v>
      </c>
      <c r="D886">
        <v>2950</v>
      </c>
    </row>
    <row r="887" spans="1:4">
      <c r="A887" t="s">
        <v>144</v>
      </c>
      <c r="B887" t="s">
        <v>244</v>
      </c>
      <c r="C887">
        <v>2018</v>
      </c>
      <c r="D887">
        <v>39</v>
      </c>
    </row>
    <row r="888" spans="1:4">
      <c r="A888" t="s">
        <v>89</v>
      </c>
      <c r="B888" t="s">
        <v>244</v>
      </c>
      <c r="C888">
        <v>2018</v>
      </c>
    </row>
    <row r="889" spans="1:4">
      <c r="A889" t="s">
        <v>204</v>
      </c>
      <c r="B889" t="s">
        <v>244</v>
      </c>
      <c r="C889">
        <v>2018</v>
      </c>
    </row>
    <row r="890" spans="1:4">
      <c r="A890" t="s">
        <v>114</v>
      </c>
      <c r="B890" t="s">
        <v>244</v>
      </c>
      <c r="C890">
        <v>2018</v>
      </c>
    </row>
    <row r="891" spans="1:4">
      <c r="A891" t="s">
        <v>184</v>
      </c>
      <c r="B891" t="s">
        <v>244</v>
      </c>
      <c r="C891">
        <v>2018</v>
      </c>
    </row>
    <row r="892" spans="1:4">
      <c r="A892" t="s">
        <v>79</v>
      </c>
      <c r="B892" t="s">
        <v>244</v>
      </c>
      <c r="C892">
        <v>2018</v>
      </c>
    </row>
    <row r="893" spans="1:4">
      <c r="A893" t="s">
        <v>199</v>
      </c>
      <c r="B893" t="s">
        <v>244</v>
      </c>
      <c r="C893">
        <v>2018</v>
      </c>
    </row>
    <row r="894" spans="1:4">
      <c r="A894" t="s">
        <v>224</v>
      </c>
      <c r="B894" t="s">
        <v>244</v>
      </c>
      <c r="C894">
        <v>2018</v>
      </c>
    </row>
    <row r="895" spans="1:4">
      <c r="A895" t="s">
        <v>194</v>
      </c>
      <c r="B895" t="s">
        <v>244</v>
      </c>
      <c r="C895">
        <v>2018</v>
      </c>
    </row>
    <row r="896" spans="1:4">
      <c r="A896" t="s">
        <v>124</v>
      </c>
      <c r="B896" t="s">
        <v>244</v>
      </c>
      <c r="C896">
        <v>2018</v>
      </c>
      <c r="D896">
        <v>587</v>
      </c>
    </row>
    <row r="897" spans="1:4">
      <c r="A897" t="s">
        <v>179</v>
      </c>
      <c r="B897" t="s">
        <v>244</v>
      </c>
      <c r="C897">
        <v>2018</v>
      </c>
    </row>
    <row r="898" spans="1:4">
      <c r="A898" t="s">
        <v>129</v>
      </c>
      <c r="B898" t="s">
        <v>244</v>
      </c>
      <c r="C898">
        <v>2019</v>
      </c>
    </row>
    <row r="899" spans="1:4">
      <c r="A899" t="s">
        <v>74</v>
      </c>
      <c r="B899" t="s">
        <v>244</v>
      </c>
      <c r="C899">
        <v>2019</v>
      </c>
    </row>
    <row r="900" spans="1:4">
      <c r="A900" t="s">
        <v>134</v>
      </c>
      <c r="B900" t="s">
        <v>244</v>
      </c>
      <c r="C900">
        <v>2019</v>
      </c>
      <c r="D900">
        <v>621</v>
      </c>
    </row>
    <row r="901" spans="1:4">
      <c r="A901" t="s">
        <v>209</v>
      </c>
      <c r="B901" t="s">
        <v>244</v>
      </c>
      <c r="C901">
        <v>2019</v>
      </c>
    </row>
    <row r="902" spans="1:4">
      <c r="A902" t="s">
        <v>164</v>
      </c>
      <c r="B902" t="s">
        <v>244</v>
      </c>
      <c r="C902">
        <v>2019</v>
      </c>
      <c r="D902">
        <v>1106</v>
      </c>
    </row>
    <row r="903" spans="1:4">
      <c r="A903" t="s">
        <v>169</v>
      </c>
      <c r="B903" t="s">
        <v>244</v>
      </c>
      <c r="C903">
        <v>2019</v>
      </c>
      <c r="D903">
        <v>172</v>
      </c>
    </row>
    <row r="904" spans="1:4">
      <c r="A904" t="s">
        <v>189</v>
      </c>
      <c r="B904" t="s">
        <v>244</v>
      </c>
      <c r="C904">
        <v>2019</v>
      </c>
    </row>
    <row r="905" spans="1:4">
      <c r="A905" t="s">
        <v>174</v>
      </c>
      <c r="B905" t="s">
        <v>244</v>
      </c>
      <c r="C905">
        <v>2019</v>
      </c>
      <c r="D905">
        <v>97</v>
      </c>
    </row>
    <row r="906" spans="1:4">
      <c r="A906" t="s">
        <v>84</v>
      </c>
      <c r="B906" t="s">
        <v>244</v>
      </c>
      <c r="C906">
        <v>2019</v>
      </c>
    </row>
    <row r="907" spans="1:4">
      <c r="A907" t="s">
        <v>149</v>
      </c>
      <c r="B907" t="s">
        <v>244</v>
      </c>
      <c r="C907">
        <v>2019</v>
      </c>
    </row>
    <row r="908" spans="1:4">
      <c r="A908" t="s">
        <v>109</v>
      </c>
      <c r="B908" t="s">
        <v>244</v>
      </c>
      <c r="C908">
        <v>2019</v>
      </c>
    </row>
    <row r="909" spans="1:4">
      <c r="A909" t="s">
        <v>154</v>
      </c>
      <c r="B909" t="s">
        <v>244</v>
      </c>
      <c r="C909">
        <v>2019</v>
      </c>
    </row>
    <row r="910" spans="1:4">
      <c r="A910" t="s">
        <v>159</v>
      </c>
      <c r="B910" t="s">
        <v>244</v>
      </c>
      <c r="C910">
        <v>2019</v>
      </c>
    </row>
    <row r="911" spans="1:4">
      <c r="A911" t="s">
        <v>104</v>
      </c>
      <c r="B911" t="s">
        <v>244</v>
      </c>
      <c r="C911">
        <v>2019</v>
      </c>
    </row>
    <row r="912" spans="1:4">
      <c r="A912" t="s">
        <v>119</v>
      </c>
      <c r="B912" t="s">
        <v>244</v>
      </c>
      <c r="C912">
        <v>2019</v>
      </c>
      <c r="D912">
        <v>329</v>
      </c>
    </row>
    <row r="913" spans="1:4">
      <c r="A913" t="s">
        <v>139</v>
      </c>
      <c r="B913" t="s">
        <v>244</v>
      </c>
      <c r="C913">
        <v>2019</v>
      </c>
    </row>
    <row r="914" spans="1:4">
      <c r="A914" t="s">
        <v>99</v>
      </c>
      <c r="B914" t="s">
        <v>244</v>
      </c>
      <c r="C914">
        <v>2019</v>
      </c>
      <c r="D914">
        <v>327</v>
      </c>
    </row>
    <row r="915" spans="1:4">
      <c r="A915" t="s">
        <v>94</v>
      </c>
      <c r="B915" t="s">
        <v>244</v>
      </c>
      <c r="C915">
        <v>2019</v>
      </c>
    </row>
    <row r="916" spans="1:4">
      <c r="A916" t="s">
        <v>219</v>
      </c>
      <c r="B916" t="s">
        <v>244</v>
      </c>
      <c r="C916">
        <v>2019</v>
      </c>
    </row>
    <row r="917" spans="1:4">
      <c r="A917" t="s">
        <v>214</v>
      </c>
      <c r="B917" t="s">
        <v>244</v>
      </c>
      <c r="C917">
        <v>2019</v>
      </c>
    </row>
    <row r="918" spans="1:4">
      <c r="A918" t="s">
        <v>70</v>
      </c>
      <c r="B918" t="s">
        <v>244</v>
      </c>
      <c r="C918">
        <v>2019</v>
      </c>
      <c r="D918">
        <v>3487</v>
      </c>
    </row>
    <row r="919" spans="1:4">
      <c r="A919" t="s">
        <v>144</v>
      </c>
      <c r="B919" t="s">
        <v>244</v>
      </c>
      <c r="C919">
        <v>2019</v>
      </c>
      <c r="D919">
        <v>207</v>
      </c>
    </row>
    <row r="920" spans="1:4">
      <c r="A920" t="s">
        <v>89</v>
      </c>
      <c r="B920" t="s">
        <v>244</v>
      </c>
      <c r="C920">
        <v>2019</v>
      </c>
    </row>
    <row r="921" spans="1:4">
      <c r="A921" t="s">
        <v>204</v>
      </c>
      <c r="B921" t="s">
        <v>244</v>
      </c>
      <c r="C921">
        <v>2019</v>
      </c>
    </row>
    <row r="922" spans="1:4">
      <c r="A922" t="s">
        <v>114</v>
      </c>
      <c r="B922" t="s">
        <v>244</v>
      </c>
      <c r="C922">
        <v>2019</v>
      </c>
    </row>
    <row r="923" spans="1:4">
      <c r="A923" t="s">
        <v>184</v>
      </c>
      <c r="B923" t="s">
        <v>244</v>
      </c>
      <c r="C923">
        <v>2019</v>
      </c>
    </row>
    <row r="924" spans="1:4">
      <c r="A924" t="s">
        <v>79</v>
      </c>
      <c r="B924" t="s">
        <v>244</v>
      </c>
      <c r="C924">
        <v>2019</v>
      </c>
    </row>
    <row r="925" spans="1:4">
      <c r="A925" t="s">
        <v>199</v>
      </c>
      <c r="B925" t="s">
        <v>244</v>
      </c>
      <c r="C925">
        <v>2019</v>
      </c>
    </row>
    <row r="926" spans="1:4">
      <c r="A926" t="s">
        <v>224</v>
      </c>
      <c r="B926" t="s">
        <v>244</v>
      </c>
      <c r="C926">
        <v>2019</v>
      </c>
    </row>
    <row r="927" spans="1:4">
      <c r="A927" t="s">
        <v>194</v>
      </c>
      <c r="B927" t="s">
        <v>244</v>
      </c>
      <c r="C927">
        <v>2019</v>
      </c>
    </row>
    <row r="928" spans="1:4">
      <c r="A928" t="s">
        <v>124</v>
      </c>
      <c r="B928" t="s">
        <v>244</v>
      </c>
      <c r="C928">
        <v>2019</v>
      </c>
      <c r="D928">
        <v>629</v>
      </c>
    </row>
    <row r="929" spans="1:4">
      <c r="A929" t="s">
        <v>179</v>
      </c>
      <c r="B929" t="s">
        <v>244</v>
      </c>
      <c r="C929">
        <v>2019</v>
      </c>
    </row>
    <row r="930" spans="1:4">
      <c r="A930" t="s">
        <v>129</v>
      </c>
      <c r="B930" t="s">
        <v>244</v>
      </c>
      <c r="C930">
        <v>2020</v>
      </c>
    </row>
    <row r="931" spans="1:4">
      <c r="A931" t="s">
        <v>74</v>
      </c>
      <c r="B931" t="s">
        <v>244</v>
      </c>
      <c r="C931">
        <v>2020</v>
      </c>
    </row>
    <row r="932" spans="1:4">
      <c r="A932" t="s">
        <v>134</v>
      </c>
      <c r="B932" t="s">
        <v>244</v>
      </c>
      <c r="C932">
        <v>2020</v>
      </c>
      <c r="D932">
        <v>652</v>
      </c>
    </row>
    <row r="933" spans="1:4">
      <c r="A933" t="s">
        <v>209</v>
      </c>
      <c r="B933" t="s">
        <v>244</v>
      </c>
      <c r="C933">
        <v>2020</v>
      </c>
    </row>
    <row r="934" spans="1:4">
      <c r="A934" t="s">
        <v>164</v>
      </c>
      <c r="B934" t="s">
        <v>244</v>
      </c>
      <c r="C934">
        <v>2020</v>
      </c>
      <c r="D934">
        <v>1161</v>
      </c>
    </row>
    <row r="935" spans="1:4">
      <c r="A935" t="s">
        <v>169</v>
      </c>
      <c r="B935" t="s">
        <v>244</v>
      </c>
      <c r="C935">
        <v>2020</v>
      </c>
      <c r="D935">
        <v>168</v>
      </c>
    </row>
    <row r="936" spans="1:4">
      <c r="A936" t="s">
        <v>189</v>
      </c>
      <c r="B936" t="s">
        <v>244</v>
      </c>
      <c r="C936">
        <v>2020</v>
      </c>
    </row>
    <row r="937" spans="1:4">
      <c r="A937" t="s">
        <v>174</v>
      </c>
      <c r="B937" t="s">
        <v>244</v>
      </c>
      <c r="C937">
        <v>2020</v>
      </c>
      <c r="D937">
        <v>96</v>
      </c>
    </row>
    <row r="938" spans="1:4">
      <c r="A938" t="s">
        <v>84</v>
      </c>
      <c r="B938" t="s">
        <v>244</v>
      </c>
      <c r="C938">
        <v>2020</v>
      </c>
    </row>
    <row r="939" spans="1:4">
      <c r="A939" t="s">
        <v>149</v>
      </c>
      <c r="B939" t="s">
        <v>244</v>
      </c>
      <c r="C939">
        <v>2020</v>
      </c>
    </row>
    <row r="940" spans="1:4">
      <c r="A940" t="s">
        <v>109</v>
      </c>
      <c r="B940" t="s">
        <v>244</v>
      </c>
      <c r="C940">
        <v>2020</v>
      </c>
    </row>
    <row r="941" spans="1:4">
      <c r="A941" t="s">
        <v>154</v>
      </c>
      <c r="B941" t="s">
        <v>244</v>
      </c>
      <c r="C941">
        <v>2020</v>
      </c>
    </row>
    <row r="942" spans="1:4">
      <c r="A942" t="s">
        <v>159</v>
      </c>
      <c r="B942" t="s">
        <v>244</v>
      </c>
      <c r="C942">
        <v>2020</v>
      </c>
    </row>
    <row r="943" spans="1:4">
      <c r="A943" t="s">
        <v>104</v>
      </c>
      <c r="B943" t="s">
        <v>244</v>
      </c>
      <c r="C943">
        <v>2020</v>
      </c>
    </row>
    <row r="944" spans="1:4">
      <c r="A944" t="s">
        <v>119</v>
      </c>
      <c r="B944" t="s">
        <v>244</v>
      </c>
      <c r="C944">
        <v>2020</v>
      </c>
      <c r="D944">
        <v>355</v>
      </c>
    </row>
    <row r="945" spans="1:4">
      <c r="A945" t="s">
        <v>139</v>
      </c>
      <c r="B945" t="s">
        <v>244</v>
      </c>
      <c r="C945">
        <v>2020</v>
      </c>
    </row>
    <row r="946" spans="1:4">
      <c r="A946" t="s">
        <v>99</v>
      </c>
      <c r="B946" t="s">
        <v>244</v>
      </c>
      <c r="C946">
        <v>2020</v>
      </c>
      <c r="D946">
        <v>327</v>
      </c>
    </row>
    <row r="947" spans="1:4">
      <c r="A947" t="s">
        <v>94</v>
      </c>
      <c r="B947" t="s">
        <v>244</v>
      </c>
      <c r="C947">
        <v>2020</v>
      </c>
    </row>
    <row r="948" spans="1:4">
      <c r="A948" t="s">
        <v>219</v>
      </c>
      <c r="B948" t="s">
        <v>244</v>
      </c>
      <c r="C948">
        <v>2020</v>
      </c>
    </row>
    <row r="949" spans="1:4">
      <c r="A949" t="s">
        <v>214</v>
      </c>
      <c r="B949" t="s">
        <v>244</v>
      </c>
      <c r="C949">
        <v>2020</v>
      </c>
    </row>
    <row r="950" spans="1:4">
      <c r="A950" t="s">
        <v>70</v>
      </c>
      <c r="B950" t="s">
        <v>244</v>
      </c>
      <c r="C950">
        <v>2020</v>
      </c>
      <c r="D950">
        <v>3662</v>
      </c>
    </row>
    <row r="951" spans="1:4">
      <c r="A951" t="s">
        <v>144</v>
      </c>
      <c r="B951" t="s">
        <v>244</v>
      </c>
      <c r="C951">
        <v>2020</v>
      </c>
      <c r="D951">
        <v>191</v>
      </c>
    </row>
    <row r="952" spans="1:4">
      <c r="A952" t="s">
        <v>89</v>
      </c>
      <c r="B952" t="s">
        <v>244</v>
      </c>
      <c r="C952">
        <v>2020</v>
      </c>
    </row>
    <row r="953" spans="1:4">
      <c r="A953" t="s">
        <v>204</v>
      </c>
      <c r="B953" t="s">
        <v>244</v>
      </c>
      <c r="C953">
        <v>2020</v>
      </c>
    </row>
    <row r="954" spans="1:4">
      <c r="A954" t="s">
        <v>114</v>
      </c>
      <c r="B954" t="s">
        <v>244</v>
      </c>
      <c r="C954">
        <v>2020</v>
      </c>
    </row>
    <row r="955" spans="1:4">
      <c r="A955" t="s">
        <v>184</v>
      </c>
      <c r="B955" t="s">
        <v>244</v>
      </c>
      <c r="C955">
        <v>2020</v>
      </c>
    </row>
    <row r="956" spans="1:4">
      <c r="A956" t="s">
        <v>79</v>
      </c>
      <c r="B956" t="s">
        <v>244</v>
      </c>
      <c r="C956">
        <v>2020</v>
      </c>
    </row>
    <row r="957" spans="1:4">
      <c r="A957" t="s">
        <v>199</v>
      </c>
      <c r="B957" t="s">
        <v>244</v>
      </c>
      <c r="C957">
        <v>2020</v>
      </c>
    </row>
    <row r="958" spans="1:4">
      <c r="A958" t="s">
        <v>224</v>
      </c>
      <c r="B958" t="s">
        <v>244</v>
      </c>
      <c r="C958">
        <v>2020</v>
      </c>
    </row>
    <row r="959" spans="1:4">
      <c r="A959" t="s">
        <v>194</v>
      </c>
      <c r="B959" t="s">
        <v>244</v>
      </c>
      <c r="C959">
        <v>2020</v>
      </c>
    </row>
    <row r="960" spans="1:4">
      <c r="A960" t="s">
        <v>124</v>
      </c>
      <c r="B960" t="s">
        <v>244</v>
      </c>
      <c r="C960">
        <v>2020</v>
      </c>
      <c r="D960">
        <v>712</v>
      </c>
    </row>
    <row r="961" spans="1:4">
      <c r="A961" t="s">
        <v>179</v>
      </c>
      <c r="B961" t="s">
        <v>244</v>
      </c>
      <c r="C961">
        <v>2020</v>
      </c>
    </row>
    <row r="962" spans="1:4">
      <c r="A962" t="s">
        <v>134</v>
      </c>
      <c r="B962" t="s">
        <v>244</v>
      </c>
      <c r="C962">
        <v>2021</v>
      </c>
      <c r="D962">
        <v>777</v>
      </c>
    </row>
    <row r="963" spans="1:4">
      <c r="A963" t="s">
        <v>164</v>
      </c>
      <c r="B963" t="s">
        <v>244</v>
      </c>
      <c r="C963">
        <v>2021</v>
      </c>
      <c r="D963">
        <v>1204</v>
      </c>
    </row>
    <row r="964" spans="1:4">
      <c r="A964" t="s">
        <v>169</v>
      </c>
      <c r="B964" t="s">
        <v>244</v>
      </c>
      <c r="C964">
        <v>2021</v>
      </c>
      <c r="D964">
        <v>181</v>
      </c>
    </row>
    <row r="965" spans="1:4">
      <c r="A965" t="s">
        <v>174</v>
      </c>
      <c r="B965" t="s">
        <v>244</v>
      </c>
      <c r="C965">
        <v>2021</v>
      </c>
      <c r="D965">
        <v>98</v>
      </c>
    </row>
    <row r="966" spans="1:4">
      <c r="A966" t="s">
        <v>119</v>
      </c>
      <c r="B966" t="s">
        <v>244</v>
      </c>
      <c r="C966">
        <v>2021</v>
      </c>
      <c r="D966">
        <v>485</v>
      </c>
    </row>
    <row r="967" spans="1:4">
      <c r="A967" t="s">
        <v>99</v>
      </c>
      <c r="B967" t="s">
        <v>244</v>
      </c>
      <c r="C967">
        <v>2021</v>
      </c>
      <c r="D967">
        <v>400</v>
      </c>
    </row>
    <row r="968" spans="1:4">
      <c r="A968" t="s">
        <v>70</v>
      </c>
      <c r="B968" t="s">
        <v>244</v>
      </c>
      <c r="C968">
        <v>2021</v>
      </c>
      <c r="D968">
        <v>4075</v>
      </c>
    </row>
    <row r="969" spans="1:4">
      <c r="A969" t="s">
        <v>144</v>
      </c>
      <c r="B969" t="s">
        <v>244</v>
      </c>
      <c r="C969">
        <v>2021</v>
      </c>
      <c r="D969">
        <v>197</v>
      </c>
    </row>
    <row r="970" spans="1:4">
      <c r="A970" t="s">
        <v>124</v>
      </c>
      <c r="B970" t="s">
        <v>244</v>
      </c>
      <c r="C970">
        <v>2021</v>
      </c>
      <c r="D970">
        <v>733</v>
      </c>
    </row>
    <row r="971" spans="1:4">
      <c r="A971" t="s">
        <v>70</v>
      </c>
      <c r="B971" t="s">
        <v>244</v>
      </c>
      <c r="C971">
        <v>2022</v>
      </c>
      <c r="D971">
        <v>4178</v>
      </c>
    </row>
    <row r="972" spans="1:4">
      <c r="A972" t="s">
        <v>99</v>
      </c>
      <c r="B972" t="s">
        <v>244</v>
      </c>
      <c r="C972">
        <v>2022</v>
      </c>
      <c r="D972">
        <v>452</v>
      </c>
    </row>
    <row r="973" spans="1:4">
      <c r="A973" t="s">
        <v>119</v>
      </c>
      <c r="B973" t="s">
        <v>244</v>
      </c>
      <c r="C973">
        <v>2022</v>
      </c>
      <c r="D973">
        <v>526</v>
      </c>
    </row>
    <row r="974" spans="1:4">
      <c r="A974" t="s">
        <v>124</v>
      </c>
      <c r="B974" t="s">
        <v>244</v>
      </c>
      <c r="C974">
        <v>2022</v>
      </c>
      <c r="D974">
        <v>731</v>
      </c>
    </row>
    <row r="975" spans="1:4">
      <c r="A975" t="s">
        <v>134</v>
      </c>
      <c r="B975" t="s">
        <v>244</v>
      </c>
      <c r="C975">
        <v>2022</v>
      </c>
      <c r="D975">
        <v>832</v>
      </c>
    </row>
    <row r="976" spans="1:4">
      <c r="A976" t="s">
        <v>144</v>
      </c>
      <c r="B976" t="s">
        <v>244</v>
      </c>
      <c r="C976">
        <v>2022</v>
      </c>
      <c r="D976">
        <v>207</v>
      </c>
    </row>
    <row r="977" spans="1:4">
      <c r="A977" t="s">
        <v>164</v>
      </c>
      <c r="B977" t="s">
        <v>244</v>
      </c>
      <c r="C977">
        <v>2022</v>
      </c>
      <c r="D977">
        <v>1149</v>
      </c>
    </row>
    <row r="978" spans="1:4">
      <c r="A978" t="s">
        <v>169</v>
      </c>
      <c r="B978" t="s">
        <v>244</v>
      </c>
      <c r="C978">
        <v>2022</v>
      </c>
      <c r="D978">
        <v>178</v>
      </c>
    </row>
    <row r="979" spans="1:4">
      <c r="A979" t="s">
        <v>174</v>
      </c>
      <c r="B979" t="s">
        <v>244</v>
      </c>
      <c r="C979">
        <v>2022</v>
      </c>
      <c r="D979">
        <v>105</v>
      </c>
    </row>
    <row r="980" spans="1:4">
      <c r="A980" t="s">
        <v>129</v>
      </c>
      <c r="B980" t="s">
        <v>245</v>
      </c>
      <c r="C980">
        <v>2015</v>
      </c>
      <c r="D980">
        <v>1989</v>
      </c>
    </row>
    <row r="981" spans="1:4">
      <c r="A981" t="s">
        <v>74</v>
      </c>
      <c r="B981" t="s">
        <v>245</v>
      </c>
      <c r="C981">
        <v>2015</v>
      </c>
      <c r="D981">
        <v>412</v>
      </c>
    </row>
    <row r="982" spans="1:4">
      <c r="A982" t="s">
        <v>134</v>
      </c>
      <c r="B982" t="s">
        <v>245</v>
      </c>
      <c r="C982">
        <v>2015</v>
      </c>
      <c r="D982">
        <v>1109</v>
      </c>
    </row>
    <row r="983" spans="1:4">
      <c r="A983" t="s">
        <v>209</v>
      </c>
      <c r="B983" t="s">
        <v>245</v>
      </c>
      <c r="C983">
        <v>2015</v>
      </c>
      <c r="D983">
        <v>706</v>
      </c>
    </row>
    <row r="984" spans="1:4">
      <c r="A984" t="s">
        <v>164</v>
      </c>
      <c r="B984" t="s">
        <v>245</v>
      </c>
      <c r="C984">
        <v>2015</v>
      </c>
      <c r="D984">
        <v>2854</v>
      </c>
    </row>
    <row r="985" spans="1:4">
      <c r="A985" t="s">
        <v>169</v>
      </c>
      <c r="B985" t="s">
        <v>245</v>
      </c>
      <c r="C985">
        <v>2015</v>
      </c>
      <c r="D985">
        <v>544</v>
      </c>
    </row>
    <row r="986" spans="1:4">
      <c r="A986" t="s">
        <v>189</v>
      </c>
      <c r="B986" t="s">
        <v>245</v>
      </c>
      <c r="C986">
        <v>2015</v>
      </c>
      <c r="D986">
        <v>1071</v>
      </c>
    </row>
    <row r="987" spans="1:4">
      <c r="A987" t="s">
        <v>174</v>
      </c>
      <c r="B987" t="s">
        <v>245</v>
      </c>
      <c r="C987">
        <v>2015</v>
      </c>
      <c r="D987">
        <v>234</v>
      </c>
    </row>
    <row r="988" spans="1:4">
      <c r="A988" t="s">
        <v>84</v>
      </c>
      <c r="B988" t="s">
        <v>245</v>
      </c>
      <c r="C988">
        <v>2015</v>
      </c>
      <c r="D988">
        <v>2106</v>
      </c>
    </row>
    <row r="989" spans="1:4">
      <c r="A989" t="s">
        <v>149</v>
      </c>
      <c r="B989" t="s">
        <v>245</v>
      </c>
      <c r="C989">
        <v>2015</v>
      </c>
      <c r="D989">
        <v>2435</v>
      </c>
    </row>
    <row r="990" spans="1:4">
      <c r="A990" t="s">
        <v>109</v>
      </c>
      <c r="B990" t="s">
        <v>245</v>
      </c>
      <c r="C990">
        <v>2015</v>
      </c>
      <c r="D990">
        <v>804</v>
      </c>
    </row>
    <row r="991" spans="1:4">
      <c r="A991" t="s">
        <v>154</v>
      </c>
      <c r="B991" t="s">
        <v>245</v>
      </c>
      <c r="C991">
        <v>2015</v>
      </c>
      <c r="D991">
        <v>1030</v>
      </c>
    </row>
    <row r="992" spans="1:4">
      <c r="A992" t="s">
        <v>159</v>
      </c>
      <c r="B992" t="s">
        <v>245</v>
      </c>
      <c r="C992">
        <v>2015</v>
      </c>
      <c r="D992">
        <v>710</v>
      </c>
    </row>
    <row r="993" spans="1:4">
      <c r="A993" t="s">
        <v>104</v>
      </c>
      <c r="B993" t="s">
        <v>245</v>
      </c>
      <c r="C993">
        <v>2015</v>
      </c>
      <c r="D993">
        <v>590</v>
      </c>
    </row>
    <row r="994" spans="1:4">
      <c r="A994" t="s">
        <v>119</v>
      </c>
      <c r="B994" t="s">
        <v>245</v>
      </c>
      <c r="C994">
        <v>2015</v>
      </c>
      <c r="D994">
        <v>4152</v>
      </c>
    </row>
    <row r="995" spans="1:4">
      <c r="A995" t="s">
        <v>139</v>
      </c>
      <c r="B995" t="s">
        <v>245</v>
      </c>
      <c r="C995">
        <v>2015</v>
      </c>
      <c r="D995">
        <v>797</v>
      </c>
    </row>
    <row r="996" spans="1:4">
      <c r="A996" t="s">
        <v>99</v>
      </c>
      <c r="B996" t="s">
        <v>245</v>
      </c>
      <c r="C996">
        <v>2015</v>
      </c>
      <c r="D996">
        <v>1329</v>
      </c>
    </row>
    <row r="997" spans="1:4">
      <c r="A997" t="s">
        <v>94</v>
      </c>
      <c r="B997" t="s">
        <v>245</v>
      </c>
      <c r="C997">
        <v>2015</v>
      </c>
      <c r="D997">
        <v>3422</v>
      </c>
    </row>
    <row r="998" spans="1:4">
      <c r="A998" t="s">
        <v>219</v>
      </c>
      <c r="B998" t="s">
        <v>245</v>
      </c>
      <c r="C998">
        <v>2015</v>
      </c>
      <c r="D998">
        <v>1026</v>
      </c>
    </row>
    <row r="999" spans="1:4">
      <c r="A999" t="s">
        <v>214</v>
      </c>
      <c r="B999" t="s">
        <v>245</v>
      </c>
      <c r="C999">
        <v>2015</v>
      </c>
      <c r="D999">
        <v>120</v>
      </c>
    </row>
    <row r="1000" spans="1:4">
      <c r="A1000" t="s">
        <v>70</v>
      </c>
      <c r="B1000" t="s">
        <v>245</v>
      </c>
      <c r="C1000">
        <v>2015</v>
      </c>
      <c r="D1000">
        <v>42307</v>
      </c>
    </row>
    <row r="1001" spans="1:4">
      <c r="A1001" t="s">
        <v>144</v>
      </c>
      <c r="B1001" t="s">
        <v>245</v>
      </c>
      <c r="C1001">
        <v>2015</v>
      </c>
      <c r="D1001">
        <v>4484</v>
      </c>
    </row>
    <row r="1002" spans="1:4">
      <c r="A1002" t="s">
        <v>89</v>
      </c>
      <c r="B1002" t="s">
        <v>245</v>
      </c>
      <c r="C1002">
        <v>2015</v>
      </c>
      <c r="D1002">
        <v>2319</v>
      </c>
    </row>
    <row r="1003" spans="1:4">
      <c r="A1003" t="s">
        <v>204</v>
      </c>
      <c r="B1003" t="s">
        <v>245</v>
      </c>
      <c r="C1003">
        <v>2015</v>
      </c>
      <c r="D1003">
        <v>1215</v>
      </c>
    </row>
    <row r="1004" spans="1:4">
      <c r="A1004" t="s">
        <v>114</v>
      </c>
      <c r="B1004" t="s">
        <v>245</v>
      </c>
      <c r="C1004">
        <v>2015</v>
      </c>
      <c r="D1004">
        <v>810</v>
      </c>
    </row>
    <row r="1005" spans="1:4">
      <c r="A1005" t="s">
        <v>184</v>
      </c>
      <c r="B1005" t="s">
        <v>245</v>
      </c>
      <c r="C1005">
        <v>2015</v>
      </c>
      <c r="D1005">
        <v>429</v>
      </c>
    </row>
    <row r="1006" spans="1:4">
      <c r="A1006" t="s">
        <v>79</v>
      </c>
      <c r="B1006" t="s">
        <v>245</v>
      </c>
      <c r="C1006">
        <v>2015</v>
      </c>
      <c r="D1006">
        <v>594</v>
      </c>
    </row>
    <row r="1007" spans="1:4">
      <c r="A1007" t="s">
        <v>199</v>
      </c>
      <c r="B1007" t="s">
        <v>245</v>
      </c>
      <c r="C1007">
        <v>2015</v>
      </c>
      <c r="D1007">
        <v>0.29</v>
      </c>
    </row>
    <row r="1008" spans="1:4">
      <c r="A1008" t="s">
        <v>224</v>
      </c>
      <c r="B1008" t="s">
        <v>245</v>
      </c>
      <c r="C1008">
        <v>2015</v>
      </c>
      <c r="D1008">
        <v>2067</v>
      </c>
    </row>
    <row r="1009" spans="1:4">
      <c r="A1009" t="s">
        <v>194</v>
      </c>
      <c r="B1009" t="s">
        <v>245</v>
      </c>
      <c r="C1009">
        <v>2015</v>
      </c>
      <c r="D1009">
        <v>276</v>
      </c>
    </row>
    <row r="1010" spans="1:4">
      <c r="A1010" t="s">
        <v>124</v>
      </c>
      <c r="B1010" t="s">
        <v>245</v>
      </c>
      <c r="C1010">
        <v>2015</v>
      </c>
      <c r="D1010">
        <v>2222</v>
      </c>
    </row>
    <row r="1011" spans="1:4">
      <c r="A1011" t="s">
        <v>179</v>
      </c>
      <c r="B1011" t="s">
        <v>245</v>
      </c>
      <c r="C1011">
        <v>2015</v>
      </c>
      <c r="D1011">
        <v>450</v>
      </c>
    </row>
    <row r="1012" spans="1:4">
      <c r="A1012" t="s">
        <v>129</v>
      </c>
      <c r="B1012" t="s">
        <v>245</v>
      </c>
      <c r="C1012">
        <v>2016</v>
      </c>
      <c r="D1012">
        <v>2135</v>
      </c>
    </row>
    <row r="1013" spans="1:4">
      <c r="A1013" t="s">
        <v>74</v>
      </c>
      <c r="B1013" t="s">
        <v>245</v>
      </c>
      <c r="C1013">
        <v>2016</v>
      </c>
      <c r="D1013">
        <v>419</v>
      </c>
    </row>
    <row r="1014" spans="1:4">
      <c r="A1014" t="s">
        <v>134</v>
      </c>
      <c r="B1014" t="s">
        <v>245</v>
      </c>
      <c r="C1014">
        <v>2016</v>
      </c>
      <c r="D1014">
        <v>915</v>
      </c>
    </row>
    <row r="1015" spans="1:4">
      <c r="A1015" t="s">
        <v>209</v>
      </c>
      <c r="B1015" t="s">
        <v>245</v>
      </c>
      <c r="C1015">
        <v>2016</v>
      </c>
      <c r="D1015">
        <v>699</v>
      </c>
    </row>
    <row r="1016" spans="1:4">
      <c r="A1016" t="s">
        <v>164</v>
      </c>
      <c r="B1016" t="s">
        <v>245</v>
      </c>
      <c r="C1016">
        <v>2016</v>
      </c>
      <c r="D1016">
        <v>2850</v>
      </c>
    </row>
    <row r="1017" spans="1:4">
      <c r="A1017" t="s">
        <v>169</v>
      </c>
      <c r="B1017" t="s">
        <v>245</v>
      </c>
      <c r="C1017">
        <v>2016</v>
      </c>
      <c r="D1017">
        <v>559</v>
      </c>
    </row>
    <row r="1018" spans="1:4">
      <c r="A1018" t="s">
        <v>189</v>
      </c>
      <c r="B1018" t="s">
        <v>245</v>
      </c>
      <c r="C1018">
        <v>2016</v>
      </c>
      <c r="D1018">
        <v>1171</v>
      </c>
    </row>
    <row r="1019" spans="1:4">
      <c r="A1019" t="s">
        <v>174</v>
      </c>
      <c r="B1019" t="s">
        <v>245</v>
      </c>
      <c r="C1019">
        <v>2016</v>
      </c>
      <c r="D1019">
        <v>197</v>
      </c>
    </row>
    <row r="1020" spans="1:4">
      <c r="A1020" t="s">
        <v>84</v>
      </c>
      <c r="B1020" t="s">
        <v>245</v>
      </c>
      <c r="C1020">
        <v>2016</v>
      </c>
      <c r="D1020">
        <v>2196</v>
      </c>
    </row>
    <row r="1021" spans="1:4">
      <c r="A1021" t="s">
        <v>149</v>
      </c>
      <c r="B1021" t="s">
        <v>245</v>
      </c>
      <c r="C1021">
        <v>2016</v>
      </c>
      <c r="D1021">
        <v>2474</v>
      </c>
    </row>
    <row r="1022" spans="1:4">
      <c r="A1022" t="s">
        <v>109</v>
      </c>
      <c r="B1022" t="s">
        <v>245</v>
      </c>
      <c r="C1022">
        <v>2016</v>
      </c>
      <c r="D1022">
        <v>808</v>
      </c>
    </row>
    <row r="1023" spans="1:4">
      <c r="A1023" t="s">
        <v>154</v>
      </c>
      <c r="B1023" t="s">
        <v>245</v>
      </c>
      <c r="C1023">
        <v>2016</v>
      </c>
      <c r="D1023">
        <v>1048</v>
      </c>
    </row>
    <row r="1024" spans="1:4">
      <c r="A1024" t="s">
        <v>159</v>
      </c>
      <c r="B1024" t="s">
        <v>245</v>
      </c>
      <c r="C1024">
        <v>2016</v>
      </c>
      <c r="D1024">
        <v>732</v>
      </c>
    </row>
    <row r="1025" spans="1:4">
      <c r="A1025" t="s">
        <v>104</v>
      </c>
      <c r="B1025" t="s">
        <v>245</v>
      </c>
      <c r="C1025">
        <v>2016</v>
      </c>
      <c r="D1025">
        <v>588</v>
      </c>
    </row>
    <row r="1026" spans="1:4">
      <c r="A1026" t="s">
        <v>119</v>
      </c>
      <c r="B1026" t="s">
        <v>245</v>
      </c>
      <c r="C1026">
        <v>2016</v>
      </c>
      <c r="D1026">
        <v>4438</v>
      </c>
    </row>
    <row r="1027" spans="1:4">
      <c r="A1027" t="s">
        <v>139</v>
      </c>
      <c r="B1027" t="s">
        <v>245</v>
      </c>
      <c r="C1027">
        <v>2016</v>
      </c>
      <c r="D1027">
        <v>857</v>
      </c>
    </row>
    <row r="1028" spans="1:4">
      <c r="A1028" t="s">
        <v>99</v>
      </c>
      <c r="B1028" t="s">
        <v>245</v>
      </c>
      <c r="C1028">
        <v>2016</v>
      </c>
      <c r="D1028">
        <v>1344</v>
      </c>
    </row>
    <row r="1029" spans="1:4">
      <c r="A1029" t="s">
        <v>94</v>
      </c>
      <c r="B1029" t="s">
        <v>245</v>
      </c>
      <c r="C1029">
        <v>2016</v>
      </c>
      <c r="D1029">
        <v>3375</v>
      </c>
    </row>
    <row r="1030" spans="1:4">
      <c r="A1030" t="s">
        <v>219</v>
      </c>
      <c r="B1030" t="s">
        <v>245</v>
      </c>
      <c r="C1030">
        <v>2016</v>
      </c>
      <c r="D1030">
        <v>989</v>
      </c>
    </row>
    <row r="1031" spans="1:4">
      <c r="A1031" t="s">
        <v>214</v>
      </c>
      <c r="B1031" t="s">
        <v>245</v>
      </c>
      <c r="C1031">
        <v>2016</v>
      </c>
      <c r="D1031">
        <v>151</v>
      </c>
    </row>
    <row r="1032" spans="1:4">
      <c r="A1032" t="s">
        <v>70</v>
      </c>
      <c r="B1032" t="s">
        <v>245</v>
      </c>
      <c r="C1032">
        <v>2016</v>
      </c>
      <c r="D1032">
        <v>43273</v>
      </c>
    </row>
    <row r="1033" spans="1:4">
      <c r="A1033" t="s">
        <v>144</v>
      </c>
      <c r="B1033" t="s">
        <v>245</v>
      </c>
      <c r="C1033">
        <v>2016</v>
      </c>
      <c r="D1033">
        <v>4671</v>
      </c>
    </row>
    <row r="1034" spans="1:4">
      <c r="A1034" t="s">
        <v>89</v>
      </c>
      <c r="B1034" t="s">
        <v>245</v>
      </c>
      <c r="C1034">
        <v>2016</v>
      </c>
      <c r="D1034">
        <v>2309</v>
      </c>
    </row>
    <row r="1035" spans="1:4">
      <c r="A1035" t="s">
        <v>204</v>
      </c>
      <c r="B1035" t="s">
        <v>245</v>
      </c>
      <c r="C1035">
        <v>2016</v>
      </c>
      <c r="D1035">
        <v>1346</v>
      </c>
    </row>
    <row r="1036" spans="1:4">
      <c r="A1036" t="s">
        <v>114</v>
      </c>
      <c r="B1036" t="s">
        <v>245</v>
      </c>
      <c r="C1036">
        <v>2016</v>
      </c>
      <c r="D1036">
        <v>818</v>
      </c>
    </row>
    <row r="1037" spans="1:4">
      <c r="A1037" t="s">
        <v>184</v>
      </c>
      <c r="B1037" t="s">
        <v>245</v>
      </c>
      <c r="C1037">
        <v>2016</v>
      </c>
      <c r="D1037">
        <v>349</v>
      </c>
    </row>
    <row r="1038" spans="1:4">
      <c r="A1038" t="s">
        <v>79</v>
      </c>
      <c r="B1038" t="s">
        <v>245</v>
      </c>
      <c r="C1038">
        <v>2016</v>
      </c>
      <c r="D1038">
        <v>591</v>
      </c>
    </row>
    <row r="1039" spans="1:4">
      <c r="A1039" t="s">
        <v>199</v>
      </c>
      <c r="B1039" t="s">
        <v>245</v>
      </c>
      <c r="C1039">
        <v>2016</v>
      </c>
      <c r="D1039">
        <v>0</v>
      </c>
    </row>
    <row r="1040" spans="1:4">
      <c r="A1040" t="s">
        <v>224</v>
      </c>
      <c r="B1040" t="s">
        <v>245</v>
      </c>
      <c r="C1040">
        <v>2016</v>
      </c>
      <c r="D1040">
        <v>2195</v>
      </c>
    </row>
    <row r="1041" spans="1:4">
      <c r="A1041" t="s">
        <v>194</v>
      </c>
      <c r="B1041" t="s">
        <v>245</v>
      </c>
      <c r="C1041">
        <v>2016</v>
      </c>
      <c r="D1041">
        <v>253</v>
      </c>
    </row>
    <row r="1042" spans="1:4">
      <c r="A1042" t="s">
        <v>124</v>
      </c>
      <c r="B1042" t="s">
        <v>245</v>
      </c>
      <c r="C1042">
        <v>2016</v>
      </c>
      <c r="D1042">
        <v>2366</v>
      </c>
    </row>
    <row r="1043" spans="1:4">
      <c r="A1043" t="s">
        <v>179</v>
      </c>
      <c r="B1043" t="s">
        <v>245</v>
      </c>
      <c r="C1043">
        <v>2016</v>
      </c>
      <c r="D1043">
        <v>431</v>
      </c>
    </row>
    <row r="1044" spans="1:4">
      <c r="A1044" t="s">
        <v>129</v>
      </c>
      <c r="B1044" t="s">
        <v>245</v>
      </c>
      <c r="C1044">
        <v>2017</v>
      </c>
      <c r="D1044">
        <v>2311</v>
      </c>
    </row>
    <row r="1045" spans="1:4">
      <c r="A1045" t="s">
        <v>74</v>
      </c>
      <c r="B1045" t="s">
        <v>245</v>
      </c>
      <c r="C1045">
        <v>2017</v>
      </c>
      <c r="D1045">
        <v>377</v>
      </c>
    </row>
    <row r="1046" spans="1:4">
      <c r="A1046" t="s">
        <v>134</v>
      </c>
      <c r="B1046" t="s">
        <v>245</v>
      </c>
      <c r="C1046">
        <v>2017</v>
      </c>
      <c r="D1046">
        <v>1139</v>
      </c>
    </row>
    <row r="1047" spans="1:4">
      <c r="A1047" t="s">
        <v>209</v>
      </c>
      <c r="B1047" t="s">
        <v>245</v>
      </c>
      <c r="C1047">
        <v>2017</v>
      </c>
      <c r="D1047">
        <v>707</v>
      </c>
    </row>
    <row r="1048" spans="1:4">
      <c r="A1048" t="s">
        <v>164</v>
      </c>
      <c r="B1048" t="s">
        <v>245</v>
      </c>
      <c r="C1048">
        <v>2017</v>
      </c>
      <c r="D1048">
        <v>3165</v>
      </c>
    </row>
    <row r="1049" spans="1:4">
      <c r="A1049" t="s">
        <v>169</v>
      </c>
      <c r="B1049" t="s">
        <v>245</v>
      </c>
      <c r="C1049">
        <v>2017</v>
      </c>
      <c r="D1049">
        <v>575</v>
      </c>
    </row>
    <row r="1050" spans="1:4">
      <c r="A1050" t="s">
        <v>189</v>
      </c>
      <c r="B1050" t="s">
        <v>245</v>
      </c>
      <c r="C1050">
        <v>2017</v>
      </c>
      <c r="D1050">
        <v>1210</v>
      </c>
    </row>
    <row r="1051" spans="1:4">
      <c r="A1051" t="s">
        <v>174</v>
      </c>
      <c r="B1051" t="s">
        <v>245</v>
      </c>
      <c r="C1051">
        <v>2017</v>
      </c>
      <c r="D1051">
        <v>195</v>
      </c>
    </row>
    <row r="1052" spans="1:4">
      <c r="A1052" t="s">
        <v>84</v>
      </c>
      <c r="B1052" t="s">
        <v>245</v>
      </c>
      <c r="C1052">
        <v>2017</v>
      </c>
      <c r="D1052">
        <v>2296</v>
      </c>
    </row>
    <row r="1053" spans="1:4">
      <c r="A1053" t="s">
        <v>149</v>
      </c>
      <c r="B1053" t="s">
        <v>245</v>
      </c>
      <c r="C1053">
        <v>2017</v>
      </c>
      <c r="D1053">
        <v>2528</v>
      </c>
    </row>
    <row r="1054" spans="1:4">
      <c r="A1054" t="s">
        <v>109</v>
      </c>
      <c r="B1054" t="s">
        <v>245</v>
      </c>
      <c r="C1054">
        <v>2017</v>
      </c>
      <c r="D1054">
        <v>816</v>
      </c>
    </row>
    <row r="1055" spans="1:4">
      <c r="A1055" t="s">
        <v>154</v>
      </c>
      <c r="B1055" t="s">
        <v>245</v>
      </c>
      <c r="C1055">
        <v>2017</v>
      </c>
      <c r="D1055">
        <v>1075</v>
      </c>
    </row>
    <row r="1056" spans="1:4">
      <c r="A1056" t="s">
        <v>159</v>
      </c>
      <c r="B1056" t="s">
        <v>245</v>
      </c>
      <c r="C1056">
        <v>2017</v>
      </c>
      <c r="D1056">
        <v>786</v>
      </c>
    </row>
    <row r="1057" spans="1:4">
      <c r="A1057" t="s">
        <v>104</v>
      </c>
      <c r="B1057" t="s">
        <v>245</v>
      </c>
      <c r="C1057">
        <v>2017</v>
      </c>
      <c r="D1057">
        <v>606</v>
      </c>
    </row>
    <row r="1058" spans="1:4">
      <c r="A1058" t="s">
        <v>119</v>
      </c>
      <c r="B1058" t="s">
        <v>245</v>
      </c>
      <c r="C1058">
        <v>2017</v>
      </c>
      <c r="D1058">
        <v>4481</v>
      </c>
    </row>
    <row r="1059" spans="1:4">
      <c r="A1059" t="s">
        <v>139</v>
      </c>
      <c r="B1059" t="s">
        <v>245</v>
      </c>
      <c r="C1059">
        <v>2017</v>
      </c>
      <c r="D1059">
        <v>967</v>
      </c>
    </row>
    <row r="1060" spans="1:4">
      <c r="A1060" t="s">
        <v>99</v>
      </c>
      <c r="B1060" t="s">
        <v>245</v>
      </c>
      <c r="C1060">
        <v>2017</v>
      </c>
      <c r="D1060">
        <v>1349</v>
      </c>
    </row>
    <row r="1061" spans="1:4">
      <c r="A1061" t="s">
        <v>94</v>
      </c>
      <c r="B1061" t="s">
        <v>245</v>
      </c>
      <c r="C1061">
        <v>2017</v>
      </c>
      <c r="D1061">
        <v>3736</v>
      </c>
    </row>
    <row r="1062" spans="1:4">
      <c r="A1062" t="s">
        <v>219</v>
      </c>
      <c r="B1062" t="s">
        <v>245</v>
      </c>
      <c r="C1062">
        <v>2017</v>
      </c>
      <c r="D1062">
        <v>1158</v>
      </c>
    </row>
    <row r="1063" spans="1:4">
      <c r="A1063" t="s">
        <v>214</v>
      </c>
      <c r="B1063" t="s">
        <v>245</v>
      </c>
      <c r="C1063">
        <v>2017</v>
      </c>
      <c r="D1063">
        <v>153</v>
      </c>
    </row>
    <row r="1064" spans="1:4">
      <c r="A1064" t="s">
        <v>70</v>
      </c>
      <c r="B1064" t="s">
        <v>245</v>
      </c>
      <c r="C1064">
        <v>2017</v>
      </c>
      <c r="D1064">
        <v>45558</v>
      </c>
    </row>
    <row r="1065" spans="1:4">
      <c r="A1065" t="s">
        <v>144</v>
      </c>
      <c r="B1065" t="s">
        <v>245</v>
      </c>
      <c r="C1065">
        <v>2017</v>
      </c>
      <c r="D1065">
        <v>4615</v>
      </c>
    </row>
    <row r="1066" spans="1:4">
      <c r="A1066" t="s">
        <v>89</v>
      </c>
      <c r="B1066" t="s">
        <v>245</v>
      </c>
      <c r="C1066">
        <v>2017</v>
      </c>
      <c r="D1066">
        <v>2503</v>
      </c>
    </row>
    <row r="1067" spans="1:4">
      <c r="A1067" t="s">
        <v>204</v>
      </c>
      <c r="B1067" t="s">
        <v>245</v>
      </c>
      <c r="C1067">
        <v>2017</v>
      </c>
      <c r="D1067">
        <v>1427</v>
      </c>
    </row>
    <row r="1068" spans="1:4">
      <c r="A1068" t="s">
        <v>114</v>
      </c>
      <c r="B1068" t="s">
        <v>245</v>
      </c>
      <c r="C1068">
        <v>2017</v>
      </c>
      <c r="D1068">
        <v>846</v>
      </c>
    </row>
    <row r="1069" spans="1:4">
      <c r="A1069" t="s">
        <v>184</v>
      </c>
      <c r="B1069" t="s">
        <v>245</v>
      </c>
      <c r="C1069">
        <v>2017</v>
      </c>
      <c r="D1069">
        <v>354</v>
      </c>
    </row>
    <row r="1070" spans="1:4">
      <c r="A1070" t="s">
        <v>79</v>
      </c>
      <c r="B1070" t="s">
        <v>245</v>
      </c>
      <c r="C1070">
        <v>2017</v>
      </c>
      <c r="D1070">
        <v>584</v>
      </c>
    </row>
    <row r="1071" spans="1:4">
      <c r="A1071" t="s">
        <v>199</v>
      </c>
      <c r="B1071" t="s">
        <v>245</v>
      </c>
      <c r="C1071">
        <v>2017</v>
      </c>
      <c r="D1071">
        <v>0.4</v>
      </c>
    </row>
    <row r="1072" spans="1:4">
      <c r="A1072" t="s">
        <v>224</v>
      </c>
      <c r="B1072" t="s">
        <v>245</v>
      </c>
      <c r="C1072">
        <v>2017</v>
      </c>
      <c r="D1072">
        <v>2349</v>
      </c>
    </row>
    <row r="1073" spans="1:4">
      <c r="A1073" t="s">
        <v>194</v>
      </c>
      <c r="B1073" t="s">
        <v>245</v>
      </c>
      <c r="C1073">
        <v>2017</v>
      </c>
      <c r="D1073">
        <v>240</v>
      </c>
    </row>
    <row r="1074" spans="1:4">
      <c r="A1074" t="s">
        <v>124</v>
      </c>
      <c r="B1074" t="s">
        <v>245</v>
      </c>
      <c r="C1074">
        <v>2017</v>
      </c>
      <c r="D1074">
        <v>2544</v>
      </c>
    </row>
    <row r="1075" spans="1:4">
      <c r="A1075" t="s">
        <v>179</v>
      </c>
      <c r="B1075" t="s">
        <v>245</v>
      </c>
      <c r="C1075">
        <v>2017</v>
      </c>
      <c r="D1075">
        <v>467</v>
      </c>
    </row>
    <row r="1076" spans="1:4">
      <c r="A1076" t="s">
        <v>129</v>
      </c>
      <c r="B1076" t="s">
        <v>245</v>
      </c>
      <c r="C1076">
        <v>2018</v>
      </c>
      <c r="D1076">
        <v>2519</v>
      </c>
    </row>
    <row r="1077" spans="1:4">
      <c r="A1077" t="s">
        <v>74</v>
      </c>
      <c r="B1077" t="s">
        <v>245</v>
      </c>
      <c r="C1077">
        <v>2018</v>
      </c>
      <c r="D1077">
        <v>433</v>
      </c>
    </row>
    <row r="1078" spans="1:4">
      <c r="A1078" t="s">
        <v>134</v>
      </c>
      <c r="B1078" t="s">
        <v>245</v>
      </c>
      <c r="C1078">
        <v>2018</v>
      </c>
      <c r="D1078">
        <v>1405</v>
      </c>
    </row>
    <row r="1079" spans="1:4">
      <c r="A1079" t="s">
        <v>209</v>
      </c>
      <c r="B1079" t="s">
        <v>245</v>
      </c>
      <c r="C1079">
        <v>2018</v>
      </c>
      <c r="D1079">
        <v>830</v>
      </c>
    </row>
    <row r="1080" spans="1:4">
      <c r="A1080" t="s">
        <v>164</v>
      </c>
      <c r="B1080" t="s">
        <v>245</v>
      </c>
      <c r="C1080">
        <v>2018</v>
      </c>
      <c r="D1080">
        <v>3283</v>
      </c>
    </row>
    <row r="1081" spans="1:4">
      <c r="A1081" t="s">
        <v>169</v>
      </c>
      <c r="B1081" t="s">
        <v>245</v>
      </c>
      <c r="C1081">
        <v>2018</v>
      </c>
      <c r="D1081">
        <v>796</v>
      </c>
    </row>
    <row r="1082" spans="1:4">
      <c r="A1082" t="s">
        <v>189</v>
      </c>
      <c r="B1082" t="s">
        <v>245</v>
      </c>
      <c r="C1082">
        <v>2018</v>
      </c>
      <c r="D1082">
        <v>1263</v>
      </c>
    </row>
    <row r="1083" spans="1:4">
      <c r="A1083" t="s">
        <v>174</v>
      </c>
      <c r="B1083" t="s">
        <v>245</v>
      </c>
      <c r="C1083">
        <v>2018</v>
      </c>
      <c r="D1083">
        <v>211</v>
      </c>
    </row>
    <row r="1084" spans="1:4">
      <c r="A1084" t="s">
        <v>84</v>
      </c>
      <c r="B1084" t="s">
        <v>245</v>
      </c>
      <c r="C1084">
        <v>2018</v>
      </c>
      <c r="D1084">
        <v>2361</v>
      </c>
    </row>
    <row r="1085" spans="1:4">
      <c r="A1085" t="s">
        <v>149</v>
      </c>
      <c r="B1085" t="s">
        <v>245</v>
      </c>
      <c r="C1085">
        <v>2018</v>
      </c>
      <c r="D1085">
        <v>2689</v>
      </c>
    </row>
    <row r="1086" spans="1:4">
      <c r="A1086" t="s">
        <v>109</v>
      </c>
      <c r="B1086" t="s">
        <v>245</v>
      </c>
      <c r="C1086">
        <v>2018</v>
      </c>
      <c r="D1086">
        <v>859</v>
      </c>
    </row>
    <row r="1087" spans="1:4">
      <c r="A1087" t="s">
        <v>154</v>
      </c>
      <c r="B1087" t="s">
        <v>245</v>
      </c>
      <c r="C1087">
        <v>2018</v>
      </c>
      <c r="D1087">
        <v>1267</v>
      </c>
    </row>
    <row r="1088" spans="1:4">
      <c r="A1088" t="s">
        <v>159</v>
      </c>
      <c r="B1088" t="s">
        <v>245</v>
      </c>
      <c r="C1088">
        <v>2018</v>
      </c>
      <c r="D1088">
        <v>919</v>
      </c>
    </row>
    <row r="1089" spans="1:4">
      <c r="A1089" t="s">
        <v>104</v>
      </c>
      <c r="B1089" t="s">
        <v>245</v>
      </c>
      <c r="C1089">
        <v>2018</v>
      </c>
      <c r="D1089">
        <v>664</v>
      </c>
    </row>
    <row r="1090" spans="1:4">
      <c r="A1090" t="s">
        <v>119</v>
      </c>
      <c r="B1090" t="s">
        <v>245</v>
      </c>
      <c r="C1090">
        <v>2018</v>
      </c>
      <c r="D1090">
        <v>4462</v>
      </c>
    </row>
    <row r="1091" spans="1:4">
      <c r="A1091" t="s">
        <v>139</v>
      </c>
      <c r="B1091" t="s">
        <v>245</v>
      </c>
      <c r="C1091">
        <v>2018</v>
      </c>
      <c r="D1091">
        <v>1093</v>
      </c>
    </row>
    <row r="1092" spans="1:4">
      <c r="A1092" t="s">
        <v>99</v>
      </c>
      <c r="B1092" t="s">
        <v>245</v>
      </c>
      <c r="C1092">
        <v>2018</v>
      </c>
      <c r="D1092">
        <v>1381</v>
      </c>
    </row>
    <row r="1093" spans="1:4">
      <c r="A1093" t="s">
        <v>94</v>
      </c>
      <c r="B1093" t="s">
        <v>245</v>
      </c>
      <c r="C1093">
        <v>2018</v>
      </c>
      <c r="D1093">
        <v>4198</v>
      </c>
    </row>
    <row r="1094" spans="1:4">
      <c r="A1094" t="s">
        <v>219</v>
      </c>
      <c r="B1094" t="s">
        <v>245</v>
      </c>
      <c r="C1094">
        <v>2018</v>
      </c>
      <c r="D1094">
        <v>1310</v>
      </c>
    </row>
    <row r="1095" spans="1:4">
      <c r="A1095" t="s">
        <v>214</v>
      </c>
      <c r="B1095" t="s">
        <v>245</v>
      </c>
      <c r="C1095">
        <v>2018</v>
      </c>
      <c r="D1095">
        <v>120</v>
      </c>
    </row>
    <row r="1096" spans="1:4">
      <c r="A1096" t="s">
        <v>70</v>
      </c>
      <c r="B1096" t="s">
        <v>245</v>
      </c>
      <c r="C1096">
        <v>2018</v>
      </c>
      <c r="D1096">
        <v>49249</v>
      </c>
    </row>
    <row r="1097" spans="1:4">
      <c r="A1097" t="s">
        <v>144</v>
      </c>
      <c r="B1097" t="s">
        <v>245</v>
      </c>
      <c r="C1097">
        <v>2018</v>
      </c>
      <c r="D1097">
        <v>4824</v>
      </c>
    </row>
    <row r="1098" spans="1:4">
      <c r="A1098" t="s">
        <v>89</v>
      </c>
      <c r="B1098" t="s">
        <v>245</v>
      </c>
      <c r="C1098">
        <v>2018</v>
      </c>
      <c r="D1098">
        <v>2739</v>
      </c>
    </row>
    <row r="1099" spans="1:4">
      <c r="A1099" t="s">
        <v>204</v>
      </c>
      <c r="B1099" t="s">
        <v>245</v>
      </c>
      <c r="C1099">
        <v>2018</v>
      </c>
      <c r="D1099">
        <v>1761</v>
      </c>
    </row>
    <row r="1100" spans="1:4">
      <c r="A1100" t="s">
        <v>114</v>
      </c>
      <c r="B1100" t="s">
        <v>245</v>
      </c>
      <c r="C1100">
        <v>2018</v>
      </c>
      <c r="D1100">
        <v>833</v>
      </c>
    </row>
    <row r="1101" spans="1:4">
      <c r="A1101" t="s">
        <v>184</v>
      </c>
      <c r="B1101" t="s">
        <v>245</v>
      </c>
      <c r="C1101">
        <v>2018</v>
      </c>
      <c r="D1101">
        <v>435</v>
      </c>
    </row>
    <row r="1102" spans="1:4">
      <c r="A1102" t="s">
        <v>79</v>
      </c>
      <c r="B1102" t="s">
        <v>245</v>
      </c>
      <c r="C1102">
        <v>2018</v>
      </c>
      <c r="D1102">
        <v>654</v>
      </c>
    </row>
    <row r="1103" spans="1:4">
      <c r="A1103" t="s">
        <v>199</v>
      </c>
      <c r="B1103" t="s">
        <v>245</v>
      </c>
      <c r="C1103">
        <v>2018</v>
      </c>
      <c r="D1103">
        <v>1</v>
      </c>
    </row>
    <row r="1104" spans="1:4">
      <c r="A1104" t="s">
        <v>224</v>
      </c>
      <c r="B1104" t="s">
        <v>245</v>
      </c>
      <c r="C1104">
        <v>2018</v>
      </c>
      <c r="D1104">
        <v>2506</v>
      </c>
    </row>
    <row r="1105" spans="1:4">
      <c r="A1105" t="s">
        <v>194</v>
      </c>
      <c r="B1105" t="s">
        <v>245</v>
      </c>
      <c r="C1105">
        <v>2018</v>
      </c>
      <c r="D1105">
        <v>290</v>
      </c>
    </row>
    <row r="1106" spans="1:4">
      <c r="A1106" t="s">
        <v>124</v>
      </c>
      <c r="B1106" t="s">
        <v>245</v>
      </c>
      <c r="C1106">
        <v>2018</v>
      </c>
      <c r="D1106">
        <v>2598</v>
      </c>
    </row>
    <row r="1107" spans="1:4">
      <c r="A1107" t="s">
        <v>179</v>
      </c>
      <c r="B1107" t="s">
        <v>245</v>
      </c>
      <c r="C1107">
        <v>2018</v>
      </c>
      <c r="D1107">
        <v>547</v>
      </c>
    </row>
    <row r="1108" spans="1:4">
      <c r="A1108" t="s">
        <v>129</v>
      </c>
      <c r="B1108" t="s">
        <v>245</v>
      </c>
      <c r="C1108">
        <v>2019</v>
      </c>
      <c r="D1108">
        <v>2657</v>
      </c>
    </row>
    <row r="1109" spans="1:4">
      <c r="A1109" t="s">
        <v>74</v>
      </c>
      <c r="B1109" t="s">
        <v>245</v>
      </c>
      <c r="C1109">
        <v>2019</v>
      </c>
      <c r="D1109">
        <v>443</v>
      </c>
    </row>
    <row r="1110" spans="1:4">
      <c r="A1110" t="s">
        <v>134</v>
      </c>
      <c r="B1110" t="s">
        <v>245</v>
      </c>
      <c r="C1110">
        <v>2019</v>
      </c>
      <c r="D1110">
        <v>1406</v>
      </c>
    </row>
    <row r="1111" spans="1:4">
      <c r="A1111" t="s">
        <v>209</v>
      </c>
      <c r="B1111" t="s">
        <v>245</v>
      </c>
      <c r="C1111">
        <v>2019</v>
      </c>
      <c r="D1111">
        <v>817</v>
      </c>
    </row>
    <row r="1112" spans="1:4">
      <c r="A1112" t="s">
        <v>164</v>
      </c>
      <c r="B1112" t="s">
        <v>245</v>
      </c>
      <c r="C1112">
        <v>2019</v>
      </c>
      <c r="D1112">
        <v>3222</v>
      </c>
    </row>
    <row r="1113" spans="1:4">
      <c r="A1113" t="s">
        <v>169</v>
      </c>
      <c r="B1113" t="s">
        <v>245</v>
      </c>
      <c r="C1113">
        <v>2019</v>
      </c>
      <c r="D1113">
        <v>988</v>
      </c>
    </row>
    <row r="1114" spans="1:4">
      <c r="A1114" t="s">
        <v>189</v>
      </c>
      <c r="B1114" t="s">
        <v>245</v>
      </c>
      <c r="C1114">
        <v>2019</v>
      </c>
      <c r="D1114">
        <v>1390</v>
      </c>
    </row>
    <row r="1115" spans="1:4">
      <c r="A1115" t="s">
        <v>174</v>
      </c>
      <c r="B1115" t="s">
        <v>245</v>
      </c>
      <c r="C1115">
        <v>2019</v>
      </c>
      <c r="D1115">
        <v>212</v>
      </c>
    </row>
    <row r="1116" spans="1:4">
      <c r="A1116" t="s">
        <v>84</v>
      </c>
      <c r="B1116" t="s">
        <v>245</v>
      </c>
      <c r="C1116">
        <v>2019</v>
      </c>
      <c r="D1116">
        <v>2377</v>
      </c>
    </row>
    <row r="1117" spans="1:4">
      <c r="A1117" t="s">
        <v>149</v>
      </c>
      <c r="B1117" t="s">
        <v>245</v>
      </c>
      <c r="C1117">
        <v>2019</v>
      </c>
      <c r="D1117">
        <v>2481</v>
      </c>
    </row>
    <row r="1118" spans="1:4">
      <c r="A1118" t="s">
        <v>109</v>
      </c>
      <c r="B1118" t="s">
        <v>245</v>
      </c>
      <c r="C1118">
        <v>2019</v>
      </c>
      <c r="D1118">
        <v>887</v>
      </c>
    </row>
    <row r="1119" spans="1:4">
      <c r="A1119" t="s">
        <v>154</v>
      </c>
      <c r="B1119" t="s">
        <v>245</v>
      </c>
      <c r="C1119">
        <v>2019</v>
      </c>
      <c r="D1119">
        <v>1485</v>
      </c>
    </row>
    <row r="1120" spans="1:4">
      <c r="A1120" t="s">
        <v>159</v>
      </c>
      <c r="B1120" t="s">
        <v>245</v>
      </c>
      <c r="C1120">
        <v>2019</v>
      </c>
      <c r="D1120">
        <v>906</v>
      </c>
    </row>
    <row r="1121" spans="1:4">
      <c r="A1121" t="s">
        <v>104</v>
      </c>
      <c r="B1121" t="s">
        <v>245</v>
      </c>
      <c r="C1121">
        <v>2019</v>
      </c>
      <c r="D1121">
        <v>705</v>
      </c>
    </row>
    <row r="1122" spans="1:4">
      <c r="A1122" t="s">
        <v>119</v>
      </c>
      <c r="B1122" t="s">
        <v>245</v>
      </c>
      <c r="C1122">
        <v>2019</v>
      </c>
      <c r="D1122">
        <v>4364</v>
      </c>
    </row>
    <row r="1123" spans="1:4">
      <c r="A1123" t="s">
        <v>139</v>
      </c>
      <c r="B1123" t="s">
        <v>245</v>
      </c>
      <c r="C1123">
        <v>2019</v>
      </c>
      <c r="D1123">
        <v>1128</v>
      </c>
    </row>
    <row r="1124" spans="1:4">
      <c r="A1124" t="s">
        <v>99</v>
      </c>
      <c r="B1124" t="s">
        <v>245</v>
      </c>
      <c r="C1124">
        <v>2019</v>
      </c>
      <c r="D1124">
        <v>1395</v>
      </c>
    </row>
    <row r="1125" spans="1:4">
      <c r="A1125" t="s">
        <v>94</v>
      </c>
      <c r="B1125" t="s">
        <v>245</v>
      </c>
      <c r="C1125">
        <v>2019</v>
      </c>
      <c r="D1125">
        <v>4564</v>
      </c>
    </row>
    <row r="1126" spans="1:4">
      <c r="A1126" t="s">
        <v>219</v>
      </c>
      <c r="B1126" t="s">
        <v>245</v>
      </c>
      <c r="C1126">
        <v>2019</v>
      </c>
      <c r="D1126">
        <v>1381</v>
      </c>
    </row>
    <row r="1127" spans="1:4">
      <c r="A1127" t="s">
        <v>214</v>
      </c>
      <c r="B1127" t="s">
        <v>245</v>
      </c>
      <c r="C1127">
        <v>2019</v>
      </c>
      <c r="D1127">
        <v>104</v>
      </c>
    </row>
    <row r="1128" spans="1:4">
      <c r="A1128" t="s">
        <v>70</v>
      </c>
      <c r="B1128" t="s">
        <v>245</v>
      </c>
      <c r="C1128">
        <v>2019</v>
      </c>
      <c r="D1128">
        <v>50465</v>
      </c>
    </row>
    <row r="1129" spans="1:4">
      <c r="A1129" t="s">
        <v>144</v>
      </c>
      <c r="B1129" t="s">
        <v>245</v>
      </c>
      <c r="C1129">
        <v>2019</v>
      </c>
      <c r="D1129">
        <v>4680</v>
      </c>
    </row>
    <row r="1130" spans="1:4">
      <c r="A1130" t="s">
        <v>89</v>
      </c>
      <c r="B1130" t="s">
        <v>245</v>
      </c>
      <c r="C1130">
        <v>2019</v>
      </c>
      <c r="D1130">
        <v>2852</v>
      </c>
    </row>
    <row r="1131" spans="1:4">
      <c r="A1131" t="s">
        <v>204</v>
      </c>
      <c r="B1131" t="s">
        <v>245</v>
      </c>
      <c r="C1131">
        <v>2019</v>
      </c>
      <c r="D1131">
        <v>1917</v>
      </c>
    </row>
    <row r="1132" spans="1:4">
      <c r="A1132" t="s">
        <v>114</v>
      </c>
      <c r="B1132" t="s">
        <v>245</v>
      </c>
      <c r="C1132">
        <v>2019</v>
      </c>
      <c r="D1132">
        <v>812</v>
      </c>
    </row>
    <row r="1133" spans="1:4">
      <c r="A1133" t="s">
        <v>184</v>
      </c>
      <c r="B1133" t="s">
        <v>245</v>
      </c>
      <c r="C1133">
        <v>2019</v>
      </c>
      <c r="D1133">
        <v>488</v>
      </c>
    </row>
    <row r="1134" spans="1:4">
      <c r="A1134" t="s">
        <v>79</v>
      </c>
      <c r="B1134" t="s">
        <v>245</v>
      </c>
      <c r="C1134">
        <v>2019</v>
      </c>
      <c r="D1134">
        <v>647</v>
      </c>
    </row>
    <row r="1135" spans="1:4">
      <c r="A1135" t="s">
        <v>199</v>
      </c>
      <c r="B1135" t="s">
        <v>245</v>
      </c>
      <c r="C1135">
        <v>2019</v>
      </c>
      <c r="D1135">
        <v>1</v>
      </c>
    </row>
    <row r="1136" spans="1:4">
      <c r="A1136" t="s">
        <v>224</v>
      </c>
      <c r="B1136" t="s">
        <v>245</v>
      </c>
      <c r="C1136">
        <v>2019</v>
      </c>
      <c r="D1136">
        <v>2777</v>
      </c>
    </row>
    <row r="1137" spans="1:4">
      <c r="A1137" t="s">
        <v>194</v>
      </c>
      <c r="B1137" t="s">
        <v>245</v>
      </c>
      <c r="C1137">
        <v>2019</v>
      </c>
      <c r="D1137">
        <v>318</v>
      </c>
    </row>
    <row r="1138" spans="1:4">
      <c r="A1138" t="s">
        <v>124</v>
      </c>
      <c r="B1138" t="s">
        <v>245</v>
      </c>
      <c r="C1138">
        <v>2019</v>
      </c>
      <c r="D1138">
        <v>2507</v>
      </c>
    </row>
    <row r="1139" spans="1:4">
      <c r="A1139" t="s">
        <v>179</v>
      </c>
      <c r="B1139" t="s">
        <v>245</v>
      </c>
      <c r="C1139">
        <v>2019</v>
      </c>
      <c r="D1139">
        <v>554</v>
      </c>
    </row>
    <row r="1140" spans="1:4">
      <c r="A1140" t="s">
        <v>129</v>
      </c>
      <c r="B1140" t="s">
        <v>245</v>
      </c>
      <c r="C1140">
        <v>2020</v>
      </c>
      <c r="D1140">
        <v>2531</v>
      </c>
    </row>
    <row r="1141" spans="1:4">
      <c r="A1141" t="s">
        <v>74</v>
      </c>
      <c r="B1141" t="s">
        <v>245</v>
      </c>
      <c r="C1141">
        <v>2020</v>
      </c>
      <c r="D1141">
        <v>434</v>
      </c>
    </row>
    <row r="1142" spans="1:4">
      <c r="A1142" t="s">
        <v>134</v>
      </c>
      <c r="B1142" t="s">
        <v>245</v>
      </c>
      <c r="C1142">
        <v>2020</v>
      </c>
      <c r="D1142">
        <v>1551</v>
      </c>
    </row>
    <row r="1143" spans="1:4">
      <c r="A1143" t="s">
        <v>209</v>
      </c>
      <c r="B1143" t="s">
        <v>245</v>
      </c>
      <c r="C1143">
        <v>2020</v>
      </c>
      <c r="D1143">
        <v>901</v>
      </c>
    </row>
    <row r="1144" spans="1:4">
      <c r="A1144" t="s">
        <v>164</v>
      </c>
      <c r="B1144" t="s">
        <v>245</v>
      </c>
      <c r="C1144">
        <v>2020</v>
      </c>
      <c r="D1144">
        <v>3425</v>
      </c>
    </row>
    <row r="1145" spans="1:4">
      <c r="A1145" t="s">
        <v>169</v>
      </c>
      <c r="B1145" t="s">
        <v>245</v>
      </c>
      <c r="C1145">
        <v>2020</v>
      </c>
      <c r="D1145">
        <v>1032</v>
      </c>
    </row>
    <row r="1146" spans="1:4">
      <c r="A1146" t="s">
        <v>189</v>
      </c>
      <c r="B1146" t="s">
        <v>245</v>
      </c>
      <c r="C1146">
        <v>2020</v>
      </c>
      <c r="D1146">
        <v>1354</v>
      </c>
    </row>
    <row r="1147" spans="1:4">
      <c r="A1147" t="s">
        <v>174</v>
      </c>
      <c r="B1147" t="s">
        <v>245</v>
      </c>
      <c r="C1147">
        <v>2020</v>
      </c>
      <c r="D1147">
        <v>215</v>
      </c>
    </row>
    <row r="1148" spans="1:4">
      <c r="A1148" t="s">
        <v>84</v>
      </c>
      <c r="B1148" t="s">
        <v>245</v>
      </c>
      <c r="C1148">
        <v>2020</v>
      </c>
      <c r="D1148">
        <v>2352</v>
      </c>
    </row>
    <row r="1149" spans="1:4">
      <c r="A1149" t="s">
        <v>149</v>
      </c>
      <c r="B1149" t="s">
        <v>245</v>
      </c>
      <c r="C1149">
        <v>2020</v>
      </c>
      <c r="D1149">
        <v>2400</v>
      </c>
    </row>
    <row r="1150" spans="1:4">
      <c r="A1150" t="s">
        <v>109</v>
      </c>
      <c r="B1150" t="s">
        <v>245</v>
      </c>
      <c r="C1150">
        <v>2020</v>
      </c>
      <c r="D1150">
        <v>895</v>
      </c>
    </row>
    <row r="1151" spans="1:4">
      <c r="A1151" t="s">
        <v>154</v>
      </c>
      <c r="B1151" t="s">
        <v>245</v>
      </c>
      <c r="C1151">
        <v>2020</v>
      </c>
      <c r="D1151">
        <v>1243</v>
      </c>
    </row>
    <row r="1152" spans="1:4">
      <c r="A1152" t="s">
        <v>159</v>
      </c>
      <c r="B1152" t="s">
        <v>245</v>
      </c>
      <c r="C1152">
        <v>2020</v>
      </c>
      <c r="D1152">
        <v>849</v>
      </c>
    </row>
    <row r="1153" spans="1:4">
      <c r="A1153" t="s">
        <v>104</v>
      </c>
      <c r="B1153" t="s">
        <v>245</v>
      </c>
      <c r="C1153">
        <v>2020</v>
      </c>
      <c r="D1153">
        <v>721</v>
      </c>
    </row>
    <row r="1154" spans="1:4">
      <c r="A1154" t="s">
        <v>119</v>
      </c>
      <c r="B1154" t="s">
        <v>245</v>
      </c>
      <c r="C1154">
        <v>2020</v>
      </c>
      <c r="D1154">
        <v>4290</v>
      </c>
    </row>
    <row r="1155" spans="1:4">
      <c r="A1155" t="s">
        <v>139</v>
      </c>
      <c r="B1155" t="s">
        <v>245</v>
      </c>
      <c r="C1155">
        <v>2020</v>
      </c>
      <c r="D1155">
        <v>1199</v>
      </c>
    </row>
    <row r="1156" spans="1:4">
      <c r="A1156" t="s">
        <v>99</v>
      </c>
      <c r="B1156" t="s">
        <v>245</v>
      </c>
      <c r="C1156">
        <v>2020</v>
      </c>
      <c r="D1156">
        <v>1410</v>
      </c>
    </row>
    <row r="1157" spans="1:4">
      <c r="A1157" t="s">
        <v>94</v>
      </c>
      <c r="B1157" t="s">
        <v>245</v>
      </c>
      <c r="C1157">
        <v>2020</v>
      </c>
      <c r="D1157">
        <v>4731</v>
      </c>
    </row>
    <row r="1158" spans="1:4">
      <c r="A1158" t="s">
        <v>219</v>
      </c>
      <c r="B1158" t="s">
        <v>245</v>
      </c>
      <c r="C1158">
        <v>2020</v>
      </c>
      <c r="D1158">
        <v>1415</v>
      </c>
    </row>
    <row r="1159" spans="1:4">
      <c r="A1159" t="s">
        <v>214</v>
      </c>
      <c r="B1159" t="s">
        <v>245</v>
      </c>
      <c r="C1159">
        <v>2020</v>
      </c>
      <c r="D1159">
        <v>101</v>
      </c>
    </row>
    <row r="1160" spans="1:4">
      <c r="A1160" t="s">
        <v>70</v>
      </c>
      <c r="B1160" t="s">
        <v>245</v>
      </c>
      <c r="C1160">
        <v>2020</v>
      </c>
      <c r="D1160">
        <v>51770</v>
      </c>
    </row>
    <row r="1161" spans="1:4">
      <c r="A1161" t="s">
        <v>144</v>
      </c>
      <c r="B1161" t="s">
        <v>245</v>
      </c>
      <c r="C1161">
        <v>2020</v>
      </c>
      <c r="D1161">
        <v>5116</v>
      </c>
    </row>
    <row r="1162" spans="1:4">
      <c r="A1162" t="s">
        <v>89</v>
      </c>
      <c r="B1162" t="s">
        <v>245</v>
      </c>
      <c r="C1162">
        <v>2020</v>
      </c>
      <c r="D1162">
        <v>2924</v>
      </c>
    </row>
    <row r="1163" spans="1:4">
      <c r="A1163" t="s">
        <v>204</v>
      </c>
      <c r="B1163" t="s">
        <v>245</v>
      </c>
      <c r="C1163">
        <v>2020</v>
      </c>
      <c r="D1163">
        <v>2084</v>
      </c>
    </row>
    <row r="1164" spans="1:4">
      <c r="A1164" t="s">
        <v>114</v>
      </c>
      <c r="B1164" t="s">
        <v>245</v>
      </c>
      <c r="C1164">
        <v>2020</v>
      </c>
      <c r="D1164">
        <v>835</v>
      </c>
    </row>
    <row r="1165" spans="1:4">
      <c r="A1165" t="s">
        <v>184</v>
      </c>
      <c r="B1165" t="s">
        <v>245</v>
      </c>
      <c r="C1165">
        <v>2020</v>
      </c>
      <c r="D1165">
        <v>513</v>
      </c>
    </row>
    <row r="1166" spans="1:4">
      <c r="A1166" t="s">
        <v>79</v>
      </c>
      <c r="B1166" t="s">
        <v>245</v>
      </c>
      <c r="C1166">
        <v>2020</v>
      </c>
      <c r="D1166">
        <v>668</v>
      </c>
    </row>
    <row r="1167" spans="1:4">
      <c r="A1167" t="s">
        <v>199</v>
      </c>
      <c r="B1167" t="s">
        <v>245</v>
      </c>
      <c r="C1167">
        <v>2020</v>
      </c>
      <c r="D1167">
        <v>1</v>
      </c>
    </row>
    <row r="1168" spans="1:4">
      <c r="A1168" t="s">
        <v>224</v>
      </c>
      <c r="B1168" t="s">
        <v>245</v>
      </c>
      <c r="C1168">
        <v>2020</v>
      </c>
      <c r="D1168">
        <v>3193</v>
      </c>
    </row>
    <row r="1169" spans="1:4">
      <c r="A1169" t="s">
        <v>194</v>
      </c>
      <c r="B1169" t="s">
        <v>245</v>
      </c>
      <c r="C1169">
        <v>2020</v>
      </c>
      <c r="D1169">
        <v>415</v>
      </c>
    </row>
    <row r="1170" spans="1:4">
      <c r="A1170" t="s">
        <v>124</v>
      </c>
      <c r="B1170" t="s">
        <v>245</v>
      </c>
      <c r="C1170">
        <v>2020</v>
      </c>
      <c r="D1170">
        <v>2432</v>
      </c>
    </row>
    <row r="1171" spans="1:4">
      <c r="A1171" t="s">
        <v>179</v>
      </c>
      <c r="B1171" t="s">
        <v>245</v>
      </c>
      <c r="C1171">
        <v>2020</v>
      </c>
      <c r="D1171">
        <v>538</v>
      </c>
    </row>
    <row r="1172" spans="1:4">
      <c r="A1172" t="s">
        <v>129</v>
      </c>
      <c r="B1172" t="s">
        <v>245</v>
      </c>
      <c r="C1172">
        <v>2021</v>
      </c>
      <c r="D1172">
        <v>2702</v>
      </c>
    </row>
    <row r="1173" spans="1:4">
      <c r="A1173" t="s">
        <v>74</v>
      </c>
      <c r="B1173" t="s">
        <v>245</v>
      </c>
      <c r="C1173">
        <v>2021</v>
      </c>
      <c r="D1173">
        <v>447</v>
      </c>
    </row>
    <row r="1174" spans="1:4">
      <c r="A1174" t="s">
        <v>134</v>
      </c>
      <c r="B1174" t="s">
        <v>245</v>
      </c>
      <c r="C1174">
        <v>2021</v>
      </c>
      <c r="D1174">
        <v>1704</v>
      </c>
    </row>
    <row r="1175" spans="1:4">
      <c r="A1175" t="s">
        <v>209</v>
      </c>
      <c r="B1175" t="s">
        <v>245</v>
      </c>
      <c r="C1175">
        <v>2021</v>
      </c>
      <c r="D1175">
        <v>1043</v>
      </c>
    </row>
    <row r="1176" spans="1:4">
      <c r="A1176" t="s">
        <v>164</v>
      </c>
      <c r="B1176" t="s">
        <v>245</v>
      </c>
      <c r="C1176">
        <v>2021</v>
      </c>
      <c r="D1176">
        <v>4487</v>
      </c>
    </row>
    <row r="1177" spans="1:4">
      <c r="A1177" t="s">
        <v>169</v>
      </c>
      <c r="B1177" t="s">
        <v>245</v>
      </c>
      <c r="C1177">
        <v>2021</v>
      </c>
      <c r="D1177">
        <v>1120</v>
      </c>
    </row>
    <row r="1178" spans="1:4">
      <c r="A1178" t="s">
        <v>189</v>
      </c>
      <c r="B1178" t="s">
        <v>245</v>
      </c>
      <c r="C1178">
        <v>2021</v>
      </c>
      <c r="D1178">
        <v>1485</v>
      </c>
    </row>
    <row r="1179" spans="1:4">
      <c r="A1179" t="s">
        <v>174</v>
      </c>
      <c r="B1179" t="s">
        <v>245</v>
      </c>
      <c r="C1179">
        <v>2021</v>
      </c>
      <c r="D1179">
        <v>254</v>
      </c>
    </row>
    <row r="1180" spans="1:4">
      <c r="A1180" t="s">
        <v>84</v>
      </c>
      <c r="B1180" t="s">
        <v>245</v>
      </c>
      <c r="C1180">
        <v>2021</v>
      </c>
      <c r="D1180">
        <v>2259</v>
      </c>
    </row>
    <row r="1181" spans="1:4">
      <c r="A1181" t="s">
        <v>149</v>
      </c>
      <c r="B1181" t="s">
        <v>245</v>
      </c>
      <c r="C1181">
        <v>2021</v>
      </c>
      <c r="D1181">
        <v>2350</v>
      </c>
    </row>
    <row r="1182" spans="1:4">
      <c r="A1182" t="s">
        <v>109</v>
      </c>
      <c r="B1182" t="s">
        <v>245</v>
      </c>
      <c r="C1182">
        <v>2021</v>
      </c>
      <c r="D1182">
        <v>905</v>
      </c>
    </row>
    <row r="1183" spans="1:4">
      <c r="A1183" t="s">
        <v>154</v>
      </c>
      <c r="B1183" t="s">
        <v>245</v>
      </c>
      <c r="C1183">
        <v>2021</v>
      </c>
      <c r="D1183">
        <v>1476</v>
      </c>
    </row>
    <row r="1184" spans="1:4">
      <c r="A1184" t="s">
        <v>159</v>
      </c>
      <c r="B1184" t="s">
        <v>245</v>
      </c>
      <c r="C1184">
        <v>2021</v>
      </c>
      <c r="D1184">
        <v>1024</v>
      </c>
    </row>
    <row r="1185" spans="1:4">
      <c r="A1185" t="s">
        <v>104</v>
      </c>
      <c r="B1185" t="s">
        <v>245</v>
      </c>
      <c r="C1185">
        <v>2021</v>
      </c>
      <c r="D1185">
        <v>689.2</v>
      </c>
    </row>
    <row r="1186" spans="1:4">
      <c r="A1186" t="s">
        <v>119</v>
      </c>
      <c r="B1186" t="s">
        <v>245</v>
      </c>
      <c r="C1186">
        <v>2021</v>
      </c>
      <c r="D1186">
        <v>4739</v>
      </c>
    </row>
    <row r="1187" spans="1:4">
      <c r="A1187" t="s">
        <v>139</v>
      </c>
      <c r="B1187" t="s">
        <v>245</v>
      </c>
      <c r="C1187">
        <v>2021</v>
      </c>
      <c r="D1187">
        <v>1306</v>
      </c>
    </row>
    <row r="1188" spans="1:4">
      <c r="A1188" t="s">
        <v>99</v>
      </c>
      <c r="B1188" t="s">
        <v>245</v>
      </c>
      <c r="C1188">
        <v>2021</v>
      </c>
      <c r="D1188">
        <v>1399</v>
      </c>
    </row>
    <row r="1189" spans="1:4">
      <c r="A1189" t="s">
        <v>94</v>
      </c>
      <c r="B1189" t="s">
        <v>245</v>
      </c>
      <c r="C1189">
        <v>2021</v>
      </c>
      <c r="D1189">
        <v>4769</v>
      </c>
    </row>
    <row r="1190" spans="1:4">
      <c r="A1190" t="s">
        <v>219</v>
      </c>
      <c r="B1190" t="s">
        <v>245</v>
      </c>
      <c r="C1190">
        <v>2021</v>
      </c>
      <c r="D1190">
        <v>1507</v>
      </c>
    </row>
    <row r="1191" spans="1:4">
      <c r="A1191" t="s">
        <v>214</v>
      </c>
      <c r="B1191" t="s">
        <v>245</v>
      </c>
      <c r="C1191">
        <v>2021</v>
      </c>
      <c r="D1191">
        <v>143.2</v>
      </c>
    </row>
    <row r="1192" spans="1:4">
      <c r="A1192" t="s">
        <v>70</v>
      </c>
      <c r="B1192" t="s">
        <v>245</v>
      </c>
      <c r="C1192">
        <v>2021</v>
      </c>
      <c r="D1192">
        <v>56655</v>
      </c>
    </row>
    <row r="1193" spans="1:4">
      <c r="A1193" t="s">
        <v>144</v>
      </c>
      <c r="B1193" t="s">
        <v>245</v>
      </c>
      <c r="C1193">
        <v>2021</v>
      </c>
      <c r="D1193">
        <v>5268</v>
      </c>
    </row>
    <row r="1194" spans="1:4">
      <c r="A1194" t="s">
        <v>89</v>
      </c>
      <c r="B1194" t="s">
        <v>245</v>
      </c>
      <c r="C1194">
        <v>2021</v>
      </c>
      <c r="D1194">
        <v>3145</v>
      </c>
    </row>
    <row r="1195" spans="1:4">
      <c r="A1195" t="s">
        <v>204</v>
      </c>
      <c r="B1195" t="s">
        <v>245</v>
      </c>
      <c r="C1195">
        <v>2021</v>
      </c>
      <c r="D1195">
        <v>2310</v>
      </c>
    </row>
    <row r="1196" spans="1:4">
      <c r="A1196" t="s">
        <v>114</v>
      </c>
      <c r="B1196" t="s">
        <v>245</v>
      </c>
      <c r="C1196">
        <v>2021</v>
      </c>
      <c r="D1196">
        <v>974</v>
      </c>
    </row>
    <row r="1197" spans="1:4">
      <c r="A1197" t="s">
        <v>184</v>
      </c>
      <c r="B1197" t="s">
        <v>245</v>
      </c>
      <c r="C1197">
        <v>2021</v>
      </c>
      <c r="D1197">
        <v>655</v>
      </c>
    </row>
    <row r="1198" spans="1:4">
      <c r="A1198" t="s">
        <v>79</v>
      </c>
      <c r="B1198" t="s">
        <v>245</v>
      </c>
      <c r="C1198">
        <v>2021</v>
      </c>
      <c r="D1198">
        <v>738</v>
      </c>
    </row>
    <row r="1199" spans="1:4">
      <c r="A1199" t="s">
        <v>199</v>
      </c>
      <c r="B1199" t="s">
        <v>245</v>
      </c>
      <c r="C1199">
        <v>2021</v>
      </c>
      <c r="D1199">
        <v>1.4</v>
      </c>
    </row>
    <row r="1200" spans="1:4">
      <c r="A1200" t="s">
        <v>224</v>
      </c>
      <c r="B1200" t="s">
        <v>245</v>
      </c>
      <c r="C1200">
        <v>2021</v>
      </c>
      <c r="D1200">
        <v>3584</v>
      </c>
    </row>
    <row r="1201" spans="1:4">
      <c r="A1201" t="s">
        <v>194</v>
      </c>
      <c r="B1201" t="s">
        <v>245</v>
      </c>
      <c r="C1201">
        <v>2021</v>
      </c>
      <c r="D1201">
        <v>455.3</v>
      </c>
    </row>
    <row r="1202" spans="1:4">
      <c r="A1202" t="s">
        <v>124</v>
      </c>
      <c r="B1202" t="s">
        <v>245</v>
      </c>
      <c r="C1202">
        <v>2021</v>
      </c>
      <c r="D1202">
        <v>3053.04</v>
      </c>
    </row>
    <row r="1203" spans="1:4">
      <c r="A1203" t="s">
        <v>179</v>
      </c>
      <c r="B1203" t="s">
        <v>245</v>
      </c>
      <c r="C1203">
        <v>2021</v>
      </c>
      <c r="D1203">
        <v>667</v>
      </c>
    </row>
    <row r="1204" spans="1:4">
      <c r="A1204" t="s">
        <v>129</v>
      </c>
      <c r="B1204" t="s">
        <v>245</v>
      </c>
      <c r="C1204">
        <v>2022</v>
      </c>
      <c r="D1204">
        <v>2875</v>
      </c>
    </row>
    <row r="1205" spans="1:4">
      <c r="A1205" t="s">
        <v>74</v>
      </c>
      <c r="B1205" t="s">
        <v>245</v>
      </c>
      <c r="C1205">
        <v>2022</v>
      </c>
      <c r="D1205">
        <v>442</v>
      </c>
    </row>
    <row r="1206" spans="1:4">
      <c r="A1206" t="s">
        <v>134</v>
      </c>
      <c r="B1206" t="s">
        <v>245</v>
      </c>
      <c r="C1206">
        <v>2022</v>
      </c>
      <c r="D1206">
        <v>1586</v>
      </c>
    </row>
    <row r="1207" spans="1:4">
      <c r="A1207" t="s">
        <v>209</v>
      </c>
      <c r="B1207" t="s">
        <v>245</v>
      </c>
      <c r="C1207">
        <v>2022</v>
      </c>
      <c r="D1207">
        <v>1067</v>
      </c>
    </row>
    <row r="1208" spans="1:4">
      <c r="A1208" t="s">
        <v>164</v>
      </c>
      <c r="B1208" t="s">
        <v>245</v>
      </c>
      <c r="C1208">
        <v>2022</v>
      </c>
      <c r="D1208">
        <v>4334</v>
      </c>
    </row>
    <row r="1209" spans="1:4">
      <c r="A1209" t="s">
        <v>169</v>
      </c>
      <c r="B1209" t="s">
        <v>245</v>
      </c>
      <c r="C1209">
        <v>2022</v>
      </c>
      <c r="D1209">
        <v>999</v>
      </c>
    </row>
    <row r="1210" spans="1:4">
      <c r="A1210" t="s">
        <v>189</v>
      </c>
      <c r="B1210" t="s">
        <v>245</v>
      </c>
      <c r="C1210">
        <v>2022</v>
      </c>
      <c r="D1210">
        <v>1438</v>
      </c>
    </row>
    <row r="1211" spans="1:4">
      <c r="A1211" t="s">
        <v>174</v>
      </c>
      <c r="B1211" t="s">
        <v>245</v>
      </c>
      <c r="C1211">
        <v>2022</v>
      </c>
      <c r="D1211">
        <v>249</v>
      </c>
    </row>
    <row r="1212" spans="1:4">
      <c r="A1212" t="s">
        <v>84</v>
      </c>
      <c r="B1212" t="s">
        <v>245</v>
      </c>
      <c r="C1212">
        <v>2022</v>
      </c>
      <c r="D1212">
        <v>2268</v>
      </c>
    </row>
    <row r="1213" spans="1:4">
      <c r="A1213" t="s">
        <v>149</v>
      </c>
      <c r="B1213" t="s">
        <v>245</v>
      </c>
      <c r="C1213">
        <v>2022</v>
      </c>
      <c r="D1213">
        <v>2619</v>
      </c>
    </row>
    <row r="1214" spans="1:4">
      <c r="A1214" t="s">
        <v>109</v>
      </c>
      <c r="B1214" t="s">
        <v>245</v>
      </c>
      <c r="C1214">
        <v>2022</v>
      </c>
      <c r="D1214">
        <v>835</v>
      </c>
    </row>
    <row r="1215" spans="1:4">
      <c r="A1215" t="s">
        <v>154</v>
      </c>
      <c r="B1215" t="s">
        <v>245</v>
      </c>
      <c r="C1215">
        <v>2022</v>
      </c>
      <c r="D1215">
        <v>1592</v>
      </c>
    </row>
    <row r="1216" spans="1:4">
      <c r="A1216" t="s">
        <v>159</v>
      </c>
      <c r="B1216" t="s">
        <v>245</v>
      </c>
      <c r="C1216">
        <v>2022</v>
      </c>
      <c r="D1216">
        <v>1041</v>
      </c>
    </row>
    <row r="1217" spans="1:4">
      <c r="A1217" t="s">
        <v>104</v>
      </c>
      <c r="B1217" t="s">
        <v>245</v>
      </c>
      <c r="C1217">
        <v>2022</v>
      </c>
      <c r="D1217">
        <v>639</v>
      </c>
    </row>
    <row r="1218" spans="1:4">
      <c r="A1218" t="s">
        <v>119</v>
      </c>
      <c r="B1218" t="s">
        <v>245</v>
      </c>
      <c r="C1218">
        <v>2022</v>
      </c>
      <c r="D1218">
        <v>4624</v>
      </c>
    </row>
    <row r="1219" spans="1:4">
      <c r="A1219" t="s">
        <v>139</v>
      </c>
      <c r="B1219" t="s">
        <v>245</v>
      </c>
      <c r="C1219">
        <v>2022</v>
      </c>
      <c r="D1219">
        <v>1391</v>
      </c>
    </row>
    <row r="1220" spans="1:4">
      <c r="A1220" t="s">
        <v>99</v>
      </c>
      <c r="B1220" t="s">
        <v>245</v>
      </c>
      <c r="C1220">
        <v>2022</v>
      </c>
      <c r="D1220">
        <v>1286</v>
      </c>
    </row>
    <row r="1221" spans="1:4">
      <c r="A1221" t="s">
        <v>94</v>
      </c>
      <c r="B1221" t="s">
        <v>245</v>
      </c>
      <c r="C1221">
        <v>2022</v>
      </c>
      <c r="D1221">
        <v>5115</v>
      </c>
    </row>
    <row r="1222" spans="1:4">
      <c r="A1222" t="s">
        <v>219</v>
      </c>
      <c r="B1222" t="s">
        <v>245</v>
      </c>
      <c r="C1222">
        <v>2022</v>
      </c>
      <c r="D1222">
        <v>1610</v>
      </c>
    </row>
    <row r="1223" spans="1:4">
      <c r="A1223" t="s">
        <v>214</v>
      </c>
      <c r="B1223" t="s">
        <v>245</v>
      </c>
      <c r="C1223">
        <v>2022</v>
      </c>
      <c r="D1223">
        <v>154</v>
      </c>
    </row>
    <row r="1224" spans="1:4">
      <c r="A1224" t="s">
        <v>70</v>
      </c>
      <c r="B1224" t="s">
        <v>245</v>
      </c>
      <c r="C1224">
        <v>2022</v>
      </c>
      <c r="D1224">
        <v>57344</v>
      </c>
    </row>
    <row r="1225" spans="1:4">
      <c r="A1225" t="s">
        <v>144</v>
      </c>
      <c r="B1225" t="s">
        <v>245</v>
      </c>
      <c r="C1225">
        <v>2022</v>
      </c>
      <c r="D1225">
        <v>5126</v>
      </c>
    </row>
    <row r="1226" spans="1:4">
      <c r="A1226" t="s">
        <v>89</v>
      </c>
      <c r="B1226" t="s">
        <v>245</v>
      </c>
      <c r="C1226">
        <v>2022</v>
      </c>
      <c r="D1226">
        <v>3463</v>
      </c>
    </row>
    <row r="1227" spans="1:4">
      <c r="A1227" t="s">
        <v>204</v>
      </c>
      <c r="B1227" t="s">
        <v>245</v>
      </c>
      <c r="C1227">
        <v>2022</v>
      </c>
      <c r="D1227">
        <v>2389</v>
      </c>
    </row>
    <row r="1228" spans="1:4">
      <c r="A1228" t="s">
        <v>114</v>
      </c>
      <c r="B1228" t="s">
        <v>245</v>
      </c>
      <c r="C1228">
        <v>2022</v>
      </c>
      <c r="D1228">
        <v>921</v>
      </c>
    </row>
    <row r="1229" spans="1:4">
      <c r="A1229" t="s">
        <v>184</v>
      </c>
      <c r="B1229" t="s">
        <v>245</v>
      </c>
      <c r="C1229">
        <v>2022</v>
      </c>
      <c r="D1229">
        <v>773</v>
      </c>
    </row>
    <row r="1230" spans="1:4">
      <c r="A1230" t="s">
        <v>79</v>
      </c>
      <c r="B1230" t="s">
        <v>245</v>
      </c>
      <c r="C1230">
        <v>2022</v>
      </c>
      <c r="D1230">
        <v>700</v>
      </c>
    </row>
    <row r="1231" spans="1:4">
      <c r="A1231" t="s">
        <v>199</v>
      </c>
      <c r="B1231" t="s">
        <v>245</v>
      </c>
      <c r="C1231">
        <v>2022</v>
      </c>
      <c r="D1231">
        <v>1</v>
      </c>
    </row>
    <row r="1232" spans="1:4">
      <c r="A1232" t="s">
        <v>224</v>
      </c>
      <c r="B1232" t="s">
        <v>245</v>
      </c>
      <c r="C1232">
        <v>2022</v>
      </c>
      <c r="D1232">
        <v>3543</v>
      </c>
    </row>
    <row r="1233" spans="1:4">
      <c r="A1233" t="s">
        <v>194</v>
      </c>
      <c r="B1233" t="s">
        <v>245</v>
      </c>
      <c r="C1233">
        <v>2022</v>
      </c>
      <c r="D1233">
        <v>457</v>
      </c>
    </row>
    <row r="1234" spans="1:4">
      <c r="A1234" t="s">
        <v>124</v>
      </c>
      <c r="B1234" t="s">
        <v>245</v>
      </c>
      <c r="C1234">
        <v>2022</v>
      </c>
      <c r="D1234">
        <v>3059</v>
      </c>
    </row>
    <row r="1235" spans="1:4">
      <c r="A1235" t="s">
        <v>179</v>
      </c>
      <c r="B1235" t="s">
        <v>245</v>
      </c>
      <c r="C1235">
        <v>2022</v>
      </c>
      <c r="D1235">
        <v>748</v>
      </c>
    </row>
    <row r="1236" spans="1:4">
      <c r="A1236" t="s">
        <v>129</v>
      </c>
      <c r="B1236" t="s">
        <v>246</v>
      </c>
      <c r="C1236">
        <v>2015</v>
      </c>
    </row>
    <row r="1237" spans="1:4">
      <c r="A1237" t="s">
        <v>74</v>
      </c>
      <c r="B1237" t="s">
        <v>246</v>
      </c>
      <c r="C1237">
        <v>2015</v>
      </c>
    </row>
    <row r="1238" spans="1:4">
      <c r="A1238" t="s">
        <v>134</v>
      </c>
      <c r="B1238" t="s">
        <v>246</v>
      </c>
      <c r="C1238">
        <v>2015</v>
      </c>
    </row>
    <row r="1239" spans="1:4">
      <c r="A1239" t="s">
        <v>209</v>
      </c>
      <c r="B1239" t="s">
        <v>246</v>
      </c>
      <c r="C1239">
        <v>2015</v>
      </c>
    </row>
    <row r="1240" spans="1:4">
      <c r="A1240" t="s">
        <v>164</v>
      </c>
      <c r="B1240" t="s">
        <v>246</v>
      </c>
      <c r="C1240">
        <v>2015</v>
      </c>
    </row>
    <row r="1241" spans="1:4">
      <c r="A1241" t="s">
        <v>169</v>
      </c>
      <c r="B1241" t="s">
        <v>246</v>
      </c>
      <c r="C1241">
        <v>2015</v>
      </c>
    </row>
    <row r="1242" spans="1:4">
      <c r="A1242" t="s">
        <v>189</v>
      </c>
      <c r="B1242" t="s">
        <v>246</v>
      </c>
      <c r="C1242">
        <v>2015</v>
      </c>
    </row>
    <row r="1243" spans="1:4">
      <c r="A1243" t="s">
        <v>174</v>
      </c>
      <c r="B1243" t="s">
        <v>246</v>
      </c>
      <c r="C1243">
        <v>2015</v>
      </c>
    </row>
    <row r="1244" spans="1:4">
      <c r="A1244" t="s">
        <v>84</v>
      </c>
      <c r="B1244" t="s">
        <v>246</v>
      </c>
      <c r="C1244">
        <v>2015</v>
      </c>
    </row>
    <row r="1245" spans="1:4">
      <c r="A1245" t="s">
        <v>149</v>
      </c>
      <c r="B1245" t="s">
        <v>246</v>
      </c>
      <c r="C1245">
        <v>2015</v>
      </c>
    </row>
    <row r="1246" spans="1:4">
      <c r="A1246" t="s">
        <v>109</v>
      </c>
      <c r="B1246" t="s">
        <v>246</v>
      </c>
      <c r="C1246">
        <v>2015</v>
      </c>
    </row>
    <row r="1247" spans="1:4">
      <c r="A1247" t="s">
        <v>154</v>
      </c>
      <c r="B1247" t="s">
        <v>246</v>
      </c>
      <c r="C1247">
        <v>2015</v>
      </c>
    </row>
    <row r="1248" spans="1:4">
      <c r="A1248" t="s">
        <v>159</v>
      </c>
      <c r="B1248" t="s">
        <v>246</v>
      </c>
      <c r="C1248">
        <v>2015</v>
      </c>
    </row>
    <row r="1249" spans="1:3">
      <c r="A1249" t="s">
        <v>104</v>
      </c>
      <c r="B1249" t="s">
        <v>246</v>
      </c>
      <c r="C1249">
        <v>2015</v>
      </c>
    </row>
    <row r="1250" spans="1:3">
      <c r="A1250" t="s">
        <v>119</v>
      </c>
      <c r="B1250" t="s">
        <v>246</v>
      </c>
      <c r="C1250">
        <v>2015</v>
      </c>
    </row>
    <row r="1251" spans="1:3">
      <c r="A1251" t="s">
        <v>139</v>
      </c>
      <c r="B1251" t="s">
        <v>246</v>
      </c>
      <c r="C1251">
        <v>2015</v>
      </c>
    </row>
    <row r="1252" spans="1:3">
      <c r="A1252" t="s">
        <v>99</v>
      </c>
      <c r="B1252" t="s">
        <v>246</v>
      </c>
      <c r="C1252">
        <v>2015</v>
      </c>
    </row>
    <row r="1253" spans="1:3">
      <c r="A1253" t="s">
        <v>94</v>
      </c>
      <c r="B1253" t="s">
        <v>246</v>
      </c>
      <c r="C1253">
        <v>2015</v>
      </c>
    </row>
    <row r="1254" spans="1:3">
      <c r="A1254" t="s">
        <v>219</v>
      </c>
      <c r="B1254" t="s">
        <v>246</v>
      </c>
      <c r="C1254">
        <v>2015</v>
      </c>
    </row>
    <row r="1255" spans="1:3">
      <c r="A1255" t="s">
        <v>214</v>
      </c>
      <c r="B1255" t="s">
        <v>246</v>
      </c>
      <c r="C1255">
        <v>2015</v>
      </c>
    </row>
    <row r="1256" spans="1:3">
      <c r="A1256" t="s">
        <v>70</v>
      </c>
      <c r="B1256" t="s">
        <v>246</v>
      </c>
      <c r="C1256">
        <v>2015</v>
      </c>
    </row>
    <row r="1257" spans="1:3">
      <c r="A1257" t="s">
        <v>144</v>
      </c>
      <c r="B1257" t="s">
        <v>246</v>
      </c>
      <c r="C1257">
        <v>2015</v>
      </c>
    </row>
    <row r="1258" spans="1:3">
      <c r="A1258" t="s">
        <v>89</v>
      </c>
      <c r="B1258" t="s">
        <v>246</v>
      </c>
      <c r="C1258">
        <v>2015</v>
      </c>
    </row>
    <row r="1259" spans="1:3">
      <c r="A1259" t="s">
        <v>204</v>
      </c>
      <c r="B1259" t="s">
        <v>246</v>
      </c>
      <c r="C1259">
        <v>2015</v>
      </c>
    </row>
    <row r="1260" spans="1:3">
      <c r="A1260" t="s">
        <v>114</v>
      </c>
      <c r="B1260" t="s">
        <v>246</v>
      </c>
      <c r="C1260">
        <v>2015</v>
      </c>
    </row>
    <row r="1261" spans="1:3">
      <c r="A1261" t="s">
        <v>184</v>
      </c>
      <c r="B1261" t="s">
        <v>246</v>
      </c>
      <c r="C1261">
        <v>2015</v>
      </c>
    </row>
    <row r="1262" spans="1:3">
      <c r="A1262" t="s">
        <v>79</v>
      </c>
      <c r="B1262" t="s">
        <v>246</v>
      </c>
      <c r="C1262">
        <v>2015</v>
      </c>
    </row>
    <row r="1263" spans="1:3">
      <c r="A1263" t="s">
        <v>199</v>
      </c>
      <c r="B1263" t="s">
        <v>246</v>
      </c>
      <c r="C1263">
        <v>2015</v>
      </c>
    </row>
    <row r="1264" spans="1:3">
      <c r="A1264" t="s">
        <v>224</v>
      </c>
      <c r="B1264" t="s">
        <v>246</v>
      </c>
      <c r="C1264">
        <v>2015</v>
      </c>
    </row>
    <row r="1265" spans="1:4">
      <c r="A1265" t="s">
        <v>194</v>
      </c>
      <c r="B1265" t="s">
        <v>246</v>
      </c>
      <c r="C1265">
        <v>2015</v>
      </c>
    </row>
    <row r="1266" spans="1:4">
      <c r="A1266" t="s">
        <v>124</v>
      </c>
      <c r="B1266" t="s">
        <v>246</v>
      </c>
      <c r="C1266">
        <v>2015</v>
      </c>
    </row>
    <row r="1267" spans="1:4">
      <c r="A1267" t="s">
        <v>179</v>
      </c>
      <c r="B1267" t="s">
        <v>246</v>
      </c>
      <c r="C1267">
        <v>2015</v>
      </c>
    </row>
    <row r="1268" spans="1:4">
      <c r="A1268" t="s">
        <v>129</v>
      </c>
      <c r="B1268" t="s">
        <v>246</v>
      </c>
      <c r="C1268">
        <v>2016</v>
      </c>
      <c r="D1268">
        <v>38</v>
      </c>
    </row>
    <row r="1269" spans="1:4">
      <c r="A1269" t="s">
        <v>74</v>
      </c>
      <c r="B1269" t="s">
        <v>246</v>
      </c>
      <c r="C1269">
        <v>2016</v>
      </c>
    </row>
    <row r="1270" spans="1:4">
      <c r="A1270" t="s">
        <v>134</v>
      </c>
      <c r="B1270" t="s">
        <v>246</v>
      </c>
      <c r="C1270">
        <v>2016</v>
      </c>
      <c r="D1270">
        <v>3</v>
      </c>
    </row>
    <row r="1271" spans="1:4">
      <c r="A1271" t="s">
        <v>209</v>
      </c>
      <c r="B1271" t="s">
        <v>246</v>
      </c>
      <c r="C1271">
        <v>2016</v>
      </c>
      <c r="D1271">
        <v>1</v>
      </c>
    </row>
    <row r="1272" spans="1:4">
      <c r="A1272" t="s">
        <v>164</v>
      </c>
      <c r="B1272" t="s">
        <v>246</v>
      </c>
      <c r="C1272">
        <v>2016</v>
      </c>
      <c r="D1272">
        <v>11</v>
      </c>
    </row>
    <row r="1273" spans="1:4">
      <c r="A1273" t="s">
        <v>169</v>
      </c>
      <c r="B1273" t="s">
        <v>246</v>
      </c>
      <c r="C1273">
        <v>2016</v>
      </c>
      <c r="D1273">
        <v>27</v>
      </c>
    </row>
    <row r="1274" spans="1:4">
      <c r="A1274" t="s">
        <v>189</v>
      </c>
      <c r="B1274" t="s">
        <v>246</v>
      </c>
      <c r="C1274">
        <v>2016</v>
      </c>
      <c r="D1274">
        <v>3</v>
      </c>
    </row>
    <row r="1275" spans="1:4">
      <c r="A1275" t="s">
        <v>174</v>
      </c>
      <c r="B1275" t="s">
        <v>246</v>
      </c>
      <c r="C1275">
        <v>2016</v>
      </c>
    </row>
    <row r="1276" spans="1:4">
      <c r="A1276" t="s">
        <v>84</v>
      </c>
      <c r="B1276" t="s">
        <v>246</v>
      </c>
      <c r="C1276">
        <v>2016</v>
      </c>
      <c r="D1276">
        <v>19</v>
      </c>
    </row>
    <row r="1277" spans="1:4">
      <c r="A1277" t="s">
        <v>149</v>
      </c>
      <c r="B1277" t="s">
        <v>246</v>
      </c>
      <c r="C1277">
        <v>2016</v>
      </c>
      <c r="D1277">
        <v>18</v>
      </c>
    </row>
    <row r="1278" spans="1:4">
      <c r="A1278" t="s">
        <v>109</v>
      </c>
      <c r="B1278" t="s">
        <v>246</v>
      </c>
      <c r="C1278">
        <v>2016</v>
      </c>
      <c r="D1278">
        <v>37</v>
      </c>
    </row>
    <row r="1279" spans="1:4">
      <c r="A1279" t="s">
        <v>154</v>
      </c>
      <c r="B1279" t="s">
        <v>246</v>
      </c>
      <c r="C1279">
        <v>2016</v>
      </c>
      <c r="D1279">
        <v>22</v>
      </c>
    </row>
    <row r="1280" spans="1:4">
      <c r="A1280" t="s">
        <v>159</v>
      </c>
      <c r="B1280" t="s">
        <v>246</v>
      </c>
      <c r="C1280">
        <v>2016</v>
      </c>
      <c r="D1280">
        <v>9</v>
      </c>
    </row>
    <row r="1281" spans="1:4">
      <c r="A1281" t="s">
        <v>104</v>
      </c>
      <c r="B1281" t="s">
        <v>246</v>
      </c>
      <c r="C1281">
        <v>2016</v>
      </c>
      <c r="D1281">
        <v>23</v>
      </c>
    </row>
    <row r="1282" spans="1:4">
      <c r="A1282" t="s">
        <v>119</v>
      </c>
      <c r="B1282" t="s">
        <v>246</v>
      </c>
      <c r="C1282">
        <v>2016</v>
      </c>
      <c r="D1282">
        <v>30</v>
      </c>
    </row>
    <row r="1283" spans="1:4">
      <c r="A1283" t="s">
        <v>139</v>
      </c>
      <c r="B1283" t="s">
        <v>246</v>
      </c>
      <c r="C1283">
        <v>2016</v>
      </c>
      <c r="D1283">
        <v>11</v>
      </c>
    </row>
    <row r="1284" spans="1:4">
      <c r="A1284" t="s">
        <v>99</v>
      </c>
      <c r="B1284" t="s">
        <v>246</v>
      </c>
      <c r="C1284">
        <v>2016</v>
      </c>
      <c r="D1284">
        <v>3</v>
      </c>
    </row>
    <row r="1285" spans="1:4">
      <c r="A1285" t="s">
        <v>94</v>
      </c>
      <c r="B1285" t="s">
        <v>246</v>
      </c>
      <c r="C1285">
        <v>2016</v>
      </c>
      <c r="D1285">
        <v>7</v>
      </c>
    </row>
    <row r="1286" spans="1:4">
      <c r="A1286" t="s">
        <v>219</v>
      </c>
      <c r="B1286" t="s">
        <v>246</v>
      </c>
      <c r="C1286">
        <v>2016</v>
      </c>
      <c r="D1286">
        <v>1</v>
      </c>
    </row>
    <row r="1287" spans="1:4">
      <c r="A1287" t="s">
        <v>214</v>
      </c>
      <c r="B1287" t="s">
        <v>246</v>
      </c>
      <c r="C1287">
        <v>2016</v>
      </c>
    </row>
    <row r="1288" spans="1:4">
      <c r="A1288" t="s">
        <v>70</v>
      </c>
      <c r="B1288" t="s">
        <v>246</v>
      </c>
      <c r="C1288">
        <v>2016</v>
      </c>
      <c r="D1288">
        <v>351</v>
      </c>
    </row>
    <row r="1289" spans="1:4">
      <c r="A1289" t="s">
        <v>144</v>
      </c>
      <c r="B1289" t="s">
        <v>246</v>
      </c>
      <c r="C1289">
        <v>2016</v>
      </c>
      <c r="D1289">
        <v>59</v>
      </c>
    </row>
    <row r="1290" spans="1:4">
      <c r="A1290" t="s">
        <v>89</v>
      </c>
      <c r="B1290" t="s">
        <v>246</v>
      </c>
      <c r="C1290">
        <v>2016</v>
      </c>
      <c r="D1290">
        <v>11</v>
      </c>
    </row>
    <row r="1291" spans="1:4">
      <c r="A1291" t="s">
        <v>204</v>
      </c>
      <c r="B1291" t="s">
        <v>246</v>
      </c>
      <c r="C1291">
        <v>2016</v>
      </c>
    </row>
    <row r="1292" spans="1:4">
      <c r="A1292" t="s">
        <v>114</v>
      </c>
      <c r="B1292" t="s">
        <v>246</v>
      </c>
      <c r="C1292">
        <v>2016</v>
      </c>
    </row>
    <row r="1293" spans="1:4">
      <c r="A1293" t="s">
        <v>184</v>
      </c>
      <c r="B1293" t="s">
        <v>246</v>
      </c>
      <c r="C1293">
        <v>2016</v>
      </c>
      <c r="D1293">
        <v>2</v>
      </c>
    </row>
    <row r="1294" spans="1:4">
      <c r="A1294" t="s">
        <v>79</v>
      </c>
      <c r="B1294" t="s">
        <v>246</v>
      </c>
      <c r="C1294">
        <v>2016</v>
      </c>
    </row>
    <row r="1295" spans="1:4">
      <c r="A1295" t="s">
        <v>199</v>
      </c>
      <c r="B1295" t="s">
        <v>246</v>
      </c>
      <c r="C1295">
        <v>2016</v>
      </c>
    </row>
    <row r="1296" spans="1:4">
      <c r="A1296" t="s">
        <v>224</v>
      </c>
      <c r="B1296" t="s">
        <v>246</v>
      </c>
      <c r="C1296">
        <v>2016</v>
      </c>
      <c r="D1296">
        <v>2</v>
      </c>
    </row>
    <row r="1297" spans="1:4">
      <c r="A1297" t="s">
        <v>194</v>
      </c>
      <c r="B1297" t="s">
        <v>246</v>
      </c>
      <c r="C1297">
        <v>2016</v>
      </c>
      <c r="D1297">
        <v>2</v>
      </c>
    </row>
    <row r="1298" spans="1:4">
      <c r="A1298" t="s">
        <v>124</v>
      </c>
      <c r="B1298" t="s">
        <v>246</v>
      </c>
      <c r="C1298">
        <v>2016</v>
      </c>
      <c r="D1298">
        <v>9</v>
      </c>
    </row>
    <row r="1299" spans="1:4">
      <c r="A1299" t="s">
        <v>179</v>
      </c>
      <c r="B1299" t="s">
        <v>246</v>
      </c>
      <c r="C1299">
        <v>2016</v>
      </c>
      <c r="D1299">
        <v>2</v>
      </c>
    </row>
    <row r="1300" spans="1:4">
      <c r="A1300" t="s">
        <v>129</v>
      </c>
      <c r="B1300" t="s">
        <v>246</v>
      </c>
      <c r="C1300">
        <v>2017</v>
      </c>
      <c r="D1300">
        <v>49</v>
      </c>
    </row>
    <row r="1301" spans="1:4">
      <c r="A1301" t="s">
        <v>74</v>
      </c>
      <c r="B1301" t="s">
        <v>246</v>
      </c>
      <c r="C1301">
        <v>2017</v>
      </c>
    </row>
    <row r="1302" spans="1:4">
      <c r="A1302" t="s">
        <v>134</v>
      </c>
      <c r="B1302" t="s">
        <v>246</v>
      </c>
      <c r="C1302">
        <v>2017</v>
      </c>
      <c r="D1302">
        <v>3</v>
      </c>
    </row>
    <row r="1303" spans="1:4">
      <c r="A1303" t="s">
        <v>209</v>
      </c>
      <c r="B1303" t="s">
        <v>246</v>
      </c>
      <c r="C1303">
        <v>2017</v>
      </c>
      <c r="D1303">
        <v>2</v>
      </c>
    </row>
    <row r="1304" spans="1:4">
      <c r="A1304" t="s">
        <v>164</v>
      </c>
      <c r="B1304" t="s">
        <v>246</v>
      </c>
      <c r="C1304">
        <v>2017</v>
      </c>
      <c r="D1304">
        <v>15</v>
      </c>
    </row>
    <row r="1305" spans="1:4">
      <c r="A1305" t="s">
        <v>169</v>
      </c>
      <c r="B1305" t="s">
        <v>246</v>
      </c>
      <c r="C1305">
        <v>2017</v>
      </c>
      <c r="D1305">
        <v>27</v>
      </c>
    </row>
    <row r="1306" spans="1:4">
      <c r="A1306" t="s">
        <v>189</v>
      </c>
      <c r="B1306" t="s">
        <v>246</v>
      </c>
      <c r="C1306">
        <v>2017</v>
      </c>
      <c r="D1306">
        <v>4</v>
      </c>
    </row>
    <row r="1307" spans="1:4">
      <c r="A1307" t="s">
        <v>174</v>
      </c>
      <c r="B1307" t="s">
        <v>246</v>
      </c>
      <c r="C1307">
        <v>2017</v>
      </c>
    </row>
    <row r="1308" spans="1:4">
      <c r="A1308" t="s">
        <v>84</v>
      </c>
      <c r="B1308" t="s">
        <v>246</v>
      </c>
      <c r="C1308">
        <v>2017</v>
      </c>
      <c r="D1308">
        <v>23</v>
      </c>
    </row>
    <row r="1309" spans="1:4">
      <c r="A1309" t="s">
        <v>149</v>
      </c>
      <c r="B1309" t="s">
        <v>246</v>
      </c>
      <c r="C1309">
        <v>2017</v>
      </c>
      <c r="D1309">
        <v>20</v>
      </c>
    </row>
    <row r="1310" spans="1:4">
      <c r="A1310" t="s">
        <v>109</v>
      </c>
      <c r="B1310" t="s">
        <v>246</v>
      </c>
      <c r="C1310">
        <v>2017</v>
      </c>
      <c r="D1310">
        <v>44</v>
      </c>
    </row>
    <row r="1311" spans="1:4">
      <c r="A1311" t="s">
        <v>154</v>
      </c>
      <c r="B1311" t="s">
        <v>246</v>
      </c>
      <c r="C1311">
        <v>2017</v>
      </c>
      <c r="D1311">
        <v>24</v>
      </c>
    </row>
    <row r="1312" spans="1:4">
      <c r="A1312" t="s">
        <v>159</v>
      </c>
      <c r="B1312" t="s">
        <v>246</v>
      </c>
      <c r="C1312">
        <v>2017</v>
      </c>
      <c r="D1312">
        <v>16</v>
      </c>
    </row>
    <row r="1313" spans="1:4">
      <c r="A1313" t="s">
        <v>104</v>
      </c>
      <c r="B1313" t="s">
        <v>246</v>
      </c>
      <c r="C1313">
        <v>2017</v>
      </c>
      <c r="D1313">
        <v>23</v>
      </c>
    </row>
    <row r="1314" spans="1:4">
      <c r="A1314" t="s">
        <v>119</v>
      </c>
      <c r="B1314" t="s">
        <v>246</v>
      </c>
      <c r="C1314">
        <v>2017</v>
      </c>
      <c r="D1314">
        <v>33</v>
      </c>
    </row>
    <row r="1315" spans="1:4">
      <c r="A1315" t="s">
        <v>139</v>
      </c>
      <c r="B1315" t="s">
        <v>246</v>
      </c>
      <c r="C1315">
        <v>2017</v>
      </c>
      <c r="D1315">
        <v>14</v>
      </c>
    </row>
    <row r="1316" spans="1:4">
      <c r="A1316" t="s">
        <v>99</v>
      </c>
      <c r="B1316" t="s">
        <v>246</v>
      </c>
      <c r="C1316">
        <v>2017</v>
      </c>
      <c r="D1316">
        <v>4</v>
      </c>
    </row>
    <row r="1317" spans="1:4">
      <c r="A1317" t="s">
        <v>94</v>
      </c>
      <c r="B1317" t="s">
        <v>246</v>
      </c>
      <c r="C1317">
        <v>2017</v>
      </c>
      <c r="D1317">
        <v>7</v>
      </c>
    </row>
    <row r="1318" spans="1:4">
      <c r="A1318" t="s">
        <v>219</v>
      </c>
      <c r="B1318" t="s">
        <v>246</v>
      </c>
      <c r="C1318">
        <v>2017</v>
      </c>
      <c r="D1318">
        <v>1</v>
      </c>
    </row>
    <row r="1319" spans="1:4">
      <c r="A1319" t="s">
        <v>214</v>
      </c>
      <c r="B1319" t="s">
        <v>246</v>
      </c>
      <c r="C1319">
        <v>2017</v>
      </c>
    </row>
    <row r="1320" spans="1:4">
      <c r="A1320" t="s">
        <v>70</v>
      </c>
      <c r="B1320" t="s">
        <v>246</v>
      </c>
      <c r="C1320">
        <v>2017</v>
      </c>
      <c r="D1320">
        <v>415</v>
      </c>
    </row>
    <row r="1321" spans="1:4">
      <c r="A1321" t="s">
        <v>144</v>
      </c>
      <c r="B1321" t="s">
        <v>246</v>
      </c>
      <c r="C1321">
        <v>2017</v>
      </c>
      <c r="D1321">
        <v>71</v>
      </c>
    </row>
    <row r="1322" spans="1:4">
      <c r="A1322" t="s">
        <v>89</v>
      </c>
      <c r="B1322" t="s">
        <v>246</v>
      </c>
      <c r="C1322">
        <v>2017</v>
      </c>
      <c r="D1322">
        <v>17</v>
      </c>
    </row>
    <row r="1323" spans="1:4">
      <c r="A1323" t="s">
        <v>204</v>
      </c>
      <c r="B1323" t="s">
        <v>246</v>
      </c>
      <c r="C1323">
        <v>2017</v>
      </c>
      <c r="D1323">
        <v>1</v>
      </c>
    </row>
    <row r="1324" spans="1:4">
      <c r="A1324" t="s">
        <v>114</v>
      </c>
      <c r="B1324" t="s">
        <v>246</v>
      </c>
      <c r="C1324">
        <v>2017</v>
      </c>
    </row>
    <row r="1325" spans="1:4">
      <c r="A1325" t="s">
        <v>184</v>
      </c>
      <c r="B1325" t="s">
        <v>246</v>
      </c>
      <c r="C1325">
        <v>2017</v>
      </c>
      <c r="D1325">
        <v>2</v>
      </c>
    </row>
    <row r="1326" spans="1:4">
      <c r="A1326" t="s">
        <v>79</v>
      </c>
      <c r="B1326" t="s">
        <v>246</v>
      </c>
      <c r="C1326">
        <v>2017</v>
      </c>
    </row>
    <row r="1327" spans="1:4">
      <c r="A1327" t="s">
        <v>199</v>
      </c>
      <c r="B1327" t="s">
        <v>246</v>
      </c>
      <c r="C1327">
        <v>2017</v>
      </c>
    </row>
    <row r="1328" spans="1:4">
      <c r="A1328" t="s">
        <v>224</v>
      </c>
      <c r="B1328" t="s">
        <v>246</v>
      </c>
      <c r="C1328">
        <v>2017</v>
      </c>
      <c r="D1328">
        <v>2</v>
      </c>
    </row>
    <row r="1329" spans="1:4">
      <c r="A1329" t="s">
        <v>194</v>
      </c>
      <c r="B1329" t="s">
        <v>246</v>
      </c>
      <c r="C1329">
        <v>2017</v>
      </c>
      <c r="D1329">
        <v>2</v>
      </c>
    </row>
    <row r="1330" spans="1:4">
      <c r="A1330" t="s">
        <v>124</v>
      </c>
      <c r="B1330" t="s">
        <v>246</v>
      </c>
      <c r="C1330">
        <v>2017</v>
      </c>
      <c r="D1330">
        <v>12</v>
      </c>
    </row>
    <row r="1331" spans="1:4">
      <c r="A1331" t="s">
        <v>179</v>
      </c>
      <c r="B1331" t="s">
        <v>246</v>
      </c>
      <c r="C1331">
        <v>2017</v>
      </c>
      <c r="D1331">
        <v>2</v>
      </c>
    </row>
    <row r="1332" spans="1:4">
      <c r="A1332" t="s">
        <v>129</v>
      </c>
      <c r="B1332" t="s">
        <v>246</v>
      </c>
      <c r="C1332">
        <v>2018</v>
      </c>
      <c r="D1332">
        <v>49</v>
      </c>
    </row>
    <row r="1333" spans="1:4">
      <c r="A1333" t="s">
        <v>74</v>
      </c>
      <c r="B1333" t="s">
        <v>246</v>
      </c>
      <c r="C1333">
        <v>2018</v>
      </c>
    </row>
    <row r="1334" spans="1:4">
      <c r="A1334" t="s">
        <v>134</v>
      </c>
      <c r="B1334" t="s">
        <v>246</v>
      </c>
      <c r="C1334">
        <v>2018</v>
      </c>
      <c r="D1334">
        <v>3</v>
      </c>
    </row>
    <row r="1335" spans="1:4">
      <c r="A1335" t="s">
        <v>209</v>
      </c>
      <c r="B1335" t="s">
        <v>246</v>
      </c>
      <c r="C1335">
        <v>2018</v>
      </c>
      <c r="D1335">
        <v>1</v>
      </c>
    </row>
    <row r="1336" spans="1:4">
      <c r="A1336" t="s">
        <v>164</v>
      </c>
      <c r="B1336" t="s">
        <v>246</v>
      </c>
      <c r="C1336">
        <v>2018</v>
      </c>
      <c r="D1336">
        <v>15</v>
      </c>
    </row>
    <row r="1337" spans="1:4">
      <c r="A1337" t="s">
        <v>169</v>
      </c>
      <c r="B1337" t="s">
        <v>246</v>
      </c>
      <c r="C1337">
        <v>2018</v>
      </c>
      <c r="D1337">
        <v>31</v>
      </c>
    </row>
    <row r="1338" spans="1:4">
      <c r="A1338" t="s">
        <v>189</v>
      </c>
      <c r="B1338" t="s">
        <v>246</v>
      </c>
      <c r="C1338">
        <v>2018</v>
      </c>
      <c r="D1338">
        <v>3</v>
      </c>
    </row>
    <row r="1339" spans="1:4">
      <c r="A1339" t="s">
        <v>174</v>
      </c>
      <c r="B1339" t="s">
        <v>246</v>
      </c>
      <c r="C1339">
        <v>2018</v>
      </c>
      <c r="D1339">
        <v>14</v>
      </c>
    </row>
    <row r="1340" spans="1:4">
      <c r="A1340" t="s">
        <v>84</v>
      </c>
      <c r="B1340" t="s">
        <v>246</v>
      </c>
      <c r="C1340">
        <v>2018</v>
      </c>
      <c r="D1340">
        <v>26</v>
      </c>
    </row>
    <row r="1341" spans="1:4">
      <c r="A1341" t="s">
        <v>149</v>
      </c>
      <c r="B1341" t="s">
        <v>246</v>
      </c>
      <c r="C1341">
        <v>2018</v>
      </c>
      <c r="D1341">
        <v>23</v>
      </c>
    </row>
    <row r="1342" spans="1:4">
      <c r="A1342" t="s">
        <v>109</v>
      </c>
      <c r="B1342" t="s">
        <v>246</v>
      </c>
      <c r="C1342">
        <v>2018</v>
      </c>
      <c r="D1342">
        <v>47</v>
      </c>
    </row>
    <row r="1343" spans="1:4">
      <c r="A1343" t="s">
        <v>154</v>
      </c>
      <c r="B1343" t="s">
        <v>246</v>
      </c>
      <c r="C1343">
        <v>2018</v>
      </c>
      <c r="D1343">
        <v>11</v>
      </c>
    </row>
    <row r="1344" spans="1:4">
      <c r="A1344" t="s">
        <v>159</v>
      </c>
      <c r="B1344" t="s">
        <v>246</v>
      </c>
      <c r="C1344">
        <v>2018</v>
      </c>
      <c r="D1344">
        <v>13</v>
      </c>
    </row>
    <row r="1345" spans="1:4">
      <c r="A1345" t="s">
        <v>104</v>
      </c>
      <c r="B1345" t="s">
        <v>246</v>
      </c>
      <c r="C1345">
        <v>2018</v>
      </c>
      <c r="D1345">
        <v>21</v>
      </c>
    </row>
    <row r="1346" spans="1:4">
      <c r="A1346" t="s">
        <v>119</v>
      </c>
      <c r="B1346" t="s">
        <v>246</v>
      </c>
      <c r="C1346">
        <v>2018</v>
      </c>
      <c r="D1346">
        <v>31</v>
      </c>
    </row>
    <row r="1347" spans="1:4">
      <c r="A1347" t="s">
        <v>139</v>
      </c>
      <c r="B1347" t="s">
        <v>246</v>
      </c>
      <c r="C1347">
        <v>2018</v>
      </c>
      <c r="D1347">
        <v>9</v>
      </c>
    </row>
    <row r="1348" spans="1:4">
      <c r="A1348" t="s">
        <v>99</v>
      </c>
      <c r="B1348" t="s">
        <v>246</v>
      </c>
      <c r="C1348">
        <v>2018</v>
      </c>
      <c r="D1348">
        <v>4</v>
      </c>
    </row>
    <row r="1349" spans="1:4">
      <c r="A1349" t="s">
        <v>94</v>
      </c>
      <c r="B1349" t="s">
        <v>246</v>
      </c>
      <c r="C1349">
        <v>2018</v>
      </c>
      <c r="D1349">
        <v>6</v>
      </c>
    </row>
    <row r="1350" spans="1:4">
      <c r="A1350" t="s">
        <v>219</v>
      </c>
      <c r="B1350" t="s">
        <v>246</v>
      </c>
      <c r="C1350">
        <v>2018</v>
      </c>
      <c r="D1350">
        <v>0.1</v>
      </c>
    </row>
    <row r="1351" spans="1:4">
      <c r="A1351" t="s">
        <v>214</v>
      </c>
      <c r="B1351" t="s">
        <v>246</v>
      </c>
      <c r="C1351">
        <v>2018</v>
      </c>
    </row>
    <row r="1352" spans="1:4">
      <c r="A1352" t="s">
        <v>70</v>
      </c>
      <c r="B1352" t="s">
        <v>246</v>
      </c>
      <c r="C1352">
        <v>2018</v>
      </c>
      <c r="D1352">
        <v>429</v>
      </c>
    </row>
    <row r="1353" spans="1:4">
      <c r="A1353" t="s">
        <v>144</v>
      </c>
      <c r="B1353" t="s">
        <v>246</v>
      </c>
      <c r="C1353">
        <v>2018</v>
      </c>
      <c r="D1353">
        <v>81</v>
      </c>
    </row>
    <row r="1354" spans="1:4">
      <c r="A1354" t="s">
        <v>89</v>
      </c>
      <c r="B1354" t="s">
        <v>246</v>
      </c>
      <c r="C1354">
        <v>2018</v>
      </c>
      <c r="D1354">
        <v>16</v>
      </c>
    </row>
    <row r="1355" spans="1:4">
      <c r="A1355" t="s">
        <v>204</v>
      </c>
      <c r="B1355" t="s">
        <v>246</v>
      </c>
      <c r="C1355">
        <v>2018</v>
      </c>
    </row>
    <row r="1356" spans="1:4">
      <c r="A1356" t="s">
        <v>114</v>
      </c>
      <c r="B1356" t="s">
        <v>246</v>
      </c>
      <c r="C1356">
        <v>2018</v>
      </c>
    </row>
    <row r="1357" spans="1:4">
      <c r="A1357" t="s">
        <v>184</v>
      </c>
      <c r="B1357" t="s">
        <v>246</v>
      </c>
      <c r="C1357">
        <v>2018</v>
      </c>
      <c r="D1357">
        <v>6</v>
      </c>
    </row>
    <row r="1358" spans="1:4">
      <c r="A1358" t="s">
        <v>79</v>
      </c>
      <c r="B1358" t="s">
        <v>246</v>
      </c>
      <c r="C1358">
        <v>2018</v>
      </c>
    </row>
    <row r="1359" spans="1:4">
      <c r="A1359" t="s">
        <v>199</v>
      </c>
      <c r="B1359" t="s">
        <v>246</v>
      </c>
      <c r="C1359">
        <v>2018</v>
      </c>
    </row>
    <row r="1360" spans="1:4">
      <c r="A1360" t="s">
        <v>224</v>
      </c>
      <c r="B1360" t="s">
        <v>246</v>
      </c>
      <c r="C1360">
        <v>2018</v>
      </c>
      <c r="D1360">
        <v>2</v>
      </c>
    </row>
    <row r="1361" spans="1:4">
      <c r="A1361" t="s">
        <v>194</v>
      </c>
      <c r="B1361" t="s">
        <v>246</v>
      </c>
      <c r="C1361">
        <v>2018</v>
      </c>
      <c r="D1361">
        <v>3</v>
      </c>
    </row>
    <row r="1362" spans="1:4">
      <c r="A1362" t="s">
        <v>124</v>
      </c>
      <c r="B1362" t="s">
        <v>246</v>
      </c>
      <c r="C1362">
        <v>2018</v>
      </c>
      <c r="D1362">
        <v>12</v>
      </c>
    </row>
    <row r="1363" spans="1:4">
      <c r="A1363" t="s">
        <v>179</v>
      </c>
      <c r="B1363" t="s">
        <v>246</v>
      </c>
      <c r="C1363">
        <v>2018</v>
      </c>
      <c r="D1363">
        <v>1</v>
      </c>
    </row>
    <row r="1364" spans="1:4">
      <c r="A1364" t="s">
        <v>129</v>
      </c>
      <c r="B1364" t="s">
        <v>246</v>
      </c>
      <c r="C1364">
        <v>2019</v>
      </c>
      <c r="D1364">
        <v>64</v>
      </c>
    </row>
    <row r="1365" spans="1:4">
      <c r="A1365" t="s">
        <v>74</v>
      </c>
      <c r="B1365" t="s">
        <v>246</v>
      </c>
      <c r="C1365">
        <v>2019</v>
      </c>
    </row>
    <row r="1366" spans="1:4">
      <c r="A1366" t="s">
        <v>134</v>
      </c>
      <c r="B1366" t="s">
        <v>246</v>
      </c>
      <c r="C1366">
        <v>2019</v>
      </c>
      <c r="D1366">
        <v>4</v>
      </c>
    </row>
    <row r="1367" spans="1:4">
      <c r="A1367" t="s">
        <v>209</v>
      </c>
      <c r="B1367" t="s">
        <v>246</v>
      </c>
      <c r="C1367">
        <v>2019</v>
      </c>
      <c r="D1367">
        <v>1</v>
      </c>
    </row>
    <row r="1368" spans="1:4">
      <c r="A1368" t="s">
        <v>164</v>
      </c>
      <c r="B1368" t="s">
        <v>246</v>
      </c>
      <c r="C1368">
        <v>2019</v>
      </c>
      <c r="D1368">
        <v>19</v>
      </c>
    </row>
    <row r="1369" spans="1:4">
      <c r="A1369" t="s">
        <v>169</v>
      </c>
      <c r="B1369" t="s">
        <v>246</v>
      </c>
      <c r="C1369">
        <v>2019</v>
      </c>
      <c r="D1369">
        <v>40</v>
      </c>
    </row>
    <row r="1370" spans="1:4">
      <c r="A1370" t="s">
        <v>189</v>
      </c>
      <c r="B1370" t="s">
        <v>246</v>
      </c>
      <c r="C1370">
        <v>2019</v>
      </c>
      <c r="D1370">
        <v>1</v>
      </c>
    </row>
    <row r="1371" spans="1:4">
      <c r="A1371" t="s">
        <v>174</v>
      </c>
      <c r="B1371" t="s">
        <v>246</v>
      </c>
      <c r="C1371">
        <v>2019</v>
      </c>
      <c r="D1371">
        <v>14</v>
      </c>
    </row>
    <row r="1372" spans="1:4">
      <c r="A1372" t="s">
        <v>84</v>
      </c>
      <c r="B1372" t="s">
        <v>246</v>
      </c>
      <c r="C1372">
        <v>2019</v>
      </c>
      <c r="D1372">
        <v>27</v>
      </c>
    </row>
    <row r="1373" spans="1:4">
      <c r="A1373" t="s">
        <v>149</v>
      </c>
      <c r="B1373" t="s">
        <v>246</v>
      </c>
      <c r="C1373">
        <v>2019</v>
      </c>
      <c r="D1373">
        <v>28</v>
      </c>
    </row>
    <row r="1374" spans="1:4">
      <c r="A1374" t="s">
        <v>109</v>
      </c>
      <c r="B1374" t="s">
        <v>246</v>
      </c>
      <c r="C1374">
        <v>2019</v>
      </c>
      <c r="D1374">
        <v>54</v>
      </c>
    </row>
    <row r="1375" spans="1:4">
      <c r="A1375" t="s">
        <v>154</v>
      </c>
      <c r="B1375" t="s">
        <v>246</v>
      </c>
      <c r="C1375">
        <v>2019</v>
      </c>
      <c r="D1375">
        <v>13</v>
      </c>
    </row>
    <row r="1376" spans="1:4">
      <c r="A1376" t="s">
        <v>159</v>
      </c>
      <c r="B1376" t="s">
        <v>246</v>
      </c>
      <c r="C1376">
        <v>2019</v>
      </c>
      <c r="D1376">
        <v>1</v>
      </c>
    </row>
    <row r="1377" spans="1:4">
      <c r="A1377" t="s">
        <v>104</v>
      </c>
      <c r="B1377" t="s">
        <v>246</v>
      </c>
      <c r="C1377">
        <v>2019</v>
      </c>
      <c r="D1377">
        <v>26</v>
      </c>
    </row>
    <row r="1378" spans="1:4">
      <c r="A1378" t="s">
        <v>119</v>
      </c>
      <c r="B1378" t="s">
        <v>246</v>
      </c>
      <c r="C1378">
        <v>2019</v>
      </c>
      <c r="D1378">
        <v>35</v>
      </c>
    </row>
    <row r="1379" spans="1:4">
      <c r="A1379" t="s">
        <v>139</v>
      </c>
      <c r="B1379" t="s">
        <v>246</v>
      </c>
      <c r="C1379">
        <v>2019</v>
      </c>
      <c r="D1379">
        <v>10</v>
      </c>
    </row>
    <row r="1380" spans="1:4">
      <c r="A1380" t="s">
        <v>99</v>
      </c>
      <c r="B1380" t="s">
        <v>246</v>
      </c>
      <c r="C1380">
        <v>2019</v>
      </c>
      <c r="D1380">
        <v>6</v>
      </c>
    </row>
    <row r="1381" spans="1:4">
      <c r="A1381" t="s">
        <v>94</v>
      </c>
      <c r="B1381" t="s">
        <v>246</v>
      </c>
      <c r="C1381">
        <v>2019</v>
      </c>
      <c r="D1381">
        <v>6</v>
      </c>
    </row>
    <row r="1382" spans="1:4">
      <c r="A1382" t="s">
        <v>219</v>
      </c>
      <c r="B1382" t="s">
        <v>246</v>
      </c>
      <c r="C1382">
        <v>2019</v>
      </c>
      <c r="D1382">
        <v>0.02</v>
      </c>
    </row>
    <row r="1383" spans="1:4">
      <c r="A1383" t="s">
        <v>214</v>
      </c>
      <c r="B1383" t="s">
        <v>246</v>
      </c>
      <c r="C1383">
        <v>2019</v>
      </c>
    </row>
    <row r="1384" spans="1:4">
      <c r="A1384" t="s">
        <v>70</v>
      </c>
      <c r="B1384" t="s">
        <v>246</v>
      </c>
      <c r="C1384">
        <v>2019</v>
      </c>
      <c r="D1384">
        <v>485</v>
      </c>
    </row>
    <row r="1385" spans="1:4">
      <c r="A1385" t="s">
        <v>144</v>
      </c>
      <c r="B1385" t="s">
        <v>246</v>
      </c>
      <c r="C1385">
        <v>2019</v>
      </c>
      <c r="D1385">
        <v>74</v>
      </c>
    </row>
    <row r="1386" spans="1:4">
      <c r="A1386" t="s">
        <v>89</v>
      </c>
      <c r="B1386" t="s">
        <v>246</v>
      </c>
      <c r="C1386">
        <v>2019</v>
      </c>
      <c r="D1386">
        <v>19</v>
      </c>
    </row>
    <row r="1387" spans="1:4">
      <c r="A1387" t="s">
        <v>204</v>
      </c>
      <c r="B1387" t="s">
        <v>246</v>
      </c>
      <c r="C1387">
        <v>2019</v>
      </c>
      <c r="D1387">
        <v>11</v>
      </c>
    </row>
    <row r="1388" spans="1:4">
      <c r="A1388" t="s">
        <v>114</v>
      </c>
      <c r="B1388" t="s">
        <v>246</v>
      </c>
      <c r="C1388">
        <v>2019</v>
      </c>
    </row>
    <row r="1389" spans="1:4">
      <c r="A1389" t="s">
        <v>184</v>
      </c>
      <c r="B1389" t="s">
        <v>246</v>
      </c>
      <c r="C1389">
        <v>2019</v>
      </c>
      <c r="D1389">
        <v>9</v>
      </c>
    </row>
    <row r="1390" spans="1:4">
      <c r="A1390" t="s">
        <v>79</v>
      </c>
      <c r="B1390" t="s">
        <v>246</v>
      </c>
      <c r="C1390">
        <v>2019</v>
      </c>
      <c r="D1390">
        <v>3</v>
      </c>
    </row>
    <row r="1391" spans="1:4">
      <c r="A1391" t="s">
        <v>199</v>
      </c>
      <c r="B1391" t="s">
        <v>246</v>
      </c>
      <c r="C1391">
        <v>2019</v>
      </c>
    </row>
    <row r="1392" spans="1:4">
      <c r="A1392" t="s">
        <v>224</v>
      </c>
      <c r="B1392" t="s">
        <v>246</v>
      </c>
      <c r="C1392">
        <v>2019</v>
      </c>
      <c r="D1392">
        <v>2</v>
      </c>
    </row>
    <row r="1393" spans="1:4">
      <c r="A1393" t="s">
        <v>194</v>
      </c>
      <c r="B1393" t="s">
        <v>246</v>
      </c>
      <c r="C1393">
        <v>2019</v>
      </c>
      <c r="D1393">
        <v>3</v>
      </c>
    </row>
    <row r="1394" spans="1:4">
      <c r="A1394" t="s">
        <v>124</v>
      </c>
      <c r="B1394" t="s">
        <v>246</v>
      </c>
      <c r="C1394">
        <v>2019</v>
      </c>
      <c r="D1394">
        <v>12</v>
      </c>
    </row>
    <row r="1395" spans="1:4">
      <c r="A1395" t="s">
        <v>179</v>
      </c>
      <c r="B1395" t="s">
        <v>246</v>
      </c>
      <c r="C1395">
        <v>2019</v>
      </c>
      <c r="D1395">
        <v>2</v>
      </c>
    </row>
    <row r="1396" spans="1:4">
      <c r="A1396" t="s">
        <v>129</v>
      </c>
      <c r="B1396" t="s">
        <v>246</v>
      </c>
      <c r="C1396">
        <v>2020</v>
      </c>
      <c r="D1396">
        <v>69</v>
      </c>
    </row>
    <row r="1397" spans="1:4">
      <c r="A1397" t="s">
        <v>74</v>
      </c>
      <c r="B1397" t="s">
        <v>246</v>
      </c>
      <c r="C1397">
        <v>2020</v>
      </c>
    </row>
    <row r="1398" spans="1:4">
      <c r="A1398" t="s">
        <v>134</v>
      </c>
      <c r="B1398" t="s">
        <v>246</v>
      </c>
      <c r="C1398">
        <v>2020</v>
      </c>
      <c r="D1398">
        <v>4</v>
      </c>
    </row>
    <row r="1399" spans="1:4">
      <c r="A1399" t="s">
        <v>209</v>
      </c>
      <c r="B1399" t="s">
        <v>246</v>
      </c>
      <c r="C1399">
        <v>2020</v>
      </c>
      <c r="D1399">
        <v>0.1</v>
      </c>
    </row>
    <row r="1400" spans="1:4">
      <c r="A1400" t="s">
        <v>164</v>
      </c>
      <c r="B1400" t="s">
        <v>246</v>
      </c>
      <c r="C1400">
        <v>2020</v>
      </c>
      <c r="D1400">
        <v>25</v>
      </c>
    </row>
    <row r="1401" spans="1:4">
      <c r="A1401" t="s">
        <v>169</v>
      </c>
      <c r="B1401" t="s">
        <v>246</v>
      </c>
      <c r="C1401">
        <v>2020</v>
      </c>
      <c r="D1401">
        <v>43</v>
      </c>
    </row>
    <row r="1402" spans="1:4">
      <c r="A1402" t="s">
        <v>189</v>
      </c>
      <c r="B1402" t="s">
        <v>246</v>
      </c>
      <c r="C1402">
        <v>2020</v>
      </c>
      <c r="D1402">
        <v>1</v>
      </c>
    </row>
    <row r="1403" spans="1:4">
      <c r="A1403" t="s">
        <v>174</v>
      </c>
      <c r="B1403" t="s">
        <v>246</v>
      </c>
      <c r="C1403">
        <v>2020</v>
      </c>
      <c r="D1403">
        <v>14</v>
      </c>
    </row>
    <row r="1404" spans="1:4">
      <c r="A1404" t="s">
        <v>84</v>
      </c>
      <c r="B1404" t="s">
        <v>246</v>
      </c>
      <c r="C1404">
        <v>2020</v>
      </c>
      <c r="D1404">
        <v>29</v>
      </c>
    </row>
    <row r="1405" spans="1:4">
      <c r="A1405" t="s">
        <v>149</v>
      </c>
      <c r="B1405" t="s">
        <v>246</v>
      </c>
      <c r="C1405">
        <v>2020</v>
      </c>
      <c r="D1405">
        <v>37</v>
      </c>
    </row>
    <row r="1406" spans="1:4">
      <c r="A1406" t="s">
        <v>109</v>
      </c>
      <c r="B1406" t="s">
        <v>246</v>
      </c>
      <c r="C1406">
        <v>2020</v>
      </c>
      <c r="D1406">
        <v>59</v>
      </c>
    </row>
    <row r="1407" spans="1:4">
      <c r="A1407" t="s">
        <v>154</v>
      </c>
      <c r="B1407" t="s">
        <v>246</v>
      </c>
      <c r="C1407">
        <v>2020</v>
      </c>
      <c r="D1407">
        <v>17</v>
      </c>
    </row>
    <row r="1408" spans="1:4">
      <c r="A1408" t="s">
        <v>159</v>
      </c>
      <c r="B1408" t="s">
        <v>246</v>
      </c>
      <c r="C1408">
        <v>2020</v>
      </c>
      <c r="D1408">
        <v>12</v>
      </c>
    </row>
    <row r="1409" spans="1:4">
      <c r="A1409" t="s">
        <v>104</v>
      </c>
      <c r="B1409" t="s">
        <v>246</v>
      </c>
      <c r="C1409">
        <v>2020</v>
      </c>
      <c r="D1409">
        <v>24</v>
      </c>
    </row>
    <row r="1410" spans="1:4">
      <c r="A1410" t="s">
        <v>119</v>
      </c>
      <c r="B1410" t="s">
        <v>246</v>
      </c>
      <c r="C1410">
        <v>2020</v>
      </c>
      <c r="D1410">
        <v>37</v>
      </c>
    </row>
    <row r="1411" spans="1:4">
      <c r="A1411" t="s">
        <v>139</v>
      </c>
      <c r="B1411" t="s">
        <v>246</v>
      </c>
      <c r="C1411">
        <v>2020</v>
      </c>
      <c r="D1411">
        <v>13</v>
      </c>
    </row>
    <row r="1412" spans="1:4">
      <c r="A1412" t="s">
        <v>99</v>
      </c>
      <c r="B1412" t="s">
        <v>246</v>
      </c>
      <c r="C1412">
        <v>2020</v>
      </c>
      <c r="D1412">
        <v>9</v>
      </c>
    </row>
    <row r="1413" spans="1:4">
      <c r="A1413" t="s">
        <v>94</v>
      </c>
      <c r="B1413" t="s">
        <v>246</v>
      </c>
      <c r="C1413">
        <v>2020</v>
      </c>
      <c r="D1413">
        <v>8</v>
      </c>
    </row>
    <row r="1414" spans="1:4">
      <c r="A1414" t="s">
        <v>219</v>
      </c>
      <c r="B1414" t="s">
        <v>246</v>
      </c>
      <c r="C1414">
        <v>2020</v>
      </c>
      <c r="D1414">
        <v>0.1</v>
      </c>
    </row>
    <row r="1415" spans="1:4">
      <c r="A1415" t="s">
        <v>214</v>
      </c>
      <c r="B1415" t="s">
        <v>246</v>
      </c>
      <c r="C1415">
        <v>2020</v>
      </c>
    </row>
    <row r="1416" spans="1:4">
      <c r="A1416" t="s">
        <v>70</v>
      </c>
      <c r="B1416" t="s">
        <v>246</v>
      </c>
      <c r="C1416">
        <v>2020</v>
      </c>
      <c r="D1416">
        <v>533</v>
      </c>
    </row>
    <row r="1417" spans="1:4">
      <c r="A1417" t="s">
        <v>144</v>
      </c>
      <c r="B1417" t="s">
        <v>246</v>
      </c>
      <c r="C1417">
        <v>2020</v>
      </c>
      <c r="D1417">
        <v>75</v>
      </c>
    </row>
    <row r="1418" spans="1:4">
      <c r="A1418" t="s">
        <v>89</v>
      </c>
      <c r="B1418" t="s">
        <v>246</v>
      </c>
      <c r="C1418">
        <v>2020</v>
      </c>
      <c r="D1418">
        <v>18</v>
      </c>
    </row>
    <row r="1419" spans="1:4">
      <c r="A1419" t="s">
        <v>204</v>
      </c>
      <c r="B1419" t="s">
        <v>246</v>
      </c>
      <c r="C1419">
        <v>2020</v>
      </c>
      <c r="D1419">
        <v>1</v>
      </c>
    </row>
    <row r="1420" spans="1:4">
      <c r="A1420" t="s">
        <v>114</v>
      </c>
      <c r="B1420" t="s">
        <v>246</v>
      </c>
      <c r="C1420">
        <v>2020</v>
      </c>
    </row>
    <row r="1421" spans="1:4">
      <c r="A1421" t="s">
        <v>184</v>
      </c>
      <c r="B1421" t="s">
        <v>246</v>
      </c>
      <c r="C1421">
        <v>2020</v>
      </c>
      <c r="D1421">
        <v>12</v>
      </c>
    </row>
    <row r="1422" spans="1:4">
      <c r="A1422" t="s">
        <v>79</v>
      </c>
      <c r="B1422" t="s">
        <v>246</v>
      </c>
      <c r="C1422">
        <v>2020</v>
      </c>
      <c r="D1422">
        <v>3</v>
      </c>
    </row>
    <row r="1423" spans="1:4">
      <c r="A1423" t="s">
        <v>199</v>
      </c>
      <c r="B1423" t="s">
        <v>246</v>
      </c>
      <c r="C1423">
        <v>2020</v>
      </c>
    </row>
    <row r="1424" spans="1:4">
      <c r="A1424" t="s">
        <v>224</v>
      </c>
      <c r="B1424" t="s">
        <v>246</v>
      </c>
      <c r="C1424">
        <v>2020</v>
      </c>
      <c r="D1424">
        <v>2</v>
      </c>
    </row>
    <row r="1425" spans="1:4">
      <c r="A1425" t="s">
        <v>194</v>
      </c>
      <c r="B1425" t="s">
        <v>246</v>
      </c>
      <c r="C1425">
        <v>2020</v>
      </c>
      <c r="D1425">
        <v>7</v>
      </c>
    </row>
    <row r="1426" spans="1:4">
      <c r="A1426" t="s">
        <v>124</v>
      </c>
      <c r="B1426" t="s">
        <v>246</v>
      </c>
      <c r="C1426">
        <v>2020</v>
      </c>
      <c r="D1426">
        <v>13</v>
      </c>
    </row>
    <row r="1427" spans="1:4">
      <c r="A1427" t="s">
        <v>179</v>
      </c>
      <c r="B1427" t="s">
        <v>246</v>
      </c>
      <c r="C1427">
        <v>2020</v>
      </c>
      <c r="D1427">
        <v>2</v>
      </c>
    </row>
    <row r="1428" spans="1:4">
      <c r="A1428" t="s">
        <v>129</v>
      </c>
      <c r="B1428" t="s">
        <v>246</v>
      </c>
      <c r="C1428">
        <v>2021</v>
      </c>
      <c r="D1428">
        <v>65</v>
      </c>
    </row>
    <row r="1429" spans="1:4">
      <c r="A1429" t="s">
        <v>74</v>
      </c>
      <c r="B1429" t="s">
        <v>246</v>
      </c>
      <c r="C1429">
        <v>2021</v>
      </c>
      <c r="D1429">
        <v>0</v>
      </c>
    </row>
    <row r="1430" spans="1:4">
      <c r="A1430" t="s">
        <v>134</v>
      </c>
      <c r="B1430" t="s">
        <v>246</v>
      </c>
      <c r="C1430">
        <v>2021</v>
      </c>
      <c r="D1430">
        <v>4</v>
      </c>
    </row>
    <row r="1431" spans="1:4">
      <c r="A1431" t="s">
        <v>209</v>
      </c>
      <c r="B1431" t="s">
        <v>246</v>
      </c>
      <c r="C1431">
        <v>2021</v>
      </c>
      <c r="D1431">
        <v>0.1</v>
      </c>
    </row>
    <row r="1432" spans="1:4">
      <c r="A1432" t="s">
        <v>164</v>
      </c>
      <c r="B1432" t="s">
        <v>246</v>
      </c>
      <c r="C1432">
        <v>2021</v>
      </c>
      <c r="D1432">
        <v>30</v>
      </c>
    </row>
    <row r="1433" spans="1:4">
      <c r="A1433" t="s">
        <v>169</v>
      </c>
      <c r="B1433" t="s">
        <v>246</v>
      </c>
      <c r="C1433">
        <v>2021</v>
      </c>
      <c r="D1433">
        <v>47</v>
      </c>
    </row>
    <row r="1434" spans="1:4">
      <c r="A1434" t="s">
        <v>189</v>
      </c>
      <c r="B1434" t="s">
        <v>246</v>
      </c>
      <c r="C1434">
        <v>2021</v>
      </c>
      <c r="D1434">
        <v>2</v>
      </c>
    </row>
    <row r="1435" spans="1:4">
      <c r="A1435" t="s">
        <v>174</v>
      </c>
      <c r="B1435" t="s">
        <v>246</v>
      </c>
      <c r="C1435">
        <v>2021</v>
      </c>
      <c r="D1435">
        <v>14</v>
      </c>
    </row>
    <row r="1436" spans="1:4">
      <c r="A1436" t="s">
        <v>84</v>
      </c>
      <c r="B1436" t="s">
        <v>246</v>
      </c>
      <c r="C1436">
        <v>2021</v>
      </c>
      <c r="D1436">
        <v>23</v>
      </c>
    </row>
    <row r="1437" spans="1:4">
      <c r="A1437" t="s">
        <v>149</v>
      </c>
      <c r="B1437" t="s">
        <v>246</v>
      </c>
      <c r="C1437">
        <v>2021</v>
      </c>
      <c r="D1437">
        <v>42</v>
      </c>
    </row>
    <row r="1438" spans="1:4">
      <c r="A1438" t="s">
        <v>109</v>
      </c>
      <c r="B1438" t="s">
        <v>246</v>
      </c>
      <c r="C1438">
        <v>2021</v>
      </c>
      <c r="D1438">
        <v>72</v>
      </c>
    </row>
    <row r="1439" spans="1:4">
      <c r="A1439" t="s">
        <v>154</v>
      </c>
      <c r="B1439" t="s">
        <v>246</v>
      </c>
      <c r="C1439">
        <v>2021</v>
      </c>
      <c r="D1439">
        <v>14</v>
      </c>
    </row>
    <row r="1440" spans="1:4">
      <c r="A1440" t="s">
        <v>159</v>
      </c>
      <c r="B1440" t="s">
        <v>246</v>
      </c>
      <c r="C1440">
        <v>2021</v>
      </c>
      <c r="D1440">
        <v>13</v>
      </c>
    </row>
    <row r="1441" spans="1:4">
      <c r="A1441" t="s">
        <v>104</v>
      </c>
      <c r="B1441" t="s">
        <v>246</v>
      </c>
      <c r="C1441">
        <v>2021</v>
      </c>
      <c r="D1441">
        <v>20</v>
      </c>
    </row>
    <row r="1442" spans="1:4">
      <c r="A1442" t="s">
        <v>119</v>
      </c>
      <c r="B1442" t="s">
        <v>246</v>
      </c>
      <c r="C1442">
        <v>2021</v>
      </c>
      <c r="D1442">
        <v>32</v>
      </c>
    </row>
    <row r="1443" spans="1:4">
      <c r="A1443" t="s">
        <v>139</v>
      </c>
      <c r="B1443" t="s">
        <v>246</v>
      </c>
      <c r="C1443">
        <v>2021</v>
      </c>
      <c r="D1443">
        <v>16</v>
      </c>
    </row>
    <row r="1444" spans="1:4">
      <c r="A1444" t="s">
        <v>99</v>
      </c>
      <c r="B1444" t="s">
        <v>246</v>
      </c>
      <c r="C1444">
        <v>2021</v>
      </c>
      <c r="D1444">
        <v>9</v>
      </c>
    </row>
    <row r="1445" spans="1:4">
      <c r="A1445" t="s">
        <v>94</v>
      </c>
      <c r="B1445" t="s">
        <v>246</v>
      </c>
      <c r="C1445">
        <v>2021</v>
      </c>
      <c r="D1445">
        <v>7</v>
      </c>
    </row>
    <row r="1446" spans="1:4">
      <c r="A1446" t="s">
        <v>219</v>
      </c>
      <c r="B1446" t="s">
        <v>246</v>
      </c>
      <c r="C1446">
        <v>2021</v>
      </c>
      <c r="D1446">
        <v>0.1</v>
      </c>
    </row>
    <row r="1447" spans="1:4">
      <c r="A1447" t="s">
        <v>214</v>
      </c>
      <c r="B1447" t="s">
        <v>246</v>
      </c>
      <c r="C1447">
        <v>2021</v>
      </c>
      <c r="D1447">
        <v>0</v>
      </c>
    </row>
    <row r="1448" spans="1:4">
      <c r="A1448" t="s">
        <v>70</v>
      </c>
      <c r="B1448" t="s">
        <v>246</v>
      </c>
      <c r="C1448">
        <v>2021</v>
      </c>
      <c r="D1448">
        <v>533</v>
      </c>
    </row>
    <row r="1449" spans="1:4">
      <c r="A1449" t="s">
        <v>144</v>
      </c>
      <c r="B1449" t="s">
        <v>246</v>
      </c>
      <c r="C1449">
        <v>2021</v>
      </c>
      <c r="D1449">
        <v>73</v>
      </c>
    </row>
    <row r="1450" spans="1:4">
      <c r="A1450" t="s">
        <v>89</v>
      </c>
      <c r="B1450" t="s">
        <v>246</v>
      </c>
      <c r="C1450">
        <v>2021</v>
      </c>
      <c r="D1450">
        <v>18</v>
      </c>
    </row>
    <row r="1451" spans="1:4">
      <c r="A1451" t="s">
        <v>204</v>
      </c>
      <c r="B1451" t="s">
        <v>246</v>
      </c>
      <c r="C1451">
        <v>2021</v>
      </c>
      <c r="D1451">
        <v>0</v>
      </c>
    </row>
    <row r="1452" spans="1:4">
      <c r="A1452" t="s">
        <v>114</v>
      </c>
      <c r="B1452" t="s">
        <v>246</v>
      </c>
      <c r="C1452">
        <v>2021</v>
      </c>
      <c r="D1452">
        <v>0</v>
      </c>
    </row>
    <row r="1453" spans="1:4">
      <c r="A1453" t="s">
        <v>184</v>
      </c>
      <c r="B1453" t="s">
        <v>246</v>
      </c>
      <c r="C1453">
        <v>2021</v>
      </c>
      <c r="D1453">
        <v>12</v>
      </c>
    </row>
    <row r="1454" spans="1:4">
      <c r="A1454" t="s">
        <v>79</v>
      </c>
      <c r="B1454" t="s">
        <v>246</v>
      </c>
      <c r="C1454">
        <v>2021</v>
      </c>
      <c r="D1454">
        <v>1</v>
      </c>
    </row>
    <row r="1455" spans="1:4">
      <c r="A1455" t="s">
        <v>199</v>
      </c>
      <c r="B1455" t="s">
        <v>246</v>
      </c>
      <c r="C1455">
        <v>2021</v>
      </c>
      <c r="D1455">
        <v>0</v>
      </c>
    </row>
    <row r="1456" spans="1:4">
      <c r="A1456" t="s">
        <v>224</v>
      </c>
      <c r="B1456" t="s">
        <v>246</v>
      </c>
      <c r="C1456">
        <v>2021</v>
      </c>
      <c r="D1456">
        <v>3</v>
      </c>
    </row>
    <row r="1457" spans="1:4">
      <c r="A1457" t="s">
        <v>194</v>
      </c>
      <c r="B1457" t="s">
        <v>246</v>
      </c>
      <c r="C1457">
        <v>2021</v>
      </c>
      <c r="D1457">
        <v>3</v>
      </c>
    </row>
    <row r="1458" spans="1:4">
      <c r="A1458" t="s">
        <v>124</v>
      </c>
      <c r="B1458" t="s">
        <v>246</v>
      </c>
      <c r="C1458">
        <v>2021</v>
      </c>
      <c r="D1458">
        <v>12</v>
      </c>
    </row>
    <row r="1459" spans="1:4">
      <c r="A1459" t="s">
        <v>179</v>
      </c>
      <c r="B1459" t="s">
        <v>246</v>
      </c>
      <c r="C1459">
        <v>2021</v>
      </c>
      <c r="D1459">
        <v>1</v>
      </c>
    </row>
    <row r="1460" spans="1:4">
      <c r="A1460" t="s">
        <v>129</v>
      </c>
      <c r="B1460" t="s">
        <v>246</v>
      </c>
      <c r="C1460">
        <v>2022</v>
      </c>
      <c r="D1460">
        <v>65</v>
      </c>
    </row>
    <row r="1461" spans="1:4">
      <c r="A1461" t="s">
        <v>74</v>
      </c>
      <c r="B1461" t="s">
        <v>246</v>
      </c>
      <c r="C1461">
        <v>2022</v>
      </c>
      <c r="D1461">
        <v>0</v>
      </c>
    </row>
    <row r="1462" spans="1:4">
      <c r="A1462" t="s">
        <v>134</v>
      </c>
      <c r="B1462" t="s">
        <v>246</v>
      </c>
      <c r="C1462">
        <v>2022</v>
      </c>
      <c r="D1462">
        <v>4</v>
      </c>
    </row>
    <row r="1463" spans="1:4">
      <c r="A1463" t="s">
        <v>209</v>
      </c>
      <c r="B1463" t="s">
        <v>246</v>
      </c>
      <c r="C1463">
        <v>2022</v>
      </c>
      <c r="D1463">
        <v>0.1</v>
      </c>
    </row>
    <row r="1464" spans="1:4">
      <c r="A1464" t="s">
        <v>164</v>
      </c>
      <c r="B1464" t="s">
        <v>246</v>
      </c>
      <c r="C1464">
        <v>2022</v>
      </c>
      <c r="D1464">
        <v>30</v>
      </c>
    </row>
    <row r="1465" spans="1:4">
      <c r="A1465" t="s">
        <v>169</v>
      </c>
      <c r="B1465" t="s">
        <v>246</v>
      </c>
      <c r="C1465">
        <v>2022</v>
      </c>
      <c r="D1465">
        <v>47</v>
      </c>
    </row>
    <row r="1466" spans="1:4">
      <c r="A1466" t="s">
        <v>189</v>
      </c>
      <c r="B1466" t="s">
        <v>246</v>
      </c>
      <c r="C1466">
        <v>2022</v>
      </c>
      <c r="D1466">
        <v>2</v>
      </c>
    </row>
    <row r="1467" spans="1:4">
      <c r="A1467" t="s">
        <v>174</v>
      </c>
      <c r="B1467" t="s">
        <v>246</v>
      </c>
      <c r="C1467">
        <v>2022</v>
      </c>
      <c r="D1467">
        <v>14</v>
      </c>
    </row>
    <row r="1468" spans="1:4">
      <c r="A1468" t="s">
        <v>84</v>
      </c>
      <c r="B1468" t="s">
        <v>246</v>
      </c>
      <c r="C1468">
        <v>2022</v>
      </c>
      <c r="D1468">
        <v>23</v>
      </c>
    </row>
    <row r="1469" spans="1:4">
      <c r="A1469" t="s">
        <v>149</v>
      </c>
      <c r="B1469" t="s">
        <v>246</v>
      </c>
      <c r="C1469">
        <v>2022</v>
      </c>
      <c r="D1469">
        <v>42</v>
      </c>
    </row>
    <row r="1470" spans="1:4">
      <c r="A1470" t="s">
        <v>109</v>
      </c>
      <c r="B1470" t="s">
        <v>246</v>
      </c>
      <c r="C1470">
        <v>2022</v>
      </c>
      <c r="D1470">
        <v>72</v>
      </c>
    </row>
    <row r="1471" spans="1:4">
      <c r="A1471" t="s">
        <v>154</v>
      </c>
      <c r="B1471" t="s">
        <v>246</v>
      </c>
      <c r="C1471">
        <v>2022</v>
      </c>
      <c r="D1471">
        <v>14</v>
      </c>
    </row>
    <row r="1472" spans="1:4">
      <c r="A1472" t="s">
        <v>159</v>
      </c>
      <c r="B1472" t="s">
        <v>246</v>
      </c>
      <c r="C1472">
        <v>2022</v>
      </c>
      <c r="D1472">
        <v>13</v>
      </c>
    </row>
    <row r="1473" spans="1:4">
      <c r="A1473" t="s">
        <v>104</v>
      </c>
      <c r="B1473" t="s">
        <v>246</v>
      </c>
      <c r="C1473">
        <v>2022</v>
      </c>
      <c r="D1473">
        <v>20</v>
      </c>
    </row>
    <row r="1474" spans="1:4">
      <c r="A1474" t="s">
        <v>119</v>
      </c>
      <c r="B1474" t="s">
        <v>246</v>
      </c>
      <c r="C1474">
        <v>2022</v>
      </c>
      <c r="D1474">
        <v>32</v>
      </c>
    </row>
    <row r="1475" spans="1:4">
      <c r="A1475" t="s">
        <v>139</v>
      </c>
      <c r="B1475" t="s">
        <v>246</v>
      </c>
      <c r="C1475">
        <v>2022</v>
      </c>
      <c r="D1475">
        <v>16</v>
      </c>
    </row>
    <row r="1476" spans="1:4">
      <c r="A1476" t="s">
        <v>99</v>
      </c>
      <c r="B1476" t="s">
        <v>246</v>
      </c>
      <c r="C1476">
        <v>2022</v>
      </c>
      <c r="D1476">
        <v>9</v>
      </c>
    </row>
    <row r="1477" spans="1:4">
      <c r="A1477" t="s">
        <v>94</v>
      </c>
      <c r="B1477" t="s">
        <v>246</v>
      </c>
      <c r="C1477">
        <v>2022</v>
      </c>
      <c r="D1477">
        <v>7</v>
      </c>
    </row>
    <row r="1478" spans="1:4">
      <c r="A1478" t="s">
        <v>219</v>
      </c>
      <c r="B1478" t="s">
        <v>246</v>
      </c>
      <c r="C1478">
        <v>2022</v>
      </c>
      <c r="D1478">
        <v>0.1</v>
      </c>
    </row>
    <row r="1479" spans="1:4">
      <c r="A1479" t="s">
        <v>214</v>
      </c>
      <c r="B1479" t="s">
        <v>246</v>
      </c>
      <c r="C1479">
        <v>2022</v>
      </c>
      <c r="D1479">
        <v>0</v>
      </c>
    </row>
    <row r="1480" spans="1:4">
      <c r="A1480" t="s">
        <v>70</v>
      </c>
      <c r="B1480" t="s">
        <v>246</v>
      </c>
      <c r="C1480">
        <v>2022</v>
      </c>
      <c r="D1480">
        <v>533</v>
      </c>
    </row>
    <row r="1481" spans="1:4">
      <c r="A1481" t="s">
        <v>144</v>
      </c>
      <c r="B1481" t="s">
        <v>246</v>
      </c>
      <c r="C1481">
        <v>2022</v>
      </c>
      <c r="D1481">
        <v>73</v>
      </c>
    </row>
    <row r="1482" spans="1:4">
      <c r="A1482" t="s">
        <v>89</v>
      </c>
      <c r="B1482" t="s">
        <v>246</v>
      </c>
      <c r="C1482">
        <v>2022</v>
      </c>
      <c r="D1482">
        <v>17</v>
      </c>
    </row>
    <row r="1483" spans="1:4">
      <c r="A1483" t="s">
        <v>204</v>
      </c>
      <c r="B1483" t="s">
        <v>246</v>
      </c>
      <c r="C1483">
        <v>2022</v>
      </c>
      <c r="D1483">
        <v>1</v>
      </c>
    </row>
    <row r="1484" spans="1:4">
      <c r="A1484" t="s">
        <v>114</v>
      </c>
      <c r="B1484" t="s">
        <v>246</v>
      </c>
      <c r="C1484">
        <v>2022</v>
      </c>
      <c r="D1484">
        <v>0</v>
      </c>
    </row>
    <row r="1485" spans="1:4">
      <c r="A1485" t="s">
        <v>184</v>
      </c>
      <c r="B1485" t="s">
        <v>246</v>
      </c>
      <c r="C1485">
        <v>2022</v>
      </c>
      <c r="D1485">
        <v>12</v>
      </c>
    </row>
    <row r="1486" spans="1:4">
      <c r="A1486" t="s">
        <v>79</v>
      </c>
      <c r="B1486" t="s">
        <v>246</v>
      </c>
      <c r="C1486">
        <v>2022</v>
      </c>
      <c r="D1486">
        <v>1</v>
      </c>
    </row>
    <row r="1487" spans="1:4">
      <c r="A1487" t="s">
        <v>199</v>
      </c>
      <c r="B1487" t="s">
        <v>246</v>
      </c>
      <c r="C1487">
        <v>2022</v>
      </c>
      <c r="D1487">
        <v>0</v>
      </c>
    </row>
    <row r="1488" spans="1:4">
      <c r="A1488" t="s">
        <v>224</v>
      </c>
      <c r="B1488" t="s">
        <v>246</v>
      </c>
      <c r="C1488">
        <v>2022</v>
      </c>
      <c r="D1488">
        <v>3</v>
      </c>
    </row>
    <row r="1489" spans="1:4">
      <c r="A1489" t="s">
        <v>194</v>
      </c>
      <c r="B1489" t="s">
        <v>246</v>
      </c>
      <c r="C1489">
        <v>2022</v>
      </c>
      <c r="D1489">
        <v>3</v>
      </c>
    </row>
    <row r="1490" spans="1:4">
      <c r="A1490" t="s">
        <v>124</v>
      </c>
      <c r="B1490" t="s">
        <v>246</v>
      </c>
      <c r="C1490">
        <v>2022</v>
      </c>
      <c r="D1490">
        <v>12</v>
      </c>
    </row>
    <row r="1491" spans="1:4">
      <c r="A1491" t="s">
        <v>179</v>
      </c>
      <c r="B1491" t="s">
        <v>246</v>
      </c>
      <c r="C1491">
        <v>2022</v>
      </c>
      <c r="D1491">
        <v>1</v>
      </c>
    </row>
    <row r="1492" spans="1:4">
      <c r="A1492" t="s">
        <v>129</v>
      </c>
      <c r="B1492" t="s">
        <v>247</v>
      </c>
      <c r="C1492">
        <v>2015</v>
      </c>
    </row>
    <row r="1493" spans="1:4">
      <c r="A1493" t="s">
        <v>74</v>
      </c>
      <c r="B1493" t="s">
        <v>247</v>
      </c>
      <c r="C1493">
        <v>2015</v>
      </c>
    </row>
    <row r="1494" spans="1:4">
      <c r="A1494" t="s">
        <v>134</v>
      </c>
      <c r="B1494" t="s">
        <v>247</v>
      </c>
      <c r="C1494">
        <v>2015</v>
      </c>
    </row>
    <row r="1495" spans="1:4">
      <c r="A1495" t="s">
        <v>209</v>
      </c>
      <c r="B1495" t="s">
        <v>247</v>
      </c>
      <c r="C1495">
        <v>2015</v>
      </c>
    </row>
    <row r="1496" spans="1:4">
      <c r="A1496" t="s">
        <v>164</v>
      </c>
      <c r="B1496" t="s">
        <v>247</v>
      </c>
      <c r="C1496">
        <v>2015</v>
      </c>
    </row>
    <row r="1497" spans="1:4">
      <c r="A1497" t="s">
        <v>169</v>
      </c>
      <c r="B1497" t="s">
        <v>247</v>
      </c>
      <c r="C1497">
        <v>2015</v>
      </c>
    </row>
    <row r="1498" spans="1:4">
      <c r="A1498" t="s">
        <v>189</v>
      </c>
      <c r="B1498" t="s">
        <v>247</v>
      </c>
      <c r="C1498">
        <v>2015</v>
      </c>
    </row>
    <row r="1499" spans="1:4">
      <c r="A1499" t="s">
        <v>174</v>
      </c>
      <c r="B1499" t="s">
        <v>247</v>
      </c>
      <c r="C1499">
        <v>2015</v>
      </c>
    </row>
    <row r="1500" spans="1:4">
      <c r="A1500" t="s">
        <v>84</v>
      </c>
      <c r="B1500" t="s">
        <v>247</v>
      </c>
      <c r="C1500">
        <v>2015</v>
      </c>
    </row>
    <row r="1501" spans="1:4">
      <c r="A1501" t="s">
        <v>149</v>
      </c>
      <c r="B1501" t="s">
        <v>247</v>
      </c>
      <c r="C1501">
        <v>2015</v>
      </c>
    </row>
    <row r="1502" spans="1:4">
      <c r="A1502" t="s">
        <v>109</v>
      </c>
      <c r="B1502" t="s">
        <v>247</v>
      </c>
      <c r="C1502">
        <v>2015</v>
      </c>
    </row>
    <row r="1503" spans="1:4">
      <c r="A1503" t="s">
        <v>154</v>
      </c>
      <c r="B1503" t="s">
        <v>247</v>
      </c>
      <c r="C1503">
        <v>2015</v>
      </c>
    </row>
    <row r="1504" spans="1:4">
      <c r="A1504" t="s">
        <v>159</v>
      </c>
      <c r="B1504" t="s">
        <v>247</v>
      </c>
      <c r="C1504">
        <v>2015</v>
      </c>
    </row>
    <row r="1505" spans="1:3">
      <c r="A1505" t="s">
        <v>104</v>
      </c>
      <c r="B1505" t="s">
        <v>247</v>
      </c>
      <c r="C1505">
        <v>2015</v>
      </c>
    </row>
    <row r="1506" spans="1:3">
      <c r="A1506" t="s">
        <v>119</v>
      </c>
      <c r="B1506" t="s">
        <v>247</v>
      </c>
      <c r="C1506">
        <v>2015</v>
      </c>
    </row>
    <row r="1507" spans="1:3">
      <c r="A1507" t="s">
        <v>139</v>
      </c>
      <c r="B1507" t="s">
        <v>247</v>
      </c>
      <c r="C1507">
        <v>2015</v>
      </c>
    </row>
    <row r="1508" spans="1:3">
      <c r="A1508" t="s">
        <v>99</v>
      </c>
      <c r="B1508" t="s">
        <v>247</v>
      </c>
      <c r="C1508">
        <v>2015</v>
      </c>
    </row>
    <row r="1509" spans="1:3">
      <c r="A1509" t="s">
        <v>94</v>
      </c>
      <c r="B1509" t="s">
        <v>247</v>
      </c>
      <c r="C1509">
        <v>2015</v>
      </c>
    </row>
    <row r="1510" spans="1:3">
      <c r="A1510" t="s">
        <v>219</v>
      </c>
      <c r="B1510" t="s">
        <v>247</v>
      </c>
      <c r="C1510">
        <v>2015</v>
      </c>
    </row>
    <row r="1511" spans="1:3">
      <c r="A1511" t="s">
        <v>214</v>
      </c>
      <c r="B1511" t="s">
        <v>247</v>
      </c>
      <c r="C1511">
        <v>2015</v>
      </c>
    </row>
    <row r="1512" spans="1:3">
      <c r="A1512" t="s">
        <v>70</v>
      </c>
      <c r="B1512" t="s">
        <v>247</v>
      </c>
      <c r="C1512">
        <v>2015</v>
      </c>
    </row>
    <row r="1513" spans="1:3">
      <c r="A1513" t="s">
        <v>144</v>
      </c>
      <c r="B1513" t="s">
        <v>247</v>
      </c>
      <c r="C1513">
        <v>2015</v>
      </c>
    </row>
    <row r="1514" spans="1:3">
      <c r="A1514" t="s">
        <v>89</v>
      </c>
      <c r="B1514" t="s">
        <v>247</v>
      </c>
      <c r="C1514">
        <v>2015</v>
      </c>
    </row>
    <row r="1515" spans="1:3">
      <c r="A1515" t="s">
        <v>204</v>
      </c>
      <c r="B1515" t="s">
        <v>247</v>
      </c>
      <c r="C1515">
        <v>2015</v>
      </c>
    </row>
    <row r="1516" spans="1:3">
      <c r="A1516" t="s">
        <v>114</v>
      </c>
      <c r="B1516" t="s">
        <v>247</v>
      </c>
      <c r="C1516">
        <v>2015</v>
      </c>
    </row>
    <row r="1517" spans="1:3">
      <c r="A1517" t="s">
        <v>184</v>
      </c>
      <c r="B1517" t="s">
        <v>247</v>
      </c>
      <c r="C1517">
        <v>2015</v>
      </c>
    </row>
    <row r="1518" spans="1:3">
      <c r="A1518" t="s">
        <v>79</v>
      </c>
      <c r="B1518" t="s">
        <v>247</v>
      </c>
      <c r="C1518">
        <v>2015</v>
      </c>
    </row>
    <row r="1519" spans="1:3">
      <c r="A1519" t="s">
        <v>199</v>
      </c>
      <c r="B1519" t="s">
        <v>247</v>
      </c>
      <c r="C1519">
        <v>2015</v>
      </c>
    </row>
    <row r="1520" spans="1:3">
      <c r="A1520" t="s">
        <v>224</v>
      </c>
      <c r="B1520" t="s">
        <v>247</v>
      </c>
      <c r="C1520">
        <v>2015</v>
      </c>
    </row>
    <row r="1521" spans="1:4">
      <c r="A1521" t="s">
        <v>194</v>
      </c>
      <c r="B1521" t="s">
        <v>247</v>
      </c>
      <c r="C1521">
        <v>2015</v>
      </c>
    </row>
    <row r="1522" spans="1:4">
      <c r="A1522" t="s">
        <v>124</v>
      </c>
      <c r="B1522" t="s">
        <v>247</v>
      </c>
      <c r="C1522">
        <v>2015</v>
      </c>
    </row>
    <row r="1523" spans="1:4">
      <c r="A1523" t="s">
        <v>179</v>
      </c>
      <c r="B1523" t="s">
        <v>247</v>
      </c>
      <c r="C1523">
        <v>2015</v>
      </c>
    </row>
    <row r="1524" spans="1:4">
      <c r="A1524" t="s">
        <v>129</v>
      </c>
      <c r="B1524" t="s">
        <v>247</v>
      </c>
      <c r="C1524">
        <v>2016</v>
      </c>
      <c r="D1524">
        <v>17</v>
      </c>
    </row>
    <row r="1525" spans="1:4">
      <c r="A1525" t="s">
        <v>74</v>
      </c>
      <c r="B1525" t="s">
        <v>247</v>
      </c>
      <c r="C1525">
        <v>2016</v>
      </c>
      <c r="D1525">
        <v>7</v>
      </c>
    </row>
    <row r="1526" spans="1:4">
      <c r="A1526" t="s">
        <v>134</v>
      </c>
      <c r="B1526" t="s">
        <v>247</v>
      </c>
      <c r="C1526">
        <v>2016</v>
      </c>
      <c r="D1526">
        <v>19</v>
      </c>
    </row>
    <row r="1527" spans="1:4">
      <c r="A1527" t="s">
        <v>209</v>
      </c>
      <c r="B1527" t="s">
        <v>247</v>
      </c>
      <c r="C1527">
        <v>2016</v>
      </c>
      <c r="D1527">
        <v>1</v>
      </c>
    </row>
    <row r="1528" spans="1:4">
      <c r="A1528" t="s">
        <v>164</v>
      </c>
      <c r="B1528" t="s">
        <v>247</v>
      </c>
      <c r="C1528">
        <v>2016</v>
      </c>
      <c r="D1528">
        <v>35</v>
      </c>
    </row>
    <row r="1529" spans="1:4">
      <c r="A1529" t="s">
        <v>169</v>
      </c>
      <c r="B1529" t="s">
        <v>247</v>
      </c>
      <c r="C1529">
        <v>2016</v>
      </c>
      <c r="D1529">
        <v>3</v>
      </c>
    </row>
    <row r="1530" spans="1:4">
      <c r="A1530" t="s">
        <v>189</v>
      </c>
      <c r="B1530" t="s">
        <v>247</v>
      </c>
      <c r="C1530">
        <v>2016</v>
      </c>
      <c r="D1530">
        <v>1</v>
      </c>
    </row>
    <row r="1531" spans="1:4">
      <c r="A1531" t="s">
        <v>174</v>
      </c>
      <c r="B1531" t="s">
        <v>247</v>
      </c>
      <c r="C1531">
        <v>2016</v>
      </c>
      <c r="D1531">
        <v>5</v>
      </c>
    </row>
    <row r="1532" spans="1:4">
      <c r="A1532" t="s">
        <v>84</v>
      </c>
      <c r="B1532" t="s">
        <v>247</v>
      </c>
      <c r="C1532">
        <v>2016</v>
      </c>
      <c r="D1532">
        <v>7</v>
      </c>
    </row>
    <row r="1533" spans="1:4">
      <c r="A1533" t="s">
        <v>149</v>
      </c>
      <c r="B1533" t="s">
        <v>247</v>
      </c>
      <c r="C1533">
        <v>2016</v>
      </c>
      <c r="D1533">
        <v>4</v>
      </c>
    </row>
    <row r="1534" spans="1:4">
      <c r="A1534" t="s">
        <v>109</v>
      </c>
      <c r="B1534" t="s">
        <v>247</v>
      </c>
      <c r="C1534">
        <v>2016</v>
      </c>
      <c r="D1534">
        <v>2</v>
      </c>
    </row>
    <row r="1535" spans="1:4">
      <c r="A1535" t="s">
        <v>154</v>
      </c>
      <c r="B1535" t="s">
        <v>247</v>
      </c>
      <c r="C1535">
        <v>2016</v>
      </c>
      <c r="D1535">
        <v>12</v>
      </c>
    </row>
    <row r="1536" spans="1:4">
      <c r="A1536" t="s">
        <v>159</v>
      </c>
      <c r="B1536" t="s">
        <v>247</v>
      </c>
      <c r="C1536">
        <v>2016</v>
      </c>
      <c r="D1536">
        <v>4</v>
      </c>
    </row>
    <row r="1537" spans="1:4">
      <c r="A1537" t="s">
        <v>104</v>
      </c>
      <c r="B1537" t="s">
        <v>247</v>
      </c>
      <c r="C1537">
        <v>2016</v>
      </c>
      <c r="D1537">
        <v>4</v>
      </c>
    </row>
    <row r="1538" spans="1:4">
      <c r="A1538" t="s">
        <v>119</v>
      </c>
      <c r="B1538" t="s">
        <v>247</v>
      </c>
      <c r="C1538">
        <v>2016</v>
      </c>
      <c r="D1538">
        <v>50</v>
      </c>
    </row>
    <row r="1539" spans="1:4">
      <c r="A1539" t="s">
        <v>139</v>
      </c>
      <c r="B1539" t="s">
        <v>247</v>
      </c>
      <c r="C1539">
        <v>2016</v>
      </c>
      <c r="D1539">
        <v>2</v>
      </c>
    </row>
    <row r="1540" spans="1:4">
      <c r="A1540" t="s">
        <v>99</v>
      </c>
      <c r="B1540" t="s">
        <v>247</v>
      </c>
      <c r="C1540">
        <v>2016</v>
      </c>
      <c r="D1540">
        <v>2</v>
      </c>
    </row>
    <row r="1541" spans="1:4">
      <c r="A1541" t="s">
        <v>94</v>
      </c>
      <c r="B1541" t="s">
        <v>247</v>
      </c>
      <c r="C1541">
        <v>2016</v>
      </c>
      <c r="D1541">
        <v>1</v>
      </c>
    </row>
    <row r="1542" spans="1:4">
      <c r="A1542" t="s">
        <v>219</v>
      </c>
      <c r="B1542" t="s">
        <v>247</v>
      </c>
      <c r="C1542">
        <v>2016</v>
      </c>
      <c r="D1542">
        <v>2</v>
      </c>
    </row>
    <row r="1543" spans="1:4">
      <c r="A1543" t="s">
        <v>214</v>
      </c>
      <c r="B1543" t="s">
        <v>247</v>
      </c>
      <c r="C1543">
        <v>2016</v>
      </c>
    </row>
    <row r="1544" spans="1:4">
      <c r="A1544" t="s">
        <v>70</v>
      </c>
      <c r="B1544" t="s">
        <v>247</v>
      </c>
      <c r="C1544">
        <v>2016</v>
      </c>
      <c r="D1544">
        <v>315</v>
      </c>
    </row>
    <row r="1545" spans="1:4">
      <c r="A1545" t="s">
        <v>144</v>
      </c>
      <c r="B1545" t="s">
        <v>247</v>
      </c>
      <c r="C1545">
        <v>2016</v>
      </c>
      <c r="D1545">
        <v>27</v>
      </c>
    </row>
    <row r="1546" spans="1:4">
      <c r="A1546" t="s">
        <v>89</v>
      </c>
      <c r="B1546" t="s">
        <v>247</v>
      </c>
      <c r="C1546">
        <v>2016</v>
      </c>
      <c r="D1546">
        <v>6</v>
      </c>
    </row>
    <row r="1547" spans="1:4">
      <c r="A1547" t="s">
        <v>204</v>
      </c>
      <c r="B1547" t="s">
        <v>247</v>
      </c>
      <c r="C1547">
        <v>2016</v>
      </c>
      <c r="D1547">
        <v>1</v>
      </c>
    </row>
    <row r="1548" spans="1:4">
      <c r="A1548" t="s">
        <v>114</v>
      </c>
      <c r="B1548" t="s">
        <v>247</v>
      </c>
      <c r="C1548">
        <v>2016</v>
      </c>
      <c r="D1548">
        <v>14</v>
      </c>
    </row>
    <row r="1549" spans="1:4">
      <c r="A1549" t="s">
        <v>184</v>
      </c>
      <c r="B1549" t="s">
        <v>247</v>
      </c>
      <c r="C1549">
        <v>2016</v>
      </c>
      <c r="D1549">
        <v>12</v>
      </c>
    </row>
    <row r="1550" spans="1:4">
      <c r="A1550" t="s">
        <v>79</v>
      </c>
      <c r="B1550" t="s">
        <v>247</v>
      </c>
      <c r="C1550">
        <v>2016</v>
      </c>
      <c r="D1550">
        <v>5</v>
      </c>
    </row>
    <row r="1551" spans="1:4">
      <c r="A1551" t="s">
        <v>199</v>
      </c>
      <c r="B1551" t="s">
        <v>247</v>
      </c>
      <c r="C1551">
        <v>2016</v>
      </c>
    </row>
    <row r="1552" spans="1:4">
      <c r="A1552" t="s">
        <v>224</v>
      </c>
      <c r="B1552" t="s">
        <v>247</v>
      </c>
      <c r="C1552">
        <v>2016</v>
      </c>
    </row>
    <row r="1553" spans="1:4">
      <c r="A1553" t="s">
        <v>194</v>
      </c>
      <c r="B1553" t="s">
        <v>247</v>
      </c>
      <c r="C1553">
        <v>2016</v>
      </c>
      <c r="D1553">
        <v>5</v>
      </c>
    </row>
    <row r="1554" spans="1:4">
      <c r="A1554" t="s">
        <v>124</v>
      </c>
      <c r="B1554" t="s">
        <v>247</v>
      </c>
      <c r="C1554">
        <v>2016</v>
      </c>
      <c r="D1554">
        <v>61</v>
      </c>
    </row>
    <row r="1555" spans="1:4">
      <c r="A1555" t="s">
        <v>179</v>
      </c>
      <c r="B1555" t="s">
        <v>247</v>
      </c>
      <c r="C1555">
        <v>2016</v>
      </c>
      <c r="D1555">
        <v>6</v>
      </c>
    </row>
    <row r="1556" spans="1:4">
      <c r="A1556" t="s">
        <v>129</v>
      </c>
      <c r="B1556" t="s">
        <v>247</v>
      </c>
      <c r="C1556">
        <v>2017</v>
      </c>
      <c r="D1556">
        <v>20</v>
      </c>
    </row>
    <row r="1557" spans="1:4">
      <c r="A1557" t="s">
        <v>74</v>
      </c>
      <c r="B1557" t="s">
        <v>247</v>
      </c>
      <c r="C1557">
        <v>2017</v>
      </c>
      <c r="D1557">
        <v>12</v>
      </c>
    </row>
    <row r="1558" spans="1:4">
      <c r="A1558" t="s">
        <v>134</v>
      </c>
      <c r="B1558" t="s">
        <v>247</v>
      </c>
      <c r="C1558">
        <v>2017</v>
      </c>
      <c r="D1558">
        <v>21</v>
      </c>
    </row>
    <row r="1559" spans="1:4">
      <c r="A1559" t="s">
        <v>209</v>
      </c>
      <c r="B1559" t="s">
        <v>247</v>
      </c>
      <c r="C1559">
        <v>2017</v>
      </c>
      <c r="D1559">
        <v>3</v>
      </c>
    </row>
    <row r="1560" spans="1:4">
      <c r="A1560" t="s">
        <v>164</v>
      </c>
      <c r="B1560" t="s">
        <v>247</v>
      </c>
      <c r="C1560">
        <v>2017</v>
      </c>
      <c r="D1560">
        <v>42</v>
      </c>
    </row>
    <row r="1561" spans="1:4">
      <c r="A1561" t="s">
        <v>169</v>
      </c>
      <c r="B1561" t="s">
        <v>247</v>
      </c>
      <c r="C1561">
        <v>2017</v>
      </c>
      <c r="D1561">
        <v>5</v>
      </c>
    </row>
    <row r="1562" spans="1:4">
      <c r="A1562" t="s">
        <v>189</v>
      </c>
      <c r="B1562" t="s">
        <v>247</v>
      </c>
      <c r="C1562">
        <v>2017</v>
      </c>
      <c r="D1562">
        <v>2</v>
      </c>
    </row>
    <row r="1563" spans="1:4">
      <c r="A1563" t="s">
        <v>174</v>
      </c>
      <c r="B1563" t="s">
        <v>247</v>
      </c>
      <c r="C1563">
        <v>2017</v>
      </c>
      <c r="D1563">
        <v>5</v>
      </c>
    </row>
    <row r="1564" spans="1:4">
      <c r="A1564" t="s">
        <v>84</v>
      </c>
      <c r="B1564" t="s">
        <v>247</v>
      </c>
      <c r="C1564">
        <v>2017</v>
      </c>
      <c r="D1564">
        <v>10</v>
      </c>
    </row>
    <row r="1565" spans="1:4">
      <c r="A1565" t="s">
        <v>149</v>
      </c>
      <c r="B1565" t="s">
        <v>247</v>
      </c>
      <c r="C1565">
        <v>2017</v>
      </c>
      <c r="D1565">
        <v>3</v>
      </c>
    </row>
    <row r="1566" spans="1:4">
      <c r="A1566" t="s">
        <v>109</v>
      </c>
      <c r="B1566" t="s">
        <v>247</v>
      </c>
      <c r="C1566">
        <v>2017</v>
      </c>
      <c r="D1566">
        <v>3</v>
      </c>
    </row>
    <row r="1567" spans="1:4">
      <c r="A1567" t="s">
        <v>154</v>
      </c>
      <c r="B1567" t="s">
        <v>247</v>
      </c>
      <c r="C1567">
        <v>2017</v>
      </c>
      <c r="D1567">
        <v>13</v>
      </c>
    </row>
    <row r="1568" spans="1:4">
      <c r="A1568" t="s">
        <v>159</v>
      </c>
      <c r="B1568" t="s">
        <v>247</v>
      </c>
      <c r="C1568">
        <v>2017</v>
      </c>
      <c r="D1568">
        <v>5</v>
      </c>
    </row>
    <row r="1569" spans="1:4">
      <c r="A1569" t="s">
        <v>104</v>
      </c>
      <c r="B1569" t="s">
        <v>247</v>
      </c>
      <c r="C1569">
        <v>2017</v>
      </c>
      <c r="D1569">
        <v>5</v>
      </c>
    </row>
    <row r="1570" spans="1:4">
      <c r="A1570" t="s">
        <v>119</v>
      </c>
      <c r="B1570" t="s">
        <v>247</v>
      </c>
      <c r="C1570">
        <v>2017</v>
      </c>
      <c r="D1570">
        <v>57</v>
      </c>
    </row>
    <row r="1571" spans="1:4">
      <c r="A1571" t="s">
        <v>139</v>
      </c>
      <c r="B1571" t="s">
        <v>247</v>
      </c>
      <c r="C1571">
        <v>2017</v>
      </c>
      <c r="D1571">
        <v>3</v>
      </c>
    </row>
    <row r="1572" spans="1:4">
      <c r="A1572" t="s">
        <v>99</v>
      </c>
      <c r="B1572" t="s">
        <v>247</v>
      </c>
      <c r="C1572">
        <v>2017</v>
      </c>
      <c r="D1572">
        <v>3</v>
      </c>
    </row>
    <row r="1573" spans="1:4">
      <c r="A1573" t="s">
        <v>94</v>
      </c>
      <c r="B1573" t="s">
        <v>247</v>
      </c>
      <c r="C1573">
        <v>2017</v>
      </c>
      <c r="D1573">
        <v>1</v>
      </c>
    </row>
    <row r="1574" spans="1:4">
      <c r="A1574" t="s">
        <v>219</v>
      </c>
      <c r="B1574" t="s">
        <v>247</v>
      </c>
      <c r="C1574">
        <v>2017</v>
      </c>
      <c r="D1574">
        <v>1</v>
      </c>
    </row>
    <row r="1575" spans="1:4">
      <c r="A1575" t="s">
        <v>214</v>
      </c>
      <c r="B1575" t="s">
        <v>247</v>
      </c>
      <c r="C1575">
        <v>2017</v>
      </c>
      <c r="D1575">
        <v>0.2</v>
      </c>
    </row>
    <row r="1576" spans="1:4">
      <c r="A1576" t="s">
        <v>70</v>
      </c>
      <c r="B1576" t="s">
        <v>247</v>
      </c>
      <c r="C1576">
        <v>2017</v>
      </c>
      <c r="D1576">
        <v>380</v>
      </c>
    </row>
    <row r="1577" spans="1:4">
      <c r="A1577" t="s">
        <v>144</v>
      </c>
      <c r="B1577" t="s">
        <v>247</v>
      </c>
      <c r="C1577">
        <v>2017</v>
      </c>
      <c r="D1577">
        <v>35</v>
      </c>
    </row>
    <row r="1578" spans="1:4">
      <c r="A1578" t="s">
        <v>89</v>
      </c>
      <c r="B1578" t="s">
        <v>247</v>
      </c>
      <c r="C1578">
        <v>2017</v>
      </c>
      <c r="D1578">
        <v>6</v>
      </c>
    </row>
    <row r="1579" spans="1:4">
      <c r="A1579" t="s">
        <v>204</v>
      </c>
      <c r="B1579" t="s">
        <v>247</v>
      </c>
      <c r="C1579">
        <v>2017</v>
      </c>
      <c r="D1579">
        <v>1</v>
      </c>
    </row>
    <row r="1580" spans="1:4">
      <c r="A1580" t="s">
        <v>114</v>
      </c>
      <c r="B1580" t="s">
        <v>247</v>
      </c>
      <c r="C1580">
        <v>2017</v>
      </c>
      <c r="D1580">
        <v>18</v>
      </c>
    </row>
    <row r="1581" spans="1:4">
      <c r="A1581" t="s">
        <v>184</v>
      </c>
      <c r="B1581" t="s">
        <v>247</v>
      </c>
      <c r="C1581">
        <v>2017</v>
      </c>
      <c r="D1581">
        <v>18</v>
      </c>
    </row>
    <row r="1582" spans="1:4">
      <c r="A1582" t="s">
        <v>79</v>
      </c>
      <c r="B1582" t="s">
        <v>247</v>
      </c>
      <c r="C1582">
        <v>2017</v>
      </c>
      <c r="D1582">
        <v>5</v>
      </c>
    </row>
    <row r="1583" spans="1:4">
      <c r="A1583" t="s">
        <v>199</v>
      </c>
      <c r="B1583" t="s">
        <v>247</v>
      </c>
      <c r="C1583">
        <v>2017</v>
      </c>
    </row>
    <row r="1584" spans="1:4">
      <c r="A1584" t="s">
        <v>224</v>
      </c>
      <c r="B1584" t="s">
        <v>247</v>
      </c>
      <c r="C1584">
        <v>2017</v>
      </c>
    </row>
    <row r="1585" spans="1:4">
      <c r="A1585" t="s">
        <v>194</v>
      </c>
      <c r="B1585" t="s">
        <v>247</v>
      </c>
      <c r="C1585">
        <v>2017</v>
      </c>
      <c r="D1585">
        <v>6</v>
      </c>
    </row>
    <row r="1586" spans="1:4">
      <c r="A1586" t="s">
        <v>124</v>
      </c>
      <c r="B1586" t="s">
        <v>247</v>
      </c>
      <c r="C1586">
        <v>2017</v>
      </c>
      <c r="D1586">
        <v>69</v>
      </c>
    </row>
    <row r="1587" spans="1:4">
      <c r="A1587" t="s">
        <v>179</v>
      </c>
      <c r="B1587" t="s">
        <v>247</v>
      </c>
      <c r="C1587">
        <v>2017</v>
      </c>
      <c r="D1587">
        <v>7</v>
      </c>
    </row>
    <row r="1588" spans="1:4">
      <c r="A1588" t="s">
        <v>129</v>
      </c>
      <c r="B1588" t="s">
        <v>247</v>
      </c>
      <c r="C1588">
        <v>2018</v>
      </c>
      <c r="D1588">
        <v>28</v>
      </c>
    </row>
    <row r="1589" spans="1:4">
      <c r="A1589" t="s">
        <v>74</v>
      </c>
      <c r="B1589" t="s">
        <v>247</v>
      </c>
      <c r="C1589">
        <v>2018</v>
      </c>
      <c r="D1589">
        <v>15</v>
      </c>
    </row>
    <row r="1590" spans="1:4">
      <c r="A1590" t="s">
        <v>134</v>
      </c>
      <c r="B1590" t="s">
        <v>247</v>
      </c>
      <c r="C1590">
        <v>2018</v>
      </c>
      <c r="D1590">
        <v>25</v>
      </c>
    </row>
    <row r="1591" spans="1:4">
      <c r="A1591" t="s">
        <v>209</v>
      </c>
      <c r="B1591" t="s">
        <v>247</v>
      </c>
      <c r="C1591">
        <v>2018</v>
      </c>
      <c r="D1591">
        <v>4</v>
      </c>
    </row>
    <row r="1592" spans="1:4">
      <c r="A1592" t="s">
        <v>164</v>
      </c>
      <c r="B1592" t="s">
        <v>247</v>
      </c>
      <c r="C1592">
        <v>2018</v>
      </c>
      <c r="D1592">
        <v>61</v>
      </c>
    </row>
    <row r="1593" spans="1:4">
      <c r="A1593" t="s">
        <v>169</v>
      </c>
      <c r="B1593" t="s">
        <v>247</v>
      </c>
      <c r="C1593">
        <v>2018</v>
      </c>
      <c r="D1593">
        <v>8</v>
      </c>
    </row>
    <row r="1594" spans="1:4">
      <c r="A1594" t="s">
        <v>189</v>
      </c>
      <c r="B1594" t="s">
        <v>247</v>
      </c>
      <c r="C1594">
        <v>2018</v>
      </c>
      <c r="D1594">
        <v>6</v>
      </c>
    </row>
    <row r="1595" spans="1:4">
      <c r="A1595" t="s">
        <v>174</v>
      </c>
      <c r="B1595" t="s">
        <v>247</v>
      </c>
      <c r="C1595">
        <v>2018</v>
      </c>
      <c r="D1595">
        <v>5</v>
      </c>
    </row>
    <row r="1596" spans="1:4">
      <c r="A1596" t="s">
        <v>84</v>
      </c>
      <c r="B1596" t="s">
        <v>247</v>
      </c>
      <c r="C1596">
        <v>2018</v>
      </c>
      <c r="D1596">
        <v>12</v>
      </c>
    </row>
    <row r="1597" spans="1:4">
      <c r="A1597" t="s">
        <v>149</v>
      </c>
      <c r="B1597" t="s">
        <v>247</v>
      </c>
      <c r="C1597">
        <v>2018</v>
      </c>
      <c r="D1597">
        <v>7</v>
      </c>
    </row>
    <row r="1598" spans="1:4">
      <c r="A1598" t="s">
        <v>109</v>
      </c>
      <c r="B1598" t="s">
        <v>247</v>
      </c>
      <c r="C1598">
        <v>2018</v>
      </c>
      <c r="D1598">
        <v>3</v>
      </c>
    </row>
    <row r="1599" spans="1:4">
      <c r="A1599" t="s">
        <v>154</v>
      </c>
      <c r="B1599" t="s">
        <v>247</v>
      </c>
      <c r="C1599">
        <v>2018</v>
      </c>
      <c r="D1599">
        <v>14</v>
      </c>
    </row>
    <row r="1600" spans="1:4">
      <c r="A1600" t="s">
        <v>159</v>
      </c>
      <c r="B1600" t="s">
        <v>247</v>
      </c>
      <c r="C1600">
        <v>2018</v>
      </c>
      <c r="D1600">
        <v>16</v>
      </c>
    </row>
    <row r="1601" spans="1:4">
      <c r="A1601" t="s">
        <v>104</v>
      </c>
      <c r="B1601" t="s">
        <v>247</v>
      </c>
      <c r="C1601">
        <v>2018</v>
      </c>
      <c r="D1601">
        <v>6</v>
      </c>
    </row>
    <row r="1602" spans="1:4">
      <c r="A1602" t="s">
        <v>119</v>
      </c>
      <c r="B1602" t="s">
        <v>247</v>
      </c>
      <c r="C1602">
        <v>2018</v>
      </c>
      <c r="D1602">
        <v>62</v>
      </c>
    </row>
    <row r="1603" spans="1:4">
      <c r="A1603" t="s">
        <v>139</v>
      </c>
      <c r="B1603" t="s">
        <v>247</v>
      </c>
      <c r="C1603">
        <v>2018</v>
      </c>
      <c r="D1603">
        <v>5</v>
      </c>
    </row>
    <row r="1604" spans="1:4">
      <c r="A1604" t="s">
        <v>99</v>
      </c>
      <c r="B1604" t="s">
        <v>247</v>
      </c>
      <c r="C1604">
        <v>2018</v>
      </c>
      <c r="D1604">
        <v>5</v>
      </c>
    </row>
    <row r="1605" spans="1:4">
      <c r="A1605" t="s">
        <v>94</v>
      </c>
      <c r="B1605" t="s">
        <v>247</v>
      </c>
      <c r="C1605">
        <v>2018</v>
      </c>
      <c r="D1605">
        <v>2</v>
      </c>
    </row>
    <row r="1606" spans="1:4">
      <c r="A1606" t="s">
        <v>219</v>
      </c>
      <c r="B1606" t="s">
        <v>247</v>
      </c>
      <c r="C1606">
        <v>2018</v>
      </c>
      <c r="D1606">
        <v>2</v>
      </c>
    </row>
    <row r="1607" spans="1:4">
      <c r="A1607" t="s">
        <v>214</v>
      </c>
      <c r="B1607" t="s">
        <v>247</v>
      </c>
      <c r="C1607">
        <v>2018</v>
      </c>
    </row>
    <row r="1608" spans="1:4">
      <c r="A1608" t="s">
        <v>70</v>
      </c>
      <c r="B1608" t="s">
        <v>247</v>
      </c>
      <c r="C1608">
        <v>2018</v>
      </c>
      <c r="D1608">
        <v>485</v>
      </c>
    </row>
    <row r="1609" spans="1:4">
      <c r="A1609" t="s">
        <v>144</v>
      </c>
      <c r="B1609" t="s">
        <v>247</v>
      </c>
      <c r="C1609">
        <v>2018</v>
      </c>
      <c r="D1609">
        <v>51</v>
      </c>
    </row>
    <row r="1610" spans="1:4">
      <c r="A1610" t="s">
        <v>89</v>
      </c>
      <c r="B1610" t="s">
        <v>247</v>
      </c>
      <c r="C1610">
        <v>2018</v>
      </c>
      <c r="D1610">
        <v>6</v>
      </c>
    </row>
    <row r="1611" spans="1:4">
      <c r="A1611" t="s">
        <v>204</v>
      </c>
      <c r="B1611" t="s">
        <v>247</v>
      </c>
      <c r="C1611">
        <v>2018</v>
      </c>
      <c r="D1611">
        <v>2</v>
      </c>
    </row>
    <row r="1612" spans="1:4">
      <c r="A1612" t="s">
        <v>114</v>
      </c>
      <c r="B1612" t="s">
        <v>247</v>
      </c>
      <c r="C1612">
        <v>2018</v>
      </c>
      <c r="D1612">
        <v>19</v>
      </c>
    </row>
    <row r="1613" spans="1:4">
      <c r="A1613" t="s">
        <v>184</v>
      </c>
      <c r="B1613" t="s">
        <v>247</v>
      </c>
      <c r="C1613">
        <v>2018</v>
      </c>
      <c r="D1613">
        <v>22</v>
      </c>
    </row>
    <row r="1614" spans="1:4">
      <c r="A1614" t="s">
        <v>79</v>
      </c>
      <c r="B1614" t="s">
        <v>247</v>
      </c>
      <c r="C1614">
        <v>2018</v>
      </c>
      <c r="D1614">
        <v>6</v>
      </c>
    </row>
    <row r="1615" spans="1:4">
      <c r="A1615" t="s">
        <v>199</v>
      </c>
      <c r="B1615" t="s">
        <v>247</v>
      </c>
      <c r="C1615">
        <v>2018</v>
      </c>
      <c r="D1615">
        <v>1</v>
      </c>
    </row>
    <row r="1616" spans="1:4">
      <c r="A1616" t="s">
        <v>224</v>
      </c>
      <c r="B1616" t="s">
        <v>247</v>
      </c>
      <c r="C1616">
        <v>2018</v>
      </c>
    </row>
    <row r="1617" spans="1:4">
      <c r="A1617" t="s">
        <v>194</v>
      </c>
      <c r="B1617" t="s">
        <v>247</v>
      </c>
      <c r="C1617">
        <v>2018</v>
      </c>
      <c r="D1617">
        <v>7</v>
      </c>
    </row>
    <row r="1618" spans="1:4">
      <c r="A1618" t="s">
        <v>124</v>
      </c>
      <c r="B1618" t="s">
        <v>247</v>
      </c>
      <c r="C1618">
        <v>2018</v>
      </c>
      <c r="D1618">
        <v>78</v>
      </c>
    </row>
    <row r="1619" spans="1:4">
      <c r="A1619" t="s">
        <v>179</v>
      </c>
      <c r="B1619" t="s">
        <v>247</v>
      </c>
      <c r="C1619">
        <v>2018</v>
      </c>
      <c r="D1619">
        <v>10</v>
      </c>
    </row>
    <row r="1620" spans="1:4">
      <c r="A1620" t="s">
        <v>129</v>
      </c>
      <c r="B1620" t="s">
        <v>247</v>
      </c>
      <c r="C1620">
        <v>2019</v>
      </c>
      <c r="D1620">
        <v>33</v>
      </c>
    </row>
    <row r="1621" spans="1:4">
      <c r="A1621" t="s">
        <v>74</v>
      </c>
      <c r="B1621" t="s">
        <v>247</v>
      </c>
      <c r="C1621">
        <v>2019</v>
      </c>
      <c r="D1621">
        <v>19</v>
      </c>
    </row>
    <row r="1622" spans="1:4">
      <c r="A1622" t="s">
        <v>134</v>
      </c>
      <c r="B1622" t="s">
        <v>247</v>
      </c>
      <c r="C1622">
        <v>2019</v>
      </c>
      <c r="D1622">
        <v>27</v>
      </c>
    </row>
    <row r="1623" spans="1:4">
      <c r="A1623" t="s">
        <v>209</v>
      </c>
      <c r="B1623" t="s">
        <v>247</v>
      </c>
      <c r="C1623">
        <v>2019</v>
      </c>
      <c r="D1623">
        <v>5</v>
      </c>
    </row>
    <row r="1624" spans="1:4">
      <c r="A1624" t="s">
        <v>164</v>
      </c>
      <c r="B1624" t="s">
        <v>247</v>
      </c>
      <c r="C1624">
        <v>2019</v>
      </c>
      <c r="D1624">
        <v>93</v>
      </c>
    </row>
    <row r="1625" spans="1:4">
      <c r="A1625" t="s">
        <v>169</v>
      </c>
      <c r="B1625" t="s">
        <v>247</v>
      </c>
      <c r="C1625">
        <v>2019</v>
      </c>
      <c r="D1625">
        <v>11</v>
      </c>
    </row>
    <row r="1626" spans="1:4">
      <c r="A1626" t="s">
        <v>189</v>
      </c>
      <c r="B1626" t="s">
        <v>247</v>
      </c>
      <c r="C1626">
        <v>2019</v>
      </c>
      <c r="D1626">
        <v>7</v>
      </c>
    </row>
    <row r="1627" spans="1:4">
      <c r="A1627" t="s">
        <v>174</v>
      </c>
      <c r="B1627" t="s">
        <v>247</v>
      </c>
      <c r="C1627">
        <v>2019</v>
      </c>
      <c r="D1627">
        <v>5</v>
      </c>
    </row>
    <row r="1628" spans="1:4">
      <c r="A1628" t="s">
        <v>84</v>
      </c>
      <c r="B1628" t="s">
        <v>247</v>
      </c>
      <c r="C1628">
        <v>2019</v>
      </c>
      <c r="D1628">
        <v>15</v>
      </c>
    </row>
    <row r="1629" spans="1:4">
      <c r="A1629" t="s">
        <v>149</v>
      </c>
      <c r="B1629" t="s">
        <v>247</v>
      </c>
      <c r="C1629">
        <v>2019</v>
      </c>
      <c r="D1629">
        <v>9</v>
      </c>
    </row>
    <row r="1630" spans="1:4">
      <c r="A1630" t="s">
        <v>109</v>
      </c>
      <c r="B1630" t="s">
        <v>247</v>
      </c>
      <c r="C1630">
        <v>2019</v>
      </c>
      <c r="D1630">
        <v>5</v>
      </c>
    </row>
    <row r="1631" spans="1:4">
      <c r="A1631" t="s">
        <v>154</v>
      </c>
      <c r="B1631" t="s">
        <v>247</v>
      </c>
      <c r="C1631">
        <v>2019</v>
      </c>
      <c r="D1631">
        <v>15</v>
      </c>
    </row>
    <row r="1632" spans="1:4">
      <c r="A1632" t="s">
        <v>159</v>
      </c>
      <c r="B1632" t="s">
        <v>247</v>
      </c>
      <c r="C1632">
        <v>2019</v>
      </c>
      <c r="D1632">
        <v>19</v>
      </c>
    </row>
    <row r="1633" spans="1:4">
      <c r="A1633" t="s">
        <v>104</v>
      </c>
      <c r="B1633" t="s">
        <v>247</v>
      </c>
      <c r="C1633">
        <v>2019</v>
      </c>
      <c r="D1633">
        <v>9</v>
      </c>
    </row>
    <row r="1634" spans="1:4">
      <c r="A1634" t="s">
        <v>119</v>
      </c>
      <c r="B1634" t="s">
        <v>247</v>
      </c>
      <c r="C1634">
        <v>2019</v>
      </c>
      <c r="D1634">
        <v>73</v>
      </c>
    </row>
    <row r="1635" spans="1:4">
      <c r="A1635" t="s">
        <v>139</v>
      </c>
      <c r="B1635" t="s">
        <v>247</v>
      </c>
      <c r="C1635">
        <v>2019</v>
      </c>
      <c r="D1635">
        <v>9</v>
      </c>
    </row>
    <row r="1636" spans="1:4">
      <c r="A1636" t="s">
        <v>99</v>
      </c>
      <c r="B1636" t="s">
        <v>247</v>
      </c>
      <c r="C1636">
        <v>2019</v>
      </c>
      <c r="D1636">
        <v>6</v>
      </c>
    </row>
    <row r="1637" spans="1:4">
      <c r="A1637" t="s">
        <v>94</v>
      </c>
      <c r="B1637" t="s">
        <v>247</v>
      </c>
      <c r="C1637">
        <v>2019</v>
      </c>
      <c r="D1637">
        <v>2</v>
      </c>
    </row>
    <row r="1638" spans="1:4">
      <c r="A1638" t="s">
        <v>219</v>
      </c>
      <c r="B1638" t="s">
        <v>247</v>
      </c>
      <c r="C1638">
        <v>2019</v>
      </c>
      <c r="D1638">
        <v>2</v>
      </c>
    </row>
    <row r="1639" spans="1:4">
      <c r="A1639" t="s">
        <v>214</v>
      </c>
      <c r="B1639" t="s">
        <v>247</v>
      </c>
      <c r="C1639">
        <v>2019</v>
      </c>
    </row>
    <row r="1640" spans="1:4">
      <c r="A1640" t="s">
        <v>70</v>
      </c>
      <c r="B1640" t="s">
        <v>247</v>
      </c>
      <c r="C1640">
        <v>2019</v>
      </c>
      <c r="D1640">
        <v>611</v>
      </c>
    </row>
    <row r="1641" spans="1:4">
      <c r="A1641" t="s">
        <v>144</v>
      </c>
      <c r="B1641" t="s">
        <v>247</v>
      </c>
      <c r="C1641">
        <v>2019</v>
      </c>
      <c r="D1641">
        <v>64</v>
      </c>
    </row>
    <row r="1642" spans="1:4">
      <c r="A1642" t="s">
        <v>89</v>
      </c>
      <c r="B1642" t="s">
        <v>247</v>
      </c>
      <c r="C1642">
        <v>2019</v>
      </c>
      <c r="D1642">
        <v>6</v>
      </c>
    </row>
    <row r="1643" spans="1:4">
      <c r="A1643" t="s">
        <v>204</v>
      </c>
      <c r="B1643" t="s">
        <v>247</v>
      </c>
      <c r="C1643">
        <v>2019</v>
      </c>
      <c r="D1643">
        <v>1</v>
      </c>
    </row>
    <row r="1644" spans="1:4">
      <c r="A1644" t="s">
        <v>114</v>
      </c>
      <c r="B1644" t="s">
        <v>247</v>
      </c>
      <c r="C1644">
        <v>2019</v>
      </c>
      <c r="D1644">
        <v>24</v>
      </c>
    </row>
    <row r="1645" spans="1:4">
      <c r="A1645" t="s">
        <v>184</v>
      </c>
      <c r="B1645" t="s">
        <v>247</v>
      </c>
      <c r="C1645">
        <v>2019</v>
      </c>
      <c r="D1645">
        <v>28</v>
      </c>
    </row>
    <row r="1646" spans="1:4">
      <c r="A1646" t="s">
        <v>79</v>
      </c>
      <c r="B1646" t="s">
        <v>247</v>
      </c>
      <c r="C1646">
        <v>2019</v>
      </c>
      <c r="D1646">
        <v>6</v>
      </c>
    </row>
    <row r="1647" spans="1:4">
      <c r="A1647" t="s">
        <v>199</v>
      </c>
      <c r="B1647" t="s">
        <v>247</v>
      </c>
      <c r="C1647">
        <v>2019</v>
      </c>
      <c r="D1647">
        <v>1</v>
      </c>
    </row>
    <row r="1648" spans="1:4">
      <c r="A1648" t="s">
        <v>224</v>
      </c>
      <c r="B1648" t="s">
        <v>247</v>
      </c>
      <c r="C1648">
        <v>2019</v>
      </c>
      <c r="D1648">
        <v>1</v>
      </c>
    </row>
    <row r="1649" spans="1:4">
      <c r="A1649" t="s">
        <v>194</v>
      </c>
      <c r="B1649" t="s">
        <v>247</v>
      </c>
      <c r="C1649">
        <v>2019</v>
      </c>
      <c r="D1649">
        <v>6</v>
      </c>
    </row>
    <row r="1650" spans="1:4">
      <c r="A1650" t="s">
        <v>124</v>
      </c>
      <c r="B1650" t="s">
        <v>247</v>
      </c>
      <c r="C1650">
        <v>2019</v>
      </c>
      <c r="D1650">
        <v>92</v>
      </c>
    </row>
    <row r="1651" spans="1:4">
      <c r="A1651" t="s">
        <v>179</v>
      </c>
      <c r="B1651" t="s">
        <v>247</v>
      </c>
      <c r="C1651">
        <v>2019</v>
      </c>
      <c r="D1651">
        <v>17</v>
      </c>
    </row>
    <row r="1652" spans="1:4">
      <c r="A1652" t="s">
        <v>129</v>
      </c>
      <c r="B1652" t="s">
        <v>247</v>
      </c>
      <c r="C1652">
        <v>2020</v>
      </c>
      <c r="D1652">
        <v>42</v>
      </c>
    </row>
    <row r="1653" spans="1:4">
      <c r="A1653" t="s">
        <v>74</v>
      </c>
      <c r="B1653" t="s">
        <v>247</v>
      </c>
      <c r="C1653">
        <v>2020</v>
      </c>
      <c r="D1653">
        <v>23</v>
      </c>
    </row>
    <row r="1654" spans="1:4">
      <c r="A1654" t="s">
        <v>134</v>
      </c>
      <c r="B1654" t="s">
        <v>247</v>
      </c>
      <c r="C1654">
        <v>2020</v>
      </c>
      <c r="D1654">
        <v>35</v>
      </c>
    </row>
    <row r="1655" spans="1:4">
      <c r="A1655" t="s">
        <v>209</v>
      </c>
      <c r="B1655" t="s">
        <v>247</v>
      </c>
      <c r="C1655">
        <v>2020</v>
      </c>
      <c r="D1655">
        <v>6</v>
      </c>
    </row>
    <row r="1656" spans="1:4">
      <c r="A1656" t="s">
        <v>164</v>
      </c>
      <c r="B1656" t="s">
        <v>247</v>
      </c>
      <c r="C1656">
        <v>2020</v>
      </c>
      <c r="D1656">
        <v>131</v>
      </c>
    </row>
    <row r="1657" spans="1:4">
      <c r="A1657" t="s">
        <v>169</v>
      </c>
      <c r="B1657" t="s">
        <v>247</v>
      </c>
      <c r="C1657">
        <v>2020</v>
      </c>
      <c r="D1657">
        <v>13</v>
      </c>
    </row>
    <row r="1658" spans="1:4">
      <c r="A1658" t="s">
        <v>189</v>
      </c>
      <c r="B1658" t="s">
        <v>247</v>
      </c>
      <c r="C1658">
        <v>2020</v>
      </c>
      <c r="D1658">
        <v>11</v>
      </c>
    </row>
    <row r="1659" spans="1:4">
      <c r="A1659" t="s">
        <v>174</v>
      </c>
      <c r="B1659" t="s">
        <v>247</v>
      </c>
      <c r="C1659">
        <v>2020</v>
      </c>
      <c r="D1659">
        <v>7</v>
      </c>
    </row>
    <row r="1660" spans="1:4">
      <c r="A1660" t="s">
        <v>84</v>
      </c>
      <c r="B1660" t="s">
        <v>247</v>
      </c>
      <c r="C1660">
        <v>2020</v>
      </c>
      <c r="D1660">
        <v>22</v>
      </c>
    </row>
    <row r="1661" spans="1:4">
      <c r="A1661" t="s">
        <v>149</v>
      </c>
      <c r="B1661" t="s">
        <v>247</v>
      </c>
      <c r="C1661">
        <v>2020</v>
      </c>
      <c r="D1661">
        <v>12</v>
      </c>
    </row>
    <row r="1662" spans="1:4">
      <c r="A1662" t="s">
        <v>109</v>
      </c>
      <c r="B1662" t="s">
        <v>247</v>
      </c>
      <c r="C1662">
        <v>2020</v>
      </c>
      <c r="D1662">
        <v>5</v>
      </c>
    </row>
    <row r="1663" spans="1:4">
      <c r="A1663" t="s">
        <v>154</v>
      </c>
      <c r="B1663" t="s">
        <v>247</v>
      </c>
      <c r="C1663">
        <v>2020</v>
      </c>
      <c r="D1663">
        <v>19</v>
      </c>
    </row>
    <row r="1664" spans="1:4">
      <c r="A1664" t="s">
        <v>159</v>
      </c>
      <c r="B1664" t="s">
        <v>247</v>
      </c>
      <c r="C1664">
        <v>2020</v>
      </c>
      <c r="D1664">
        <v>25</v>
      </c>
    </row>
    <row r="1665" spans="1:4">
      <c r="A1665" t="s">
        <v>104</v>
      </c>
      <c r="B1665" t="s">
        <v>247</v>
      </c>
      <c r="C1665">
        <v>2020</v>
      </c>
      <c r="D1665">
        <v>9</v>
      </c>
    </row>
    <row r="1666" spans="1:4">
      <c r="A1666" t="s">
        <v>119</v>
      </c>
      <c r="B1666" t="s">
        <v>247</v>
      </c>
      <c r="C1666">
        <v>2020</v>
      </c>
      <c r="D1666">
        <v>86</v>
      </c>
    </row>
    <row r="1667" spans="1:4">
      <c r="A1667" t="s">
        <v>139</v>
      </c>
      <c r="B1667" t="s">
        <v>247</v>
      </c>
      <c r="C1667">
        <v>2020</v>
      </c>
      <c r="D1667">
        <v>17</v>
      </c>
    </row>
    <row r="1668" spans="1:4">
      <c r="A1668" t="s">
        <v>99</v>
      </c>
      <c r="B1668" t="s">
        <v>247</v>
      </c>
      <c r="C1668">
        <v>2020</v>
      </c>
      <c r="D1668">
        <v>15</v>
      </c>
    </row>
    <row r="1669" spans="1:4">
      <c r="A1669" t="s">
        <v>94</v>
      </c>
      <c r="B1669" t="s">
        <v>247</v>
      </c>
      <c r="C1669">
        <v>2020</v>
      </c>
      <c r="D1669">
        <v>2</v>
      </c>
    </row>
    <row r="1670" spans="1:4">
      <c r="A1670" t="s">
        <v>219</v>
      </c>
      <c r="B1670" t="s">
        <v>247</v>
      </c>
      <c r="C1670">
        <v>2020</v>
      </c>
      <c r="D1670">
        <v>3</v>
      </c>
    </row>
    <row r="1671" spans="1:4">
      <c r="A1671" t="s">
        <v>214</v>
      </c>
      <c r="B1671" t="s">
        <v>247</v>
      </c>
      <c r="C1671">
        <v>2020</v>
      </c>
    </row>
    <row r="1672" spans="1:4">
      <c r="A1672" t="s">
        <v>70</v>
      </c>
      <c r="B1672" t="s">
        <v>247</v>
      </c>
      <c r="C1672">
        <v>2020</v>
      </c>
      <c r="D1672">
        <v>785</v>
      </c>
    </row>
    <row r="1673" spans="1:4">
      <c r="A1673" t="s">
        <v>144</v>
      </c>
      <c r="B1673" t="s">
        <v>247</v>
      </c>
      <c r="C1673">
        <v>2020</v>
      </c>
      <c r="D1673">
        <v>81</v>
      </c>
    </row>
    <row r="1674" spans="1:4">
      <c r="A1674" t="s">
        <v>89</v>
      </c>
      <c r="B1674" t="s">
        <v>247</v>
      </c>
      <c r="C1674">
        <v>2020</v>
      </c>
      <c r="D1674">
        <v>9</v>
      </c>
    </row>
    <row r="1675" spans="1:4">
      <c r="A1675" t="s">
        <v>204</v>
      </c>
      <c r="B1675" t="s">
        <v>247</v>
      </c>
      <c r="C1675">
        <v>2020</v>
      </c>
      <c r="D1675">
        <v>13</v>
      </c>
    </row>
    <row r="1676" spans="1:4">
      <c r="A1676" t="s">
        <v>114</v>
      </c>
      <c r="B1676" t="s">
        <v>247</v>
      </c>
      <c r="C1676">
        <v>2020</v>
      </c>
      <c r="D1676">
        <v>32</v>
      </c>
    </row>
    <row r="1677" spans="1:4">
      <c r="A1677" t="s">
        <v>184</v>
      </c>
      <c r="B1677" t="s">
        <v>247</v>
      </c>
      <c r="C1677">
        <v>2020</v>
      </c>
      <c r="D1677">
        <v>35</v>
      </c>
    </row>
    <row r="1678" spans="1:4">
      <c r="A1678" t="s">
        <v>79</v>
      </c>
      <c r="B1678" t="s">
        <v>247</v>
      </c>
      <c r="C1678">
        <v>2020</v>
      </c>
      <c r="D1678">
        <v>8</v>
      </c>
    </row>
    <row r="1679" spans="1:4">
      <c r="A1679" t="s">
        <v>199</v>
      </c>
      <c r="B1679" t="s">
        <v>247</v>
      </c>
      <c r="C1679">
        <v>2020</v>
      </c>
      <c r="D1679">
        <v>1</v>
      </c>
    </row>
    <row r="1680" spans="1:4">
      <c r="A1680" t="s">
        <v>224</v>
      </c>
      <c r="B1680" t="s">
        <v>247</v>
      </c>
      <c r="C1680">
        <v>2020</v>
      </c>
      <c r="D1680">
        <v>2</v>
      </c>
    </row>
    <row r="1681" spans="1:4">
      <c r="A1681" t="s">
        <v>194</v>
      </c>
      <c r="B1681" t="s">
        <v>247</v>
      </c>
      <c r="C1681">
        <v>2020</v>
      </c>
      <c r="D1681">
        <v>7</v>
      </c>
    </row>
    <row r="1682" spans="1:4">
      <c r="A1682" t="s">
        <v>124</v>
      </c>
      <c r="B1682" t="s">
        <v>247</v>
      </c>
      <c r="C1682">
        <v>2020</v>
      </c>
      <c r="D1682">
        <v>96</v>
      </c>
    </row>
    <row r="1683" spans="1:4">
      <c r="A1683" t="s">
        <v>179</v>
      </c>
      <c r="B1683" t="s">
        <v>247</v>
      </c>
      <c r="C1683">
        <v>2020</v>
      </c>
      <c r="D1683">
        <v>19</v>
      </c>
    </row>
    <row r="1684" spans="1:4">
      <c r="A1684" t="s">
        <v>129</v>
      </c>
      <c r="B1684" t="s">
        <v>247</v>
      </c>
      <c r="C1684">
        <v>2021</v>
      </c>
      <c r="D1684">
        <v>52</v>
      </c>
    </row>
    <row r="1685" spans="1:4">
      <c r="A1685" t="s">
        <v>74</v>
      </c>
      <c r="B1685" t="s">
        <v>247</v>
      </c>
      <c r="C1685">
        <v>2021</v>
      </c>
      <c r="D1685">
        <v>25</v>
      </c>
    </row>
    <row r="1686" spans="1:4">
      <c r="A1686" t="s">
        <v>134</v>
      </c>
      <c r="B1686" t="s">
        <v>247</v>
      </c>
      <c r="C1686">
        <v>2021</v>
      </c>
      <c r="D1686">
        <v>48</v>
      </c>
    </row>
    <row r="1687" spans="1:4">
      <c r="A1687" t="s">
        <v>209</v>
      </c>
      <c r="B1687" t="s">
        <v>247</v>
      </c>
      <c r="C1687">
        <v>2021</v>
      </c>
      <c r="D1687">
        <v>7</v>
      </c>
    </row>
    <row r="1688" spans="1:4">
      <c r="A1688" t="s">
        <v>164</v>
      </c>
      <c r="B1688" t="s">
        <v>247</v>
      </c>
      <c r="C1688">
        <v>2021</v>
      </c>
      <c r="D1688">
        <v>168</v>
      </c>
    </row>
    <row r="1689" spans="1:4">
      <c r="A1689" t="s">
        <v>169</v>
      </c>
      <c r="B1689" t="s">
        <v>247</v>
      </c>
      <c r="C1689">
        <v>2021</v>
      </c>
      <c r="D1689">
        <v>19</v>
      </c>
    </row>
    <row r="1690" spans="1:4">
      <c r="A1690" t="s">
        <v>189</v>
      </c>
      <c r="B1690" t="s">
        <v>247</v>
      </c>
      <c r="C1690">
        <v>2021</v>
      </c>
      <c r="D1690">
        <v>16</v>
      </c>
    </row>
    <row r="1691" spans="1:4">
      <c r="A1691" t="s">
        <v>174</v>
      </c>
      <c r="B1691" t="s">
        <v>247</v>
      </c>
      <c r="C1691">
        <v>2021</v>
      </c>
      <c r="D1691">
        <v>17</v>
      </c>
    </row>
    <row r="1692" spans="1:4">
      <c r="A1692" t="s">
        <v>84</v>
      </c>
      <c r="B1692" t="s">
        <v>247</v>
      </c>
      <c r="C1692">
        <v>2021</v>
      </c>
      <c r="D1692">
        <v>44</v>
      </c>
    </row>
    <row r="1693" spans="1:4">
      <c r="A1693" t="s">
        <v>149</v>
      </c>
      <c r="B1693" t="s">
        <v>247</v>
      </c>
      <c r="C1693">
        <v>2021</v>
      </c>
      <c r="D1693">
        <v>35</v>
      </c>
    </row>
    <row r="1694" spans="1:4">
      <c r="A1694" t="s">
        <v>109</v>
      </c>
      <c r="B1694" t="s">
        <v>247</v>
      </c>
      <c r="C1694">
        <v>2021</v>
      </c>
      <c r="D1694">
        <v>7</v>
      </c>
    </row>
    <row r="1695" spans="1:4">
      <c r="A1695" t="s">
        <v>154</v>
      </c>
      <c r="B1695" t="s">
        <v>247</v>
      </c>
      <c r="C1695">
        <v>2021</v>
      </c>
      <c r="D1695">
        <v>26</v>
      </c>
    </row>
    <row r="1696" spans="1:4">
      <c r="A1696" t="s">
        <v>159</v>
      </c>
      <c r="B1696" t="s">
        <v>247</v>
      </c>
      <c r="C1696">
        <v>2021</v>
      </c>
      <c r="D1696">
        <v>32</v>
      </c>
    </row>
    <row r="1697" spans="1:4">
      <c r="A1697" t="s">
        <v>104</v>
      </c>
      <c r="B1697" t="s">
        <v>247</v>
      </c>
      <c r="C1697">
        <v>2021</v>
      </c>
      <c r="D1697">
        <v>11</v>
      </c>
    </row>
    <row r="1698" spans="1:4">
      <c r="A1698" t="s">
        <v>119</v>
      </c>
      <c r="B1698" t="s">
        <v>247</v>
      </c>
      <c r="C1698">
        <v>2021</v>
      </c>
      <c r="D1698">
        <v>99</v>
      </c>
    </row>
    <row r="1699" spans="1:4">
      <c r="A1699" t="s">
        <v>139</v>
      </c>
      <c r="B1699" t="s">
        <v>247</v>
      </c>
      <c r="C1699">
        <v>2021</v>
      </c>
      <c r="D1699">
        <v>35</v>
      </c>
    </row>
    <row r="1700" spans="1:4">
      <c r="A1700" t="s">
        <v>99</v>
      </c>
      <c r="B1700" t="s">
        <v>247</v>
      </c>
      <c r="C1700">
        <v>2021</v>
      </c>
      <c r="D1700">
        <v>19</v>
      </c>
    </row>
    <row r="1701" spans="1:4">
      <c r="A1701" t="s">
        <v>94</v>
      </c>
      <c r="B1701" t="s">
        <v>247</v>
      </c>
      <c r="C1701">
        <v>2021</v>
      </c>
      <c r="D1701">
        <v>5</v>
      </c>
    </row>
    <row r="1702" spans="1:4">
      <c r="A1702" t="s">
        <v>219</v>
      </c>
      <c r="B1702" t="s">
        <v>247</v>
      </c>
      <c r="C1702">
        <v>2021</v>
      </c>
      <c r="D1702">
        <v>3</v>
      </c>
    </row>
    <row r="1703" spans="1:4">
      <c r="A1703" t="s">
        <v>214</v>
      </c>
      <c r="B1703" t="s">
        <v>247</v>
      </c>
      <c r="C1703">
        <v>2021</v>
      </c>
      <c r="D1703">
        <v>0</v>
      </c>
    </row>
    <row r="1704" spans="1:4">
      <c r="A1704" t="s">
        <v>70</v>
      </c>
      <c r="B1704" t="s">
        <v>247</v>
      </c>
      <c r="C1704">
        <v>2021</v>
      </c>
      <c r="D1704">
        <v>1089</v>
      </c>
    </row>
    <row r="1705" spans="1:4">
      <c r="A1705" t="s">
        <v>144</v>
      </c>
      <c r="B1705" t="s">
        <v>247</v>
      </c>
      <c r="C1705">
        <v>2021</v>
      </c>
      <c r="D1705">
        <v>104</v>
      </c>
    </row>
    <row r="1706" spans="1:4">
      <c r="A1706" t="s">
        <v>89</v>
      </c>
      <c r="B1706" t="s">
        <v>247</v>
      </c>
      <c r="C1706">
        <v>2021</v>
      </c>
      <c r="D1706">
        <v>34</v>
      </c>
    </row>
    <row r="1707" spans="1:4">
      <c r="A1707" t="s">
        <v>204</v>
      </c>
      <c r="B1707" t="s">
        <v>247</v>
      </c>
      <c r="C1707">
        <v>2021</v>
      </c>
      <c r="D1707">
        <v>0</v>
      </c>
    </row>
    <row r="1708" spans="1:4">
      <c r="A1708" t="s">
        <v>114</v>
      </c>
      <c r="B1708" t="s">
        <v>247</v>
      </c>
      <c r="C1708">
        <v>2021</v>
      </c>
      <c r="D1708">
        <v>34</v>
      </c>
    </row>
    <row r="1709" spans="1:4">
      <c r="A1709" t="s">
        <v>184</v>
      </c>
      <c r="B1709" t="s">
        <v>247</v>
      </c>
      <c r="C1709">
        <v>2021</v>
      </c>
      <c r="D1709">
        <v>58</v>
      </c>
    </row>
    <row r="1710" spans="1:4">
      <c r="A1710" t="s">
        <v>79</v>
      </c>
      <c r="B1710" t="s">
        <v>247</v>
      </c>
      <c r="C1710">
        <v>2021</v>
      </c>
      <c r="D1710">
        <v>17</v>
      </c>
    </row>
    <row r="1711" spans="1:4">
      <c r="A1711" t="s">
        <v>199</v>
      </c>
      <c r="B1711" t="s">
        <v>247</v>
      </c>
      <c r="C1711">
        <v>2021</v>
      </c>
      <c r="D1711">
        <v>1</v>
      </c>
    </row>
    <row r="1712" spans="1:4">
      <c r="A1712" t="s">
        <v>224</v>
      </c>
      <c r="B1712" t="s">
        <v>247</v>
      </c>
      <c r="C1712">
        <v>2021</v>
      </c>
      <c r="D1712">
        <v>6</v>
      </c>
    </row>
    <row r="1713" spans="1:4">
      <c r="A1713" t="s">
        <v>194</v>
      </c>
      <c r="B1713" t="s">
        <v>247</v>
      </c>
      <c r="C1713">
        <v>2021</v>
      </c>
      <c r="D1713">
        <v>12</v>
      </c>
    </row>
    <row r="1714" spans="1:4">
      <c r="A1714" t="s">
        <v>124</v>
      </c>
      <c r="B1714" t="s">
        <v>247</v>
      </c>
      <c r="C1714">
        <v>2021</v>
      </c>
      <c r="D1714">
        <v>129</v>
      </c>
    </row>
    <row r="1715" spans="1:4">
      <c r="A1715" t="s">
        <v>179</v>
      </c>
      <c r="B1715" t="s">
        <v>247</v>
      </c>
      <c r="C1715">
        <v>2021</v>
      </c>
      <c r="D1715">
        <v>24</v>
      </c>
    </row>
    <row r="1716" spans="1:4">
      <c r="A1716" t="s">
        <v>129</v>
      </c>
      <c r="B1716" t="s">
        <v>247</v>
      </c>
      <c r="C1716">
        <v>2022</v>
      </c>
      <c r="D1716">
        <v>52</v>
      </c>
    </row>
    <row r="1717" spans="1:4">
      <c r="A1717" t="s">
        <v>74</v>
      </c>
      <c r="B1717" t="s">
        <v>247</v>
      </c>
      <c r="C1717">
        <v>2022</v>
      </c>
      <c r="D1717">
        <v>25</v>
      </c>
    </row>
    <row r="1718" spans="1:4">
      <c r="A1718" t="s">
        <v>134</v>
      </c>
      <c r="B1718" t="s">
        <v>247</v>
      </c>
      <c r="C1718">
        <v>2022</v>
      </c>
      <c r="D1718">
        <v>48</v>
      </c>
    </row>
    <row r="1719" spans="1:4">
      <c r="A1719" t="s">
        <v>209</v>
      </c>
      <c r="B1719" t="s">
        <v>247</v>
      </c>
      <c r="C1719">
        <v>2022</v>
      </c>
      <c r="D1719">
        <v>7</v>
      </c>
    </row>
    <row r="1720" spans="1:4">
      <c r="A1720" t="s">
        <v>164</v>
      </c>
      <c r="B1720" t="s">
        <v>247</v>
      </c>
      <c r="C1720">
        <v>2022</v>
      </c>
      <c r="D1720">
        <v>168</v>
      </c>
    </row>
    <row r="1721" spans="1:4">
      <c r="A1721" t="s">
        <v>169</v>
      </c>
      <c r="B1721" t="s">
        <v>247</v>
      </c>
      <c r="C1721">
        <v>2022</v>
      </c>
      <c r="D1721">
        <v>19</v>
      </c>
    </row>
    <row r="1722" spans="1:4">
      <c r="A1722" t="s">
        <v>189</v>
      </c>
      <c r="B1722" t="s">
        <v>247</v>
      </c>
      <c r="C1722">
        <v>2022</v>
      </c>
      <c r="D1722">
        <v>16</v>
      </c>
    </row>
    <row r="1723" spans="1:4">
      <c r="A1723" t="s">
        <v>174</v>
      </c>
      <c r="B1723" t="s">
        <v>247</v>
      </c>
      <c r="C1723">
        <v>2022</v>
      </c>
      <c r="D1723">
        <v>17</v>
      </c>
    </row>
    <row r="1724" spans="1:4">
      <c r="A1724" t="s">
        <v>84</v>
      </c>
      <c r="B1724" t="s">
        <v>247</v>
      </c>
      <c r="C1724">
        <v>2022</v>
      </c>
      <c r="D1724">
        <v>44</v>
      </c>
    </row>
    <row r="1725" spans="1:4">
      <c r="A1725" t="s">
        <v>149</v>
      </c>
      <c r="B1725" t="s">
        <v>247</v>
      </c>
      <c r="C1725">
        <v>2022</v>
      </c>
      <c r="D1725">
        <v>35</v>
      </c>
    </row>
    <row r="1726" spans="1:4">
      <c r="A1726" t="s">
        <v>109</v>
      </c>
      <c r="B1726" t="s">
        <v>247</v>
      </c>
      <c r="C1726">
        <v>2022</v>
      </c>
      <c r="D1726">
        <v>7</v>
      </c>
    </row>
    <row r="1727" spans="1:4">
      <c r="A1727" t="s">
        <v>154</v>
      </c>
      <c r="B1727" t="s">
        <v>247</v>
      </c>
      <c r="C1727">
        <v>2022</v>
      </c>
      <c r="D1727">
        <v>26</v>
      </c>
    </row>
    <row r="1728" spans="1:4">
      <c r="A1728" t="s">
        <v>159</v>
      </c>
      <c r="B1728" t="s">
        <v>247</v>
      </c>
      <c r="C1728">
        <v>2022</v>
      </c>
      <c r="D1728">
        <v>32</v>
      </c>
    </row>
    <row r="1729" spans="1:4">
      <c r="A1729" t="s">
        <v>104</v>
      </c>
      <c r="B1729" t="s">
        <v>247</v>
      </c>
      <c r="C1729">
        <v>2022</v>
      </c>
      <c r="D1729">
        <v>11</v>
      </c>
    </row>
    <row r="1730" spans="1:4">
      <c r="A1730" t="s">
        <v>119</v>
      </c>
      <c r="B1730" t="s">
        <v>247</v>
      </c>
      <c r="C1730">
        <v>2022</v>
      </c>
      <c r="D1730">
        <v>99</v>
      </c>
    </row>
    <row r="1731" spans="1:4">
      <c r="A1731" t="s">
        <v>139</v>
      </c>
      <c r="B1731" t="s">
        <v>247</v>
      </c>
      <c r="C1731">
        <v>2022</v>
      </c>
      <c r="D1731">
        <v>35</v>
      </c>
    </row>
    <row r="1732" spans="1:4">
      <c r="A1732" t="s">
        <v>99</v>
      </c>
      <c r="B1732" t="s">
        <v>247</v>
      </c>
      <c r="C1732">
        <v>2022</v>
      </c>
      <c r="D1732">
        <v>19</v>
      </c>
    </row>
    <row r="1733" spans="1:4">
      <c r="A1733" t="s">
        <v>94</v>
      </c>
      <c r="B1733" t="s">
        <v>247</v>
      </c>
      <c r="C1733">
        <v>2022</v>
      </c>
      <c r="D1733">
        <v>5</v>
      </c>
    </row>
    <row r="1734" spans="1:4">
      <c r="A1734" t="s">
        <v>219</v>
      </c>
      <c r="B1734" t="s">
        <v>247</v>
      </c>
      <c r="C1734">
        <v>2022</v>
      </c>
      <c r="D1734">
        <v>3</v>
      </c>
    </row>
    <row r="1735" spans="1:4">
      <c r="A1735" t="s">
        <v>214</v>
      </c>
      <c r="B1735" t="s">
        <v>247</v>
      </c>
      <c r="C1735">
        <v>2022</v>
      </c>
      <c r="D1735">
        <v>0</v>
      </c>
    </row>
    <row r="1736" spans="1:4">
      <c r="A1736" t="s">
        <v>70</v>
      </c>
      <c r="B1736" t="s">
        <v>247</v>
      </c>
      <c r="C1736">
        <v>2022</v>
      </c>
      <c r="D1736">
        <v>1089</v>
      </c>
    </row>
    <row r="1737" spans="1:4">
      <c r="A1737" t="s">
        <v>144</v>
      </c>
      <c r="B1737" t="s">
        <v>247</v>
      </c>
      <c r="C1737">
        <v>2022</v>
      </c>
      <c r="D1737">
        <v>104</v>
      </c>
    </row>
    <row r="1738" spans="1:4">
      <c r="A1738" t="s">
        <v>89</v>
      </c>
      <c r="B1738" t="s">
        <v>247</v>
      </c>
      <c r="C1738">
        <v>2022</v>
      </c>
      <c r="D1738">
        <v>13</v>
      </c>
    </row>
    <row r="1739" spans="1:4">
      <c r="A1739" t="s">
        <v>204</v>
      </c>
      <c r="B1739" t="s">
        <v>247</v>
      </c>
      <c r="C1739">
        <v>2022</v>
      </c>
      <c r="D1739">
        <v>21</v>
      </c>
    </row>
    <row r="1740" spans="1:4">
      <c r="A1740" t="s">
        <v>114</v>
      </c>
      <c r="B1740" t="s">
        <v>247</v>
      </c>
      <c r="C1740">
        <v>2022</v>
      </c>
      <c r="D1740">
        <v>34</v>
      </c>
    </row>
    <row r="1741" spans="1:4">
      <c r="A1741" t="s">
        <v>184</v>
      </c>
      <c r="B1741" t="s">
        <v>247</v>
      </c>
      <c r="C1741">
        <v>2022</v>
      </c>
      <c r="D1741">
        <v>58</v>
      </c>
    </row>
    <row r="1742" spans="1:4">
      <c r="A1742" t="s">
        <v>79</v>
      </c>
      <c r="B1742" t="s">
        <v>247</v>
      </c>
      <c r="C1742">
        <v>2022</v>
      </c>
      <c r="D1742">
        <v>17</v>
      </c>
    </row>
    <row r="1743" spans="1:4">
      <c r="A1743" t="s">
        <v>199</v>
      </c>
      <c r="B1743" t="s">
        <v>247</v>
      </c>
      <c r="C1743">
        <v>2022</v>
      </c>
      <c r="D1743">
        <v>1</v>
      </c>
    </row>
    <row r="1744" spans="1:4">
      <c r="A1744" t="s">
        <v>224</v>
      </c>
      <c r="B1744" t="s">
        <v>247</v>
      </c>
      <c r="C1744">
        <v>2022</v>
      </c>
      <c r="D1744">
        <v>6</v>
      </c>
    </row>
    <row r="1745" spans="1:4">
      <c r="A1745" t="s">
        <v>194</v>
      </c>
      <c r="B1745" t="s">
        <v>247</v>
      </c>
      <c r="C1745">
        <v>2022</v>
      </c>
      <c r="D1745">
        <v>12</v>
      </c>
    </row>
    <row r="1746" spans="1:4">
      <c r="A1746" t="s">
        <v>124</v>
      </c>
      <c r="B1746" t="s">
        <v>247</v>
      </c>
      <c r="C1746">
        <v>2022</v>
      </c>
      <c r="D1746">
        <v>129</v>
      </c>
    </row>
    <row r="1747" spans="1:4">
      <c r="A1747" t="s">
        <v>179</v>
      </c>
      <c r="B1747" t="s">
        <v>247</v>
      </c>
      <c r="C1747">
        <v>2022</v>
      </c>
      <c r="D1747">
        <v>24</v>
      </c>
    </row>
    <row r="1748" spans="1:4">
      <c r="A1748" t="s">
        <v>129</v>
      </c>
      <c r="B1748" t="s">
        <v>248</v>
      </c>
      <c r="C1748">
        <v>2015</v>
      </c>
    </row>
    <row r="1749" spans="1:4">
      <c r="A1749" t="s">
        <v>74</v>
      </c>
      <c r="B1749" t="s">
        <v>248</v>
      </c>
      <c r="C1749">
        <v>2015</v>
      </c>
    </row>
    <row r="1750" spans="1:4">
      <c r="A1750" t="s">
        <v>134</v>
      </c>
      <c r="B1750" t="s">
        <v>248</v>
      </c>
      <c r="C1750">
        <v>2015</v>
      </c>
    </row>
    <row r="1751" spans="1:4">
      <c r="A1751" t="s">
        <v>209</v>
      </c>
      <c r="B1751" t="s">
        <v>248</v>
      </c>
      <c r="C1751">
        <v>2015</v>
      </c>
    </row>
    <row r="1752" spans="1:4">
      <c r="A1752" t="s">
        <v>164</v>
      </c>
      <c r="B1752" t="s">
        <v>248</v>
      </c>
      <c r="C1752">
        <v>2015</v>
      </c>
    </row>
    <row r="1753" spans="1:4">
      <c r="A1753" t="s">
        <v>169</v>
      </c>
      <c r="B1753" t="s">
        <v>248</v>
      </c>
      <c r="C1753">
        <v>2015</v>
      </c>
    </row>
    <row r="1754" spans="1:4">
      <c r="A1754" t="s">
        <v>189</v>
      </c>
      <c r="B1754" t="s">
        <v>248</v>
      </c>
      <c r="C1754">
        <v>2015</v>
      </c>
    </row>
    <row r="1755" spans="1:4">
      <c r="A1755" t="s">
        <v>174</v>
      </c>
      <c r="B1755" t="s">
        <v>248</v>
      </c>
      <c r="C1755">
        <v>2015</v>
      </c>
    </row>
    <row r="1756" spans="1:4">
      <c r="A1756" t="s">
        <v>84</v>
      </c>
      <c r="B1756" t="s">
        <v>248</v>
      </c>
      <c r="C1756">
        <v>2015</v>
      </c>
    </row>
    <row r="1757" spans="1:4">
      <c r="A1757" t="s">
        <v>149</v>
      </c>
      <c r="B1757" t="s">
        <v>248</v>
      </c>
      <c r="C1757">
        <v>2015</v>
      </c>
    </row>
    <row r="1758" spans="1:4">
      <c r="A1758" t="s">
        <v>109</v>
      </c>
      <c r="B1758" t="s">
        <v>248</v>
      </c>
      <c r="C1758">
        <v>2015</v>
      </c>
    </row>
    <row r="1759" spans="1:4">
      <c r="A1759" t="s">
        <v>154</v>
      </c>
      <c r="B1759" t="s">
        <v>248</v>
      </c>
      <c r="C1759">
        <v>2015</v>
      </c>
    </row>
    <row r="1760" spans="1:4">
      <c r="A1760" t="s">
        <v>159</v>
      </c>
      <c r="B1760" t="s">
        <v>248</v>
      </c>
      <c r="C1760">
        <v>2015</v>
      </c>
    </row>
    <row r="1761" spans="1:3">
      <c r="A1761" t="s">
        <v>104</v>
      </c>
      <c r="B1761" t="s">
        <v>248</v>
      </c>
      <c r="C1761">
        <v>2015</v>
      </c>
    </row>
    <row r="1762" spans="1:3">
      <c r="A1762" t="s">
        <v>119</v>
      </c>
      <c r="B1762" t="s">
        <v>248</v>
      </c>
      <c r="C1762">
        <v>2015</v>
      </c>
    </row>
    <row r="1763" spans="1:3">
      <c r="A1763" t="s">
        <v>139</v>
      </c>
      <c r="B1763" t="s">
        <v>248</v>
      </c>
      <c r="C1763">
        <v>2015</v>
      </c>
    </row>
    <row r="1764" spans="1:3">
      <c r="A1764" t="s">
        <v>99</v>
      </c>
      <c r="B1764" t="s">
        <v>248</v>
      </c>
      <c r="C1764">
        <v>2015</v>
      </c>
    </row>
    <row r="1765" spans="1:3">
      <c r="A1765" t="s">
        <v>94</v>
      </c>
      <c r="B1765" t="s">
        <v>248</v>
      </c>
      <c r="C1765">
        <v>2015</v>
      </c>
    </row>
    <row r="1766" spans="1:3">
      <c r="A1766" t="s">
        <v>219</v>
      </c>
      <c r="B1766" t="s">
        <v>248</v>
      </c>
      <c r="C1766">
        <v>2015</v>
      </c>
    </row>
    <row r="1767" spans="1:3">
      <c r="A1767" t="s">
        <v>214</v>
      </c>
      <c r="B1767" t="s">
        <v>248</v>
      </c>
      <c r="C1767">
        <v>2015</v>
      </c>
    </row>
    <row r="1768" spans="1:3">
      <c r="A1768" t="s">
        <v>70</v>
      </c>
      <c r="B1768" t="s">
        <v>248</v>
      </c>
      <c r="C1768">
        <v>2015</v>
      </c>
    </row>
    <row r="1769" spans="1:3">
      <c r="A1769" t="s">
        <v>144</v>
      </c>
      <c r="B1769" t="s">
        <v>248</v>
      </c>
      <c r="C1769">
        <v>2015</v>
      </c>
    </row>
    <row r="1770" spans="1:3">
      <c r="A1770" t="s">
        <v>89</v>
      </c>
      <c r="B1770" t="s">
        <v>248</v>
      </c>
      <c r="C1770">
        <v>2015</v>
      </c>
    </row>
    <row r="1771" spans="1:3">
      <c r="A1771" t="s">
        <v>204</v>
      </c>
      <c r="B1771" t="s">
        <v>248</v>
      </c>
      <c r="C1771">
        <v>2015</v>
      </c>
    </row>
    <row r="1772" spans="1:3">
      <c r="A1772" t="s">
        <v>114</v>
      </c>
      <c r="B1772" t="s">
        <v>248</v>
      </c>
      <c r="C1772">
        <v>2015</v>
      </c>
    </row>
    <row r="1773" spans="1:3">
      <c r="A1773" t="s">
        <v>184</v>
      </c>
      <c r="B1773" t="s">
        <v>248</v>
      </c>
      <c r="C1773">
        <v>2015</v>
      </c>
    </row>
    <row r="1774" spans="1:3">
      <c r="A1774" t="s">
        <v>79</v>
      </c>
      <c r="B1774" t="s">
        <v>248</v>
      </c>
      <c r="C1774">
        <v>2015</v>
      </c>
    </row>
    <row r="1775" spans="1:3">
      <c r="A1775" t="s">
        <v>199</v>
      </c>
      <c r="B1775" t="s">
        <v>248</v>
      </c>
      <c r="C1775">
        <v>2015</v>
      </c>
    </row>
    <row r="1776" spans="1:3">
      <c r="A1776" t="s">
        <v>224</v>
      </c>
      <c r="B1776" t="s">
        <v>248</v>
      </c>
      <c r="C1776">
        <v>2015</v>
      </c>
    </row>
    <row r="1777" spans="1:4">
      <c r="A1777" t="s">
        <v>194</v>
      </c>
      <c r="B1777" t="s">
        <v>248</v>
      </c>
      <c r="C1777">
        <v>2015</v>
      </c>
    </row>
    <row r="1778" spans="1:4">
      <c r="A1778" t="s">
        <v>124</v>
      </c>
      <c r="B1778" t="s">
        <v>248</v>
      </c>
      <c r="C1778">
        <v>2015</v>
      </c>
    </row>
    <row r="1779" spans="1:4">
      <c r="A1779" t="s">
        <v>179</v>
      </c>
      <c r="B1779" t="s">
        <v>248</v>
      </c>
      <c r="C1779">
        <v>2015</v>
      </c>
    </row>
    <row r="1780" spans="1:4">
      <c r="A1780" t="s">
        <v>129</v>
      </c>
      <c r="B1780" t="s">
        <v>248</v>
      </c>
      <c r="C1780">
        <v>2016</v>
      </c>
      <c r="D1780">
        <v>76</v>
      </c>
    </row>
    <row r="1781" spans="1:4">
      <c r="A1781" t="s">
        <v>74</v>
      </c>
      <c r="B1781" t="s">
        <v>248</v>
      </c>
      <c r="C1781">
        <v>2016</v>
      </c>
      <c r="D1781">
        <v>0</v>
      </c>
    </row>
    <row r="1782" spans="1:4">
      <c r="A1782" t="s">
        <v>134</v>
      </c>
      <c r="B1782" t="s">
        <v>248</v>
      </c>
      <c r="C1782">
        <v>2016</v>
      </c>
      <c r="D1782">
        <v>45</v>
      </c>
    </row>
    <row r="1783" spans="1:4">
      <c r="A1783" t="s">
        <v>209</v>
      </c>
      <c r="B1783" t="s">
        <v>248</v>
      </c>
      <c r="C1783">
        <v>2016</v>
      </c>
      <c r="D1783">
        <v>3</v>
      </c>
    </row>
    <row r="1784" spans="1:4">
      <c r="A1784" t="s">
        <v>164</v>
      </c>
      <c r="B1784" t="s">
        <v>248</v>
      </c>
      <c r="C1784">
        <v>2016</v>
      </c>
      <c r="D1784">
        <v>4</v>
      </c>
    </row>
    <row r="1785" spans="1:4">
      <c r="A1785" t="s">
        <v>169</v>
      </c>
      <c r="B1785" t="s">
        <v>248</v>
      </c>
      <c r="C1785">
        <v>2016</v>
      </c>
      <c r="D1785">
        <v>167</v>
      </c>
    </row>
    <row r="1786" spans="1:4">
      <c r="A1786" t="s">
        <v>189</v>
      </c>
      <c r="B1786" t="s">
        <v>248</v>
      </c>
      <c r="C1786">
        <v>2016</v>
      </c>
      <c r="D1786">
        <v>1</v>
      </c>
    </row>
    <row r="1787" spans="1:4">
      <c r="A1787" t="s">
        <v>174</v>
      </c>
      <c r="B1787" t="s">
        <v>248</v>
      </c>
      <c r="C1787">
        <v>2016</v>
      </c>
      <c r="D1787">
        <v>6</v>
      </c>
    </row>
    <row r="1788" spans="1:4">
      <c r="A1788" t="s">
        <v>84</v>
      </c>
      <c r="B1788" t="s">
        <v>248</v>
      </c>
      <c r="C1788">
        <v>2016</v>
      </c>
      <c r="D1788">
        <v>77</v>
      </c>
    </row>
    <row r="1789" spans="1:4">
      <c r="A1789" t="s">
        <v>149</v>
      </c>
      <c r="B1789" t="s">
        <v>248</v>
      </c>
      <c r="C1789">
        <v>2016</v>
      </c>
      <c r="D1789">
        <v>15</v>
      </c>
    </row>
    <row r="1790" spans="1:4">
      <c r="A1790" t="s">
        <v>109</v>
      </c>
      <c r="B1790" t="s">
        <v>248</v>
      </c>
      <c r="C1790">
        <v>2016</v>
      </c>
      <c r="D1790">
        <v>4</v>
      </c>
    </row>
    <row r="1791" spans="1:4">
      <c r="A1791" t="s">
        <v>154</v>
      </c>
      <c r="B1791" t="s">
        <v>248</v>
      </c>
      <c r="C1791">
        <v>2016</v>
      </c>
      <c r="D1791">
        <v>58</v>
      </c>
    </row>
    <row r="1792" spans="1:4">
      <c r="A1792" t="s">
        <v>159</v>
      </c>
      <c r="B1792" t="s">
        <v>248</v>
      </c>
      <c r="C1792">
        <v>2016</v>
      </c>
      <c r="D1792">
        <v>90</v>
      </c>
    </row>
    <row r="1793" spans="1:4">
      <c r="A1793" t="s">
        <v>104</v>
      </c>
      <c r="B1793" t="s">
        <v>248</v>
      </c>
      <c r="C1793">
        <v>2016</v>
      </c>
      <c r="D1793">
        <v>11</v>
      </c>
    </row>
    <row r="1794" spans="1:4">
      <c r="A1794" t="s">
        <v>119</v>
      </c>
      <c r="B1794" t="s">
        <v>248</v>
      </c>
      <c r="C1794">
        <v>2016</v>
      </c>
      <c r="D1794">
        <v>126</v>
      </c>
    </row>
    <row r="1795" spans="1:4">
      <c r="A1795" t="s">
        <v>139</v>
      </c>
      <c r="B1795" t="s">
        <v>248</v>
      </c>
      <c r="C1795">
        <v>2016</v>
      </c>
      <c r="D1795">
        <v>94</v>
      </c>
    </row>
    <row r="1796" spans="1:4">
      <c r="A1796" t="s">
        <v>99</v>
      </c>
      <c r="B1796" t="s">
        <v>248</v>
      </c>
      <c r="C1796">
        <v>2016</v>
      </c>
      <c r="D1796">
        <v>28</v>
      </c>
    </row>
    <row r="1797" spans="1:4">
      <c r="A1797" t="s">
        <v>94</v>
      </c>
      <c r="B1797" t="s">
        <v>248</v>
      </c>
      <c r="C1797">
        <v>2016</v>
      </c>
      <c r="D1797">
        <v>3</v>
      </c>
    </row>
    <row r="1798" spans="1:4">
      <c r="A1798" t="s">
        <v>219</v>
      </c>
      <c r="B1798" t="s">
        <v>248</v>
      </c>
      <c r="C1798">
        <v>2016</v>
      </c>
      <c r="D1798">
        <v>28</v>
      </c>
    </row>
    <row r="1799" spans="1:4">
      <c r="A1799" t="s">
        <v>214</v>
      </c>
      <c r="B1799" t="s">
        <v>248</v>
      </c>
      <c r="C1799">
        <v>2016</v>
      </c>
      <c r="D1799">
        <v>0</v>
      </c>
    </row>
    <row r="1800" spans="1:4">
      <c r="A1800" t="s">
        <v>70</v>
      </c>
      <c r="B1800" t="s">
        <v>248</v>
      </c>
      <c r="C1800">
        <v>2016</v>
      </c>
      <c r="D1800">
        <v>1215</v>
      </c>
    </row>
    <row r="1801" spans="1:4">
      <c r="A1801" t="s">
        <v>144</v>
      </c>
      <c r="B1801" t="s">
        <v>248</v>
      </c>
      <c r="C1801">
        <v>2016</v>
      </c>
      <c r="D1801">
        <v>124</v>
      </c>
    </row>
    <row r="1802" spans="1:4">
      <c r="A1802" t="s">
        <v>89</v>
      </c>
      <c r="B1802" t="s">
        <v>248</v>
      </c>
      <c r="C1802">
        <v>2016</v>
      </c>
      <c r="D1802">
        <v>1</v>
      </c>
    </row>
    <row r="1803" spans="1:4">
      <c r="A1803" t="s">
        <v>204</v>
      </c>
      <c r="B1803" t="s">
        <v>248</v>
      </c>
      <c r="C1803">
        <v>2016</v>
      </c>
      <c r="D1803">
        <v>14</v>
      </c>
    </row>
    <row r="1804" spans="1:4">
      <c r="A1804" t="s">
        <v>114</v>
      </c>
      <c r="B1804" t="s">
        <v>248</v>
      </c>
      <c r="C1804">
        <v>2016</v>
      </c>
      <c r="D1804">
        <v>36</v>
      </c>
    </row>
    <row r="1805" spans="1:4">
      <c r="A1805" t="s">
        <v>184</v>
      </c>
      <c r="B1805" t="s">
        <v>248</v>
      </c>
      <c r="C1805">
        <v>2016</v>
      </c>
      <c r="D1805">
        <v>40</v>
      </c>
    </row>
    <row r="1806" spans="1:4">
      <c r="A1806" t="s">
        <v>79</v>
      </c>
      <c r="B1806" t="s">
        <v>248</v>
      </c>
      <c r="C1806">
        <v>2016</v>
      </c>
      <c r="D1806">
        <v>6</v>
      </c>
    </row>
    <row r="1807" spans="1:4">
      <c r="A1807" t="s">
        <v>199</v>
      </c>
      <c r="B1807" t="s">
        <v>248</v>
      </c>
      <c r="C1807">
        <v>2016</v>
      </c>
      <c r="D1807">
        <v>0</v>
      </c>
    </row>
    <row r="1808" spans="1:4">
      <c r="A1808" t="s">
        <v>224</v>
      </c>
      <c r="B1808" t="s">
        <v>248</v>
      </c>
      <c r="C1808">
        <v>2016</v>
      </c>
      <c r="D1808">
        <v>26</v>
      </c>
    </row>
    <row r="1809" spans="1:4">
      <c r="A1809" t="s">
        <v>194</v>
      </c>
      <c r="B1809" t="s">
        <v>248</v>
      </c>
      <c r="C1809">
        <v>2016</v>
      </c>
      <c r="D1809">
        <v>75</v>
      </c>
    </row>
    <row r="1810" spans="1:4">
      <c r="A1810" t="s">
        <v>124</v>
      </c>
      <c r="B1810" t="s">
        <v>248</v>
      </c>
      <c r="C1810">
        <v>2016</v>
      </c>
      <c r="D1810">
        <v>41</v>
      </c>
    </row>
    <row r="1811" spans="1:4">
      <c r="A1811" t="s">
        <v>179</v>
      </c>
      <c r="B1811" t="s">
        <v>248</v>
      </c>
      <c r="C1811">
        <v>2016</v>
      </c>
      <c r="D1811">
        <v>16</v>
      </c>
    </row>
    <row r="1812" spans="1:4">
      <c r="A1812" t="s">
        <v>129</v>
      </c>
      <c r="B1812" t="s">
        <v>248</v>
      </c>
      <c r="C1812">
        <v>2017</v>
      </c>
      <c r="D1812">
        <v>85</v>
      </c>
    </row>
    <row r="1813" spans="1:4">
      <c r="A1813" t="s">
        <v>74</v>
      </c>
      <c r="B1813" t="s">
        <v>248</v>
      </c>
      <c r="C1813">
        <v>2017</v>
      </c>
      <c r="D1813">
        <v>0</v>
      </c>
    </row>
    <row r="1814" spans="1:4">
      <c r="A1814" t="s">
        <v>134</v>
      </c>
      <c r="B1814" t="s">
        <v>248</v>
      </c>
      <c r="C1814">
        <v>2017</v>
      </c>
      <c r="D1814">
        <v>47.8</v>
      </c>
    </row>
    <row r="1815" spans="1:4">
      <c r="A1815" t="s">
        <v>209</v>
      </c>
      <c r="B1815" t="s">
        <v>248</v>
      </c>
      <c r="C1815">
        <v>2017</v>
      </c>
      <c r="D1815">
        <v>6</v>
      </c>
    </row>
    <row r="1816" spans="1:4">
      <c r="A1816" t="s">
        <v>164</v>
      </c>
      <c r="B1816" t="s">
        <v>248</v>
      </c>
      <c r="C1816">
        <v>2017</v>
      </c>
      <c r="D1816">
        <v>0</v>
      </c>
    </row>
    <row r="1817" spans="1:4">
      <c r="A1817" t="s">
        <v>169</v>
      </c>
      <c r="B1817" t="s">
        <v>248</v>
      </c>
      <c r="C1817">
        <v>2017</v>
      </c>
      <c r="D1817">
        <v>96</v>
      </c>
    </row>
    <row r="1818" spans="1:4">
      <c r="A1818" t="s">
        <v>189</v>
      </c>
      <c r="B1818" t="s">
        <v>248</v>
      </c>
      <c r="C1818">
        <v>2017</v>
      </c>
      <c r="D1818">
        <v>3</v>
      </c>
    </row>
    <row r="1819" spans="1:4">
      <c r="A1819" t="s">
        <v>174</v>
      </c>
      <c r="B1819" t="s">
        <v>248</v>
      </c>
      <c r="C1819">
        <v>2017</v>
      </c>
      <c r="D1819">
        <v>5.8</v>
      </c>
    </row>
    <row r="1820" spans="1:4">
      <c r="A1820" t="s">
        <v>84</v>
      </c>
      <c r="B1820" t="s">
        <v>248</v>
      </c>
      <c r="C1820">
        <v>2017</v>
      </c>
      <c r="D1820">
        <v>67.8</v>
      </c>
    </row>
    <row r="1821" spans="1:4">
      <c r="A1821" t="s">
        <v>149</v>
      </c>
      <c r="B1821" t="s">
        <v>248</v>
      </c>
      <c r="C1821">
        <v>2017</v>
      </c>
      <c r="D1821">
        <v>16.8</v>
      </c>
    </row>
    <row r="1822" spans="1:4">
      <c r="A1822" t="s">
        <v>109</v>
      </c>
      <c r="B1822" t="s">
        <v>248</v>
      </c>
      <c r="C1822">
        <v>2017</v>
      </c>
      <c r="D1822">
        <v>3.93</v>
      </c>
    </row>
    <row r="1823" spans="1:4">
      <c r="A1823" t="s">
        <v>154</v>
      </c>
      <c r="B1823" t="s">
        <v>248</v>
      </c>
      <c r="C1823">
        <v>2017</v>
      </c>
      <c r="D1823">
        <v>64.7</v>
      </c>
    </row>
    <row r="1824" spans="1:4">
      <c r="A1824" t="s">
        <v>159</v>
      </c>
      <c r="B1824" t="s">
        <v>248</v>
      </c>
      <c r="C1824">
        <v>2017</v>
      </c>
      <c r="D1824">
        <v>93</v>
      </c>
    </row>
    <row r="1825" spans="1:4">
      <c r="A1825" t="s">
        <v>104</v>
      </c>
      <c r="B1825" t="s">
        <v>248</v>
      </c>
      <c r="C1825">
        <v>2017</v>
      </c>
      <c r="D1825">
        <v>9.96</v>
      </c>
    </row>
    <row r="1826" spans="1:4">
      <c r="A1826" t="s">
        <v>119</v>
      </c>
      <c r="B1826" t="s">
        <v>248</v>
      </c>
      <c r="C1826">
        <v>2017</v>
      </c>
      <c r="D1826">
        <v>118</v>
      </c>
    </row>
    <row r="1827" spans="1:4">
      <c r="A1827" t="s">
        <v>139</v>
      </c>
      <c r="B1827" t="s">
        <v>248</v>
      </c>
      <c r="C1827">
        <v>2017</v>
      </c>
      <c r="D1827">
        <v>102.8</v>
      </c>
    </row>
    <row r="1828" spans="1:4">
      <c r="A1828" t="s">
        <v>99</v>
      </c>
      <c r="B1828" t="s">
        <v>248</v>
      </c>
      <c r="C1828">
        <v>2017</v>
      </c>
      <c r="D1828">
        <v>29</v>
      </c>
    </row>
    <row r="1829" spans="1:4">
      <c r="A1829" t="s">
        <v>94</v>
      </c>
      <c r="B1829" t="s">
        <v>248</v>
      </c>
      <c r="C1829">
        <v>2017</v>
      </c>
      <c r="D1829">
        <v>1.95</v>
      </c>
    </row>
    <row r="1830" spans="1:4">
      <c r="A1830" t="s">
        <v>219</v>
      </c>
      <c r="B1830" t="s">
        <v>248</v>
      </c>
      <c r="C1830">
        <v>2017</v>
      </c>
      <c r="D1830">
        <v>33</v>
      </c>
    </row>
    <row r="1831" spans="1:4">
      <c r="A1831" t="s">
        <v>214</v>
      </c>
      <c r="B1831" t="s">
        <v>248</v>
      </c>
      <c r="C1831">
        <v>2017</v>
      </c>
      <c r="D1831">
        <v>0.8</v>
      </c>
    </row>
    <row r="1832" spans="1:4">
      <c r="A1832" t="s">
        <v>70</v>
      </c>
      <c r="B1832" t="s">
        <v>248</v>
      </c>
      <c r="C1832">
        <v>2017</v>
      </c>
      <c r="D1832">
        <v>1191.34</v>
      </c>
    </row>
    <row r="1833" spans="1:4">
      <c r="A1833" t="s">
        <v>144</v>
      </c>
      <c r="B1833" t="s">
        <v>248</v>
      </c>
      <c r="C1833">
        <v>2017</v>
      </c>
      <c r="D1833">
        <v>128</v>
      </c>
    </row>
    <row r="1834" spans="1:4">
      <c r="A1834" t="s">
        <v>89</v>
      </c>
      <c r="B1834" t="s">
        <v>248</v>
      </c>
      <c r="C1834">
        <v>2017</v>
      </c>
      <c r="D1834">
        <v>32</v>
      </c>
    </row>
    <row r="1835" spans="1:4">
      <c r="A1835" t="s">
        <v>204</v>
      </c>
      <c r="B1835" t="s">
        <v>248</v>
      </c>
      <c r="C1835">
        <v>2017</v>
      </c>
      <c r="D1835">
        <v>21</v>
      </c>
    </row>
    <row r="1836" spans="1:4">
      <c r="A1836" t="s">
        <v>114</v>
      </c>
      <c r="B1836" t="s">
        <v>248</v>
      </c>
      <c r="C1836">
        <v>2017</v>
      </c>
      <c r="D1836">
        <v>36</v>
      </c>
    </row>
    <row r="1837" spans="1:4">
      <c r="A1837" t="s">
        <v>184</v>
      </c>
      <c r="B1837" t="s">
        <v>248</v>
      </c>
      <c r="C1837">
        <v>2017</v>
      </c>
      <c r="D1837">
        <v>65</v>
      </c>
    </row>
    <row r="1838" spans="1:4">
      <c r="A1838" t="s">
        <v>79</v>
      </c>
      <c r="B1838" t="s">
        <v>248</v>
      </c>
      <c r="C1838">
        <v>2017</v>
      </c>
      <c r="D1838">
        <v>6</v>
      </c>
    </row>
    <row r="1839" spans="1:4">
      <c r="A1839" t="s">
        <v>199</v>
      </c>
      <c r="B1839" t="s">
        <v>248</v>
      </c>
      <c r="C1839">
        <v>2017</v>
      </c>
      <c r="D1839">
        <v>0</v>
      </c>
    </row>
    <row r="1840" spans="1:4">
      <c r="A1840" t="s">
        <v>224</v>
      </c>
      <c r="B1840" t="s">
        <v>248</v>
      </c>
      <c r="C1840">
        <v>2017</v>
      </c>
      <c r="D1840">
        <v>0</v>
      </c>
    </row>
    <row r="1841" spans="1:4">
      <c r="A1841" t="s">
        <v>194</v>
      </c>
      <c r="B1841" t="s">
        <v>248</v>
      </c>
      <c r="C1841">
        <v>2017</v>
      </c>
      <c r="D1841">
        <v>64</v>
      </c>
    </row>
    <row r="1842" spans="1:4">
      <c r="A1842" t="s">
        <v>124</v>
      </c>
      <c r="B1842" t="s">
        <v>248</v>
      </c>
      <c r="C1842">
        <v>2017</v>
      </c>
      <c r="D1842">
        <v>39</v>
      </c>
    </row>
    <row r="1843" spans="1:4">
      <c r="A1843" t="s">
        <v>179</v>
      </c>
      <c r="B1843" t="s">
        <v>248</v>
      </c>
      <c r="C1843">
        <v>2017</v>
      </c>
      <c r="D1843">
        <v>15</v>
      </c>
    </row>
    <row r="1844" spans="1:4">
      <c r="A1844" t="s">
        <v>129</v>
      </c>
      <c r="B1844" t="s">
        <v>248</v>
      </c>
      <c r="C1844">
        <v>2018</v>
      </c>
      <c r="D1844">
        <v>83</v>
      </c>
    </row>
    <row r="1845" spans="1:4">
      <c r="A1845" t="s">
        <v>74</v>
      </c>
      <c r="B1845" t="s">
        <v>248</v>
      </c>
      <c r="C1845">
        <v>2018</v>
      </c>
      <c r="D1845">
        <v>0</v>
      </c>
    </row>
    <row r="1846" spans="1:4">
      <c r="A1846" t="s">
        <v>134</v>
      </c>
      <c r="B1846" t="s">
        <v>248</v>
      </c>
      <c r="C1846">
        <v>2018</v>
      </c>
      <c r="D1846">
        <v>60.8</v>
      </c>
    </row>
    <row r="1847" spans="1:4">
      <c r="A1847" t="s">
        <v>209</v>
      </c>
      <c r="B1847" t="s">
        <v>248</v>
      </c>
      <c r="C1847">
        <v>2018</v>
      </c>
      <c r="D1847">
        <v>4</v>
      </c>
    </row>
    <row r="1848" spans="1:4">
      <c r="A1848" t="s">
        <v>164</v>
      </c>
      <c r="B1848" t="s">
        <v>248</v>
      </c>
      <c r="C1848">
        <v>2018</v>
      </c>
      <c r="D1848">
        <v>2</v>
      </c>
    </row>
    <row r="1849" spans="1:4">
      <c r="A1849" t="s">
        <v>169</v>
      </c>
      <c r="B1849" t="s">
        <v>248</v>
      </c>
      <c r="C1849">
        <v>2018</v>
      </c>
      <c r="D1849">
        <v>101</v>
      </c>
    </row>
    <row r="1850" spans="1:4">
      <c r="A1850" t="s">
        <v>189</v>
      </c>
      <c r="B1850" t="s">
        <v>248</v>
      </c>
      <c r="C1850">
        <v>2018</v>
      </c>
      <c r="D1850">
        <v>0</v>
      </c>
    </row>
    <row r="1851" spans="1:4">
      <c r="A1851" t="s">
        <v>174</v>
      </c>
      <c r="B1851" t="s">
        <v>248</v>
      </c>
      <c r="C1851">
        <v>2018</v>
      </c>
      <c r="D1851">
        <v>6.8</v>
      </c>
    </row>
    <row r="1852" spans="1:4">
      <c r="A1852" t="s">
        <v>84</v>
      </c>
      <c r="B1852" t="s">
        <v>248</v>
      </c>
      <c r="C1852">
        <v>2018</v>
      </c>
      <c r="D1852">
        <v>55.7</v>
      </c>
    </row>
    <row r="1853" spans="1:4">
      <c r="A1853" t="s">
        <v>149</v>
      </c>
      <c r="B1853" t="s">
        <v>248</v>
      </c>
      <c r="C1853">
        <v>2018</v>
      </c>
      <c r="D1853">
        <v>19</v>
      </c>
    </row>
    <row r="1854" spans="1:4">
      <c r="A1854" t="s">
        <v>109</v>
      </c>
      <c r="B1854" t="s">
        <v>248</v>
      </c>
      <c r="C1854">
        <v>2018</v>
      </c>
      <c r="D1854">
        <v>3.9</v>
      </c>
    </row>
    <row r="1855" spans="1:4">
      <c r="A1855" t="s">
        <v>154</v>
      </c>
      <c r="B1855" t="s">
        <v>248</v>
      </c>
      <c r="C1855">
        <v>2018</v>
      </c>
      <c r="D1855">
        <v>71.4</v>
      </c>
    </row>
    <row r="1856" spans="1:4">
      <c r="A1856" t="s">
        <v>159</v>
      </c>
      <c r="B1856" t="s">
        <v>248</v>
      </c>
      <c r="C1856">
        <v>2018</v>
      </c>
      <c r="D1856">
        <v>92</v>
      </c>
    </row>
    <row r="1857" spans="1:4">
      <c r="A1857" t="s">
        <v>104</v>
      </c>
      <c r="B1857" t="s">
        <v>248</v>
      </c>
      <c r="C1857">
        <v>2018</v>
      </c>
      <c r="D1857">
        <v>10</v>
      </c>
    </row>
    <row r="1858" spans="1:4">
      <c r="A1858" t="s">
        <v>119</v>
      </c>
      <c r="B1858" t="s">
        <v>248</v>
      </c>
      <c r="C1858">
        <v>2018</v>
      </c>
      <c r="D1858">
        <v>108</v>
      </c>
    </row>
    <row r="1859" spans="1:4">
      <c r="A1859" t="s">
        <v>139</v>
      </c>
      <c r="B1859" t="s">
        <v>248</v>
      </c>
      <c r="C1859">
        <v>2018</v>
      </c>
      <c r="D1859">
        <v>116.6</v>
      </c>
    </row>
    <row r="1860" spans="1:4">
      <c r="A1860" t="s">
        <v>99</v>
      </c>
      <c r="B1860" t="s">
        <v>248</v>
      </c>
      <c r="C1860">
        <v>2018</v>
      </c>
      <c r="D1860">
        <v>30</v>
      </c>
    </row>
    <row r="1861" spans="1:4">
      <c r="A1861" t="s">
        <v>94</v>
      </c>
      <c r="B1861" t="s">
        <v>248</v>
      </c>
      <c r="C1861">
        <v>2018</v>
      </c>
      <c r="D1861">
        <v>2.97</v>
      </c>
    </row>
    <row r="1862" spans="1:4">
      <c r="A1862" t="s">
        <v>219</v>
      </c>
      <c r="B1862" t="s">
        <v>248</v>
      </c>
      <c r="C1862">
        <v>2018</v>
      </c>
      <c r="D1862">
        <v>51.9</v>
      </c>
    </row>
    <row r="1863" spans="1:4">
      <c r="A1863" t="s">
        <v>214</v>
      </c>
      <c r="B1863" t="s">
        <v>248</v>
      </c>
      <c r="C1863">
        <v>2018</v>
      </c>
      <c r="D1863">
        <v>0.8</v>
      </c>
    </row>
    <row r="1864" spans="1:4">
      <c r="A1864" t="s">
        <v>70</v>
      </c>
      <c r="B1864" t="s">
        <v>248</v>
      </c>
      <c r="C1864">
        <v>2018</v>
      </c>
      <c r="D1864">
        <v>1312.37</v>
      </c>
    </row>
    <row r="1865" spans="1:4">
      <c r="A1865" t="s">
        <v>144</v>
      </c>
      <c r="B1865" t="s">
        <v>248</v>
      </c>
      <c r="C1865">
        <v>2018</v>
      </c>
      <c r="D1865">
        <v>130</v>
      </c>
    </row>
    <row r="1866" spans="1:4">
      <c r="A1866" t="s">
        <v>89</v>
      </c>
      <c r="B1866" t="s">
        <v>248</v>
      </c>
      <c r="C1866">
        <v>2018</v>
      </c>
      <c r="D1866">
        <v>40</v>
      </c>
    </row>
    <row r="1867" spans="1:4">
      <c r="A1867" t="s">
        <v>204</v>
      </c>
      <c r="B1867" t="s">
        <v>248</v>
      </c>
      <c r="C1867">
        <v>2018</v>
      </c>
      <c r="D1867">
        <v>76</v>
      </c>
    </row>
    <row r="1868" spans="1:4">
      <c r="A1868" t="s">
        <v>114</v>
      </c>
      <c r="B1868" t="s">
        <v>248</v>
      </c>
      <c r="C1868">
        <v>2018</v>
      </c>
      <c r="D1868">
        <v>35</v>
      </c>
    </row>
    <row r="1869" spans="1:4">
      <c r="A1869" t="s">
        <v>184</v>
      </c>
      <c r="B1869" t="s">
        <v>248</v>
      </c>
      <c r="C1869">
        <v>2018</v>
      </c>
      <c r="D1869">
        <v>67</v>
      </c>
    </row>
    <row r="1870" spans="1:4">
      <c r="A1870" t="s">
        <v>79</v>
      </c>
      <c r="B1870" t="s">
        <v>248</v>
      </c>
      <c r="C1870">
        <v>2018</v>
      </c>
      <c r="D1870">
        <v>5</v>
      </c>
    </row>
    <row r="1871" spans="1:4">
      <c r="A1871" t="s">
        <v>199</v>
      </c>
      <c r="B1871" t="s">
        <v>248</v>
      </c>
      <c r="C1871">
        <v>2018</v>
      </c>
      <c r="D1871">
        <v>0</v>
      </c>
    </row>
    <row r="1872" spans="1:4">
      <c r="A1872" t="s">
        <v>224</v>
      </c>
      <c r="B1872" t="s">
        <v>248</v>
      </c>
      <c r="C1872">
        <v>2018</v>
      </c>
      <c r="D1872">
        <v>0</v>
      </c>
    </row>
    <row r="1873" spans="1:4">
      <c r="A1873" t="s">
        <v>194</v>
      </c>
      <c r="B1873" t="s">
        <v>248</v>
      </c>
      <c r="C1873">
        <v>2018</v>
      </c>
      <c r="D1873">
        <v>72</v>
      </c>
    </row>
    <row r="1874" spans="1:4">
      <c r="A1874" t="s">
        <v>124</v>
      </c>
      <c r="B1874" t="s">
        <v>248</v>
      </c>
      <c r="C1874">
        <v>2018</v>
      </c>
      <c r="D1874">
        <v>50</v>
      </c>
    </row>
    <row r="1875" spans="1:4">
      <c r="A1875" t="s">
        <v>179</v>
      </c>
      <c r="B1875" t="s">
        <v>248</v>
      </c>
      <c r="C1875">
        <v>2018</v>
      </c>
      <c r="D1875">
        <v>17.5</v>
      </c>
    </row>
    <row r="1876" spans="1:4">
      <c r="A1876" t="s">
        <v>129</v>
      </c>
      <c r="B1876" t="s">
        <v>248</v>
      </c>
      <c r="C1876">
        <v>2019</v>
      </c>
      <c r="D1876">
        <v>116.5</v>
      </c>
    </row>
    <row r="1877" spans="1:4">
      <c r="A1877" t="s">
        <v>74</v>
      </c>
      <c r="B1877" t="s">
        <v>248</v>
      </c>
      <c r="C1877">
        <v>2019</v>
      </c>
      <c r="D1877">
        <v>4</v>
      </c>
    </row>
    <row r="1878" spans="1:4">
      <c r="A1878" t="s">
        <v>134</v>
      </c>
      <c r="B1878" t="s">
        <v>248</v>
      </c>
      <c r="C1878">
        <v>2019</v>
      </c>
      <c r="D1878">
        <v>74.5</v>
      </c>
    </row>
    <row r="1879" spans="1:4">
      <c r="A1879" t="s">
        <v>209</v>
      </c>
      <c r="B1879" t="s">
        <v>248</v>
      </c>
      <c r="C1879">
        <v>2019</v>
      </c>
      <c r="D1879">
        <v>10</v>
      </c>
    </row>
    <row r="1880" spans="1:4">
      <c r="A1880" t="s">
        <v>164</v>
      </c>
      <c r="B1880" t="s">
        <v>248</v>
      </c>
      <c r="C1880">
        <v>2019</v>
      </c>
      <c r="D1880">
        <v>35.8</v>
      </c>
    </row>
    <row r="1881" spans="1:4">
      <c r="A1881" t="s">
        <v>169</v>
      </c>
      <c r="B1881" t="s">
        <v>248</v>
      </c>
      <c r="C1881">
        <v>2019</v>
      </c>
      <c r="D1881">
        <v>104.9</v>
      </c>
    </row>
    <row r="1882" spans="1:4">
      <c r="A1882" t="s">
        <v>189</v>
      </c>
      <c r="B1882" t="s">
        <v>248</v>
      </c>
      <c r="C1882">
        <v>2019</v>
      </c>
      <c r="D1882">
        <v>4</v>
      </c>
    </row>
    <row r="1883" spans="1:4">
      <c r="A1883" t="s">
        <v>174</v>
      </c>
      <c r="B1883" t="s">
        <v>248</v>
      </c>
      <c r="C1883">
        <v>2019</v>
      </c>
      <c r="D1883">
        <v>8.7</v>
      </c>
    </row>
    <row r="1884" spans="1:4">
      <c r="A1884" t="s">
        <v>84</v>
      </c>
      <c r="B1884" t="s">
        <v>248</v>
      </c>
      <c r="C1884">
        <v>2019</v>
      </c>
      <c r="D1884">
        <v>77.7</v>
      </c>
    </row>
    <row r="1885" spans="1:4">
      <c r="A1885" t="s">
        <v>149</v>
      </c>
      <c r="B1885" t="s">
        <v>248</v>
      </c>
      <c r="C1885">
        <v>2019</v>
      </c>
      <c r="D1885">
        <v>34</v>
      </c>
    </row>
    <row r="1886" spans="1:4">
      <c r="A1886" t="s">
        <v>109</v>
      </c>
      <c r="B1886" t="s">
        <v>248</v>
      </c>
      <c r="C1886">
        <v>2019</v>
      </c>
      <c r="D1886">
        <v>16.9</v>
      </c>
    </row>
    <row r="1887" spans="1:4">
      <c r="A1887" t="s">
        <v>154</v>
      </c>
      <c r="B1887" t="s">
        <v>248</v>
      </c>
      <c r="C1887">
        <v>2019</v>
      </c>
      <c r="D1887">
        <v>81.9</v>
      </c>
    </row>
    <row r="1888" spans="1:4">
      <c r="A1888" t="s">
        <v>159</v>
      </c>
      <c r="B1888" t="s">
        <v>248</v>
      </c>
      <c r="C1888">
        <v>2019</v>
      </c>
      <c r="D1888">
        <v>112.9</v>
      </c>
    </row>
    <row r="1889" spans="1:4">
      <c r="A1889" t="s">
        <v>104</v>
      </c>
      <c r="B1889" t="s">
        <v>248</v>
      </c>
      <c r="C1889">
        <v>2019</v>
      </c>
      <c r="D1889">
        <v>10</v>
      </c>
    </row>
    <row r="1890" spans="1:4">
      <c r="A1890" t="s">
        <v>119</v>
      </c>
      <c r="B1890" t="s">
        <v>248</v>
      </c>
      <c r="C1890">
        <v>2019</v>
      </c>
      <c r="D1890">
        <v>133</v>
      </c>
    </row>
    <row r="1891" spans="1:4">
      <c r="A1891" t="s">
        <v>139</v>
      </c>
      <c r="B1891" t="s">
        <v>248</v>
      </c>
      <c r="C1891">
        <v>2019</v>
      </c>
      <c r="D1891">
        <v>156.4</v>
      </c>
    </row>
    <row r="1892" spans="1:4">
      <c r="A1892" t="s">
        <v>99</v>
      </c>
      <c r="B1892" t="s">
        <v>248</v>
      </c>
      <c r="C1892">
        <v>2019</v>
      </c>
      <c r="D1892">
        <v>51</v>
      </c>
    </row>
    <row r="1893" spans="1:4">
      <c r="A1893" t="s">
        <v>94</v>
      </c>
      <c r="B1893" t="s">
        <v>248</v>
      </c>
      <c r="C1893">
        <v>2019</v>
      </c>
      <c r="D1893">
        <v>16.99</v>
      </c>
    </row>
    <row r="1894" spans="1:4">
      <c r="A1894" t="s">
        <v>219</v>
      </c>
      <c r="B1894" t="s">
        <v>248</v>
      </c>
      <c r="C1894">
        <v>2019</v>
      </c>
      <c r="D1894">
        <v>49.98</v>
      </c>
    </row>
    <row r="1895" spans="1:4">
      <c r="A1895" t="s">
        <v>214</v>
      </c>
      <c r="B1895" t="s">
        <v>248</v>
      </c>
      <c r="C1895">
        <v>2019</v>
      </c>
      <c r="D1895">
        <v>0.9</v>
      </c>
    </row>
    <row r="1896" spans="1:4">
      <c r="A1896" t="s">
        <v>70</v>
      </c>
      <c r="B1896" t="s">
        <v>248</v>
      </c>
      <c r="C1896">
        <v>2019</v>
      </c>
      <c r="D1896">
        <v>1814.77</v>
      </c>
    </row>
    <row r="1897" spans="1:4">
      <c r="A1897" t="s">
        <v>144</v>
      </c>
      <c r="B1897" t="s">
        <v>248</v>
      </c>
      <c r="C1897">
        <v>2019</v>
      </c>
      <c r="D1897">
        <v>221.8</v>
      </c>
    </row>
    <row r="1898" spans="1:4">
      <c r="A1898" t="s">
        <v>89</v>
      </c>
      <c r="B1898" t="s">
        <v>248</v>
      </c>
      <c r="C1898">
        <v>2019</v>
      </c>
      <c r="D1898">
        <v>67</v>
      </c>
    </row>
    <row r="1899" spans="1:4">
      <c r="A1899" t="s">
        <v>204</v>
      </c>
      <c r="B1899" t="s">
        <v>248</v>
      </c>
      <c r="C1899">
        <v>2019</v>
      </c>
      <c r="D1899">
        <v>89.7</v>
      </c>
    </row>
    <row r="1900" spans="1:4">
      <c r="A1900" t="s">
        <v>114</v>
      </c>
      <c r="B1900" t="s">
        <v>248</v>
      </c>
      <c r="C1900">
        <v>2019</v>
      </c>
      <c r="D1900">
        <v>37.7</v>
      </c>
    </row>
    <row r="1901" spans="1:4">
      <c r="A1901" t="s">
        <v>184</v>
      </c>
      <c r="B1901" t="s">
        <v>248</v>
      </c>
      <c r="C1901">
        <v>2019</v>
      </c>
      <c r="D1901">
        <v>85.5</v>
      </c>
    </row>
    <row r="1902" spans="1:4">
      <c r="A1902" t="s">
        <v>79</v>
      </c>
      <c r="B1902" t="s">
        <v>248</v>
      </c>
      <c r="C1902">
        <v>2019</v>
      </c>
      <c r="D1902">
        <v>12</v>
      </c>
    </row>
    <row r="1903" spans="1:4">
      <c r="A1903" t="s">
        <v>199</v>
      </c>
      <c r="B1903" t="s">
        <v>248</v>
      </c>
      <c r="C1903">
        <v>2019</v>
      </c>
      <c r="D1903">
        <v>0</v>
      </c>
    </row>
    <row r="1904" spans="1:4">
      <c r="A1904" t="s">
        <v>224</v>
      </c>
      <c r="B1904" t="s">
        <v>248</v>
      </c>
      <c r="C1904">
        <v>2019</v>
      </c>
      <c r="D1904">
        <v>34.9</v>
      </c>
    </row>
    <row r="1905" spans="1:4">
      <c r="A1905" t="s">
        <v>194</v>
      </c>
      <c r="B1905" t="s">
        <v>248</v>
      </c>
      <c r="C1905">
        <v>2019</v>
      </c>
      <c r="D1905">
        <v>88</v>
      </c>
    </row>
    <row r="1906" spans="1:4">
      <c r="A1906" t="s">
        <v>124</v>
      </c>
      <c r="B1906" t="s">
        <v>248</v>
      </c>
      <c r="C1906">
        <v>2019</v>
      </c>
      <c r="D1906">
        <v>59.2</v>
      </c>
    </row>
    <row r="1907" spans="1:4">
      <c r="A1907" t="s">
        <v>179</v>
      </c>
      <c r="B1907" t="s">
        <v>248</v>
      </c>
      <c r="C1907">
        <v>2019</v>
      </c>
      <c r="D1907">
        <v>18.9</v>
      </c>
    </row>
    <row r="1908" spans="1:4">
      <c r="A1908" t="s">
        <v>129</v>
      </c>
      <c r="B1908" t="s">
        <v>248</v>
      </c>
      <c r="C1908">
        <v>2020</v>
      </c>
      <c r="D1908">
        <v>102.6</v>
      </c>
    </row>
    <row r="1909" spans="1:4">
      <c r="A1909" t="s">
        <v>74</v>
      </c>
      <c r="B1909" t="s">
        <v>248</v>
      </c>
      <c r="C1909">
        <v>2020</v>
      </c>
      <c r="D1909">
        <v>0</v>
      </c>
    </row>
    <row r="1910" spans="1:4">
      <c r="A1910" t="s">
        <v>134</v>
      </c>
      <c r="B1910" t="s">
        <v>248</v>
      </c>
      <c r="C1910">
        <v>2020</v>
      </c>
      <c r="D1910">
        <v>66</v>
      </c>
    </row>
    <row r="1911" spans="1:4">
      <c r="A1911" t="s">
        <v>209</v>
      </c>
      <c r="B1911" t="s">
        <v>248</v>
      </c>
      <c r="C1911">
        <v>2020</v>
      </c>
      <c r="D1911">
        <v>9.9</v>
      </c>
    </row>
    <row r="1912" spans="1:4">
      <c r="A1912" t="s">
        <v>164</v>
      </c>
      <c r="B1912" t="s">
        <v>248</v>
      </c>
      <c r="C1912">
        <v>2020</v>
      </c>
      <c r="D1912">
        <v>0</v>
      </c>
    </row>
    <row r="1913" spans="1:4">
      <c r="A1913" t="s">
        <v>169</v>
      </c>
      <c r="B1913" t="s">
        <v>248</v>
      </c>
      <c r="C1913">
        <v>2020</v>
      </c>
      <c r="D1913">
        <v>100</v>
      </c>
    </row>
    <row r="1914" spans="1:4">
      <c r="A1914" t="s">
        <v>189</v>
      </c>
      <c r="B1914" t="s">
        <v>248</v>
      </c>
      <c r="C1914">
        <v>2020</v>
      </c>
      <c r="D1914">
        <v>0</v>
      </c>
    </row>
    <row r="1915" spans="1:4">
      <c r="A1915" t="s">
        <v>174</v>
      </c>
      <c r="B1915" t="s">
        <v>248</v>
      </c>
      <c r="C1915">
        <v>2020</v>
      </c>
      <c r="D1915">
        <v>6.6</v>
      </c>
    </row>
    <row r="1916" spans="1:4">
      <c r="A1916" t="s">
        <v>84</v>
      </c>
      <c r="B1916" t="s">
        <v>248</v>
      </c>
      <c r="C1916">
        <v>2020</v>
      </c>
      <c r="D1916">
        <v>69</v>
      </c>
    </row>
    <row r="1917" spans="1:4">
      <c r="A1917" t="s">
        <v>149</v>
      </c>
      <c r="B1917" t="s">
        <v>248</v>
      </c>
      <c r="C1917">
        <v>2020</v>
      </c>
      <c r="D1917">
        <v>20</v>
      </c>
    </row>
    <row r="1918" spans="1:4">
      <c r="A1918" t="s">
        <v>109</v>
      </c>
      <c r="B1918" t="s">
        <v>248</v>
      </c>
      <c r="C1918">
        <v>2020</v>
      </c>
      <c r="D1918">
        <v>11.7</v>
      </c>
    </row>
    <row r="1919" spans="1:4">
      <c r="A1919" t="s">
        <v>154</v>
      </c>
      <c r="B1919" t="s">
        <v>248</v>
      </c>
      <c r="C1919">
        <v>2020</v>
      </c>
      <c r="D1919">
        <v>73</v>
      </c>
    </row>
    <row r="1920" spans="1:4">
      <c r="A1920" t="s">
        <v>159</v>
      </c>
      <c r="B1920" t="s">
        <v>248</v>
      </c>
      <c r="C1920">
        <v>2020</v>
      </c>
      <c r="D1920">
        <v>95</v>
      </c>
    </row>
    <row r="1921" spans="1:4">
      <c r="A1921" t="s">
        <v>104</v>
      </c>
      <c r="B1921" t="s">
        <v>248</v>
      </c>
      <c r="C1921">
        <v>2020</v>
      </c>
      <c r="D1921">
        <v>11.97</v>
      </c>
    </row>
    <row r="1922" spans="1:4">
      <c r="A1922" t="s">
        <v>119</v>
      </c>
      <c r="B1922" t="s">
        <v>248</v>
      </c>
      <c r="C1922">
        <v>2020</v>
      </c>
      <c r="D1922">
        <v>118</v>
      </c>
    </row>
    <row r="1923" spans="1:4">
      <c r="A1923" t="s">
        <v>139</v>
      </c>
      <c r="B1923" t="s">
        <v>248</v>
      </c>
      <c r="C1923">
        <v>2020</v>
      </c>
      <c r="D1923">
        <v>145</v>
      </c>
    </row>
    <row r="1924" spans="1:4">
      <c r="A1924" t="s">
        <v>99</v>
      </c>
      <c r="B1924" t="s">
        <v>248</v>
      </c>
      <c r="C1924">
        <v>2020</v>
      </c>
      <c r="D1924">
        <v>38</v>
      </c>
    </row>
    <row r="1925" spans="1:4">
      <c r="A1925" t="s">
        <v>94</v>
      </c>
      <c r="B1925" t="s">
        <v>248</v>
      </c>
      <c r="C1925">
        <v>2020</v>
      </c>
      <c r="D1925">
        <v>14.9</v>
      </c>
    </row>
    <row r="1926" spans="1:4">
      <c r="A1926" t="s">
        <v>219</v>
      </c>
      <c r="B1926" t="s">
        <v>248</v>
      </c>
      <c r="C1926">
        <v>2020</v>
      </c>
      <c r="D1926">
        <v>48.9</v>
      </c>
    </row>
    <row r="1927" spans="1:4">
      <c r="A1927" t="s">
        <v>214</v>
      </c>
      <c r="B1927" t="s">
        <v>248</v>
      </c>
      <c r="C1927">
        <v>2020</v>
      </c>
      <c r="D1927">
        <v>0.9</v>
      </c>
    </row>
    <row r="1928" spans="1:4">
      <c r="A1928" t="s">
        <v>70</v>
      </c>
      <c r="B1928" t="s">
        <v>248</v>
      </c>
      <c r="C1928">
        <v>2020</v>
      </c>
      <c r="D1928">
        <v>1592.97</v>
      </c>
    </row>
    <row r="1929" spans="1:4">
      <c r="A1929" t="s">
        <v>144</v>
      </c>
      <c r="B1929" t="s">
        <v>248</v>
      </c>
      <c r="C1929">
        <v>2020</v>
      </c>
      <c r="D1929">
        <v>203</v>
      </c>
    </row>
    <row r="1930" spans="1:4">
      <c r="A1930" t="s">
        <v>89</v>
      </c>
      <c r="B1930" t="s">
        <v>248</v>
      </c>
      <c r="C1930">
        <v>2020</v>
      </c>
      <c r="D1930">
        <v>67.8</v>
      </c>
    </row>
    <row r="1931" spans="1:4">
      <c r="A1931" t="s">
        <v>204</v>
      </c>
      <c r="B1931" t="s">
        <v>248</v>
      </c>
      <c r="C1931">
        <v>2020</v>
      </c>
      <c r="D1931">
        <v>88</v>
      </c>
    </row>
    <row r="1932" spans="1:4">
      <c r="A1932" t="s">
        <v>114</v>
      </c>
      <c r="B1932" t="s">
        <v>248</v>
      </c>
      <c r="C1932">
        <v>2020</v>
      </c>
      <c r="D1932">
        <v>30</v>
      </c>
    </row>
    <row r="1933" spans="1:4">
      <c r="A1933" t="s">
        <v>184</v>
      </c>
      <c r="B1933" t="s">
        <v>248</v>
      </c>
      <c r="C1933">
        <v>2020</v>
      </c>
      <c r="D1933">
        <v>75</v>
      </c>
    </row>
    <row r="1934" spans="1:4">
      <c r="A1934" t="s">
        <v>79</v>
      </c>
      <c r="B1934" t="s">
        <v>248</v>
      </c>
      <c r="C1934">
        <v>2020</v>
      </c>
      <c r="D1934">
        <v>10</v>
      </c>
    </row>
    <row r="1935" spans="1:4">
      <c r="A1935" t="s">
        <v>199</v>
      </c>
      <c r="B1935" t="s">
        <v>248</v>
      </c>
      <c r="C1935">
        <v>2020</v>
      </c>
      <c r="D1935">
        <v>0</v>
      </c>
    </row>
    <row r="1936" spans="1:4">
      <c r="A1936" t="s">
        <v>224</v>
      </c>
      <c r="B1936" t="s">
        <v>248</v>
      </c>
      <c r="C1936">
        <v>2020</v>
      </c>
      <c r="D1936">
        <v>33.9</v>
      </c>
    </row>
    <row r="1937" spans="1:4">
      <c r="A1937" t="s">
        <v>194</v>
      </c>
      <c r="B1937" t="s">
        <v>248</v>
      </c>
      <c r="C1937">
        <v>2020</v>
      </c>
      <c r="D1937">
        <v>82.9</v>
      </c>
    </row>
    <row r="1938" spans="1:4">
      <c r="A1938" t="s">
        <v>124</v>
      </c>
      <c r="B1938" t="s">
        <v>248</v>
      </c>
      <c r="C1938">
        <v>2020</v>
      </c>
      <c r="D1938">
        <v>54</v>
      </c>
    </row>
    <row r="1939" spans="1:4">
      <c r="A1939" t="s">
        <v>179</v>
      </c>
      <c r="B1939" t="s">
        <v>248</v>
      </c>
      <c r="C1939">
        <v>2020</v>
      </c>
      <c r="D1939">
        <v>16.9</v>
      </c>
    </row>
    <row r="1940" spans="1:4">
      <c r="A1940" t="s">
        <v>129</v>
      </c>
      <c r="B1940" t="s">
        <v>248</v>
      </c>
      <c r="C1940">
        <v>2021</v>
      </c>
      <c r="D1940">
        <v>105</v>
      </c>
    </row>
    <row r="1941" spans="1:4">
      <c r="A1941" t="s">
        <v>74</v>
      </c>
      <c r="B1941" t="s">
        <v>248</v>
      </c>
      <c r="C1941">
        <v>2021</v>
      </c>
      <c r="D1941">
        <v>0</v>
      </c>
    </row>
    <row r="1942" spans="1:4">
      <c r="A1942" t="s">
        <v>134</v>
      </c>
      <c r="B1942" t="s">
        <v>248</v>
      </c>
      <c r="C1942">
        <v>2021</v>
      </c>
      <c r="D1942">
        <v>75</v>
      </c>
    </row>
    <row r="1943" spans="1:4">
      <c r="A1943" t="s">
        <v>209</v>
      </c>
      <c r="B1943" t="s">
        <v>248</v>
      </c>
      <c r="C1943">
        <v>2021</v>
      </c>
      <c r="D1943">
        <v>16.9</v>
      </c>
    </row>
    <row r="1944" spans="1:4">
      <c r="A1944" t="s">
        <v>164</v>
      </c>
      <c r="B1944" t="s">
        <v>248</v>
      </c>
      <c r="C1944">
        <v>2021</v>
      </c>
      <c r="D1944">
        <v>0</v>
      </c>
    </row>
    <row r="1945" spans="1:4">
      <c r="A1945" t="s">
        <v>169</v>
      </c>
      <c r="B1945" t="s">
        <v>248</v>
      </c>
      <c r="C1945">
        <v>2021</v>
      </c>
      <c r="D1945">
        <v>100</v>
      </c>
    </row>
    <row r="1946" spans="1:4">
      <c r="A1946" t="s">
        <v>189</v>
      </c>
      <c r="B1946" t="s">
        <v>248</v>
      </c>
      <c r="C1946">
        <v>2021</v>
      </c>
      <c r="D1946">
        <v>0</v>
      </c>
    </row>
    <row r="1947" spans="1:4">
      <c r="A1947" t="s">
        <v>174</v>
      </c>
      <c r="B1947" t="s">
        <v>248</v>
      </c>
      <c r="C1947">
        <v>2021</v>
      </c>
      <c r="D1947">
        <v>7</v>
      </c>
    </row>
    <row r="1948" spans="1:4">
      <c r="A1948" t="s">
        <v>84</v>
      </c>
      <c r="B1948" t="s">
        <v>248</v>
      </c>
      <c r="C1948">
        <v>2021</v>
      </c>
      <c r="D1948">
        <v>70</v>
      </c>
    </row>
    <row r="1949" spans="1:4">
      <c r="A1949" t="s">
        <v>149</v>
      </c>
      <c r="B1949" t="s">
        <v>248</v>
      </c>
      <c r="C1949">
        <v>2021</v>
      </c>
      <c r="D1949">
        <v>21</v>
      </c>
    </row>
    <row r="1950" spans="1:4">
      <c r="A1950" t="s">
        <v>109</v>
      </c>
      <c r="B1950" t="s">
        <v>248</v>
      </c>
      <c r="C1950">
        <v>2021</v>
      </c>
      <c r="D1950">
        <v>18</v>
      </c>
    </row>
    <row r="1951" spans="1:4">
      <c r="A1951" t="s">
        <v>154</v>
      </c>
      <c r="B1951" t="s">
        <v>248</v>
      </c>
      <c r="C1951">
        <v>2021</v>
      </c>
      <c r="D1951">
        <v>90</v>
      </c>
    </row>
    <row r="1952" spans="1:4">
      <c r="A1952" t="s">
        <v>159</v>
      </c>
      <c r="B1952" t="s">
        <v>248</v>
      </c>
      <c r="C1952">
        <v>2021</v>
      </c>
      <c r="D1952">
        <v>100</v>
      </c>
    </row>
    <row r="1953" spans="1:4">
      <c r="A1953" t="s">
        <v>104</v>
      </c>
      <c r="B1953" t="s">
        <v>248</v>
      </c>
      <c r="C1953">
        <v>2021</v>
      </c>
      <c r="D1953">
        <v>12</v>
      </c>
    </row>
    <row r="1954" spans="1:4">
      <c r="A1954" t="s">
        <v>119</v>
      </c>
      <c r="B1954" t="s">
        <v>248</v>
      </c>
      <c r="C1954">
        <v>2021</v>
      </c>
      <c r="D1954">
        <v>116</v>
      </c>
    </row>
    <row r="1955" spans="1:4">
      <c r="A1955" t="s">
        <v>139</v>
      </c>
      <c r="B1955" t="s">
        <v>248</v>
      </c>
      <c r="C1955">
        <v>2021</v>
      </c>
      <c r="D1955">
        <v>174</v>
      </c>
    </row>
    <row r="1956" spans="1:4">
      <c r="A1956" t="s">
        <v>99</v>
      </c>
      <c r="B1956" t="s">
        <v>248</v>
      </c>
      <c r="C1956">
        <v>2021</v>
      </c>
      <c r="D1956">
        <v>42</v>
      </c>
    </row>
    <row r="1957" spans="1:4">
      <c r="A1957" t="s">
        <v>94</v>
      </c>
      <c r="B1957" t="s">
        <v>248</v>
      </c>
      <c r="C1957">
        <v>2021</v>
      </c>
      <c r="D1957">
        <v>18</v>
      </c>
    </row>
    <row r="1958" spans="1:4">
      <c r="A1958" t="s">
        <v>219</v>
      </c>
      <c r="B1958" t="s">
        <v>248</v>
      </c>
      <c r="C1958">
        <v>2021</v>
      </c>
      <c r="D1958">
        <v>53.9</v>
      </c>
    </row>
    <row r="1959" spans="1:4">
      <c r="A1959" t="s">
        <v>214</v>
      </c>
      <c r="B1959" t="s">
        <v>248</v>
      </c>
      <c r="C1959">
        <v>2021</v>
      </c>
      <c r="D1959">
        <v>1</v>
      </c>
    </row>
    <row r="1960" spans="1:4">
      <c r="A1960" t="s">
        <v>70</v>
      </c>
      <c r="B1960" t="s">
        <v>248</v>
      </c>
      <c r="C1960">
        <v>2021</v>
      </c>
      <c r="D1960">
        <v>1720</v>
      </c>
    </row>
    <row r="1961" spans="1:4">
      <c r="A1961" t="s">
        <v>144</v>
      </c>
      <c r="B1961" t="s">
        <v>248</v>
      </c>
      <c r="C1961">
        <v>2021</v>
      </c>
      <c r="D1961">
        <v>202</v>
      </c>
    </row>
    <row r="1962" spans="1:4">
      <c r="A1962" t="s">
        <v>89</v>
      </c>
      <c r="B1962" t="s">
        <v>248</v>
      </c>
      <c r="C1962">
        <v>2021</v>
      </c>
      <c r="D1962">
        <v>49</v>
      </c>
    </row>
    <row r="1963" spans="1:4">
      <c r="A1963" t="s">
        <v>204</v>
      </c>
      <c r="B1963" t="s">
        <v>248</v>
      </c>
      <c r="C1963">
        <v>2021</v>
      </c>
      <c r="D1963">
        <v>98</v>
      </c>
    </row>
    <row r="1964" spans="1:4">
      <c r="A1964" t="s">
        <v>114</v>
      </c>
      <c r="B1964" t="s">
        <v>248</v>
      </c>
      <c r="C1964">
        <v>2021</v>
      </c>
      <c r="D1964">
        <v>36</v>
      </c>
    </row>
    <row r="1965" spans="1:4">
      <c r="A1965" t="s">
        <v>184</v>
      </c>
      <c r="B1965" t="s">
        <v>248</v>
      </c>
      <c r="C1965">
        <v>2021</v>
      </c>
      <c r="D1965">
        <v>83</v>
      </c>
    </row>
    <row r="1966" spans="1:4">
      <c r="A1966" t="s">
        <v>79</v>
      </c>
      <c r="B1966" t="s">
        <v>248</v>
      </c>
      <c r="C1966">
        <v>2021</v>
      </c>
      <c r="D1966">
        <v>16</v>
      </c>
    </row>
    <row r="1967" spans="1:4">
      <c r="A1967" t="s">
        <v>199</v>
      </c>
      <c r="B1967" t="s">
        <v>248</v>
      </c>
      <c r="C1967">
        <v>2021</v>
      </c>
      <c r="D1967">
        <v>0</v>
      </c>
    </row>
    <row r="1968" spans="1:4">
      <c r="A1968" t="s">
        <v>224</v>
      </c>
      <c r="B1968" t="s">
        <v>248</v>
      </c>
      <c r="C1968">
        <v>2021</v>
      </c>
      <c r="D1968">
        <v>52</v>
      </c>
    </row>
    <row r="1969" spans="1:4">
      <c r="A1969" t="s">
        <v>194</v>
      </c>
      <c r="B1969" t="s">
        <v>248</v>
      </c>
      <c r="C1969">
        <v>2021</v>
      </c>
      <c r="D1969">
        <v>87</v>
      </c>
    </row>
    <row r="1970" spans="1:4">
      <c r="A1970" t="s">
        <v>124</v>
      </c>
      <c r="B1970" t="s">
        <v>248</v>
      </c>
      <c r="C1970">
        <v>2021</v>
      </c>
      <c r="D1970">
        <v>63</v>
      </c>
    </row>
    <row r="1971" spans="1:4">
      <c r="A1971" t="s">
        <v>179</v>
      </c>
      <c r="B1971" t="s">
        <v>248</v>
      </c>
      <c r="C1971">
        <v>2021</v>
      </c>
      <c r="D1971">
        <v>17</v>
      </c>
    </row>
    <row r="1972" spans="1:4">
      <c r="A1972" t="s">
        <v>129</v>
      </c>
      <c r="B1972" t="s">
        <v>248</v>
      </c>
      <c r="C1972">
        <v>2022</v>
      </c>
    </row>
    <row r="1973" spans="1:4">
      <c r="A1973" t="s">
        <v>74</v>
      </c>
      <c r="B1973" t="s">
        <v>248</v>
      </c>
      <c r="C1973">
        <v>2022</v>
      </c>
    </row>
    <row r="1974" spans="1:4">
      <c r="A1974" t="s">
        <v>134</v>
      </c>
      <c r="B1974" t="s">
        <v>248</v>
      </c>
      <c r="C1974">
        <v>2022</v>
      </c>
    </row>
    <row r="1975" spans="1:4">
      <c r="A1975" t="s">
        <v>209</v>
      </c>
      <c r="B1975" t="s">
        <v>248</v>
      </c>
      <c r="C1975">
        <v>2022</v>
      </c>
    </row>
    <row r="1976" spans="1:4">
      <c r="A1976" t="s">
        <v>164</v>
      </c>
      <c r="B1976" t="s">
        <v>248</v>
      </c>
      <c r="C1976">
        <v>2022</v>
      </c>
    </row>
    <row r="1977" spans="1:4">
      <c r="A1977" t="s">
        <v>169</v>
      </c>
      <c r="B1977" t="s">
        <v>248</v>
      </c>
      <c r="C1977">
        <v>2022</v>
      </c>
    </row>
    <row r="1978" spans="1:4">
      <c r="A1978" t="s">
        <v>189</v>
      </c>
      <c r="B1978" t="s">
        <v>248</v>
      </c>
      <c r="C1978">
        <v>2022</v>
      </c>
    </row>
    <row r="1979" spans="1:4">
      <c r="A1979" t="s">
        <v>174</v>
      </c>
      <c r="B1979" t="s">
        <v>248</v>
      </c>
      <c r="C1979">
        <v>2022</v>
      </c>
    </row>
    <row r="1980" spans="1:4">
      <c r="A1980" t="s">
        <v>84</v>
      </c>
      <c r="B1980" t="s">
        <v>248</v>
      </c>
      <c r="C1980">
        <v>2022</v>
      </c>
    </row>
    <row r="1981" spans="1:4">
      <c r="A1981" t="s">
        <v>149</v>
      </c>
      <c r="B1981" t="s">
        <v>248</v>
      </c>
      <c r="C1981">
        <v>2022</v>
      </c>
    </row>
    <row r="1982" spans="1:4">
      <c r="A1982" t="s">
        <v>109</v>
      </c>
      <c r="B1982" t="s">
        <v>248</v>
      </c>
      <c r="C1982">
        <v>2022</v>
      </c>
    </row>
    <row r="1983" spans="1:4">
      <c r="A1983" t="s">
        <v>154</v>
      </c>
      <c r="B1983" t="s">
        <v>248</v>
      </c>
      <c r="C1983">
        <v>2022</v>
      </c>
    </row>
    <row r="1984" spans="1:4">
      <c r="A1984" t="s">
        <v>159</v>
      </c>
      <c r="B1984" t="s">
        <v>248</v>
      </c>
      <c r="C1984">
        <v>2022</v>
      </c>
    </row>
    <row r="1985" spans="1:3">
      <c r="A1985" t="s">
        <v>104</v>
      </c>
      <c r="B1985" t="s">
        <v>248</v>
      </c>
      <c r="C1985">
        <v>2022</v>
      </c>
    </row>
    <row r="1986" spans="1:3">
      <c r="A1986" t="s">
        <v>119</v>
      </c>
      <c r="B1986" t="s">
        <v>248</v>
      </c>
      <c r="C1986">
        <v>2022</v>
      </c>
    </row>
    <row r="1987" spans="1:3">
      <c r="A1987" t="s">
        <v>139</v>
      </c>
      <c r="B1987" t="s">
        <v>248</v>
      </c>
      <c r="C1987">
        <v>2022</v>
      </c>
    </row>
    <row r="1988" spans="1:3">
      <c r="A1988" t="s">
        <v>99</v>
      </c>
      <c r="B1988" t="s">
        <v>248</v>
      </c>
      <c r="C1988">
        <v>2022</v>
      </c>
    </row>
    <row r="1989" spans="1:3">
      <c r="A1989" t="s">
        <v>94</v>
      </c>
      <c r="B1989" t="s">
        <v>248</v>
      </c>
      <c r="C1989">
        <v>2022</v>
      </c>
    </row>
    <row r="1990" spans="1:3">
      <c r="A1990" t="s">
        <v>219</v>
      </c>
      <c r="B1990" t="s">
        <v>248</v>
      </c>
      <c r="C1990">
        <v>2022</v>
      </c>
    </row>
    <row r="1991" spans="1:3">
      <c r="A1991" t="s">
        <v>214</v>
      </c>
      <c r="B1991" t="s">
        <v>248</v>
      </c>
      <c r="C1991">
        <v>2022</v>
      </c>
    </row>
    <row r="1992" spans="1:3">
      <c r="A1992" t="s">
        <v>70</v>
      </c>
      <c r="B1992" t="s">
        <v>248</v>
      </c>
      <c r="C1992">
        <v>2022</v>
      </c>
    </row>
    <row r="1993" spans="1:3">
      <c r="A1993" t="s">
        <v>144</v>
      </c>
      <c r="B1993" t="s">
        <v>248</v>
      </c>
      <c r="C1993">
        <v>2022</v>
      </c>
    </row>
    <row r="1994" spans="1:3">
      <c r="A1994" t="s">
        <v>89</v>
      </c>
      <c r="B1994" t="s">
        <v>248</v>
      </c>
      <c r="C1994">
        <v>2022</v>
      </c>
    </row>
    <row r="1995" spans="1:3">
      <c r="A1995" t="s">
        <v>204</v>
      </c>
      <c r="B1995" t="s">
        <v>248</v>
      </c>
      <c r="C1995">
        <v>2022</v>
      </c>
    </row>
    <row r="1996" spans="1:3">
      <c r="A1996" t="s">
        <v>114</v>
      </c>
      <c r="B1996" t="s">
        <v>248</v>
      </c>
      <c r="C1996">
        <v>2022</v>
      </c>
    </row>
    <row r="1997" spans="1:3">
      <c r="A1997" t="s">
        <v>184</v>
      </c>
      <c r="B1997" t="s">
        <v>248</v>
      </c>
      <c r="C1997">
        <v>2022</v>
      </c>
    </row>
    <row r="1998" spans="1:3">
      <c r="A1998" t="s">
        <v>79</v>
      </c>
      <c r="B1998" t="s">
        <v>248</v>
      </c>
      <c r="C1998">
        <v>2022</v>
      </c>
    </row>
    <row r="1999" spans="1:3">
      <c r="A1999" t="s">
        <v>199</v>
      </c>
      <c r="B1999" t="s">
        <v>248</v>
      </c>
      <c r="C1999">
        <v>2022</v>
      </c>
    </row>
    <row r="2000" spans="1:3">
      <c r="A2000" t="s">
        <v>224</v>
      </c>
      <c r="B2000" t="s">
        <v>248</v>
      </c>
      <c r="C2000">
        <v>2022</v>
      </c>
    </row>
    <row r="2001" spans="1:4">
      <c r="A2001" t="s">
        <v>194</v>
      </c>
      <c r="B2001" t="s">
        <v>248</v>
      </c>
      <c r="C2001">
        <v>2022</v>
      </c>
    </row>
    <row r="2002" spans="1:4">
      <c r="A2002" t="s">
        <v>124</v>
      </c>
      <c r="B2002" t="s">
        <v>248</v>
      </c>
      <c r="C2002">
        <v>2022</v>
      </c>
    </row>
    <row r="2003" spans="1:4">
      <c r="A2003" t="s">
        <v>179</v>
      </c>
      <c r="B2003" t="s">
        <v>248</v>
      </c>
      <c r="C2003">
        <v>2022</v>
      </c>
    </row>
    <row r="2004" spans="1:4">
      <c r="A2004" t="s">
        <v>129</v>
      </c>
      <c r="B2004" t="s">
        <v>249</v>
      </c>
      <c r="C2004">
        <v>2015</v>
      </c>
    </row>
    <row r="2005" spans="1:4">
      <c r="A2005" t="s">
        <v>74</v>
      </c>
      <c r="B2005" t="s">
        <v>249</v>
      </c>
      <c r="C2005">
        <v>2015</v>
      </c>
    </row>
    <row r="2006" spans="1:4">
      <c r="A2006" t="s">
        <v>134</v>
      </c>
      <c r="B2006" t="s">
        <v>249</v>
      </c>
      <c r="C2006">
        <v>2015</v>
      </c>
    </row>
    <row r="2007" spans="1:4">
      <c r="A2007" t="s">
        <v>209</v>
      </c>
      <c r="B2007" t="s">
        <v>249</v>
      </c>
      <c r="C2007">
        <v>2015</v>
      </c>
    </row>
    <row r="2008" spans="1:4">
      <c r="A2008" t="s">
        <v>164</v>
      </c>
      <c r="B2008" t="s">
        <v>249</v>
      </c>
      <c r="C2008">
        <v>2015</v>
      </c>
      <c r="D2008">
        <v>0.2</v>
      </c>
    </row>
    <row r="2009" spans="1:4">
      <c r="A2009" t="s">
        <v>169</v>
      </c>
      <c r="B2009" t="s">
        <v>249</v>
      </c>
      <c r="C2009">
        <v>2015</v>
      </c>
    </row>
    <row r="2010" spans="1:4">
      <c r="A2010" t="s">
        <v>189</v>
      </c>
      <c r="B2010" t="s">
        <v>249</v>
      </c>
      <c r="C2010">
        <v>2015</v>
      </c>
    </row>
    <row r="2011" spans="1:4">
      <c r="A2011" t="s">
        <v>174</v>
      </c>
      <c r="B2011" t="s">
        <v>249</v>
      </c>
      <c r="C2011">
        <v>2015</v>
      </c>
    </row>
    <row r="2012" spans="1:4">
      <c r="A2012" t="s">
        <v>84</v>
      </c>
      <c r="B2012" t="s">
        <v>249</v>
      </c>
      <c r="C2012">
        <v>2015</v>
      </c>
    </row>
    <row r="2013" spans="1:4">
      <c r="A2013" t="s">
        <v>149</v>
      </c>
      <c r="B2013" t="s">
        <v>249</v>
      </c>
      <c r="C2013">
        <v>2015</v>
      </c>
    </row>
    <row r="2014" spans="1:4">
      <c r="A2014" t="s">
        <v>109</v>
      </c>
      <c r="B2014" t="s">
        <v>249</v>
      </c>
      <c r="C2014">
        <v>2015</v>
      </c>
    </row>
    <row r="2015" spans="1:4">
      <c r="A2015" t="s">
        <v>154</v>
      </c>
      <c r="B2015" t="s">
        <v>249</v>
      </c>
      <c r="C2015">
        <v>2015</v>
      </c>
    </row>
    <row r="2016" spans="1:4">
      <c r="A2016" t="s">
        <v>159</v>
      </c>
      <c r="B2016" t="s">
        <v>249</v>
      </c>
      <c r="C2016">
        <v>2015</v>
      </c>
    </row>
    <row r="2017" spans="1:4">
      <c r="A2017" t="s">
        <v>104</v>
      </c>
      <c r="B2017" t="s">
        <v>249</v>
      </c>
      <c r="C2017">
        <v>2015</v>
      </c>
    </row>
    <row r="2018" spans="1:4">
      <c r="A2018" t="s">
        <v>119</v>
      </c>
      <c r="B2018" t="s">
        <v>249</v>
      </c>
      <c r="C2018">
        <v>2015</v>
      </c>
    </row>
    <row r="2019" spans="1:4">
      <c r="A2019" t="s">
        <v>139</v>
      </c>
      <c r="B2019" t="s">
        <v>249</v>
      </c>
      <c r="C2019">
        <v>2015</v>
      </c>
    </row>
    <row r="2020" spans="1:4">
      <c r="A2020" t="s">
        <v>99</v>
      </c>
      <c r="B2020" t="s">
        <v>249</v>
      </c>
      <c r="C2020">
        <v>2015</v>
      </c>
    </row>
    <row r="2021" spans="1:4">
      <c r="A2021" t="s">
        <v>94</v>
      </c>
      <c r="B2021" t="s">
        <v>249</v>
      </c>
      <c r="C2021">
        <v>2015</v>
      </c>
    </row>
    <row r="2022" spans="1:4">
      <c r="A2022" t="s">
        <v>219</v>
      </c>
      <c r="B2022" t="s">
        <v>249</v>
      </c>
      <c r="C2022">
        <v>2015</v>
      </c>
    </row>
    <row r="2023" spans="1:4">
      <c r="A2023" t="s">
        <v>214</v>
      </c>
      <c r="B2023" t="s">
        <v>249</v>
      </c>
      <c r="C2023">
        <v>2015</v>
      </c>
    </row>
    <row r="2024" spans="1:4">
      <c r="A2024" t="s">
        <v>70</v>
      </c>
      <c r="B2024" t="s">
        <v>249</v>
      </c>
      <c r="C2024">
        <v>2015</v>
      </c>
      <c r="D2024">
        <v>1.5</v>
      </c>
    </row>
    <row r="2025" spans="1:4">
      <c r="A2025" t="s">
        <v>144</v>
      </c>
      <c r="B2025" t="s">
        <v>249</v>
      </c>
      <c r="C2025">
        <v>2015</v>
      </c>
    </row>
    <row r="2026" spans="1:4">
      <c r="A2026" t="s">
        <v>89</v>
      </c>
      <c r="B2026" t="s">
        <v>249</v>
      </c>
      <c r="C2026">
        <v>2015</v>
      </c>
      <c r="D2026">
        <v>0.1</v>
      </c>
    </row>
    <row r="2027" spans="1:4">
      <c r="A2027" t="s">
        <v>204</v>
      </c>
      <c r="B2027" t="s">
        <v>249</v>
      </c>
      <c r="C2027">
        <v>2015</v>
      </c>
    </row>
    <row r="2028" spans="1:4">
      <c r="A2028" t="s">
        <v>114</v>
      </c>
      <c r="B2028" t="s">
        <v>249</v>
      </c>
      <c r="C2028">
        <v>2015</v>
      </c>
    </row>
    <row r="2029" spans="1:4">
      <c r="A2029" t="s">
        <v>184</v>
      </c>
      <c r="B2029" t="s">
        <v>249</v>
      </c>
      <c r="C2029">
        <v>2015</v>
      </c>
    </row>
    <row r="2030" spans="1:4">
      <c r="A2030" t="s">
        <v>79</v>
      </c>
      <c r="B2030" t="s">
        <v>249</v>
      </c>
      <c r="C2030">
        <v>2015</v>
      </c>
    </row>
    <row r="2031" spans="1:4">
      <c r="A2031" t="s">
        <v>199</v>
      </c>
      <c r="B2031" t="s">
        <v>249</v>
      </c>
      <c r="C2031">
        <v>2015</v>
      </c>
      <c r="D2031">
        <v>1.1</v>
      </c>
    </row>
    <row r="2032" spans="1:4">
      <c r="A2032" t="s">
        <v>224</v>
      </c>
      <c r="B2032" t="s">
        <v>249</v>
      </c>
      <c r="C2032">
        <v>2015</v>
      </c>
    </row>
    <row r="2033" spans="1:4">
      <c r="A2033" t="s">
        <v>194</v>
      </c>
      <c r="B2033" t="s">
        <v>249</v>
      </c>
      <c r="C2033">
        <v>2015</v>
      </c>
    </row>
    <row r="2034" spans="1:4">
      <c r="A2034" t="s">
        <v>124</v>
      </c>
      <c r="B2034" t="s">
        <v>249</v>
      </c>
      <c r="C2034">
        <v>2015</v>
      </c>
      <c r="D2034">
        <v>0.1</v>
      </c>
    </row>
    <row r="2035" spans="1:4">
      <c r="A2035" t="s">
        <v>179</v>
      </c>
      <c r="B2035" t="s">
        <v>249</v>
      </c>
      <c r="C2035">
        <v>2015</v>
      </c>
    </row>
    <row r="2036" spans="1:4">
      <c r="A2036" t="s">
        <v>129</v>
      </c>
      <c r="B2036" t="s">
        <v>249</v>
      </c>
      <c r="C2036">
        <v>2016</v>
      </c>
    </row>
    <row r="2037" spans="1:4">
      <c r="A2037" t="s">
        <v>74</v>
      </c>
      <c r="B2037" t="s">
        <v>249</v>
      </c>
      <c r="C2037">
        <v>2016</v>
      </c>
    </row>
    <row r="2038" spans="1:4">
      <c r="A2038" t="s">
        <v>134</v>
      </c>
      <c r="B2038" t="s">
        <v>249</v>
      </c>
      <c r="C2038">
        <v>2016</v>
      </c>
    </row>
    <row r="2039" spans="1:4">
      <c r="A2039" t="s">
        <v>209</v>
      </c>
      <c r="B2039" t="s">
        <v>249</v>
      </c>
      <c r="C2039">
        <v>2016</v>
      </c>
    </row>
    <row r="2040" spans="1:4">
      <c r="A2040" t="s">
        <v>164</v>
      </c>
      <c r="B2040" t="s">
        <v>249</v>
      </c>
      <c r="C2040">
        <v>2016</v>
      </c>
      <c r="D2040">
        <v>0.2</v>
      </c>
    </row>
    <row r="2041" spans="1:4">
      <c r="A2041" t="s">
        <v>169</v>
      </c>
      <c r="B2041" t="s">
        <v>249</v>
      </c>
      <c r="C2041">
        <v>2016</v>
      </c>
    </row>
    <row r="2042" spans="1:4">
      <c r="A2042" t="s">
        <v>189</v>
      </c>
      <c r="B2042" t="s">
        <v>249</v>
      </c>
      <c r="C2042">
        <v>2016</v>
      </c>
    </row>
    <row r="2043" spans="1:4">
      <c r="A2043" t="s">
        <v>174</v>
      </c>
      <c r="B2043" t="s">
        <v>249</v>
      </c>
      <c r="C2043">
        <v>2016</v>
      </c>
    </row>
    <row r="2044" spans="1:4">
      <c r="A2044" t="s">
        <v>84</v>
      </c>
      <c r="B2044" t="s">
        <v>249</v>
      </c>
      <c r="C2044">
        <v>2016</v>
      </c>
    </row>
    <row r="2045" spans="1:4">
      <c r="A2045" t="s">
        <v>149</v>
      </c>
      <c r="B2045" t="s">
        <v>249</v>
      </c>
      <c r="C2045">
        <v>2016</v>
      </c>
    </row>
    <row r="2046" spans="1:4">
      <c r="A2046" t="s">
        <v>109</v>
      </c>
      <c r="B2046" t="s">
        <v>249</v>
      </c>
      <c r="C2046">
        <v>2016</v>
      </c>
    </row>
    <row r="2047" spans="1:4">
      <c r="A2047" t="s">
        <v>154</v>
      </c>
      <c r="B2047" t="s">
        <v>249</v>
      </c>
      <c r="C2047">
        <v>2016</v>
      </c>
    </row>
    <row r="2048" spans="1:4">
      <c r="A2048" t="s">
        <v>159</v>
      </c>
      <c r="B2048" t="s">
        <v>249</v>
      </c>
      <c r="C2048">
        <v>2016</v>
      </c>
    </row>
    <row r="2049" spans="1:4">
      <c r="A2049" t="s">
        <v>104</v>
      </c>
      <c r="B2049" t="s">
        <v>249</v>
      </c>
      <c r="C2049">
        <v>2016</v>
      </c>
    </row>
    <row r="2050" spans="1:4">
      <c r="A2050" t="s">
        <v>119</v>
      </c>
      <c r="B2050" t="s">
        <v>249</v>
      </c>
      <c r="C2050">
        <v>2016</v>
      </c>
    </row>
    <row r="2051" spans="1:4">
      <c r="A2051" t="s">
        <v>139</v>
      </c>
      <c r="B2051" t="s">
        <v>249</v>
      </c>
      <c r="C2051">
        <v>2016</v>
      </c>
    </row>
    <row r="2052" spans="1:4">
      <c r="A2052" t="s">
        <v>99</v>
      </c>
      <c r="B2052" t="s">
        <v>249</v>
      </c>
      <c r="C2052">
        <v>2016</v>
      </c>
    </row>
    <row r="2053" spans="1:4">
      <c r="A2053" t="s">
        <v>94</v>
      </c>
      <c r="B2053" t="s">
        <v>249</v>
      </c>
      <c r="C2053">
        <v>2016</v>
      </c>
    </row>
    <row r="2054" spans="1:4">
      <c r="A2054" t="s">
        <v>219</v>
      </c>
      <c r="B2054" t="s">
        <v>249</v>
      </c>
      <c r="C2054">
        <v>2016</v>
      </c>
    </row>
    <row r="2055" spans="1:4">
      <c r="A2055" t="s">
        <v>214</v>
      </c>
      <c r="B2055" t="s">
        <v>249</v>
      </c>
      <c r="C2055">
        <v>2016</v>
      </c>
    </row>
    <row r="2056" spans="1:4">
      <c r="A2056" t="s">
        <v>70</v>
      </c>
      <c r="B2056" t="s">
        <v>249</v>
      </c>
      <c r="C2056">
        <v>2016</v>
      </c>
      <c r="D2056">
        <v>1.2</v>
      </c>
    </row>
    <row r="2057" spans="1:4">
      <c r="A2057" t="s">
        <v>144</v>
      </c>
      <c r="B2057" t="s">
        <v>249</v>
      </c>
      <c r="C2057">
        <v>2016</v>
      </c>
    </row>
    <row r="2058" spans="1:4">
      <c r="A2058" t="s">
        <v>89</v>
      </c>
      <c r="B2058" t="s">
        <v>249</v>
      </c>
      <c r="C2058">
        <v>2016</v>
      </c>
    </row>
    <row r="2059" spans="1:4">
      <c r="A2059" t="s">
        <v>204</v>
      </c>
      <c r="B2059" t="s">
        <v>249</v>
      </c>
      <c r="C2059">
        <v>2016</v>
      </c>
    </row>
    <row r="2060" spans="1:4">
      <c r="A2060" t="s">
        <v>114</v>
      </c>
      <c r="B2060" t="s">
        <v>249</v>
      </c>
      <c r="C2060">
        <v>2016</v>
      </c>
    </row>
    <row r="2061" spans="1:4">
      <c r="A2061" t="s">
        <v>184</v>
      </c>
      <c r="B2061" t="s">
        <v>249</v>
      </c>
      <c r="C2061">
        <v>2016</v>
      </c>
    </row>
    <row r="2062" spans="1:4">
      <c r="A2062" t="s">
        <v>79</v>
      </c>
      <c r="B2062" t="s">
        <v>249</v>
      </c>
      <c r="C2062">
        <v>2016</v>
      </c>
    </row>
    <row r="2063" spans="1:4">
      <c r="A2063" t="s">
        <v>199</v>
      </c>
      <c r="B2063" t="s">
        <v>249</v>
      </c>
      <c r="C2063">
        <v>2016</v>
      </c>
      <c r="D2063">
        <v>1</v>
      </c>
    </row>
    <row r="2064" spans="1:4">
      <c r="A2064" t="s">
        <v>224</v>
      </c>
      <c r="B2064" t="s">
        <v>249</v>
      </c>
      <c r="C2064">
        <v>2016</v>
      </c>
    </row>
    <row r="2065" spans="1:4">
      <c r="A2065" t="s">
        <v>194</v>
      </c>
      <c r="B2065" t="s">
        <v>249</v>
      </c>
      <c r="C2065">
        <v>2016</v>
      </c>
    </row>
    <row r="2066" spans="1:4">
      <c r="A2066" t="s">
        <v>124</v>
      </c>
      <c r="B2066" t="s">
        <v>249</v>
      </c>
      <c r="C2066">
        <v>2016</v>
      </c>
      <c r="D2066">
        <v>0</v>
      </c>
    </row>
    <row r="2067" spans="1:4">
      <c r="A2067" t="s">
        <v>179</v>
      </c>
      <c r="B2067" t="s">
        <v>249</v>
      </c>
      <c r="C2067">
        <v>2016</v>
      </c>
    </row>
    <row r="2068" spans="1:4">
      <c r="A2068" t="s">
        <v>129</v>
      </c>
      <c r="B2068" t="s">
        <v>249</v>
      </c>
      <c r="C2068">
        <v>2017</v>
      </c>
    </row>
    <row r="2069" spans="1:4">
      <c r="A2069" t="s">
        <v>74</v>
      </c>
      <c r="B2069" t="s">
        <v>249</v>
      </c>
      <c r="C2069">
        <v>2017</v>
      </c>
    </row>
    <row r="2070" spans="1:4">
      <c r="A2070" t="s">
        <v>134</v>
      </c>
      <c r="B2070" t="s">
        <v>249</v>
      </c>
      <c r="C2070">
        <v>2017</v>
      </c>
    </row>
    <row r="2071" spans="1:4">
      <c r="A2071" t="s">
        <v>209</v>
      </c>
      <c r="B2071" t="s">
        <v>249</v>
      </c>
      <c r="C2071">
        <v>2017</v>
      </c>
    </row>
    <row r="2072" spans="1:4">
      <c r="A2072" t="s">
        <v>164</v>
      </c>
      <c r="B2072" t="s">
        <v>249</v>
      </c>
      <c r="C2072">
        <v>2017</v>
      </c>
      <c r="D2072">
        <v>0</v>
      </c>
    </row>
    <row r="2073" spans="1:4">
      <c r="A2073" t="s">
        <v>169</v>
      </c>
      <c r="B2073" t="s">
        <v>249</v>
      </c>
      <c r="C2073">
        <v>2017</v>
      </c>
    </row>
    <row r="2074" spans="1:4">
      <c r="A2074" t="s">
        <v>189</v>
      </c>
      <c r="B2074" t="s">
        <v>249</v>
      </c>
      <c r="C2074">
        <v>2017</v>
      </c>
    </row>
    <row r="2075" spans="1:4">
      <c r="A2075" t="s">
        <v>174</v>
      </c>
      <c r="B2075" t="s">
        <v>249</v>
      </c>
      <c r="C2075">
        <v>2017</v>
      </c>
    </row>
    <row r="2076" spans="1:4">
      <c r="A2076" t="s">
        <v>84</v>
      </c>
      <c r="B2076" t="s">
        <v>249</v>
      </c>
      <c r="C2076">
        <v>2017</v>
      </c>
    </row>
    <row r="2077" spans="1:4">
      <c r="A2077" t="s">
        <v>149</v>
      </c>
      <c r="B2077" t="s">
        <v>249</v>
      </c>
      <c r="C2077">
        <v>2017</v>
      </c>
    </row>
    <row r="2078" spans="1:4">
      <c r="A2078" t="s">
        <v>109</v>
      </c>
      <c r="B2078" t="s">
        <v>249</v>
      </c>
      <c r="C2078">
        <v>2017</v>
      </c>
    </row>
    <row r="2079" spans="1:4">
      <c r="A2079" t="s">
        <v>154</v>
      </c>
      <c r="B2079" t="s">
        <v>249</v>
      </c>
      <c r="C2079">
        <v>2017</v>
      </c>
    </row>
    <row r="2080" spans="1:4">
      <c r="A2080" t="s">
        <v>159</v>
      </c>
      <c r="B2080" t="s">
        <v>249</v>
      </c>
      <c r="C2080">
        <v>2017</v>
      </c>
    </row>
    <row r="2081" spans="1:4">
      <c r="A2081" t="s">
        <v>104</v>
      </c>
      <c r="B2081" t="s">
        <v>249</v>
      </c>
      <c r="C2081">
        <v>2017</v>
      </c>
    </row>
    <row r="2082" spans="1:4">
      <c r="A2082" t="s">
        <v>119</v>
      </c>
      <c r="B2082" t="s">
        <v>249</v>
      </c>
      <c r="C2082">
        <v>2017</v>
      </c>
    </row>
    <row r="2083" spans="1:4">
      <c r="A2083" t="s">
        <v>139</v>
      </c>
      <c r="B2083" t="s">
        <v>249</v>
      </c>
      <c r="C2083">
        <v>2017</v>
      </c>
    </row>
    <row r="2084" spans="1:4">
      <c r="A2084" t="s">
        <v>99</v>
      </c>
      <c r="B2084" t="s">
        <v>249</v>
      </c>
      <c r="C2084">
        <v>2017</v>
      </c>
    </row>
    <row r="2085" spans="1:4">
      <c r="A2085" t="s">
        <v>94</v>
      </c>
      <c r="B2085" t="s">
        <v>249</v>
      </c>
      <c r="C2085">
        <v>2017</v>
      </c>
    </row>
    <row r="2086" spans="1:4">
      <c r="A2086" t="s">
        <v>219</v>
      </c>
      <c r="B2086" t="s">
        <v>249</v>
      </c>
      <c r="C2086">
        <v>2017</v>
      </c>
    </row>
    <row r="2087" spans="1:4">
      <c r="A2087" t="s">
        <v>214</v>
      </c>
      <c r="B2087" t="s">
        <v>249</v>
      </c>
      <c r="C2087">
        <v>2017</v>
      </c>
    </row>
    <row r="2088" spans="1:4">
      <c r="A2088" t="s">
        <v>70</v>
      </c>
      <c r="B2088" t="s">
        <v>249</v>
      </c>
      <c r="C2088">
        <v>2017</v>
      </c>
      <c r="D2088">
        <v>1</v>
      </c>
    </row>
    <row r="2089" spans="1:4">
      <c r="A2089" t="s">
        <v>144</v>
      </c>
      <c r="B2089" t="s">
        <v>249</v>
      </c>
      <c r="C2089">
        <v>2017</v>
      </c>
    </row>
    <row r="2090" spans="1:4">
      <c r="A2090" t="s">
        <v>89</v>
      </c>
      <c r="B2090" t="s">
        <v>249</v>
      </c>
      <c r="C2090">
        <v>2017</v>
      </c>
    </row>
    <row r="2091" spans="1:4">
      <c r="A2091" t="s">
        <v>204</v>
      </c>
      <c r="B2091" t="s">
        <v>249</v>
      </c>
      <c r="C2091">
        <v>2017</v>
      </c>
    </row>
    <row r="2092" spans="1:4">
      <c r="A2092" t="s">
        <v>114</v>
      </c>
      <c r="B2092" t="s">
        <v>249</v>
      </c>
      <c r="C2092">
        <v>2017</v>
      </c>
    </row>
    <row r="2093" spans="1:4">
      <c r="A2093" t="s">
        <v>184</v>
      </c>
      <c r="B2093" t="s">
        <v>249</v>
      </c>
      <c r="C2093">
        <v>2017</v>
      </c>
    </row>
    <row r="2094" spans="1:4">
      <c r="A2094" t="s">
        <v>79</v>
      </c>
      <c r="B2094" t="s">
        <v>249</v>
      </c>
      <c r="C2094">
        <v>2017</v>
      </c>
    </row>
    <row r="2095" spans="1:4">
      <c r="A2095" t="s">
        <v>199</v>
      </c>
      <c r="B2095" t="s">
        <v>249</v>
      </c>
      <c r="C2095">
        <v>2017</v>
      </c>
      <c r="D2095">
        <v>1</v>
      </c>
    </row>
    <row r="2096" spans="1:4">
      <c r="A2096" t="s">
        <v>224</v>
      </c>
      <c r="B2096" t="s">
        <v>249</v>
      </c>
      <c r="C2096">
        <v>2017</v>
      </c>
    </row>
    <row r="2097" spans="1:4">
      <c r="A2097" t="s">
        <v>194</v>
      </c>
      <c r="B2097" t="s">
        <v>249</v>
      </c>
      <c r="C2097">
        <v>2017</v>
      </c>
    </row>
    <row r="2098" spans="1:4">
      <c r="A2098" t="s">
        <v>124</v>
      </c>
      <c r="B2098" t="s">
        <v>249</v>
      </c>
      <c r="C2098">
        <v>2017</v>
      </c>
      <c r="D2098">
        <v>0</v>
      </c>
    </row>
    <row r="2099" spans="1:4">
      <c r="A2099" t="s">
        <v>179</v>
      </c>
      <c r="B2099" t="s">
        <v>249</v>
      </c>
      <c r="C2099">
        <v>2017</v>
      </c>
    </row>
    <row r="2100" spans="1:4">
      <c r="A2100" t="s">
        <v>129</v>
      </c>
      <c r="B2100" t="s">
        <v>249</v>
      </c>
      <c r="C2100">
        <v>2018</v>
      </c>
    </row>
    <row r="2101" spans="1:4">
      <c r="A2101" t="s">
        <v>74</v>
      </c>
      <c r="B2101" t="s">
        <v>249</v>
      </c>
      <c r="C2101">
        <v>2018</v>
      </c>
    </row>
    <row r="2102" spans="1:4">
      <c r="A2102" t="s">
        <v>134</v>
      </c>
      <c r="B2102" t="s">
        <v>249</v>
      </c>
      <c r="C2102">
        <v>2018</v>
      </c>
    </row>
    <row r="2103" spans="1:4">
      <c r="A2103" t="s">
        <v>209</v>
      </c>
      <c r="B2103" t="s">
        <v>249</v>
      </c>
      <c r="C2103">
        <v>2018</v>
      </c>
    </row>
    <row r="2104" spans="1:4">
      <c r="A2104" t="s">
        <v>164</v>
      </c>
      <c r="B2104" t="s">
        <v>249</v>
      </c>
      <c r="C2104">
        <v>2018</v>
      </c>
      <c r="D2104">
        <v>0.2</v>
      </c>
    </row>
    <row r="2105" spans="1:4">
      <c r="A2105" t="s">
        <v>169</v>
      </c>
      <c r="B2105" t="s">
        <v>249</v>
      </c>
      <c r="C2105">
        <v>2018</v>
      </c>
    </row>
    <row r="2106" spans="1:4">
      <c r="A2106" t="s">
        <v>189</v>
      </c>
      <c r="B2106" t="s">
        <v>249</v>
      </c>
      <c r="C2106">
        <v>2018</v>
      </c>
    </row>
    <row r="2107" spans="1:4">
      <c r="A2107" t="s">
        <v>174</v>
      </c>
      <c r="B2107" t="s">
        <v>249</v>
      </c>
      <c r="C2107">
        <v>2018</v>
      </c>
    </row>
    <row r="2108" spans="1:4">
      <c r="A2108" t="s">
        <v>84</v>
      </c>
      <c r="B2108" t="s">
        <v>249</v>
      </c>
      <c r="C2108">
        <v>2018</v>
      </c>
    </row>
    <row r="2109" spans="1:4">
      <c r="A2109" t="s">
        <v>149</v>
      </c>
      <c r="B2109" t="s">
        <v>249</v>
      </c>
      <c r="C2109">
        <v>2018</v>
      </c>
    </row>
    <row r="2110" spans="1:4">
      <c r="A2110" t="s">
        <v>109</v>
      </c>
      <c r="B2110" t="s">
        <v>249</v>
      </c>
      <c r="C2110">
        <v>2018</v>
      </c>
    </row>
    <row r="2111" spans="1:4">
      <c r="A2111" t="s">
        <v>154</v>
      </c>
      <c r="B2111" t="s">
        <v>249</v>
      </c>
      <c r="C2111">
        <v>2018</v>
      </c>
    </row>
    <row r="2112" spans="1:4">
      <c r="A2112" t="s">
        <v>159</v>
      </c>
      <c r="B2112" t="s">
        <v>249</v>
      </c>
      <c r="C2112">
        <v>2018</v>
      </c>
    </row>
    <row r="2113" spans="1:4">
      <c r="A2113" t="s">
        <v>104</v>
      </c>
      <c r="B2113" t="s">
        <v>249</v>
      </c>
      <c r="C2113">
        <v>2018</v>
      </c>
    </row>
    <row r="2114" spans="1:4">
      <c r="A2114" t="s">
        <v>119</v>
      </c>
      <c r="B2114" t="s">
        <v>249</v>
      </c>
      <c r="C2114">
        <v>2018</v>
      </c>
      <c r="D2114">
        <v>0.4</v>
      </c>
    </row>
    <row r="2115" spans="1:4">
      <c r="A2115" t="s">
        <v>139</v>
      </c>
      <c r="B2115" t="s">
        <v>249</v>
      </c>
      <c r="C2115">
        <v>2018</v>
      </c>
    </row>
    <row r="2116" spans="1:4">
      <c r="A2116" t="s">
        <v>99</v>
      </c>
      <c r="B2116" t="s">
        <v>249</v>
      </c>
      <c r="C2116">
        <v>2018</v>
      </c>
    </row>
    <row r="2117" spans="1:4">
      <c r="A2117" t="s">
        <v>94</v>
      </c>
      <c r="B2117" t="s">
        <v>249</v>
      </c>
      <c r="C2117">
        <v>2018</v>
      </c>
    </row>
    <row r="2118" spans="1:4">
      <c r="A2118" t="s">
        <v>219</v>
      </c>
      <c r="B2118" t="s">
        <v>249</v>
      </c>
      <c r="C2118">
        <v>2018</v>
      </c>
    </row>
    <row r="2119" spans="1:4">
      <c r="A2119" t="s">
        <v>214</v>
      </c>
      <c r="B2119" t="s">
        <v>249</v>
      </c>
      <c r="C2119">
        <v>2018</v>
      </c>
    </row>
    <row r="2120" spans="1:4">
      <c r="A2120" t="s">
        <v>70</v>
      </c>
      <c r="B2120" t="s">
        <v>249</v>
      </c>
      <c r="C2120">
        <v>2018</v>
      </c>
      <c r="D2120">
        <v>1</v>
      </c>
    </row>
    <row r="2121" spans="1:4">
      <c r="A2121" t="s">
        <v>144</v>
      </c>
      <c r="B2121" t="s">
        <v>249</v>
      </c>
      <c r="C2121">
        <v>2018</v>
      </c>
    </row>
    <row r="2122" spans="1:4">
      <c r="A2122" t="s">
        <v>89</v>
      </c>
      <c r="B2122" t="s">
        <v>249</v>
      </c>
      <c r="C2122">
        <v>2018</v>
      </c>
    </row>
    <row r="2123" spans="1:4">
      <c r="A2123" t="s">
        <v>204</v>
      </c>
      <c r="B2123" t="s">
        <v>249</v>
      </c>
      <c r="C2123">
        <v>2018</v>
      </c>
    </row>
    <row r="2124" spans="1:4">
      <c r="A2124" t="s">
        <v>114</v>
      </c>
      <c r="B2124" t="s">
        <v>249</v>
      </c>
      <c r="C2124">
        <v>2018</v>
      </c>
    </row>
    <row r="2125" spans="1:4">
      <c r="A2125" t="s">
        <v>184</v>
      </c>
      <c r="B2125" t="s">
        <v>249</v>
      </c>
      <c r="C2125">
        <v>2018</v>
      </c>
    </row>
    <row r="2126" spans="1:4">
      <c r="A2126" t="s">
        <v>79</v>
      </c>
      <c r="B2126" t="s">
        <v>249</v>
      </c>
      <c r="C2126">
        <v>2018</v>
      </c>
    </row>
    <row r="2127" spans="1:4">
      <c r="A2127" t="s">
        <v>199</v>
      </c>
      <c r="B2127" t="s">
        <v>249</v>
      </c>
      <c r="C2127">
        <v>2018</v>
      </c>
      <c r="D2127">
        <v>1</v>
      </c>
    </row>
    <row r="2128" spans="1:4">
      <c r="A2128" t="s">
        <v>224</v>
      </c>
      <c r="B2128" t="s">
        <v>249</v>
      </c>
      <c r="C2128">
        <v>2018</v>
      </c>
    </row>
    <row r="2129" spans="1:4">
      <c r="A2129" t="s">
        <v>194</v>
      </c>
      <c r="B2129" t="s">
        <v>249</v>
      </c>
      <c r="C2129">
        <v>2018</v>
      </c>
    </row>
    <row r="2130" spans="1:4">
      <c r="A2130" t="s">
        <v>124</v>
      </c>
      <c r="B2130" t="s">
        <v>249</v>
      </c>
      <c r="C2130">
        <v>2018</v>
      </c>
      <c r="D2130">
        <v>0.1</v>
      </c>
    </row>
    <row r="2131" spans="1:4">
      <c r="A2131" t="s">
        <v>179</v>
      </c>
      <c r="B2131" t="s">
        <v>249</v>
      </c>
      <c r="C2131">
        <v>2018</v>
      </c>
    </row>
    <row r="2132" spans="1:4">
      <c r="A2132" t="s">
        <v>129</v>
      </c>
      <c r="B2132" t="s">
        <v>249</v>
      </c>
      <c r="C2132">
        <v>2019</v>
      </c>
    </row>
    <row r="2133" spans="1:4">
      <c r="A2133" t="s">
        <v>74</v>
      </c>
      <c r="B2133" t="s">
        <v>249</v>
      </c>
      <c r="C2133">
        <v>2019</v>
      </c>
    </row>
    <row r="2134" spans="1:4">
      <c r="A2134" t="s">
        <v>134</v>
      </c>
      <c r="B2134" t="s">
        <v>249</v>
      </c>
      <c r="C2134">
        <v>2019</v>
      </c>
    </row>
    <row r="2135" spans="1:4">
      <c r="A2135" t="s">
        <v>209</v>
      </c>
      <c r="B2135" t="s">
        <v>249</v>
      </c>
      <c r="C2135">
        <v>2019</v>
      </c>
    </row>
    <row r="2136" spans="1:4">
      <c r="A2136" t="s">
        <v>164</v>
      </c>
      <c r="B2136" t="s">
        <v>249</v>
      </c>
      <c r="C2136">
        <v>2019</v>
      </c>
      <c r="D2136">
        <v>0.2</v>
      </c>
    </row>
    <row r="2137" spans="1:4">
      <c r="A2137" t="s">
        <v>169</v>
      </c>
      <c r="B2137" t="s">
        <v>249</v>
      </c>
      <c r="C2137">
        <v>2019</v>
      </c>
    </row>
    <row r="2138" spans="1:4">
      <c r="A2138" t="s">
        <v>189</v>
      </c>
      <c r="B2138" t="s">
        <v>249</v>
      </c>
      <c r="C2138">
        <v>2019</v>
      </c>
    </row>
    <row r="2139" spans="1:4">
      <c r="A2139" t="s">
        <v>174</v>
      </c>
      <c r="B2139" t="s">
        <v>249</v>
      </c>
      <c r="C2139">
        <v>2019</v>
      </c>
      <c r="D2139">
        <v>1</v>
      </c>
    </row>
    <row r="2140" spans="1:4">
      <c r="A2140" t="s">
        <v>84</v>
      </c>
      <c r="B2140" t="s">
        <v>249</v>
      </c>
      <c r="C2140">
        <v>2019</v>
      </c>
    </row>
    <row r="2141" spans="1:4">
      <c r="A2141" t="s">
        <v>149</v>
      </c>
      <c r="B2141" t="s">
        <v>249</v>
      </c>
      <c r="C2141">
        <v>2019</v>
      </c>
    </row>
    <row r="2142" spans="1:4">
      <c r="A2142" t="s">
        <v>109</v>
      </c>
      <c r="B2142" t="s">
        <v>249</v>
      </c>
      <c r="C2142">
        <v>2019</v>
      </c>
    </row>
    <row r="2143" spans="1:4">
      <c r="A2143" t="s">
        <v>154</v>
      </c>
      <c r="B2143" t="s">
        <v>249</v>
      </c>
      <c r="C2143">
        <v>2019</v>
      </c>
    </row>
    <row r="2144" spans="1:4">
      <c r="A2144" t="s">
        <v>159</v>
      </c>
      <c r="B2144" t="s">
        <v>249</v>
      </c>
      <c r="C2144">
        <v>2019</v>
      </c>
    </row>
    <row r="2145" spans="1:4">
      <c r="A2145" t="s">
        <v>104</v>
      </c>
      <c r="B2145" t="s">
        <v>249</v>
      </c>
      <c r="C2145">
        <v>2019</v>
      </c>
    </row>
    <row r="2146" spans="1:4">
      <c r="A2146" t="s">
        <v>119</v>
      </c>
      <c r="B2146" t="s">
        <v>249</v>
      </c>
      <c r="C2146">
        <v>2019</v>
      </c>
      <c r="D2146">
        <v>1</v>
      </c>
    </row>
    <row r="2147" spans="1:4">
      <c r="A2147" t="s">
        <v>139</v>
      </c>
      <c r="B2147" t="s">
        <v>249</v>
      </c>
      <c r="C2147">
        <v>2019</v>
      </c>
    </row>
    <row r="2148" spans="1:4">
      <c r="A2148" t="s">
        <v>99</v>
      </c>
      <c r="B2148" t="s">
        <v>249</v>
      </c>
      <c r="C2148">
        <v>2019</v>
      </c>
    </row>
    <row r="2149" spans="1:4">
      <c r="A2149" t="s">
        <v>94</v>
      </c>
      <c r="B2149" t="s">
        <v>249</v>
      </c>
      <c r="C2149">
        <v>2019</v>
      </c>
    </row>
    <row r="2150" spans="1:4">
      <c r="A2150" t="s">
        <v>219</v>
      </c>
      <c r="B2150" t="s">
        <v>249</v>
      </c>
      <c r="C2150">
        <v>2019</v>
      </c>
    </row>
    <row r="2151" spans="1:4">
      <c r="A2151" t="s">
        <v>214</v>
      </c>
      <c r="B2151" t="s">
        <v>249</v>
      </c>
      <c r="C2151">
        <v>2019</v>
      </c>
    </row>
    <row r="2152" spans="1:4">
      <c r="A2152" t="s">
        <v>70</v>
      </c>
      <c r="B2152" t="s">
        <v>249</v>
      </c>
      <c r="C2152">
        <v>2019</v>
      </c>
      <c r="D2152">
        <v>3</v>
      </c>
    </row>
    <row r="2153" spans="1:4">
      <c r="A2153" t="s">
        <v>144</v>
      </c>
      <c r="B2153" t="s">
        <v>249</v>
      </c>
      <c r="C2153">
        <v>2019</v>
      </c>
    </row>
    <row r="2154" spans="1:4">
      <c r="A2154" t="s">
        <v>89</v>
      </c>
      <c r="B2154" t="s">
        <v>249</v>
      </c>
      <c r="C2154">
        <v>2019</v>
      </c>
    </row>
    <row r="2155" spans="1:4">
      <c r="A2155" t="s">
        <v>204</v>
      </c>
      <c r="B2155" t="s">
        <v>249</v>
      </c>
      <c r="C2155">
        <v>2019</v>
      </c>
    </row>
    <row r="2156" spans="1:4">
      <c r="A2156" t="s">
        <v>114</v>
      </c>
      <c r="B2156" t="s">
        <v>249</v>
      </c>
      <c r="C2156">
        <v>2019</v>
      </c>
    </row>
    <row r="2157" spans="1:4">
      <c r="A2157" t="s">
        <v>184</v>
      </c>
      <c r="B2157" t="s">
        <v>249</v>
      </c>
      <c r="C2157">
        <v>2019</v>
      </c>
    </row>
    <row r="2158" spans="1:4">
      <c r="A2158" t="s">
        <v>79</v>
      </c>
      <c r="B2158" t="s">
        <v>249</v>
      </c>
      <c r="C2158">
        <v>2019</v>
      </c>
    </row>
    <row r="2159" spans="1:4">
      <c r="A2159" t="s">
        <v>199</v>
      </c>
      <c r="B2159" t="s">
        <v>249</v>
      </c>
      <c r="C2159">
        <v>2019</v>
      </c>
      <c r="D2159">
        <v>1</v>
      </c>
    </row>
    <row r="2160" spans="1:4">
      <c r="A2160" t="s">
        <v>224</v>
      </c>
      <c r="B2160" t="s">
        <v>249</v>
      </c>
      <c r="C2160">
        <v>2019</v>
      </c>
    </row>
    <row r="2161" spans="1:4">
      <c r="A2161" t="s">
        <v>194</v>
      </c>
      <c r="B2161" t="s">
        <v>249</v>
      </c>
      <c r="C2161">
        <v>2019</v>
      </c>
    </row>
    <row r="2162" spans="1:4">
      <c r="A2162" t="s">
        <v>124</v>
      </c>
      <c r="B2162" t="s">
        <v>249</v>
      </c>
      <c r="C2162">
        <v>2019</v>
      </c>
      <c r="D2162">
        <v>0.1</v>
      </c>
    </row>
    <row r="2163" spans="1:4">
      <c r="A2163" t="s">
        <v>179</v>
      </c>
      <c r="B2163" t="s">
        <v>249</v>
      </c>
      <c r="C2163">
        <v>2019</v>
      </c>
    </row>
    <row r="2164" spans="1:4">
      <c r="A2164" t="s">
        <v>129</v>
      </c>
      <c r="B2164" t="s">
        <v>249</v>
      </c>
      <c r="C2164">
        <v>2020</v>
      </c>
    </row>
    <row r="2165" spans="1:4">
      <c r="A2165" t="s">
        <v>74</v>
      </c>
      <c r="B2165" t="s">
        <v>249</v>
      </c>
      <c r="C2165">
        <v>2020</v>
      </c>
    </row>
    <row r="2166" spans="1:4">
      <c r="A2166" t="s">
        <v>134</v>
      </c>
      <c r="B2166" t="s">
        <v>249</v>
      </c>
      <c r="C2166">
        <v>2020</v>
      </c>
      <c r="D2166">
        <v>0.2</v>
      </c>
    </row>
    <row r="2167" spans="1:4">
      <c r="A2167" t="s">
        <v>209</v>
      </c>
      <c r="B2167" t="s">
        <v>249</v>
      </c>
      <c r="C2167">
        <v>2020</v>
      </c>
    </row>
    <row r="2168" spans="1:4">
      <c r="A2168" t="s">
        <v>164</v>
      </c>
      <c r="B2168" t="s">
        <v>249</v>
      </c>
      <c r="C2168">
        <v>2020</v>
      </c>
    </row>
    <row r="2169" spans="1:4">
      <c r="A2169" t="s">
        <v>169</v>
      </c>
      <c r="B2169" t="s">
        <v>249</v>
      </c>
      <c r="C2169">
        <v>2020</v>
      </c>
    </row>
    <row r="2170" spans="1:4">
      <c r="A2170" t="s">
        <v>189</v>
      </c>
      <c r="B2170" t="s">
        <v>249</v>
      </c>
      <c r="C2170">
        <v>2020</v>
      </c>
    </row>
    <row r="2171" spans="1:4">
      <c r="A2171" t="s">
        <v>174</v>
      </c>
      <c r="B2171" t="s">
        <v>249</v>
      </c>
      <c r="C2171">
        <v>2020</v>
      </c>
    </row>
    <row r="2172" spans="1:4">
      <c r="A2172" t="s">
        <v>84</v>
      </c>
      <c r="B2172" t="s">
        <v>249</v>
      </c>
      <c r="C2172">
        <v>2020</v>
      </c>
    </row>
    <row r="2173" spans="1:4">
      <c r="A2173" t="s">
        <v>149</v>
      </c>
      <c r="B2173" t="s">
        <v>249</v>
      </c>
      <c r="C2173">
        <v>2020</v>
      </c>
    </row>
    <row r="2174" spans="1:4">
      <c r="A2174" t="s">
        <v>109</v>
      </c>
      <c r="B2174" t="s">
        <v>249</v>
      </c>
      <c r="C2174">
        <v>2020</v>
      </c>
    </row>
    <row r="2175" spans="1:4">
      <c r="A2175" t="s">
        <v>154</v>
      </c>
      <c r="B2175" t="s">
        <v>249</v>
      </c>
      <c r="C2175">
        <v>2020</v>
      </c>
    </row>
    <row r="2176" spans="1:4">
      <c r="A2176" t="s">
        <v>159</v>
      </c>
      <c r="B2176" t="s">
        <v>249</v>
      </c>
      <c r="C2176">
        <v>2020</v>
      </c>
      <c r="D2176">
        <v>0.5</v>
      </c>
    </row>
    <row r="2177" spans="1:4">
      <c r="A2177" t="s">
        <v>104</v>
      </c>
      <c r="B2177" t="s">
        <v>249</v>
      </c>
      <c r="C2177">
        <v>2020</v>
      </c>
    </row>
    <row r="2178" spans="1:4">
      <c r="A2178" t="s">
        <v>119</v>
      </c>
      <c r="B2178" t="s">
        <v>249</v>
      </c>
      <c r="C2178">
        <v>2020</v>
      </c>
      <c r="D2178">
        <v>1</v>
      </c>
    </row>
    <row r="2179" spans="1:4">
      <c r="A2179" t="s">
        <v>139</v>
      </c>
      <c r="B2179" t="s">
        <v>249</v>
      </c>
      <c r="C2179">
        <v>2020</v>
      </c>
    </row>
    <row r="2180" spans="1:4">
      <c r="A2180" t="s">
        <v>99</v>
      </c>
      <c r="B2180" t="s">
        <v>249</v>
      </c>
      <c r="C2180">
        <v>2020</v>
      </c>
    </row>
    <row r="2181" spans="1:4">
      <c r="A2181" t="s">
        <v>94</v>
      </c>
      <c r="B2181" t="s">
        <v>249</v>
      </c>
      <c r="C2181">
        <v>2020</v>
      </c>
    </row>
    <row r="2182" spans="1:4">
      <c r="A2182" t="s">
        <v>219</v>
      </c>
      <c r="B2182" t="s">
        <v>249</v>
      </c>
      <c r="C2182">
        <v>2020</v>
      </c>
    </row>
    <row r="2183" spans="1:4">
      <c r="A2183" t="s">
        <v>214</v>
      </c>
      <c r="B2183" t="s">
        <v>249</v>
      </c>
      <c r="C2183">
        <v>2020</v>
      </c>
    </row>
    <row r="2184" spans="1:4">
      <c r="A2184" t="s">
        <v>70</v>
      </c>
      <c r="B2184" t="s">
        <v>249</v>
      </c>
      <c r="C2184">
        <v>2020</v>
      </c>
      <c r="D2184">
        <v>3</v>
      </c>
    </row>
    <row r="2185" spans="1:4">
      <c r="A2185" t="s">
        <v>144</v>
      </c>
      <c r="B2185" t="s">
        <v>249</v>
      </c>
      <c r="C2185">
        <v>2020</v>
      </c>
    </row>
    <row r="2186" spans="1:4">
      <c r="A2186" t="s">
        <v>89</v>
      </c>
      <c r="B2186" t="s">
        <v>249</v>
      </c>
      <c r="C2186">
        <v>2020</v>
      </c>
    </row>
    <row r="2187" spans="1:4">
      <c r="A2187" t="s">
        <v>204</v>
      </c>
      <c r="B2187" t="s">
        <v>249</v>
      </c>
      <c r="C2187">
        <v>2020</v>
      </c>
    </row>
    <row r="2188" spans="1:4">
      <c r="A2188" t="s">
        <v>114</v>
      </c>
      <c r="B2188" t="s">
        <v>249</v>
      </c>
      <c r="C2188">
        <v>2020</v>
      </c>
    </row>
    <row r="2189" spans="1:4">
      <c r="A2189" t="s">
        <v>184</v>
      </c>
      <c r="B2189" t="s">
        <v>249</v>
      </c>
      <c r="C2189">
        <v>2020</v>
      </c>
    </row>
    <row r="2190" spans="1:4">
      <c r="A2190" t="s">
        <v>79</v>
      </c>
      <c r="B2190" t="s">
        <v>249</v>
      </c>
      <c r="C2190">
        <v>2020</v>
      </c>
    </row>
    <row r="2191" spans="1:4">
      <c r="A2191" t="s">
        <v>199</v>
      </c>
      <c r="B2191" t="s">
        <v>249</v>
      </c>
      <c r="C2191">
        <v>2020</v>
      </c>
      <c r="D2191">
        <v>1</v>
      </c>
    </row>
    <row r="2192" spans="1:4">
      <c r="A2192" t="s">
        <v>224</v>
      </c>
      <c r="B2192" t="s">
        <v>249</v>
      </c>
      <c r="C2192">
        <v>2020</v>
      </c>
    </row>
    <row r="2193" spans="1:4">
      <c r="A2193" t="s">
        <v>194</v>
      </c>
      <c r="B2193" t="s">
        <v>249</v>
      </c>
      <c r="C2193">
        <v>2020</v>
      </c>
      <c r="D2193">
        <v>0.01</v>
      </c>
    </row>
    <row r="2194" spans="1:4">
      <c r="A2194" t="s">
        <v>124</v>
      </c>
      <c r="B2194" t="s">
        <v>249</v>
      </c>
      <c r="C2194">
        <v>2020</v>
      </c>
      <c r="D2194">
        <v>0.1</v>
      </c>
    </row>
    <row r="2195" spans="1:4">
      <c r="A2195" t="s">
        <v>179</v>
      </c>
      <c r="B2195" t="s">
        <v>249</v>
      </c>
      <c r="C2195">
        <v>2020</v>
      </c>
    </row>
    <row r="2196" spans="1:4">
      <c r="A2196" t="s">
        <v>159</v>
      </c>
      <c r="B2196" t="s">
        <v>249</v>
      </c>
      <c r="C2196">
        <v>2021</v>
      </c>
      <c r="D2196">
        <v>0.5</v>
      </c>
    </row>
    <row r="2197" spans="1:4">
      <c r="A2197" t="s">
        <v>119</v>
      </c>
      <c r="B2197" t="s">
        <v>249</v>
      </c>
      <c r="C2197">
        <v>2021</v>
      </c>
      <c r="D2197">
        <v>0.6</v>
      </c>
    </row>
    <row r="2198" spans="1:4">
      <c r="A2198" t="s">
        <v>70</v>
      </c>
      <c r="B2198" t="s">
        <v>249</v>
      </c>
      <c r="C2198">
        <v>2021</v>
      </c>
      <c r="D2198">
        <v>2.3</v>
      </c>
    </row>
    <row r="2199" spans="1:4">
      <c r="A2199" t="s">
        <v>199</v>
      </c>
      <c r="B2199" t="s">
        <v>249</v>
      </c>
      <c r="C2199">
        <v>2021</v>
      </c>
      <c r="D2199">
        <v>1.1</v>
      </c>
    </row>
    <row r="2200" spans="1:4">
      <c r="A2200" t="s">
        <v>224</v>
      </c>
      <c r="B2200" t="s">
        <v>249</v>
      </c>
      <c r="C2200">
        <v>2021</v>
      </c>
      <c r="D2200">
        <v>0.04</v>
      </c>
    </row>
    <row r="2201" spans="1:4">
      <c r="A2201" t="s">
        <v>124</v>
      </c>
      <c r="B2201" t="s">
        <v>249</v>
      </c>
      <c r="C2201">
        <v>2021</v>
      </c>
      <c r="D2201">
        <v>0.1</v>
      </c>
    </row>
    <row r="2202" spans="1:4">
      <c r="A2202" t="s">
        <v>129</v>
      </c>
      <c r="B2202" t="s">
        <v>250</v>
      </c>
      <c r="C2202">
        <v>2015</v>
      </c>
    </row>
    <row r="2203" spans="1:4">
      <c r="A2203" t="s">
        <v>74</v>
      </c>
      <c r="B2203" t="s">
        <v>250</v>
      </c>
      <c r="C2203">
        <v>2015</v>
      </c>
    </row>
    <row r="2204" spans="1:4">
      <c r="A2204" t="s">
        <v>134</v>
      </c>
      <c r="B2204" t="s">
        <v>250</v>
      </c>
      <c r="C2204">
        <v>2015</v>
      </c>
    </row>
    <row r="2205" spans="1:4">
      <c r="A2205" t="s">
        <v>209</v>
      </c>
      <c r="B2205" t="s">
        <v>250</v>
      </c>
      <c r="C2205">
        <v>2015</v>
      </c>
    </row>
    <row r="2206" spans="1:4">
      <c r="A2206" t="s">
        <v>164</v>
      </c>
      <c r="B2206" t="s">
        <v>250</v>
      </c>
      <c r="C2206">
        <v>2015</v>
      </c>
    </row>
    <row r="2207" spans="1:4">
      <c r="A2207" t="s">
        <v>169</v>
      </c>
      <c r="B2207" t="s">
        <v>250</v>
      </c>
      <c r="C2207">
        <v>2015</v>
      </c>
    </row>
    <row r="2208" spans="1:4">
      <c r="A2208" t="s">
        <v>189</v>
      </c>
      <c r="B2208" t="s">
        <v>250</v>
      </c>
      <c r="C2208">
        <v>2015</v>
      </c>
    </row>
    <row r="2209" spans="1:3">
      <c r="A2209" t="s">
        <v>174</v>
      </c>
      <c r="B2209" t="s">
        <v>250</v>
      </c>
      <c r="C2209">
        <v>2015</v>
      </c>
    </row>
    <row r="2210" spans="1:3">
      <c r="A2210" t="s">
        <v>84</v>
      </c>
      <c r="B2210" t="s">
        <v>250</v>
      </c>
      <c r="C2210">
        <v>2015</v>
      </c>
    </row>
    <row r="2211" spans="1:3">
      <c r="A2211" t="s">
        <v>149</v>
      </c>
      <c r="B2211" t="s">
        <v>250</v>
      </c>
      <c r="C2211">
        <v>2015</v>
      </c>
    </row>
    <row r="2212" spans="1:3">
      <c r="A2212" t="s">
        <v>109</v>
      </c>
      <c r="B2212" t="s">
        <v>250</v>
      </c>
      <c r="C2212">
        <v>2015</v>
      </c>
    </row>
    <row r="2213" spans="1:3">
      <c r="A2213" t="s">
        <v>154</v>
      </c>
      <c r="B2213" t="s">
        <v>250</v>
      </c>
      <c r="C2213">
        <v>2015</v>
      </c>
    </row>
    <row r="2214" spans="1:3">
      <c r="A2214" t="s">
        <v>159</v>
      </c>
      <c r="B2214" t="s">
        <v>250</v>
      </c>
      <c r="C2214">
        <v>2015</v>
      </c>
    </row>
    <row r="2215" spans="1:3">
      <c r="A2215" t="s">
        <v>104</v>
      </c>
      <c r="B2215" t="s">
        <v>250</v>
      </c>
      <c r="C2215">
        <v>2015</v>
      </c>
    </row>
    <row r="2216" spans="1:3">
      <c r="A2216" t="s">
        <v>119</v>
      </c>
      <c r="B2216" t="s">
        <v>250</v>
      </c>
      <c r="C2216">
        <v>2015</v>
      </c>
    </row>
    <row r="2217" spans="1:3">
      <c r="A2217" t="s">
        <v>139</v>
      </c>
      <c r="B2217" t="s">
        <v>250</v>
      </c>
      <c r="C2217">
        <v>2015</v>
      </c>
    </row>
    <row r="2218" spans="1:3">
      <c r="A2218" t="s">
        <v>99</v>
      </c>
      <c r="B2218" t="s">
        <v>250</v>
      </c>
      <c r="C2218">
        <v>2015</v>
      </c>
    </row>
    <row r="2219" spans="1:3">
      <c r="A2219" t="s">
        <v>94</v>
      </c>
      <c r="B2219" t="s">
        <v>250</v>
      </c>
      <c r="C2219">
        <v>2015</v>
      </c>
    </row>
    <row r="2220" spans="1:3">
      <c r="A2220" t="s">
        <v>219</v>
      </c>
      <c r="B2220" t="s">
        <v>250</v>
      </c>
      <c r="C2220">
        <v>2015</v>
      </c>
    </row>
    <row r="2221" spans="1:3">
      <c r="A2221" t="s">
        <v>214</v>
      </c>
      <c r="B2221" t="s">
        <v>250</v>
      </c>
      <c r="C2221">
        <v>2015</v>
      </c>
    </row>
    <row r="2222" spans="1:3">
      <c r="A2222" t="s">
        <v>70</v>
      </c>
      <c r="B2222" t="s">
        <v>250</v>
      </c>
      <c r="C2222">
        <v>2015</v>
      </c>
    </row>
    <row r="2223" spans="1:3">
      <c r="A2223" t="s">
        <v>144</v>
      </c>
      <c r="B2223" t="s">
        <v>250</v>
      </c>
      <c r="C2223">
        <v>2015</v>
      </c>
    </row>
    <row r="2224" spans="1:3">
      <c r="A2224" t="s">
        <v>89</v>
      </c>
      <c r="B2224" t="s">
        <v>250</v>
      </c>
      <c r="C2224">
        <v>2015</v>
      </c>
    </row>
    <row r="2225" spans="1:4">
      <c r="A2225" t="s">
        <v>204</v>
      </c>
      <c r="B2225" t="s">
        <v>250</v>
      </c>
      <c r="C2225">
        <v>2015</v>
      </c>
    </row>
    <row r="2226" spans="1:4">
      <c r="A2226" t="s">
        <v>114</v>
      </c>
      <c r="B2226" t="s">
        <v>250</v>
      </c>
      <c r="C2226">
        <v>2015</v>
      </c>
    </row>
    <row r="2227" spans="1:4">
      <c r="A2227" t="s">
        <v>184</v>
      </c>
      <c r="B2227" t="s">
        <v>250</v>
      </c>
      <c r="C2227">
        <v>2015</v>
      </c>
    </row>
    <row r="2228" spans="1:4">
      <c r="A2228" t="s">
        <v>79</v>
      </c>
      <c r="B2228" t="s">
        <v>250</v>
      </c>
      <c r="C2228">
        <v>2015</v>
      </c>
    </row>
    <row r="2229" spans="1:4">
      <c r="A2229" t="s">
        <v>199</v>
      </c>
      <c r="B2229" t="s">
        <v>250</v>
      </c>
      <c r="C2229">
        <v>2015</v>
      </c>
    </row>
    <row r="2230" spans="1:4">
      <c r="A2230" t="s">
        <v>224</v>
      </c>
      <c r="B2230" t="s">
        <v>250</v>
      </c>
      <c r="C2230">
        <v>2015</v>
      </c>
    </row>
    <row r="2231" spans="1:4">
      <c r="A2231" t="s">
        <v>194</v>
      </c>
      <c r="B2231" t="s">
        <v>250</v>
      </c>
      <c r="C2231">
        <v>2015</v>
      </c>
    </row>
    <row r="2232" spans="1:4">
      <c r="A2232" t="s">
        <v>124</v>
      </c>
      <c r="B2232" t="s">
        <v>250</v>
      </c>
      <c r="C2232">
        <v>2015</v>
      </c>
    </row>
    <row r="2233" spans="1:4">
      <c r="A2233" t="s">
        <v>179</v>
      </c>
      <c r="B2233" t="s">
        <v>250</v>
      </c>
      <c r="C2233">
        <v>2015</v>
      </c>
    </row>
    <row r="2234" spans="1:4">
      <c r="A2234" t="s">
        <v>129</v>
      </c>
      <c r="B2234" t="s">
        <v>250</v>
      </c>
      <c r="C2234">
        <v>2016</v>
      </c>
      <c r="D2234">
        <v>1997</v>
      </c>
    </row>
    <row r="2235" spans="1:4">
      <c r="A2235" t="s">
        <v>74</v>
      </c>
      <c r="B2235" t="s">
        <v>250</v>
      </c>
      <c r="C2235">
        <v>2016</v>
      </c>
      <c r="D2235">
        <v>34</v>
      </c>
    </row>
    <row r="2236" spans="1:4">
      <c r="A2236" t="s">
        <v>134</v>
      </c>
      <c r="B2236" t="s">
        <v>250</v>
      </c>
      <c r="C2236">
        <v>2016</v>
      </c>
      <c r="D2236">
        <v>781</v>
      </c>
    </row>
    <row r="2237" spans="1:4">
      <c r="A2237" t="s">
        <v>209</v>
      </c>
      <c r="B2237" t="s">
        <v>250</v>
      </c>
      <c r="C2237">
        <v>2016</v>
      </c>
      <c r="D2237">
        <v>694</v>
      </c>
    </row>
    <row r="2238" spans="1:4">
      <c r="A2238" t="s">
        <v>164</v>
      </c>
      <c r="B2238" t="s">
        <v>250</v>
      </c>
      <c r="C2238">
        <v>2016</v>
      </c>
      <c r="D2238">
        <v>2297</v>
      </c>
    </row>
    <row r="2239" spans="1:4">
      <c r="A2239" t="s">
        <v>169</v>
      </c>
      <c r="B2239" t="s">
        <v>250</v>
      </c>
      <c r="C2239">
        <v>2016</v>
      </c>
      <c r="D2239">
        <v>360</v>
      </c>
    </row>
    <row r="2240" spans="1:4">
      <c r="A2240" t="s">
        <v>189</v>
      </c>
      <c r="B2240" t="s">
        <v>250</v>
      </c>
      <c r="C2240">
        <v>2016</v>
      </c>
      <c r="D2240">
        <v>1167</v>
      </c>
    </row>
    <row r="2241" spans="1:4">
      <c r="A2241" t="s">
        <v>174</v>
      </c>
      <c r="B2241" t="s">
        <v>250</v>
      </c>
      <c r="C2241">
        <v>2016</v>
      </c>
      <c r="D2241">
        <v>176</v>
      </c>
    </row>
    <row r="2242" spans="1:4">
      <c r="A2242" t="s">
        <v>84</v>
      </c>
      <c r="B2242" t="s">
        <v>250</v>
      </c>
      <c r="C2242">
        <v>2016</v>
      </c>
      <c r="D2242">
        <v>2092</v>
      </c>
    </row>
    <row r="2243" spans="1:4">
      <c r="A2243" t="s">
        <v>149</v>
      </c>
      <c r="B2243" t="s">
        <v>250</v>
      </c>
      <c r="C2243">
        <v>2016</v>
      </c>
      <c r="D2243">
        <v>2403</v>
      </c>
    </row>
    <row r="2244" spans="1:4">
      <c r="A2244" t="s">
        <v>109</v>
      </c>
      <c r="B2244" t="s">
        <v>250</v>
      </c>
      <c r="C2244">
        <v>2016</v>
      </c>
      <c r="D2244">
        <v>761</v>
      </c>
    </row>
    <row r="2245" spans="1:4">
      <c r="A2245" t="s">
        <v>154</v>
      </c>
      <c r="B2245" t="s">
        <v>250</v>
      </c>
      <c r="C2245">
        <v>2016</v>
      </c>
      <c r="D2245">
        <v>928</v>
      </c>
    </row>
    <row r="2246" spans="1:4">
      <c r="A2246" t="s">
        <v>159</v>
      </c>
      <c r="B2246" t="s">
        <v>250</v>
      </c>
      <c r="C2246">
        <v>2016</v>
      </c>
      <c r="D2246">
        <v>614</v>
      </c>
    </row>
    <row r="2247" spans="1:4">
      <c r="A2247" t="s">
        <v>104</v>
      </c>
      <c r="B2247" t="s">
        <v>250</v>
      </c>
      <c r="C2247">
        <v>2016</v>
      </c>
      <c r="D2247">
        <v>550</v>
      </c>
    </row>
    <row r="2248" spans="1:4">
      <c r="A2248" t="s">
        <v>119</v>
      </c>
      <c r="B2248" t="s">
        <v>250</v>
      </c>
      <c r="C2248">
        <v>2016</v>
      </c>
      <c r="D2248">
        <v>3923</v>
      </c>
    </row>
    <row r="2249" spans="1:4">
      <c r="A2249" t="s">
        <v>139</v>
      </c>
      <c r="B2249" t="s">
        <v>250</v>
      </c>
      <c r="C2249">
        <v>2016</v>
      </c>
      <c r="D2249">
        <v>745</v>
      </c>
    </row>
    <row r="2250" spans="1:4">
      <c r="A2250" t="s">
        <v>99</v>
      </c>
      <c r="B2250" t="s">
        <v>250</v>
      </c>
      <c r="C2250">
        <v>2016</v>
      </c>
      <c r="D2250">
        <v>1306</v>
      </c>
    </row>
    <row r="2251" spans="1:4">
      <c r="A2251" t="s">
        <v>94</v>
      </c>
      <c r="B2251" t="s">
        <v>250</v>
      </c>
      <c r="C2251">
        <v>2016</v>
      </c>
      <c r="D2251">
        <v>3364</v>
      </c>
    </row>
    <row r="2252" spans="1:4">
      <c r="A2252" t="s">
        <v>219</v>
      </c>
      <c r="B2252" t="s">
        <v>250</v>
      </c>
      <c r="C2252">
        <v>2016</v>
      </c>
      <c r="D2252">
        <v>943</v>
      </c>
    </row>
    <row r="2253" spans="1:4">
      <c r="A2253" t="s">
        <v>214</v>
      </c>
      <c r="B2253" t="s">
        <v>250</v>
      </c>
      <c r="C2253">
        <v>2016</v>
      </c>
      <c r="D2253">
        <v>150</v>
      </c>
    </row>
    <row r="2254" spans="1:4">
      <c r="A2254" t="s">
        <v>70</v>
      </c>
      <c r="B2254" t="s">
        <v>250</v>
      </c>
      <c r="C2254">
        <v>2016</v>
      </c>
      <c r="D2254">
        <v>39462</v>
      </c>
    </row>
    <row r="2255" spans="1:4">
      <c r="A2255" t="s">
        <v>144</v>
      </c>
      <c r="B2255" t="s">
        <v>250</v>
      </c>
      <c r="C2255">
        <v>2016</v>
      </c>
      <c r="D2255">
        <v>4455</v>
      </c>
    </row>
    <row r="2256" spans="1:4">
      <c r="A2256" t="s">
        <v>89</v>
      </c>
      <c r="B2256" t="s">
        <v>250</v>
      </c>
      <c r="C2256">
        <v>2016</v>
      </c>
      <c r="D2256">
        <v>2191</v>
      </c>
    </row>
    <row r="2257" spans="1:4">
      <c r="A2257" t="s">
        <v>204</v>
      </c>
      <c r="B2257" t="s">
        <v>250</v>
      </c>
      <c r="C2257">
        <v>2016</v>
      </c>
      <c r="D2257">
        <v>1331</v>
      </c>
    </row>
    <row r="2258" spans="1:4">
      <c r="A2258" t="s">
        <v>114</v>
      </c>
      <c r="B2258" t="s">
        <v>250</v>
      </c>
      <c r="C2258">
        <v>2016</v>
      </c>
      <c r="D2258">
        <v>663</v>
      </c>
    </row>
    <row r="2259" spans="1:4">
      <c r="A2259" t="s">
        <v>184</v>
      </c>
      <c r="B2259" t="s">
        <v>250</v>
      </c>
      <c r="C2259">
        <v>2016</v>
      </c>
      <c r="D2259">
        <v>273</v>
      </c>
    </row>
    <row r="2260" spans="1:4">
      <c r="A2260" t="s">
        <v>79</v>
      </c>
      <c r="B2260" t="s">
        <v>250</v>
      </c>
      <c r="C2260">
        <v>2016</v>
      </c>
      <c r="D2260">
        <v>476</v>
      </c>
    </row>
    <row r="2261" spans="1:4">
      <c r="A2261" t="s">
        <v>199</v>
      </c>
      <c r="B2261" t="s">
        <v>250</v>
      </c>
      <c r="C2261">
        <v>2016</v>
      </c>
    </row>
    <row r="2262" spans="1:4">
      <c r="A2262" t="s">
        <v>224</v>
      </c>
      <c r="B2262" t="s">
        <v>250</v>
      </c>
      <c r="C2262">
        <v>2016</v>
      </c>
      <c r="D2262">
        <v>2149</v>
      </c>
    </row>
    <row r="2263" spans="1:4">
      <c r="A2263" t="s">
        <v>194</v>
      </c>
      <c r="B2263" t="s">
        <v>250</v>
      </c>
      <c r="C2263">
        <v>2016</v>
      </c>
      <c r="D2263">
        <v>170</v>
      </c>
    </row>
    <row r="2264" spans="1:4">
      <c r="A2264" t="s">
        <v>124</v>
      </c>
      <c r="B2264" t="s">
        <v>250</v>
      </c>
      <c r="C2264">
        <v>2016</v>
      </c>
      <c r="D2264">
        <v>2098</v>
      </c>
    </row>
    <row r="2265" spans="1:4">
      <c r="A2265" t="s">
        <v>179</v>
      </c>
      <c r="B2265" t="s">
        <v>250</v>
      </c>
      <c r="C2265">
        <v>2016</v>
      </c>
      <c r="D2265">
        <v>371</v>
      </c>
    </row>
    <row r="2266" spans="1:4">
      <c r="A2266" t="s">
        <v>129</v>
      </c>
      <c r="B2266" t="s">
        <v>250</v>
      </c>
      <c r="C2266">
        <v>2017</v>
      </c>
      <c r="D2266">
        <v>2151</v>
      </c>
    </row>
    <row r="2267" spans="1:4">
      <c r="A2267" t="s">
        <v>74</v>
      </c>
      <c r="B2267" t="s">
        <v>250</v>
      </c>
      <c r="C2267">
        <v>2017</v>
      </c>
      <c r="D2267">
        <v>13</v>
      </c>
    </row>
    <row r="2268" spans="1:4">
      <c r="A2268" t="s">
        <v>134</v>
      </c>
      <c r="B2268" t="s">
        <v>250</v>
      </c>
      <c r="C2268">
        <v>2017</v>
      </c>
      <c r="D2268">
        <v>1007</v>
      </c>
    </row>
    <row r="2269" spans="1:4">
      <c r="A2269" t="s">
        <v>209</v>
      </c>
      <c r="B2269" t="s">
        <v>250</v>
      </c>
      <c r="C2269">
        <v>2017</v>
      </c>
      <c r="D2269">
        <v>696</v>
      </c>
    </row>
    <row r="2270" spans="1:4">
      <c r="A2270" t="s">
        <v>164</v>
      </c>
      <c r="B2270" t="s">
        <v>250</v>
      </c>
      <c r="C2270">
        <v>2017</v>
      </c>
      <c r="D2270">
        <v>2578</v>
      </c>
    </row>
    <row r="2271" spans="1:4">
      <c r="A2271" t="s">
        <v>169</v>
      </c>
      <c r="B2271" t="s">
        <v>250</v>
      </c>
      <c r="C2271">
        <v>2017</v>
      </c>
      <c r="D2271">
        <v>444</v>
      </c>
    </row>
    <row r="2272" spans="1:4">
      <c r="A2272" t="s">
        <v>189</v>
      </c>
      <c r="B2272" t="s">
        <v>250</v>
      </c>
      <c r="C2272">
        <v>2017</v>
      </c>
      <c r="D2272">
        <v>1201</v>
      </c>
    </row>
    <row r="2273" spans="1:4">
      <c r="A2273" t="s">
        <v>174</v>
      </c>
      <c r="B2273" t="s">
        <v>250</v>
      </c>
      <c r="C2273">
        <v>2017</v>
      </c>
      <c r="D2273">
        <v>173</v>
      </c>
    </row>
    <row r="2274" spans="1:4">
      <c r="A2274" t="s">
        <v>84</v>
      </c>
      <c r="B2274" t="s">
        <v>250</v>
      </c>
      <c r="C2274">
        <v>2017</v>
      </c>
      <c r="D2274">
        <v>2194</v>
      </c>
    </row>
    <row r="2275" spans="1:4">
      <c r="A2275" t="s">
        <v>149</v>
      </c>
      <c r="B2275" t="s">
        <v>250</v>
      </c>
      <c r="C2275">
        <v>2017</v>
      </c>
      <c r="D2275">
        <v>2457</v>
      </c>
    </row>
    <row r="2276" spans="1:4">
      <c r="A2276" t="s">
        <v>109</v>
      </c>
      <c r="B2276" t="s">
        <v>250</v>
      </c>
      <c r="C2276">
        <v>2017</v>
      </c>
      <c r="D2276">
        <v>762</v>
      </c>
    </row>
    <row r="2277" spans="1:4">
      <c r="A2277" t="s">
        <v>154</v>
      </c>
      <c r="B2277" t="s">
        <v>250</v>
      </c>
      <c r="C2277">
        <v>2017</v>
      </c>
      <c r="D2277">
        <v>945</v>
      </c>
    </row>
    <row r="2278" spans="1:4">
      <c r="A2278" t="s">
        <v>159</v>
      </c>
      <c r="B2278" t="s">
        <v>250</v>
      </c>
      <c r="C2278">
        <v>2017</v>
      </c>
      <c r="D2278">
        <v>667</v>
      </c>
    </row>
    <row r="2279" spans="1:4">
      <c r="A2279" t="s">
        <v>104</v>
      </c>
      <c r="B2279" t="s">
        <v>250</v>
      </c>
      <c r="C2279">
        <v>2017</v>
      </c>
      <c r="D2279">
        <v>568</v>
      </c>
    </row>
    <row r="2280" spans="1:4">
      <c r="A2280" t="s">
        <v>119</v>
      </c>
      <c r="B2280" t="s">
        <v>250</v>
      </c>
      <c r="C2280">
        <v>2017</v>
      </c>
      <c r="D2280">
        <v>3823</v>
      </c>
    </row>
    <row r="2281" spans="1:4">
      <c r="A2281" t="s">
        <v>139</v>
      </c>
      <c r="B2281" t="s">
        <v>250</v>
      </c>
      <c r="C2281">
        <v>2017</v>
      </c>
      <c r="D2281">
        <v>842</v>
      </c>
    </row>
    <row r="2282" spans="1:4">
      <c r="A2282" t="s">
        <v>99</v>
      </c>
      <c r="B2282" t="s">
        <v>250</v>
      </c>
      <c r="C2282">
        <v>2017</v>
      </c>
      <c r="D2282">
        <v>1306</v>
      </c>
    </row>
    <row r="2283" spans="1:4">
      <c r="A2283" t="s">
        <v>94</v>
      </c>
      <c r="B2283" t="s">
        <v>250</v>
      </c>
      <c r="C2283">
        <v>2017</v>
      </c>
      <c r="D2283">
        <v>3726</v>
      </c>
    </row>
    <row r="2284" spans="1:4">
      <c r="A2284" t="s">
        <v>219</v>
      </c>
      <c r="B2284" t="s">
        <v>250</v>
      </c>
      <c r="C2284">
        <v>2017</v>
      </c>
      <c r="D2284">
        <v>1113</v>
      </c>
    </row>
    <row r="2285" spans="1:4">
      <c r="A2285" t="s">
        <v>214</v>
      </c>
      <c r="B2285" t="s">
        <v>250</v>
      </c>
      <c r="C2285">
        <v>2017</v>
      </c>
      <c r="D2285">
        <v>152</v>
      </c>
    </row>
    <row r="2286" spans="1:4">
      <c r="A2286" t="s">
        <v>70</v>
      </c>
      <c r="B2286" t="s">
        <v>250</v>
      </c>
      <c r="C2286">
        <v>2017</v>
      </c>
      <c r="D2286">
        <v>41498</v>
      </c>
    </row>
    <row r="2287" spans="1:4">
      <c r="A2287" t="s">
        <v>144</v>
      </c>
      <c r="B2287" t="s">
        <v>250</v>
      </c>
      <c r="C2287">
        <v>2017</v>
      </c>
      <c r="D2287">
        <v>4378</v>
      </c>
    </row>
    <row r="2288" spans="1:4">
      <c r="A2288" t="s">
        <v>89</v>
      </c>
      <c r="B2288" t="s">
        <v>250</v>
      </c>
      <c r="C2288">
        <v>2017</v>
      </c>
      <c r="D2288">
        <v>2335</v>
      </c>
    </row>
    <row r="2289" spans="1:4">
      <c r="A2289" t="s">
        <v>204</v>
      </c>
      <c r="B2289" t="s">
        <v>250</v>
      </c>
      <c r="C2289">
        <v>2017</v>
      </c>
      <c r="D2289">
        <v>1404</v>
      </c>
    </row>
    <row r="2290" spans="1:4">
      <c r="A2290" t="s">
        <v>114</v>
      </c>
      <c r="B2290" t="s">
        <v>250</v>
      </c>
      <c r="C2290">
        <v>2017</v>
      </c>
      <c r="D2290">
        <v>680</v>
      </c>
    </row>
    <row r="2291" spans="1:4">
      <c r="A2291" t="s">
        <v>184</v>
      </c>
      <c r="B2291" t="s">
        <v>250</v>
      </c>
      <c r="C2291">
        <v>2017</v>
      </c>
      <c r="D2291">
        <v>249</v>
      </c>
    </row>
    <row r="2292" spans="1:4">
      <c r="A2292" t="s">
        <v>79</v>
      </c>
      <c r="B2292" t="s">
        <v>250</v>
      </c>
      <c r="C2292">
        <v>2017</v>
      </c>
      <c r="D2292">
        <v>467</v>
      </c>
    </row>
    <row r="2293" spans="1:4">
      <c r="A2293" t="s">
        <v>199</v>
      </c>
      <c r="B2293" t="s">
        <v>250</v>
      </c>
      <c r="C2293">
        <v>2017</v>
      </c>
    </row>
    <row r="2294" spans="1:4">
      <c r="A2294" t="s">
        <v>224</v>
      </c>
      <c r="B2294" t="s">
        <v>250</v>
      </c>
      <c r="C2294">
        <v>2017</v>
      </c>
      <c r="D2294">
        <v>2326</v>
      </c>
    </row>
    <row r="2295" spans="1:4">
      <c r="A2295" t="s">
        <v>194</v>
      </c>
      <c r="B2295" t="s">
        <v>250</v>
      </c>
      <c r="C2295">
        <v>2017</v>
      </c>
      <c r="D2295">
        <v>167</v>
      </c>
    </row>
    <row r="2296" spans="1:4">
      <c r="A2296" t="s">
        <v>124</v>
      </c>
      <c r="B2296" t="s">
        <v>250</v>
      </c>
      <c r="C2296">
        <v>2017</v>
      </c>
      <c r="D2296">
        <v>2268</v>
      </c>
    </row>
    <row r="2297" spans="1:4">
      <c r="A2297" t="s">
        <v>179</v>
      </c>
      <c r="B2297" t="s">
        <v>250</v>
      </c>
      <c r="C2297">
        <v>2017</v>
      </c>
      <c r="D2297">
        <v>405</v>
      </c>
    </row>
    <row r="2298" spans="1:4">
      <c r="A2298" t="s">
        <v>129</v>
      </c>
      <c r="B2298" t="s">
        <v>250</v>
      </c>
      <c r="C2298">
        <v>2018</v>
      </c>
      <c r="D2298">
        <v>2353</v>
      </c>
    </row>
    <row r="2299" spans="1:4">
      <c r="A2299" t="s">
        <v>74</v>
      </c>
      <c r="B2299" t="s">
        <v>250</v>
      </c>
      <c r="C2299">
        <v>2018</v>
      </c>
      <c r="D2299">
        <v>17</v>
      </c>
    </row>
    <row r="2300" spans="1:4">
      <c r="A2300" t="s">
        <v>134</v>
      </c>
      <c r="B2300" t="s">
        <v>250</v>
      </c>
      <c r="C2300">
        <v>2018</v>
      </c>
      <c r="D2300">
        <v>1252</v>
      </c>
    </row>
    <row r="2301" spans="1:4">
      <c r="A2301" t="s">
        <v>209</v>
      </c>
      <c r="B2301" t="s">
        <v>250</v>
      </c>
      <c r="C2301">
        <v>2018</v>
      </c>
      <c r="D2301">
        <v>821</v>
      </c>
    </row>
    <row r="2302" spans="1:4">
      <c r="A2302" t="s">
        <v>164</v>
      </c>
      <c r="B2302" t="s">
        <v>250</v>
      </c>
      <c r="C2302">
        <v>2018</v>
      </c>
      <c r="D2302">
        <v>2766</v>
      </c>
    </row>
    <row r="2303" spans="1:4">
      <c r="A2303" t="s">
        <v>169</v>
      </c>
      <c r="B2303" t="s">
        <v>250</v>
      </c>
      <c r="C2303">
        <v>2018</v>
      </c>
      <c r="D2303">
        <v>649</v>
      </c>
    </row>
    <row r="2304" spans="1:4">
      <c r="A2304" t="s">
        <v>189</v>
      </c>
      <c r="B2304" t="s">
        <v>250</v>
      </c>
      <c r="C2304">
        <v>2018</v>
      </c>
      <c r="D2304">
        <v>1254</v>
      </c>
    </row>
    <row r="2305" spans="1:4">
      <c r="A2305" t="s">
        <v>174</v>
      </c>
      <c r="B2305" t="s">
        <v>250</v>
      </c>
      <c r="C2305">
        <v>2018</v>
      </c>
      <c r="D2305">
        <v>174</v>
      </c>
    </row>
    <row r="2306" spans="1:4">
      <c r="A2306" t="s">
        <v>84</v>
      </c>
      <c r="B2306" t="s">
        <v>250</v>
      </c>
      <c r="C2306">
        <v>2018</v>
      </c>
      <c r="D2306">
        <v>2266</v>
      </c>
    </row>
    <row r="2307" spans="1:4">
      <c r="A2307" t="s">
        <v>149</v>
      </c>
      <c r="B2307" t="s">
        <v>250</v>
      </c>
      <c r="C2307">
        <v>2018</v>
      </c>
      <c r="D2307">
        <v>2601</v>
      </c>
    </row>
    <row r="2308" spans="1:4">
      <c r="A2308" t="s">
        <v>109</v>
      </c>
      <c r="B2308" t="s">
        <v>250</v>
      </c>
      <c r="C2308">
        <v>2018</v>
      </c>
      <c r="D2308">
        <v>801</v>
      </c>
    </row>
    <row r="2309" spans="1:4">
      <c r="A2309" t="s">
        <v>154</v>
      </c>
      <c r="B2309" t="s">
        <v>250</v>
      </c>
      <c r="C2309">
        <v>2018</v>
      </c>
      <c r="D2309">
        <v>1139</v>
      </c>
    </row>
    <row r="2310" spans="1:4">
      <c r="A2310" t="s">
        <v>159</v>
      </c>
      <c r="B2310" t="s">
        <v>250</v>
      </c>
      <c r="C2310">
        <v>2018</v>
      </c>
      <c r="D2310">
        <v>792</v>
      </c>
    </row>
    <row r="2311" spans="1:4">
      <c r="A2311" t="s">
        <v>104</v>
      </c>
      <c r="B2311" t="s">
        <v>250</v>
      </c>
      <c r="C2311">
        <v>2018</v>
      </c>
      <c r="D2311">
        <v>627</v>
      </c>
    </row>
    <row r="2312" spans="1:4">
      <c r="A2312" t="s">
        <v>119</v>
      </c>
      <c r="B2312" t="s">
        <v>250</v>
      </c>
      <c r="C2312">
        <v>2018</v>
      </c>
      <c r="D2312">
        <v>3711</v>
      </c>
    </row>
    <row r="2313" spans="1:4">
      <c r="A2313" t="s">
        <v>139</v>
      </c>
      <c r="B2313" t="s">
        <v>250</v>
      </c>
      <c r="C2313">
        <v>2018</v>
      </c>
      <c r="D2313">
        <v>956</v>
      </c>
    </row>
    <row r="2314" spans="1:4">
      <c r="A2314" t="s">
        <v>99</v>
      </c>
      <c r="B2314" t="s">
        <v>250</v>
      </c>
      <c r="C2314">
        <v>2018</v>
      </c>
      <c r="D2314">
        <v>1335</v>
      </c>
    </row>
    <row r="2315" spans="1:4">
      <c r="A2315" t="s">
        <v>94</v>
      </c>
      <c r="B2315" t="s">
        <v>250</v>
      </c>
      <c r="C2315">
        <v>2018</v>
      </c>
      <c r="D2315">
        <v>4187</v>
      </c>
    </row>
    <row r="2316" spans="1:4">
      <c r="A2316" t="s">
        <v>219</v>
      </c>
      <c r="B2316" t="s">
        <v>250</v>
      </c>
      <c r="C2316">
        <v>2018</v>
      </c>
      <c r="D2316">
        <v>1240</v>
      </c>
    </row>
    <row r="2317" spans="1:4">
      <c r="A2317" t="s">
        <v>214</v>
      </c>
      <c r="B2317" t="s">
        <v>250</v>
      </c>
      <c r="C2317">
        <v>2018</v>
      </c>
      <c r="D2317">
        <v>118</v>
      </c>
    </row>
    <row r="2318" spans="1:4">
      <c r="A2318" t="s">
        <v>70</v>
      </c>
      <c r="B2318" t="s">
        <v>250</v>
      </c>
      <c r="C2318">
        <v>2018</v>
      </c>
      <c r="D2318">
        <v>44829</v>
      </c>
    </row>
    <row r="2319" spans="1:4">
      <c r="A2319" t="s">
        <v>144</v>
      </c>
      <c r="B2319" t="s">
        <v>250</v>
      </c>
      <c r="C2319">
        <v>2018</v>
      </c>
      <c r="D2319">
        <v>4558</v>
      </c>
    </row>
    <row r="2320" spans="1:4">
      <c r="A2320" t="s">
        <v>89</v>
      </c>
      <c r="B2320" t="s">
        <v>250</v>
      </c>
      <c r="C2320">
        <v>2018</v>
      </c>
      <c r="D2320">
        <v>2574</v>
      </c>
    </row>
    <row r="2321" spans="1:4">
      <c r="A2321" t="s">
        <v>204</v>
      </c>
      <c r="B2321" t="s">
        <v>250</v>
      </c>
      <c r="C2321">
        <v>2018</v>
      </c>
      <c r="D2321">
        <v>1679</v>
      </c>
    </row>
    <row r="2322" spans="1:4">
      <c r="A2322" t="s">
        <v>114</v>
      </c>
      <c r="B2322" t="s">
        <v>250</v>
      </c>
      <c r="C2322">
        <v>2018</v>
      </c>
      <c r="D2322">
        <v>649</v>
      </c>
    </row>
    <row r="2323" spans="1:4">
      <c r="A2323" t="s">
        <v>184</v>
      </c>
      <c r="B2323" t="s">
        <v>250</v>
      </c>
      <c r="C2323">
        <v>2018</v>
      </c>
      <c r="D2323">
        <v>315</v>
      </c>
    </row>
    <row r="2324" spans="1:4">
      <c r="A2324" t="s">
        <v>79</v>
      </c>
      <c r="B2324" t="s">
        <v>250</v>
      </c>
      <c r="C2324">
        <v>2018</v>
      </c>
      <c r="D2324">
        <v>531</v>
      </c>
    </row>
    <row r="2325" spans="1:4">
      <c r="A2325" t="s">
        <v>199</v>
      </c>
      <c r="B2325" t="s">
        <v>250</v>
      </c>
      <c r="C2325">
        <v>2018</v>
      </c>
    </row>
    <row r="2326" spans="1:4">
      <c r="A2326" t="s">
        <v>224</v>
      </c>
      <c r="B2326" t="s">
        <v>250</v>
      </c>
      <c r="C2326">
        <v>2018</v>
      </c>
      <c r="D2326">
        <v>2488</v>
      </c>
    </row>
    <row r="2327" spans="1:4">
      <c r="A2327" t="s">
        <v>194</v>
      </c>
      <c r="B2327" t="s">
        <v>250</v>
      </c>
      <c r="C2327">
        <v>2018</v>
      </c>
      <c r="D2327">
        <v>207</v>
      </c>
    </row>
    <row r="2328" spans="1:4">
      <c r="A2328" t="s">
        <v>124</v>
      </c>
      <c r="B2328" t="s">
        <v>250</v>
      </c>
      <c r="C2328">
        <v>2018</v>
      </c>
      <c r="D2328">
        <v>2298</v>
      </c>
    </row>
    <row r="2329" spans="1:4">
      <c r="A2329" t="s">
        <v>179</v>
      </c>
      <c r="B2329" t="s">
        <v>250</v>
      </c>
      <c r="C2329">
        <v>2018</v>
      </c>
      <c r="D2329">
        <v>469</v>
      </c>
    </row>
    <row r="2330" spans="1:4">
      <c r="A2330" t="s">
        <v>129</v>
      </c>
      <c r="B2330" t="s">
        <v>250</v>
      </c>
      <c r="C2330">
        <v>2019</v>
      </c>
      <c r="D2330">
        <v>2463</v>
      </c>
    </row>
    <row r="2331" spans="1:4">
      <c r="A2331" t="s">
        <v>74</v>
      </c>
      <c r="B2331" t="s">
        <v>250</v>
      </c>
      <c r="C2331">
        <v>2019</v>
      </c>
      <c r="D2331">
        <v>15</v>
      </c>
    </row>
    <row r="2332" spans="1:4">
      <c r="A2332" t="s">
        <v>134</v>
      </c>
      <c r="B2332" t="s">
        <v>250</v>
      </c>
      <c r="C2332">
        <v>2019</v>
      </c>
      <c r="D2332">
        <v>1242</v>
      </c>
    </row>
    <row r="2333" spans="1:4">
      <c r="A2333" t="s">
        <v>209</v>
      </c>
      <c r="B2333" t="s">
        <v>250</v>
      </c>
      <c r="C2333">
        <v>2019</v>
      </c>
      <c r="D2333">
        <v>803</v>
      </c>
    </row>
    <row r="2334" spans="1:4">
      <c r="A2334" t="s">
        <v>164</v>
      </c>
      <c r="B2334" t="s">
        <v>250</v>
      </c>
      <c r="C2334">
        <v>2019</v>
      </c>
      <c r="D2334">
        <v>2508</v>
      </c>
    </row>
    <row r="2335" spans="1:4">
      <c r="A2335" t="s">
        <v>169</v>
      </c>
      <c r="B2335" t="s">
        <v>250</v>
      </c>
      <c r="C2335">
        <v>2019</v>
      </c>
      <c r="D2335">
        <v>833</v>
      </c>
    </row>
    <row r="2336" spans="1:4">
      <c r="A2336" t="s">
        <v>189</v>
      </c>
      <c r="B2336" t="s">
        <v>250</v>
      </c>
      <c r="C2336">
        <v>2019</v>
      </c>
      <c r="D2336">
        <v>1381</v>
      </c>
    </row>
    <row r="2337" spans="1:4">
      <c r="A2337" t="s">
        <v>174</v>
      </c>
      <c r="B2337" t="s">
        <v>250</v>
      </c>
      <c r="C2337">
        <v>2019</v>
      </c>
      <c r="D2337">
        <v>173</v>
      </c>
    </row>
    <row r="2338" spans="1:4">
      <c r="A2338" t="s">
        <v>84</v>
      </c>
      <c r="B2338" t="s">
        <v>250</v>
      </c>
      <c r="C2338">
        <v>2019</v>
      </c>
      <c r="D2338">
        <v>2274</v>
      </c>
    </row>
    <row r="2339" spans="1:4">
      <c r="A2339" t="s">
        <v>149</v>
      </c>
      <c r="B2339" t="s">
        <v>250</v>
      </c>
      <c r="C2339">
        <v>2019</v>
      </c>
      <c r="D2339">
        <v>2400</v>
      </c>
    </row>
    <row r="2340" spans="1:4">
      <c r="A2340" t="s">
        <v>109</v>
      </c>
      <c r="B2340" t="s">
        <v>250</v>
      </c>
      <c r="C2340">
        <v>2019</v>
      </c>
      <c r="D2340">
        <v>818</v>
      </c>
    </row>
    <row r="2341" spans="1:4">
      <c r="A2341" t="s">
        <v>154</v>
      </c>
      <c r="B2341" t="s">
        <v>250</v>
      </c>
      <c r="C2341">
        <v>2019</v>
      </c>
      <c r="D2341">
        <v>1351</v>
      </c>
    </row>
    <row r="2342" spans="1:4">
      <c r="A2342" t="s">
        <v>159</v>
      </c>
      <c r="B2342" t="s">
        <v>250</v>
      </c>
      <c r="C2342">
        <v>2019</v>
      </c>
      <c r="D2342">
        <v>776</v>
      </c>
    </row>
    <row r="2343" spans="1:4">
      <c r="A2343" t="s">
        <v>104</v>
      </c>
      <c r="B2343" t="s">
        <v>250</v>
      </c>
      <c r="C2343">
        <v>2019</v>
      </c>
      <c r="D2343">
        <v>659</v>
      </c>
    </row>
    <row r="2344" spans="1:4">
      <c r="A2344" t="s">
        <v>119</v>
      </c>
      <c r="B2344" t="s">
        <v>250</v>
      </c>
      <c r="C2344">
        <v>2019</v>
      </c>
      <c r="D2344">
        <v>3604</v>
      </c>
    </row>
    <row r="2345" spans="1:4">
      <c r="A2345" t="s">
        <v>139</v>
      </c>
      <c r="B2345" t="s">
        <v>250</v>
      </c>
      <c r="C2345">
        <v>2019</v>
      </c>
      <c r="D2345">
        <v>973</v>
      </c>
    </row>
    <row r="2346" spans="1:4">
      <c r="A2346" t="s">
        <v>99</v>
      </c>
      <c r="B2346" t="s">
        <v>250</v>
      </c>
      <c r="C2346">
        <v>2019</v>
      </c>
      <c r="D2346">
        <v>1343</v>
      </c>
    </row>
    <row r="2347" spans="1:4">
      <c r="A2347" t="s">
        <v>94</v>
      </c>
      <c r="B2347" t="s">
        <v>250</v>
      </c>
      <c r="C2347">
        <v>2019</v>
      </c>
      <c r="D2347">
        <v>4551</v>
      </c>
    </row>
    <row r="2348" spans="1:4">
      <c r="A2348" t="s">
        <v>219</v>
      </c>
      <c r="B2348" t="s">
        <v>250</v>
      </c>
      <c r="C2348">
        <v>2019</v>
      </c>
      <c r="D2348">
        <v>1310</v>
      </c>
    </row>
    <row r="2349" spans="1:4">
      <c r="A2349" t="s">
        <v>214</v>
      </c>
      <c r="B2349" t="s">
        <v>250</v>
      </c>
      <c r="C2349">
        <v>2019</v>
      </c>
      <c r="D2349">
        <v>100</v>
      </c>
    </row>
    <row r="2350" spans="1:4">
      <c r="A2350" t="s">
        <v>70</v>
      </c>
      <c r="B2350" t="s">
        <v>250</v>
      </c>
      <c r="C2350">
        <v>2019</v>
      </c>
      <c r="D2350">
        <v>45538</v>
      </c>
    </row>
    <row r="2351" spans="1:4">
      <c r="A2351" t="s">
        <v>144</v>
      </c>
      <c r="B2351" t="s">
        <v>250</v>
      </c>
      <c r="C2351">
        <v>2019</v>
      </c>
      <c r="D2351">
        <v>4381</v>
      </c>
    </row>
    <row r="2352" spans="1:4">
      <c r="A2352" t="s">
        <v>89</v>
      </c>
      <c r="B2352" t="s">
        <v>250</v>
      </c>
      <c r="C2352">
        <v>2019</v>
      </c>
      <c r="D2352">
        <v>2666</v>
      </c>
    </row>
    <row r="2353" spans="1:4">
      <c r="A2353" t="s">
        <v>204</v>
      </c>
      <c r="B2353" t="s">
        <v>250</v>
      </c>
      <c r="C2353">
        <v>2019</v>
      </c>
      <c r="D2353">
        <v>1828</v>
      </c>
    </row>
    <row r="2354" spans="1:4">
      <c r="A2354" t="s">
        <v>114</v>
      </c>
      <c r="B2354" t="s">
        <v>250</v>
      </c>
      <c r="C2354">
        <v>2019</v>
      </c>
      <c r="D2354">
        <v>607</v>
      </c>
    </row>
    <row r="2355" spans="1:4">
      <c r="A2355" t="s">
        <v>184</v>
      </c>
      <c r="B2355" t="s">
        <v>250</v>
      </c>
      <c r="C2355">
        <v>2019</v>
      </c>
      <c r="D2355">
        <v>352</v>
      </c>
    </row>
    <row r="2356" spans="1:4">
      <c r="A2356" t="s">
        <v>79</v>
      </c>
      <c r="B2356" t="s">
        <v>250</v>
      </c>
      <c r="C2356">
        <v>2019</v>
      </c>
      <c r="D2356">
        <v>518</v>
      </c>
    </row>
    <row r="2357" spans="1:4">
      <c r="A2357" t="s">
        <v>199</v>
      </c>
      <c r="B2357" t="s">
        <v>250</v>
      </c>
      <c r="C2357">
        <v>2019</v>
      </c>
    </row>
    <row r="2358" spans="1:4">
      <c r="A2358" t="s">
        <v>224</v>
      </c>
      <c r="B2358" t="s">
        <v>250</v>
      </c>
      <c r="C2358">
        <v>2019</v>
      </c>
      <c r="D2358">
        <v>2726</v>
      </c>
    </row>
    <row r="2359" spans="1:4">
      <c r="A2359" t="s">
        <v>194</v>
      </c>
      <c r="B2359" t="s">
        <v>250</v>
      </c>
      <c r="C2359">
        <v>2019</v>
      </c>
      <c r="D2359">
        <v>223</v>
      </c>
    </row>
    <row r="2360" spans="1:4">
      <c r="A2360" t="s">
        <v>124</v>
      </c>
      <c r="B2360" t="s">
        <v>250</v>
      </c>
      <c r="C2360">
        <v>2019</v>
      </c>
      <c r="D2360">
        <v>2193</v>
      </c>
    </row>
    <row r="2361" spans="1:4">
      <c r="A2361" t="s">
        <v>179</v>
      </c>
      <c r="B2361" t="s">
        <v>250</v>
      </c>
      <c r="C2361">
        <v>2019</v>
      </c>
      <c r="D2361">
        <v>467</v>
      </c>
    </row>
    <row r="2362" spans="1:4">
      <c r="A2362" t="s">
        <v>129</v>
      </c>
      <c r="B2362" t="s">
        <v>250</v>
      </c>
      <c r="C2362">
        <v>2020</v>
      </c>
      <c r="D2362">
        <v>2314</v>
      </c>
    </row>
    <row r="2363" spans="1:4">
      <c r="A2363" t="s">
        <v>74</v>
      </c>
      <c r="B2363" t="s">
        <v>250</v>
      </c>
      <c r="C2363">
        <v>2020</v>
      </c>
      <c r="D2363">
        <v>10</v>
      </c>
    </row>
    <row r="2364" spans="1:4">
      <c r="A2364" t="s">
        <v>134</v>
      </c>
      <c r="B2364" t="s">
        <v>250</v>
      </c>
      <c r="C2364">
        <v>2020</v>
      </c>
      <c r="D2364">
        <v>1380</v>
      </c>
    </row>
    <row r="2365" spans="1:4">
      <c r="A2365" t="s">
        <v>209</v>
      </c>
      <c r="B2365" t="s">
        <v>250</v>
      </c>
      <c r="C2365">
        <v>2020</v>
      </c>
      <c r="D2365">
        <v>885</v>
      </c>
    </row>
    <row r="2366" spans="1:4">
      <c r="A2366" t="s">
        <v>164</v>
      </c>
      <c r="B2366" t="s">
        <v>250</v>
      </c>
      <c r="C2366">
        <v>2020</v>
      </c>
      <c r="D2366">
        <v>2518</v>
      </c>
    </row>
    <row r="2367" spans="1:4">
      <c r="A2367" t="s">
        <v>169</v>
      </c>
      <c r="B2367" t="s">
        <v>250</v>
      </c>
      <c r="C2367">
        <v>2020</v>
      </c>
      <c r="D2367">
        <v>865</v>
      </c>
    </row>
    <row r="2368" spans="1:4">
      <c r="A2368" t="s">
        <v>189</v>
      </c>
      <c r="B2368" t="s">
        <v>250</v>
      </c>
      <c r="C2368">
        <v>2020</v>
      </c>
      <c r="D2368">
        <v>1323</v>
      </c>
    </row>
    <row r="2369" spans="1:4">
      <c r="A2369" t="s">
        <v>174</v>
      </c>
      <c r="B2369" t="s">
        <v>250</v>
      </c>
      <c r="C2369">
        <v>2020</v>
      </c>
      <c r="D2369">
        <v>160</v>
      </c>
    </row>
    <row r="2370" spans="1:4">
      <c r="A2370" t="s">
        <v>84</v>
      </c>
      <c r="B2370" t="s">
        <v>250</v>
      </c>
      <c r="C2370">
        <v>2020</v>
      </c>
      <c r="D2370">
        <v>2224</v>
      </c>
    </row>
    <row r="2371" spans="1:4">
      <c r="A2371" t="s">
        <v>149</v>
      </c>
      <c r="B2371" t="s">
        <v>250</v>
      </c>
      <c r="C2371">
        <v>2020</v>
      </c>
      <c r="D2371">
        <v>2300</v>
      </c>
    </row>
    <row r="2372" spans="1:4">
      <c r="A2372" t="s">
        <v>109</v>
      </c>
      <c r="B2372" t="s">
        <v>250</v>
      </c>
      <c r="C2372">
        <v>2020</v>
      </c>
      <c r="D2372">
        <v>815</v>
      </c>
    </row>
    <row r="2373" spans="1:4">
      <c r="A2373" t="s">
        <v>154</v>
      </c>
      <c r="B2373" t="s">
        <v>250</v>
      </c>
      <c r="C2373">
        <v>2020</v>
      </c>
      <c r="D2373">
        <v>1102</v>
      </c>
    </row>
    <row r="2374" spans="1:4">
      <c r="A2374" t="s">
        <v>159</v>
      </c>
      <c r="B2374" t="s">
        <v>250</v>
      </c>
      <c r="C2374">
        <v>2020</v>
      </c>
      <c r="D2374">
        <v>710</v>
      </c>
    </row>
    <row r="2375" spans="1:4">
      <c r="A2375" t="s">
        <v>104</v>
      </c>
      <c r="B2375" t="s">
        <v>250</v>
      </c>
      <c r="C2375">
        <v>2020</v>
      </c>
      <c r="D2375">
        <v>677</v>
      </c>
    </row>
    <row r="2376" spans="1:4">
      <c r="A2376" t="s">
        <v>119</v>
      </c>
      <c r="B2376" t="s">
        <v>250</v>
      </c>
      <c r="C2376">
        <v>2020</v>
      </c>
      <c r="D2376">
        <v>3570</v>
      </c>
    </row>
    <row r="2377" spans="1:4">
      <c r="A2377" t="s">
        <v>139</v>
      </c>
      <c r="B2377" t="s">
        <v>250</v>
      </c>
      <c r="C2377">
        <v>2020</v>
      </c>
      <c r="D2377">
        <v>1018</v>
      </c>
    </row>
    <row r="2378" spans="1:4">
      <c r="A2378" t="s">
        <v>99</v>
      </c>
      <c r="B2378" t="s">
        <v>250</v>
      </c>
      <c r="C2378">
        <v>2020</v>
      </c>
      <c r="D2378">
        <v>1340</v>
      </c>
    </row>
    <row r="2379" spans="1:4">
      <c r="A2379" t="s">
        <v>94</v>
      </c>
      <c r="B2379" t="s">
        <v>250</v>
      </c>
      <c r="C2379">
        <v>2020</v>
      </c>
      <c r="D2379">
        <v>4677</v>
      </c>
    </row>
    <row r="2380" spans="1:4">
      <c r="A2380" t="s">
        <v>219</v>
      </c>
      <c r="B2380" t="s">
        <v>250</v>
      </c>
      <c r="C2380">
        <v>2020</v>
      </c>
      <c r="D2380">
        <v>1351</v>
      </c>
    </row>
    <row r="2381" spans="1:4">
      <c r="A2381" t="s">
        <v>214</v>
      </c>
      <c r="B2381" t="s">
        <v>250</v>
      </c>
      <c r="C2381">
        <v>2020</v>
      </c>
      <c r="D2381">
        <v>100</v>
      </c>
    </row>
    <row r="2382" spans="1:4">
      <c r="A2382" t="s">
        <v>70</v>
      </c>
      <c r="B2382" t="s">
        <v>250</v>
      </c>
      <c r="C2382">
        <v>2020</v>
      </c>
      <c r="D2382">
        <v>46296</v>
      </c>
    </row>
    <row r="2383" spans="1:4">
      <c r="A2383" t="s">
        <v>144</v>
      </c>
      <c r="B2383" t="s">
        <v>250</v>
      </c>
      <c r="C2383">
        <v>2020</v>
      </c>
      <c r="D2383">
        <v>4752</v>
      </c>
    </row>
    <row r="2384" spans="1:4">
      <c r="A2384" t="s">
        <v>89</v>
      </c>
      <c r="B2384" t="s">
        <v>250</v>
      </c>
      <c r="C2384">
        <v>2020</v>
      </c>
      <c r="D2384">
        <v>2722</v>
      </c>
    </row>
    <row r="2385" spans="1:4">
      <c r="A2385" t="s">
        <v>204</v>
      </c>
      <c r="B2385" t="s">
        <v>250</v>
      </c>
      <c r="C2385">
        <v>2020</v>
      </c>
      <c r="D2385">
        <v>1974</v>
      </c>
    </row>
    <row r="2386" spans="1:4">
      <c r="A2386" t="s">
        <v>114</v>
      </c>
      <c r="B2386" t="s">
        <v>250</v>
      </c>
      <c r="C2386">
        <v>2020</v>
      </c>
      <c r="D2386">
        <v>619</v>
      </c>
    </row>
    <row r="2387" spans="1:4">
      <c r="A2387" t="s">
        <v>184</v>
      </c>
      <c r="B2387" t="s">
        <v>250</v>
      </c>
      <c r="C2387">
        <v>2020</v>
      </c>
      <c r="D2387">
        <v>361</v>
      </c>
    </row>
    <row r="2388" spans="1:4">
      <c r="A2388" t="s">
        <v>79</v>
      </c>
      <c r="B2388" t="s">
        <v>250</v>
      </c>
      <c r="C2388">
        <v>2020</v>
      </c>
      <c r="D2388">
        <v>513</v>
      </c>
    </row>
    <row r="2389" spans="1:4">
      <c r="A2389" t="s">
        <v>199</v>
      </c>
      <c r="B2389" t="s">
        <v>250</v>
      </c>
      <c r="C2389">
        <v>2020</v>
      </c>
    </row>
    <row r="2390" spans="1:4">
      <c r="A2390" t="s">
        <v>224</v>
      </c>
      <c r="B2390" t="s">
        <v>250</v>
      </c>
      <c r="C2390">
        <v>2020</v>
      </c>
      <c r="D2390">
        <v>3137</v>
      </c>
    </row>
    <row r="2391" spans="1:4">
      <c r="A2391" t="s">
        <v>194</v>
      </c>
      <c r="B2391" t="s">
        <v>250</v>
      </c>
      <c r="C2391">
        <v>2020</v>
      </c>
      <c r="D2391">
        <v>318</v>
      </c>
    </row>
    <row r="2392" spans="1:4">
      <c r="A2392" t="s">
        <v>124</v>
      </c>
      <c r="B2392" t="s">
        <v>250</v>
      </c>
      <c r="C2392">
        <v>2020</v>
      </c>
      <c r="D2392">
        <v>2102</v>
      </c>
    </row>
    <row r="2393" spans="1:4">
      <c r="A2393" t="s">
        <v>179</v>
      </c>
      <c r="B2393" t="s">
        <v>250</v>
      </c>
      <c r="C2393">
        <v>2020</v>
      </c>
      <c r="D2393">
        <v>458</v>
      </c>
    </row>
    <row r="2394" spans="1:4">
      <c r="A2394" t="s">
        <v>129</v>
      </c>
      <c r="B2394" t="s">
        <v>250</v>
      </c>
      <c r="C2394">
        <v>2021</v>
      </c>
      <c r="D2394">
        <v>2477</v>
      </c>
    </row>
    <row r="2395" spans="1:4">
      <c r="A2395" t="s">
        <v>74</v>
      </c>
      <c r="B2395" t="s">
        <v>250</v>
      </c>
      <c r="C2395">
        <v>2021</v>
      </c>
      <c r="D2395">
        <v>15</v>
      </c>
    </row>
    <row r="2396" spans="1:4">
      <c r="A2396" t="s">
        <v>134</v>
      </c>
      <c r="B2396" t="s">
        <v>250</v>
      </c>
      <c r="C2396">
        <v>2021</v>
      </c>
      <c r="D2396">
        <v>1509</v>
      </c>
    </row>
    <row r="2397" spans="1:4">
      <c r="A2397" t="s">
        <v>209</v>
      </c>
      <c r="B2397" t="s">
        <v>250</v>
      </c>
      <c r="C2397">
        <v>2021</v>
      </c>
      <c r="D2397">
        <v>1019</v>
      </c>
    </row>
    <row r="2398" spans="1:4">
      <c r="A2398" t="s">
        <v>164</v>
      </c>
      <c r="B2398" t="s">
        <v>250</v>
      </c>
      <c r="C2398">
        <v>2021</v>
      </c>
      <c r="D2398">
        <v>3372</v>
      </c>
    </row>
    <row r="2399" spans="1:4">
      <c r="A2399" t="s">
        <v>169</v>
      </c>
      <c r="B2399" t="s">
        <v>250</v>
      </c>
      <c r="C2399">
        <v>2021</v>
      </c>
      <c r="D2399">
        <v>944</v>
      </c>
    </row>
    <row r="2400" spans="1:4">
      <c r="A2400" t="s">
        <v>189</v>
      </c>
      <c r="B2400" t="s">
        <v>250</v>
      </c>
      <c r="C2400">
        <v>2021</v>
      </c>
      <c r="D2400">
        <v>1444</v>
      </c>
    </row>
    <row r="2401" spans="1:4">
      <c r="A2401" t="s">
        <v>174</v>
      </c>
      <c r="B2401" t="s">
        <v>250</v>
      </c>
      <c r="C2401">
        <v>2021</v>
      </c>
      <c r="D2401">
        <v>166</v>
      </c>
    </row>
    <row r="2402" spans="1:4">
      <c r="A2402" t="s">
        <v>84</v>
      </c>
      <c r="B2402" t="s">
        <v>250</v>
      </c>
      <c r="C2402">
        <v>2021</v>
      </c>
      <c r="D2402">
        <v>2111</v>
      </c>
    </row>
    <row r="2403" spans="1:4">
      <c r="A2403" t="s">
        <v>149</v>
      </c>
      <c r="B2403" t="s">
        <v>250</v>
      </c>
      <c r="C2403">
        <v>2021</v>
      </c>
      <c r="D2403">
        <v>2241</v>
      </c>
    </row>
    <row r="2404" spans="1:4">
      <c r="A2404" t="s">
        <v>109</v>
      </c>
      <c r="B2404" t="s">
        <v>250</v>
      </c>
      <c r="C2404">
        <v>2021</v>
      </c>
      <c r="D2404">
        <v>804</v>
      </c>
    </row>
    <row r="2405" spans="1:4">
      <c r="A2405" t="s">
        <v>154</v>
      </c>
      <c r="B2405" t="s">
        <v>250</v>
      </c>
      <c r="C2405">
        <v>2021</v>
      </c>
      <c r="D2405">
        <v>1307</v>
      </c>
    </row>
    <row r="2406" spans="1:4">
      <c r="A2406" t="s">
        <v>159</v>
      </c>
      <c r="B2406" t="s">
        <v>250</v>
      </c>
      <c r="C2406">
        <v>2021</v>
      </c>
      <c r="D2406">
        <v>873</v>
      </c>
    </row>
    <row r="2407" spans="1:4">
      <c r="A2407" t="s">
        <v>104</v>
      </c>
      <c r="B2407" t="s">
        <v>250</v>
      </c>
      <c r="C2407">
        <v>2021</v>
      </c>
      <c r="D2407">
        <v>646</v>
      </c>
    </row>
    <row r="2408" spans="1:4">
      <c r="A2408" t="s">
        <v>119</v>
      </c>
      <c r="B2408" t="s">
        <v>250</v>
      </c>
      <c r="C2408">
        <v>2021</v>
      </c>
      <c r="D2408">
        <v>4004</v>
      </c>
    </row>
    <row r="2409" spans="1:4">
      <c r="A2409" t="s">
        <v>139</v>
      </c>
      <c r="B2409" t="s">
        <v>250</v>
      </c>
      <c r="C2409">
        <v>2021</v>
      </c>
      <c r="D2409">
        <v>1075</v>
      </c>
    </row>
    <row r="2410" spans="1:4">
      <c r="A2410" t="s">
        <v>99</v>
      </c>
      <c r="B2410" t="s">
        <v>250</v>
      </c>
      <c r="C2410">
        <v>2021</v>
      </c>
      <c r="D2410">
        <v>1324</v>
      </c>
    </row>
    <row r="2411" spans="1:4">
      <c r="A2411" t="s">
        <v>94</v>
      </c>
      <c r="B2411" t="s">
        <v>250</v>
      </c>
      <c r="C2411">
        <v>2021</v>
      </c>
      <c r="D2411">
        <v>4706</v>
      </c>
    </row>
    <row r="2412" spans="1:4">
      <c r="A2412" t="s">
        <v>219</v>
      </c>
      <c r="B2412" t="s">
        <v>250</v>
      </c>
      <c r="C2412">
        <v>2021</v>
      </c>
      <c r="D2412">
        <v>1438</v>
      </c>
    </row>
    <row r="2413" spans="1:4">
      <c r="A2413" t="s">
        <v>214</v>
      </c>
      <c r="B2413" t="s">
        <v>250</v>
      </c>
      <c r="C2413">
        <v>2021</v>
      </c>
      <c r="D2413">
        <v>142</v>
      </c>
    </row>
    <row r="2414" spans="1:4">
      <c r="A2414" t="s">
        <v>70</v>
      </c>
      <c r="B2414" t="s">
        <v>250</v>
      </c>
      <c r="C2414">
        <v>2021</v>
      </c>
      <c r="D2414">
        <v>50426</v>
      </c>
    </row>
    <row r="2415" spans="1:4">
      <c r="A2415" t="s">
        <v>144</v>
      </c>
      <c r="B2415" t="s">
        <v>250</v>
      </c>
      <c r="C2415">
        <v>2021</v>
      </c>
      <c r="D2415">
        <v>4886</v>
      </c>
    </row>
    <row r="2416" spans="1:4">
      <c r="A2416" t="s">
        <v>89</v>
      </c>
      <c r="B2416" t="s">
        <v>250</v>
      </c>
      <c r="C2416">
        <v>2021</v>
      </c>
      <c r="D2416">
        <v>2941</v>
      </c>
    </row>
    <row r="2417" spans="1:4">
      <c r="A2417" t="s">
        <v>204</v>
      </c>
      <c r="B2417" t="s">
        <v>250</v>
      </c>
      <c r="C2417">
        <v>2021</v>
      </c>
      <c r="D2417">
        <v>2198</v>
      </c>
    </row>
    <row r="2418" spans="1:4">
      <c r="A2418" t="s">
        <v>114</v>
      </c>
      <c r="B2418" t="s">
        <v>250</v>
      </c>
      <c r="C2418">
        <v>2021</v>
      </c>
      <c r="D2418">
        <v>750</v>
      </c>
    </row>
    <row r="2419" spans="1:4">
      <c r="A2419" t="s">
        <v>184</v>
      </c>
      <c r="B2419" t="s">
        <v>250</v>
      </c>
      <c r="C2419">
        <v>2021</v>
      </c>
      <c r="D2419">
        <v>469</v>
      </c>
    </row>
    <row r="2420" spans="1:4">
      <c r="A2420" t="s">
        <v>79</v>
      </c>
      <c r="B2420" t="s">
        <v>250</v>
      </c>
      <c r="C2420">
        <v>2021</v>
      </c>
      <c r="D2420">
        <v>552</v>
      </c>
    </row>
    <row r="2421" spans="1:4">
      <c r="A2421" t="s">
        <v>224</v>
      </c>
      <c r="B2421" t="s">
        <v>250</v>
      </c>
      <c r="C2421">
        <v>2021</v>
      </c>
      <c r="D2421">
        <v>3482</v>
      </c>
    </row>
    <row r="2422" spans="1:4">
      <c r="A2422" t="s">
        <v>194</v>
      </c>
      <c r="B2422" t="s">
        <v>250</v>
      </c>
      <c r="C2422">
        <v>2021</v>
      </c>
      <c r="D2422">
        <v>353</v>
      </c>
    </row>
    <row r="2423" spans="1:4">
      <c r="A2423" t="s">
        <v>124</v>
      </c>
      <c r="B2423" t="s">
        <v>250</v>
      </c>
      <c r="C2423">
        <v>2021</v>
      </c>
      <c r="D2423">
        <v>2610</v>
      </c>
    </row>
    <row r="2424" spans="1:4">
      <c r="A2424" t="s">
        <v>179</v>
      </c>
      <c r="B2424" t="s">
        <v>250</v>
      </c>
      <c r="C2424">
        <v>2021</v>
      </c>
      <c r="D2424">
        <v>570</v>
      </c>
    </row>
    <row r="2425" spans="1:4">
      <c r="A2425" t="s">
        <v>70</v>
      </c>
      <c r="B2425" t="s">
        <v>250</v>
      </c>
      <c r="C2425">
        <v>2022</v>
      </c>
      <c r="D2425" s="97">
        <v>50792</v>
      </c>
    </row>
    <row r="2426" spans="1:4">
      <c r="A2426" t="s">
        <v>74</v>
      </c>
      <c r="B2426" t="s">
        <v>250</v>
      </c>
      <c r="C2426">
        <v>2022</v>
      </c>
      <c r="D2426" s="97">
        <v>9</v>
      </c>
    </row>
    <row r="2427" spans="1:4">
      <c r="A2427" t="s">
        <v>79</v>
      </c>
      <c r="B2427" t="s">
        <v>250</v>
      </c>
      <c r="C2427">
        <v>2022</v>
      </c>
      <c r="D2427" s="97">
        <v>529</v>
      </c>
    </row>
    <row r="2428" spans="1:4">
      <c r="A2428" t="s">
        <v>84</v>
      </c>
      <c r="B2428" t="s">
        <v>250</v>
      </c>
      <c r="C2428">
        <v>2022</v>
      </c>
      <c r="D2428" s="97">
        <v>2084</v>
      </c>
    </row>
    <row r="2429" spans="1:4">
      <c r="A2429" t="s">
        <v>89</v>
      </c>
      <c r="B2429" t="s">
        <v>250</v>
      </c>
      <c r="C2429">
        <v>2022</v>
      </c>
      <c r="D2429" s="97">
        <v>3229</v>
      </c>
    </row>
    <row r="2430" spans="1:4">
      <c r="A2430" t="s">
        <v>94</v>
      </c>
      <c r="B2430" t="s">
        <v>250</v>
      </c>
      <c r="C2430">
        <v>2022</v>
      </c>
      <c r="D2430" s="97">
        <v>5019</v>
      </c>
    </row>
    <row r="2431" spans="1:4">
      <c r="A2431" t="s">
        <v>99</v>
      </c>
      <c r="B2431" t="s">
        <v>250</v>
      </c>
      <c r="C2431">
        <v>2022</v>
      </c>
      <c r="D2431" s="97">
        <v>1141</v>
      </c>
    </row>
    <row r="2432" spans="1:4">
      <c r="A2432" t="s">
        <v>104</v>
      </c>
      <c r="B2432" t="s">
        <v>250</v>
      </c>
      <c r="C2432">
        <v>2022</v>
      </c>
      <c r="D2432" s="97">
        <v>596</v>
      </c>
    </row>
    <row r="2433" spans="1:4">
      <c r="A2433" t="s">
        <v>109</v>
      </c>
      <c r="B2433" t="s">
        <v>250</v>
      </c>
      <c r="C2433">
        <v>2022</v>
      </c>
      <c r="D2433" s="97">
        <v>721</v>
      </c>
    </row>
    <row r="2434" spans="1:4">
      <c r="A2434" t="s">
        <v>114</v>
      </c>
      <c r="B2434" t="s">
        <v>250</v>
      </c>
      <c r="C2434">
        <v>2022</v>
      </c>
      <c r="D2434" s="97">
        <v>702</v>
      </c>
    </row>
    <row r="2435" spans="1:4">
      <c r="A2435" t="s">
        <v>119</v>
      </c>
      <c r="B2435" t="s">
        <v>250</v>
      </c>
      <c r="C2435">
        <v>2022</v>
      </c>
      <c r="D2435" s="97">
        <v>3882</v>
      </c>
    </row>
    <row r="2436" spans="1:4">
      <c r="A2436" t="s">
        <v>124</v>
      </c>
      <c r="B2436" t="s">
        <v>250</v>
      </c>
      <c r="C2436">
        <v>2022</v>
      </c>
      <c r="D2436" s="97">
        <v>2619</v>
      </c>
    </row>
    <row r="2437" spans="1:4">
      <c r="A2437" t="s">
        <v>129</v>
      </c>
      <c r="B2437" t="s">
        <v>250</v>
      </c>
      <c r="C2437">
        <v>2022</v>
      </c>
      <c r="D2437" s="97">
        <v>2646</v>
      </c>
    </row>
    <row r="2438" spans="1:4">
      <c r="A2438" t="s">
        <v>134</v>
      </c>
      <c r="B2438" t="s">
        <v>250</v>
      </c>
      <c r="C2438">
        <v>2022</v>
      </c>
      <c r="D2438" s="97">
        <v>1399</v>
      </c>
    </row>
    <row r="2439" spans="1:4">
      <c r="A2439" t="s">
        <v>139</v>
      </c>
      <c r="B2439" t="s">
        <v>250</v>
      </c>
      <c r="C2439">
        <v>2022</v>
      </c>
      <c r="D2439" s="97">
        <v>1140</v>
      </c>
    </row>
    <row r="2440" spans="1:4">
      <c r="A2440" t="s">
        <v>144</v>
      </c>
      <c r="B2440" t="s">
        <v>250</v>
      </c>
      <c r="C2440">
        <v>2022</v>
      </c>
      <c r="D2440" s="97">
        <v>4713</v>
      </c>
    </row>
    <row r="2441" spans="1:4">
      <c r="A2441" t="s">
        <v>149</v>
      </c>
      <c r="B2441" t="s">
        <v>250</v>
      </c>
      <c r="C2441">
        <v>2022</v>
      </c>
      <c r="D2441" s="97">
        <v>2466</v>
      </c>
    </row>
    <row r="2442" spans="1:4">
      <c r="A2442" t="s">
        <v>154</v>
      </c>
      <c r="B2442" t="s">
        <v>250</v>
      </c>
      <c r="C2442">
        <v>2022</v>
      </c>
      <c r="D2442" s="97">
        <v>1405</v>
      </c>
    </row>
    <row r="2443" spans="1:4">
      <c r="A2443" t="s">
        <v>159</v>
      </c>
      <c r="B2443" t="s">
        <v>250</v>
      </c>
      <c r="C2443">
        <v>2022</v>
      </c>
      <c r="D2443" s="97">
        <v>876</v>
      </c>
    </row>
    <row r="2444" spans="1:4">
      <c r="A2444" t="s">
        <v>164</v>
      </c>
      <c r="B2444" t="s">
        <v>250</v>
      </c>
      <c r="C2444">
        <v>2022</v>
      </c>
      <c r="D2444" s="97">
        <v>3265</v>
      </c>
    </row>
    <row r="2445" spans="1:4">
      <c r="A2445" t="s">
        <v>169</v>
      </c>
      <c r="B2445" t="s">
        <v>250</v>
      </c>
      <c r="C2445">
        <v>2022</v>
      </c>
      <c r="D2445" s="97">
        <v>827</v>
      </c>
    </row>
    <row r="2446" spans="1:4">
      <c r="A2446" t="s">
        <v>174</v>
      </c>
      <c r="B2446" t="s">
        <v>250</v>
      </c>
      <c r="C2446">
        <v>2022</v>
      </c>
      <c r="D2446" s="97">
        <v>150</v>
      </c>
    </row>
    <row r="2447" spans="1:4">
      <c r="A2447" t="s">
        <v>179</v>
      </c>
      <c r="B2447" t="s">
        <v>250</v>
      </c>
      <c r="C2447">
        <v>2022</v>
      </c>
      <c r="D2447" s="97">
        <v>635</v>
      </c>
    </row>
    <row r="2448" spans="1:4">
      <c r="A2448" t="s">
        <v>184</v>
      </c>
      <c r="B2448" t="s">
        <v>250</v>
      </c>
      <c r="C2448">
        <v>2022</v>
      </c>
      <c r="D2448" s="97">
        <v>577</v>
      </c>
    </row>
    <row r="2449" spans="1:4">
      <c r="A2449" t="s">
        <v>189</v>
      </c>
      <c r="B2449" t="s">
        <v>250</v>
      </c>
      <c r="C2449">
        <v>2022</v>
      </c>
      <c r="D2449" s="97">
        <v>1360</v>
      </c>
    </row>
    <row r="2450" spans="1:4">
      <c r="A2450" t="s">
        <v>194</v>
      </c>
      <c r="B2450" t="s">
        <v>250</v>
      </c>
      <c r="C2450">
        <v>2022</v>
      </c>
      <c r="D2450" s="97">
        <v>390</v>
      </c>
    </row>
    <row r="2451" spans="1:4">
      <c r="A2451" t="s">
        <v>199</v>
      </c>
      <c r="B2451" t="s">
        <v>250</v>
      </c>
      <c r="C2451">
        <v>2022</v>
      </c>
      <c r="D2451">
        <v>0</v>
      </c>
    </row>
    <row r="2452" spans="1:4">
      <c r="A2452" t="s">
        <v>204</v>
      </c>
      <c r="B2452" t="s">
        <v>250</v>
      </c>
      <c r="C2452">
        <v>2022</v>
      </c>
      <c r="D2452" s="97">
        <v>2221</v>
      </c>
    </row>
    <row r="2453" spans="1:4">
      <c r="A2453" t="s">
        <v>209</v>
      </c>
      <c r="B2453" t="s">
        <v>250</v>
      </c>
      <c r="C2453">
        <v>2022</v>
      </c>
      <c r="D2453" s="97">
        <v>1049</v>
      </c>
    </row>
    <row r="2454" spans="1:4">
      <c r="A2454" t="s">
        <v>214</v>
      </c>
      <c r="B2454" t="s">
        <v>250</v>
      </c>
      <c r="C2454">
        <v>2022</v>
      </c>
      <c r="D2454" s="97">
        <v>151</v>
      </c>
    </row>
    <row r="2455" spans="1:4">
      <c r="A2455" t="s">
        <v>219</v>
      </c>
      <c r="B2455" t="s">
        <v>250</v>
      </c>
      <c r="C2455">
        <v>2022</v>
      </c>
      <c r="D2455" s="97">
        <v>1535</v>
      </c>
    </row>
    <row r="2456" spans="1:4">
      <c r="A2456" t="s">
        <v>224</v>
      </c>
      <c r="B2456" t="s">
        <v>250</v>
      </c>
      <c r="C2456">
        <v>2022</v>
      </c>
      <c r="D2456" s="97">
        <v>3457</v>
      </c>
    </row>
    <row r="2457" spans="1:4">
      <c r="A2457" t="s">
        <v>129</v>
      </c>
      <c r="B2457" t="s">
        <v>251</v>
      </c>
      <c r="C2457">
        <v>2015</v>
      </c>
    </row>
    <row r="2458" spans="1:4">
      <c r="A2458" t="s">
        <v>74</v>
      </c>
      <c r="B2458" t="s">
        <v>251</v>
      </c>
      <c r="C2458">
        <v>2015</v>
      </c>
    </row>
    <row r="2459" spans="1:4">
      <c r="A2459" t="s">
        <v>134</v>
      </c>
      <c r="B2459" t="s">
        <v>251</v>
      </c>
      <c r="C2459">
        <v>2015</v>
      </c>
    </row>
    <row r="2460" spans="1:4">
      <c r="A2460" t="s">
        <v>209</v>
      </c>
      <c r="B2460" t="s">
        <v>251</v>
      </c>
      <c r="C2460">
        <v>2015</v>
      </c>
    </row>
    <row r="2461" spans="1:4">
      <c r="A2461" t="s">
        <v>164</v>
      </c>
      <c r="B2461" t="s">
        <v>251</v>
      </c>
      <c r="C2461">
        <v>2015</v>
      </c>
    </row>
    <row r="2462" spans="1:4">
      <c r="A2462" t="s">
        <v>169</v>
      </c>
      <c r="B2462" t="s">
        <v>251</v>
      </c>
      <c r="C2462">
        <v>2015</v>
      </c>
    </row>
    <row r="2463" spans="1:4">
      <c r="A2463" t="s">
        <v>189</v>
      </c>
      <c r="B2463" t="s">
        <v>251</v>
      </c>
      <c r="C2463">
        <v>2015</v>
      </c>
    </row>
    <row r="2464" spans="1:4">
      <c r="A2464" t="s">
        <v>174</v>
      </c>
      <c r="B2464" t="s">
        <v>251</v>
      </c>
      <c r="C2464">
        <v>2015</v>
      </c>
    </row>
    <row r="2465" spans="1:3">
      <c r="A2465" t="s">
        <v>84</v>
      </c>
      <c r="B2465" t="s">
        <v>251</v>
      </c>
      <c r="C2465">
        <v>2015</v>
      </c>
    </row>
    <row r="2466" spans="1:3">
      <c r="A2466" t="s">
        <v>149</v>
      </c>
      <c r="B2466" t="s">
        <v>251</v>
      </c>
      <c r="C2466">
        <v>2015</v>
      </c>
    </row>
    <row r="2467" spans="1:3">
      <c r="A2467" t="s">
        <v>109</v>
      </c>
      <c r="B2467" t="s">
        <v>251</v>
      </c>
      <c r="C2467">
        <v>2015</v>
      </c>
    </row>
    <row r="2468" spans="1:3">
      <c r="A2468" t="s">
        <v>154</v>
      </c>
      <c r="B2468" t="s">
        <v>251</v>
      </c>
      <c r="C2468">
        <v>2015</v>
      </c>
    </row>
    <row r="2469" spans="1:3">
      <c r="A2469" t="s">
        <v>159</v>
      </c>
      <c r="B2469" t="s">
        <v>251</v>
      </c>
      <c r="C2469">
        <v>2015</v>
      </c>
    </row>
    <row r="2470" spans="1:3">
      <c r="A2470" t="s">
        <v>104</v>
      </c>
      <c r="B2470" t="s">
        <v>251</v>
      </c>
      <c r="C2470">
        <v>2015</v>
      </c>
    </row>
    <row r="2471" spans="1:3">
      <c r="A2471" t="s">
        <v>119</v>
      </c>
      <c r="B2471" t="s">
        <v>251</v>
      </c>
      <c r="C2471">
        <v>2015</v>
      </c>
    </row>
    <row r="2472" spans="1:3">
      <c r="A2472" t="s">
        <v>139</v>
      </c>
      <c r="B2472" t="s">
        <v>251</v>
      </c>
      <c r="C2472">
        <v>2015</v>
      </c>
    </row>
    <row r="2473" spans="1:3">
      <c r="A2473" t="s">
        <v>99</v>
      </c>
      <c r="B2473" t="s">
        <v>251</v>
      </c>
      <c r="C2473">
        <v>2015</v>
      </c>
    </row>
    <row r="2474" spans="1:3">
      <c r="A2474" t="s">
        <v>94</v>
      </c>
      <c r="B2474" t="s">
        <v>251</v>
      </c>
      <c r="C2474">
        <v>2015</v>
      </c>
    </row>
    <row r="2475" spans="1:3">
      <c r="A2475" t="s">
        <v>219</v>
      </c>
      <c r="B2475" t="s">
        <v>251</v>
      </c>
      <c r="C2475">
        <v>2015</v>
      </c>
    </row>
    <row r="2476" spans="1:3">
      <c r="A2476" t="s">
        <v>214</v>
      </c>
      <c r="B2476" t="s">
        <v>251</v>
      </c>
      <c r="C2476">
        <v>2015</v>
      </c>
    </row>
    <row r="2477" spans="1:3">
      <c r="A2477" t="s">
        <v>70</v>
      </c>
      <c r="B2477" t="s">
        <v>251</v>
      </c>
      <c r="C2477">
        <v>2015</v>
      </c>
    </row>
    <row r="2478" spans="1:3">
      <c r="A2478" t="s">
        <v>144</v>
      </c>
      <c r="B2478" t="s">
        <v>251</v>
      </c>
      <c r="C2478">
        <v>2015</v>
      </c>
    </row>
    <row r="2479" spans="1:3">
      <c r="A2479" t="s">
        <v>89</v>
      </c>
      <c r="B2479" t="s">
        <v>251</v>
      </c>
      <c r="C2479">
        <v>2015</v>
      </c>
    </row>
    <row r="2480" spans="1:3">
      <c r="A2480" t="s">
        <v>204</v>
      </c>
      <c r="B2480" t="s">
        <v>251</v>
      </c>
      <c r="C2480">
        <v>2015</v>
      </c>
    </row>
    <row r="2481" spans="1:4">
      <c r="A2481" t="s">
        <v>114</v>
      </c>
      <c r="B2481" t="s">
        <v>251</v>
      </c>
      <c r="C2481">
        <v>2015</v>
      </c>
    </row>
    <row r="2482" spans="1:4">
      <c r="A2482" t="s">
        <v>184</v>
      </c>
      <c r="B2482" t="s">
        <v>251</v>
      </c>
      <c r="C2482">
        <v>2015</v>
      </c>
    </row>
    <row r="2483" spans="1:4">
      <c r="A2483" t="s">
        <v>79</v>
      </c>
      <c r="B2483" t="s">
        <v>251</v>
      </c>
      <c r="C2483">
        <v>2015</v>
      </c>
    </row>
    <row r="2484" spans="1:4">
      <c r="A2484" t="s">
        <v>199</v>
      </c>
      <c r="B2484" t="s">
        <v>251</v>
      </c>
      <c r="C2484">
        <v>2015</v>
      </c>
    </row>
    <row r="2485" spans="1:4">
      <c r="A2485" t="s">
        <v>224</v>
      </c>
      <c r="B2485" t="s">
        <v>251</v>
      </c>
      <c r="C2485">
        <v>2015</v>
      </c>
    </row>
    <row r="2486" spans="1:4">
      <c r="A2486" t="s">
        <v>194</v>
      </c>
      <c r="B2486" t="s">
        <v>251</v>
      </c>
      <c r="C2486">
        <v>2015</v>
      </c>
    </row>
    <row r="2487" spans="1:4">
      <c r="A2487" t="s">
        <v>124</v>
      </c>
      <c r="B2487" t="s">
        <v>251</v>
      </c>
      <c r="C2487">
        <v>2015</v>
      </c>
    </row>
    <row r="2488" spans="1:4">
      <c r="A2488" t="s">
        <v>179</v>
      </c>
      <c r="B2488" t="s">
        <v>251</v>
      </c>
      <c r="C2488">
        <v>2015</v>
      </c>
    </row>
    <row r="2489" spans="1:4">
      <c r="A2489" t="s">
        <v>129</v>
      </c>
      <c r="B2489" t="s">
        <v>251</v>
      </c>
      <c r="C2489">
        <v>2016</v>
      </c>
      <c r="D2489">
        <v>6</v>
      </c>
    </row>
    <row r="2490" spans="1:4">
      <c r="A2490" t="s">
        <v>74</v>
      </c>
      <c r="B2490" t="s">
        <v>251</v>
      </c>
      <c r="C2490">
        <v>2016</v>
      </c>
      <c r="D2490">
        <v>371</v>
      </c>
    </row>
    <row r="2491" spans="1:4">
      <c r="A2491" t="s">
        <v>134</v>
      </c>
      <c r="B2491" t="s">
        <v>251</v>
      </c>
      <c r="C2491">
        <v>2016</v>
      </c>
      <c r="D2491">
        <v>67</v>
      </c>
    </row>
    <row r="2492" spans="1:4">
      <c r="A2492" t="s">
        <v>209</v>
      </c>
      <c r="B2492" t="s">
        <v>251</v>
      </c>
      <c r="C2492">
        <v>2016</v>
      </c>
      <c r="D2492">
        <v>0</v>
      </c>
    </row>
    <row r="2493" spans="1:4">
      <c r="A2493" t="s">
        <v>164</v>
      </c>
      <c r="B2493" t="s">
        <v>251</v>
      </c>
      <c r="C2493">
        <v>2016</v>
      </c>
      <c r="D2493">
        <v>489</v>
      </c>
    </row>
    <row r="2494" spans="1:4">
      <c r="A2494" t="s">
        <v>169</v>
      </c>
      <c r="B2494" t="s">
        <v>251</v>
      </c>
      <c r="C2494">
        <v>2016</v>
      </c>
      <c r="D2494">
        <v>1</v>
      </c>
    </row>
    <row r="2495" spans="1:4">
      <c r="A2495" t="s">
        <v>189</v>
      </c>
      <c r="B2495" t="s">
        <v>251</v>
      </c>
      <c r="C2495">
        <v>2016</v>
      </c>
    </row>
    <row r="2496" spans="1:4">
      <c r="A2496" t="s">
        <v>174</v>
      </c>
      <c r="B2496" t="s">
        <v>251</v>
      </c>
      <c r="C2496">
        <v>2016</v>
      </c>
      <c r="D2496">
        <v>10</v>
      </c>
    </row>
    <row r="2497" spans="1:4">
      <c r="A2497" t="s">
        <v>84</v>
      </c>
      <c r="B2497" t="s">
        <v>251</v>
      </c>
      <c r="C2497">
        <v>2016</v>
      </c>
      <c r="D2497">
        <v>0</v>
      </c>
    </row>
    <row r="2498" spans="1:4">
      <c r="A2498" t="s">
        <v>149</v>
      </c>
      <c r="B2498" t="s">
        <v>251</v>
      </c>
      <c r="C2498">
        <v>2016</v>
      </c>
      <c r="D2498">
        <v>34</v>
      </c>
    </row>
    <row r="2499" spans="1:4">
      <c r="A2499" t="s">
        <v>109</v>
      </c>
      <c r="B2499" t="s">
        <v>251</v>
      </c>
      <c r="C2499">
        <v>2016</v>
      </c>
      <c r="D2499">
        <v>3</v>
      </c>
    </row>
    <row r="2500" spans="1:4">
      <c r="A2500" t="s">
        <v>154</v>
      </c>
      <c r="B2500" t="s">
        <v>251</v>
      </c>
      <c r="C2500">
        <v>2016</v>
      </c>
      <c r="D2500">
        <v>28</v>
      </c>
    </row>
    <row r="2501" spans="1:4">
      <c r="A2501" t="s">
        <v>159</v>
      </c>
      <c r="B2501" t="s">
        <v>251</v>
      </c>
      <c r="C2501">
        <v>2016</v>
      </c>
      <c r="D2501">
        <v>6</v>
      </c>
    </row>
    <row r="2502" spans="1:4">
      <c r="A2502" t="s">
        <v>104</v>
      </c>
      <c r="B2502" t="s">
        <v>251</v>
      </c>
      <c r="C2502">
        <v>2016</v>
      </c>
      <c r="D2502">
        <v>0</v>
      </c>
    </row>
    <row r="2503" spans="1:4">
      <c r="A2503" t="s">
        <v>119</v>
      </c>
      <c r="B2503" t="s">
        <v>251</v>
      </c>
      <c r="C2503">
        <v>2016</v>
      </c>
      <c r="D2503">
        <v>308</v>
      </c>
    </row>
    <row r="2504" spans="1:4">
      <c r="A2504" t="s">
        <v>139</v>
      </c>
      <c r="B2504" t="s">
        <v>251</v>
      </c>
      <c r="C2504">
        <v>2016</v>
      </c>
      <c r="D2504">
        <v>4</v>
      </c>
    </row>
    <row r="2505" spans="1:4">
      <c r="A2505" t="s">
        <v>99</v>
      </c>
      <c r="B2505" t="s">
        <v>251</v>
      </c>
      <c r="C2505">
        <v>2016</v>
      </c>
      <c r="D2505">
        <v>1</v>
      </c>
    </row>
    <row r="2506" spans="1:4">
      <c r="A2506" t="s">
        <v>94</v>
      </c>
      <c r="B2506" t="s">
        <v>251</v>
      </c>
      <c r="C2506">
        <v>2016</v>
      </c>
      <c r="D2506">
        <v>0</v>
      </c>
    </row>
    <row r="2507" spans="1:4">
      <c r="A2507" t="s">
        <v>219</v>
      </c>
      <c r="B2507" t="s">
        <v>251</v>
      </c>
      <c r="C2507">
        <v>2016</v>
      </c>
      <c r="D2507">
        <v>15</v>
      </c>
    </row>
    <row r="2508" spans="1:4">
      <c r="A2508" t="s">
        <v>214</v>
      </c>
      <c r="B2508" t="s">
        <v>251</v>
      </c>
      <c r="C2508">
        <v>2016</v>
      </c>
      <c r="D2508">
        <v>1</v>
      </c>
    </row>
    <row r="2509" spans="1:4">
      <c r="A2509" t="s">
        <v>70</v>
      </c>
      <c r="B2509" t="s">
        <v>251</v>
      </c>
      <c r="C2509">
        <v>2016</v>
      </c>
      <c r="D2509">
        <v>1883</v>
      </c>
    </row>
    <row r="2510" spans="1:4">
      <c r="A2510" t="s">
        <v>144</v>
      </c>
      <c r="B2510" t="s">
        <v>251</v>
      </c>
      <c r="C2510">
        <v>2016</v>
      </c>
      <c r="D2510">
        <v>3</v>
      </c>
    </row>
    <row r="2511" spans="1:4">
      <c r="A2511" t="s">
        <v>89</v>
      </c>
      <c r="B2511" t="s">
        <v>251</v>
      </c>
      <c r="C2511">
        <v>2016</v>
      </c>
      <c r="D2511">
        <v>95</v>
      </c>
    </row>
    <row r="2512" spans="1:4">
      <c r="A2512" t="s">
        <v>204</v>
      </c>
      <c r="B2512" t="s">
        <v>251</v>
      </c>
      <c r="C2512">
        <v>2016</v>
      </c>
    </row>
    <row r="2513" spans="1:4">
      <c r="A2513" t="s">
        <v>114</v>
      </c>
      <c r="B2513" t="s">
        <v>251</v>
      </c>
      <c r="C2513">
        <v>2016</v>
      </c>
      <c r="D2513">
        <v>102</v>
      </c>
    </row>
    <row r="2514" spans="1:4">
      <c r="A2514" t="s">
        <v>184</v>
      </c>
      <c r="B2514" t="s">
        <v>251</v>
      </c>
      <c r="C2514">
        <v>2016</v>
      </c>
      <c r="D2514">
        <v>22</v>
      </c>
    </row>
    <row r="2515" spans="1:4">
      <c r="A2515" t="s">
        <v>79</v>
      </c>
      <c r="B2515" t="s">
        <v>251</v>
      </c>
      <c r="C2515">
        <v>2016</v>
      </c>
      <c r="D2515">
        <v>104</v>
      </c>
    </row>
    <row r="2516" spans="1:4">
      <c r="A2516" t="s">
        <v>199</v>
      </c>
      <c r="B2516" t="s">
        <v>251</v>
      </c>
      <c r="C2516">
        <v>2016</v>
      </c>
    </row>
    <row r="2517" spans="1:4">
      <c r="A2517" t="s">
        <v>224</v>
      </c>
      <c r="B2517" t="s">
        <v>251</v>
      </c>
      <c r="C2517">
        <v>2016</v>
      </c>
      <c r="D2517">
        <v>17</v>
      </c>
    </row>
    <row r="2518" spans="1:4">
      <c r="A2518" t="s">
        <v>194</v>
      </c>
      <c r="B2518" t="s">
        <v>251</v>
      </c>
      <c r="C2518">
        <v>2016</v>
      </c>
      <c r="D2518">
        <v>0</v>
      </c>
    </row>
    <row r="2519" spans="1:4">
      <c r="A2519" t="s">
        <v>124</v>
      </c>
      <c r="B2519" t="s">
        <v>251</v>
      </c>
      <c r="C2519">
        <v>2016</v>
      </c>
      <c r="D2519">
        <v>156</v>
      </c>
    </row>
    <row r="2520" spans="1:4">
      <c r="A2520" t="s">
        <v>179</v>
      </c>
      <c r="B2520" t="s">
        <v>251</v>
      </c>
      <c r="C2520">
        <v>2016</v>
      </c>
      <c r="D2520">
        <v>36</v>
      </c>
    </row>
    <row r="2521" spans="1:4">
      <c r="A2521" t="s">
        <v>129</v>
      </c>
      <c r="B2521" t="s">
        <v>251</v>
      </c>
      <c r="C2521">
        <v>2017</v>
      </c>
      <c r="D2521">
        <v>5</v>
      </c>
    </row>
    <row r="2522" spans="1:4">
      <c r="A2522" t="s">
        <v>74</v>
      </c>
      <c r="B2522" t="s">
        <v>251</v>
      </c>
      <c r="C2522">
        <v>2017</v>
      </c>
      <c r="D2522">
        <v>347</v>
      </c>
    </row>
    <row r="2523" spans="1:4">
      <c r="A2523" t="s">
        <v>134</v>
      </c>
      <c r="B2523" t="s">
        <v>251</v>
      </c>
      <c r="C2523">
        <v>2017</v>
      </c>
      <c r="D2523">
        <v>60</v>
      </c>
    </row>
    <row r="2524" spans="1:4">
      <c r="A2524" t="s">
        <v>209</v>
      </c>
      <c r="B2524" t="s">
        <v>251</v>
      </c>
      <c r="C2524">
        <v>2017</v>
      </c>
      <c r="D2524">
        <v>0.1</v>
      </c>
    </row>
    <row r="2525" spans="1:4">
      <c r="A2525" t="s">
        <v>164</v>
      </c>
      <c r="B2525" t="s">
        <v>251</v>
      </c>
      <c r="C2525">
        <v>2017</v>
      </c>
      <c r="D2525">
        <v>515</v>
      </c>
    </row>
    <row r="2526" spans="1:4">
      <c r="A2526" t="s">
        <v>169</v>
      </c>
      <c r="B2526" t="s">
        <v>251</v>
      </c>
      <c r="C2526">
        <v>2017</v>
      </c>
      <c r="D2526">
        <v>2</v>
      </c>
    </row>
    <row r="2527" spans="1:4">
      <c r="A2527" t="s">
        <v>189</v>
      </c>
      <c r="B2527" t="s">
        <v>251</v>
      </c>
      <c r="C2527">
        <v>2017</v>
      </c>
    </row>
    <row r="2528" spans="1:4">
      <c r="A2528" t="s">
        <v>174</v>
      </c>
      <c r="B2528" t="s">
        <v>251</v>
      </c>
      <c r="C2528">
        <v>2017</v>
      </c>
      <c r="D2528">
        <v>11</v>
      </c>
    </row>
    <row r="2529" spans="1:4">
      <c r="A2529" t="s">
        <v>84</v>
      </c>
      <c r="B2529" t="s">
        <v>251</v>
      </c>
      <c r="C2529">
        <v>2017</v>
      </c>
      <c r="D2529">
        <v>0.4</v>
      </c>
    </row>
    <row r="2530" spans="1:4">
      <c r="A2530" t="s">
        <v>149</v>
      </c>
      <c r="B2530" t="s">
        <v>251</v>
      </c>
      <c r="C2530">
        <v>2017</v>
      </c>
      <c r="D2530">
        <v>31</v>
      </c>
    </row>
    <row r="2531" spans="1:4">
      <c r="A2531" t="s">
        <v>109</v>
      </c>
      <c r="B2531" t="s">
        <v>251</v>
      </c>
      <c r="C2531">
        <v>2017</v>
      </c>
      <c r="D2531">
        <v>2</v>
      </c>
    </row>
    <row r="2532" spans="1:4">
      <c r="A2532" t="s">
        <v>154</v>
      </c>
      <c r="B2532" t="s">
        <v>251</v>
      </c>
      <c r="C2532">
        <v>2017</v>
      </c>
      <c r="D2532">
        <v>28</v>
      </c>
    </row>
    <row r="2533" spans="1:4">
      <c r="A2533" t="s">
        <v>159</v>
      </c>
      <c r="B2533" t="s">
        <v>251</v>
      </c>
      <c r="C2533">
        <v>2017</v>
      </c>
      <c r="D2533">
        <v>1</v>
      </c>
    </row>
    <row r="2534" spans="1:4">
      <c r="A2534" t="s">
        <v>104</v>
      </c>
      <c r="B2534" t="s">
        <v>251</v>
      </c>
      <c r="C2534">
        <v>2017</v>
      </c>
      <c r="D2534">
        <v>0.1</v>
      </c>
    </row>
    <row r="2535" spans="1:4">
      <c r="A2535" t="s">
        <v>119</v>
      </c>
      <c r="B2535" t="s">
        <v>251</v>
      </c>
      <c r="C2535">
        <v>2017</v>
      </c>
      <c r="D2535">
        <v>449</v>
      </c>
    </row>
    <row r="2536" spans="1:4">
      <c r="A2536" t="s">
        <v>139</v>
      </c>
      <c r="B2536" t="s">
        <v>251</v>
      </c>
      <c r="C2536">
        <v>2017</v>
      </c>
      <c r="D2536">
        <v>5</v>
      </c>
    </row>
    <row r="2537" spans="1:4">
      <c r="A2537" t="s">
        <v>99</v>
      </c>
      <c r="B2537" t="s">
        <v>251</v>
      </c>
      <c r="C2537">
        <v>2017</v>
      </c>
      <c r="D2537">
        <v>1</v>
      </c>
    </row>
    <row r="2538" spans="1:4">
      <c r="A2538" t="s">
        <v>94</v>
      </c>
      <c r="B2538" t="s">
        <v>251</v>
      </c>
      <c r="C2538">
        <v>2017</v>
      </c>
      <c r="D2538">
        <v>0.5</v>
      </c>
    </row>
    <row r="2539" spans="1:4">
      <c r="A2539" t="s">
        <v>219</v>
      </c>
      <c r="B2539" t="s">
        <v>251</v>
      </c>
      <c r="C2539">
        <v>2017</v>
      </c>
      <c r="D2539">
        <v>11</v>
      </c>
    </row>
    <row r="2540" spans="1:4">
      <c r="A2540" t="s">
        <v>214</v>
      </c>
      <c r="B2540" t="s">
        <v>251</v>
      </c>
      <c r="C2540">
        <v>2017</v>
      </c>
    </row>
    <row r="2541" spans="1:4">
      <c r="A2541" t="s">
        <v>70</v>
      </c>
      <c r="B2541" t="s">
        <v>251</v>
      </c>
      <c r="C2541">
        <v>2017</v>
      </c>
      <c r="D2541">
        <v>2028</v>
      </c>
    </row>
    <row r="2542" spans="1:4">
      <c r="A2542" t="s">
        <v>144</v>
      </c>
      <c r="B2542" t="s">
        <v>251</v>
      </c>
      <c r="C2542">
        <v>2017</v>
      </c>
      <c r="D2542">
        <v>1</v>
      </c>
    </row>
    <row r="2543" spans="1:4">
      <c r="A2543" t="s">
        <v>89</v>
      </c>
      <c r="B2543" t="s">
        <v>251</v>
      </c>
      <c r="C2543">
        <v>2017</v>
      </c>
      <c r="D2543">
        <v>110</v>
      </c>
    </row>
    <row r="2544" spans="1:4">
      <c r="A2544" t="s">
        <v>204</v>
      </c>
      <c r="B2544" t="s">
        <v>251</v>
      </c>
      <c r="C2544">
        <v>2017</v>
      </c>
    </row>
    <row r="2545" spans="1:4">
      <c r="A2545" t="s">
        <v>114</v>
      </c>
      <c r="B2545" t="s">
        <v>251</v>
      </c>
      <c r="C2545">
        <v>2017</v>
      </c>
      <c r="D2545">
        <v>110</v>
      </c>
    </row>
    <row r="2546" spans="1:4">
      <c r="A2546" t="s">
        <v>184</v>
      </c>
      <c r="B2546" t="s">
        <v>251</v>
      </c>
      <c r="C2546">
        <v>2017</v>
      </c>
      <c r="D2546">
        <v>19</v>
      </c>
    </row>
    <row r="2547" spans="1:4">
      <c r="A2547" t="s">
        <v>79</v>
      </c>
      <c r="B2547" t="s">
        <v>251</v>
      </c>
      <c r="C2547">
        <v>2017</v>
      </c>
      <c r="D2547">
        <v>106</v>
      </c>
    </row>
    <row r="2548" spans="1:4">
      <c r="A2548" t="s">
        <v>199</v>
      </c>
      <c r="B2548" t="s">
        <v>251</v>
      </c>
      <c r="C2548">
        <v>2017</v>
      </c>
    </row>
    <row r="2549" spans="1:4">
      <c r="A2549" t="s">
        <v>224</v>
      </c>
      <c r="B2549" t="s">
        <v>251</v>
      </c>
      <c r="C2549">
        <v>2017</v>
      </c>
      <c r="D2549">
        <v>20</v>
      </c>
    </row>
    <row r="2550" spans="1:4">
      <c r="A2550" t="s">
        <v>194</v>
      </c>
      <c r="B2550" t="s">
        <v>251</v>
      </c>
      <c r="C2550">
        <v>2017</v>
      </c>
      <c r="D2550">
        <v>1</v>
      </c>
    </row>
    <row r="2551" spans="1:4">
      <c r="A2551" t="s">
        <v>124</v>
      </c>
      <c r="B2551" t="s">
        <v>251</v>
      </c>
      <c r="C2551">
        <v>2017</v>
      </c>
      <c r="D2551">
        <v>153</v>
      </c>
    </row>
    <row r="2552" spans="1:4">
      <c r="A2552" t="s">
        <v>179</v>
      </c>
      <c r="B2552" t="s">
        <v>251</v>
      </c>
      <c r="C2552">
        <v>2017</v>
      </c>
      <c r="D2552">
        <v>37</v>
      </c>
    </row>
    <row r="2553" spans="1:4">
      <c r="A2553" t="s">
        <v>129</v>
      </c>
      <c r="B2553" t="s">
        <v>251</v>
      </c>
      <c r="C2553">
        <v>2018</v>
      </c>
      <c r="D2553">
        <v>4</v>
      </c>
    </row>
    <row r="2554" spans="1:4">
      <c r="A2554" t="s">
        <v>74</v>
      </c>
      <c r="B2554" t="s">
        <v>251</v>
      </c>
      <c r="C2554">
        <v>2018</v>
      </c>
      <c r="D2554">
        <v>395</v>
      </c>
    </row>
    <row r="2555" spans="1:4">
      <c r="A2555" t="s">
        <v>134</v>
      </c>
      <c r="B2555" t="s">
        <v>251</v>
      </c>
      <c r="C2555">
        <v>2018</v>
      </c>
      <c r="D2555">
        <v>64</v>
      </c>
    </row>
    <row r="2556" spans="1:4">
      <c r="A2556" t="s">
        <v>209</v>
      </c>
      <c r="B2556" t="s">
        <v>251</v>
      </c>
      <c r="C2556">
        <v>2018</v>
      </c>
    </row>
    <row r="2557" spans="1:4">
      <c r="A2557" t="s">
        <v>164</v>
      </c>
      <c r="B2557" t="s">
        <v>251</v>
      </c>
      <c r="C2557">
        <v>2018</v>
      </c>
      <c r="D2557">
        <v>434</v>
      </c>
    </row>
    <row r="2558" spans="1:4">
      <c r="A2558" t="s">
        <v>169</v>
      </c>
      <c r="B2558" t="s">
        <v>251</v>
      </c>
      <c r="C2558">
        <v>2018</v>
      </c>
      <c r="D2558">
        <v>6</v>
      </c>
    </row>
    <row r="2559" spans="1:4">
      <c r="A2559" t="s">
        <v>189</v>
      </c>
      <c r="B2559" t="s">
        <v>251</v>
      </c>
      <c r="C2559">
        <v>2018</v>
      </c>
    </row>
    <row r="2560" spans="1:4">
      <c r="A2560" t="s">
        <v>174</v>
      </c>
      <c r="B2560" t="s">
        <v>251</v>
      </c>
      <c r="C2560">
        <v>2018</v>
      </c>
      <c r="D2560">
        <v>12</v>
      </c>
    </row>
    <row r="2561" spans="1:4">
      <c r="A2561" t="s">
        <v>84</v>
      </c>
      <c r="B2561" t="s">
        <v>251</v>
      </c>
      <c r="C2561">
        <v>2018</v>
      </c>
      <c r="D2561">
        <v>0.6</v>
      </c>
    </row>
    <row r="2562" spans="1:4">
      <c r="A2562" t="s">
        <v>149</v>
      </c>
      <c r="B2562" t="s">
        <v>251</v>
      </c>
      <c r="C2562">
        <v>2018</v>
      </c>
      <c r="D2562">
        <v>39</v>
      </c>
    </row>
    <row r="2563" spans="1:4">
      <c r="A2563" t="s">
        <v>109</v>
      </c>
      <c r="B2563" t="s">
        <v>251</v>
      </c>
      <c r="C2563">
        <v>2018</v>
      </c>
      <c r="D2563">
        <v>3</v>
      </c>
    </row>
    <row r="2564" spans="1:4">
      <c r="A2564" t="s">
        <v>154</v>
      </c>
      <c r="B2564" t="s">
        <v>251</v>
      </c>
      <c r="C2564">
        <v>2018</v>
      </c>
      <c r="D2564">
        <v>31</v>
      </c>
    </row>
    <row r="2565" spans="1:4">
      <c r="A2565" t="s">
        <v>159</v>
      </c>
      <c r="B2565" t="s">
        <v>251</v>
      </c>
      <c r="C2565">
        <v>2018</v>
      </c>
      <c r="D2565">
        <v>2</v>
      </c>
    </row>
    <row r="2566" spans="1:4">
      <c r="A2566" t="s">
        <v>104</v>
      </c>
      <c r="B2566" t="s">
        <v>251</v>
      </c>
      <c r="C2566">
        <v>2018</v>
      </c>
      <c r="D2566">
        <v>0.1</v>
      </c>
    </row>
    <row r="2567" spans="1:4">
      <c r="A2567" t="s">
        <v>119</v>
      </c>
      <c r="B2567" t="s">
        <v>251</v>
      </c>
      <c r="C2567">
        <v>2018</v>
      </c>
      <c r="D2567">
        <v>549</v>
      </c>
    </row>
    <row r="2568" spans="1:4">
      <c r="A2568" t="s">
        <v>139</v>
      </c>
      <c r="B2568" t="s">
        <v>251</v>
      </c>
      <c r="C2568">
        <v>2018</v>
      </c>
      <c r="D2568">
        <v>5</v>
      </c>
    </row>
    <row r="2569" spans="1:4">
      <c r="A2569" t="s">
        <v>99</v>
      </c>
      <c r="B2569" t="s">
        <v>251</v>
      </c>
      <c r="C2569">
        <v>2018</v>
      </c>
      <c r="D2569">
        <v>2</v>
      </c>
    </row>
    <row r="2570" spans="1:4">
      <c r="A2570" t="s">
        <v>94</v>
      </c>
      <c r="B2570" t="s">
        <v>251</v>
      </c>
      <c r="C2570">
        <v>2018</v>
      </c>
      <c r="D2570">
        <v>0.4</v>
      </c>
    </row>
    <row r="2571" spans="1:4">
      <c r="A2571" t="s">
        <v>219</v>
      </c>
      <c r="B2571" t="s">
        <v>251</v>
      </c>
      <c r="C2571">
        <v>2018</v>
      </c>
      <c r="D2571">
        <v>16</v>
      </c>
    </row>
    <row r="2572" spans="1:4">
      <c r="A2572" t="s">
        <v>214</v>
      </c>
      <c r="B2572" t="s">
        <v>251</v>
      </c>
      <c r="C2572">
        <v>2018</v>
      </c>
      <c r="D2572">
        <v>0.2</v>
      </c>
    </row>
    <row r="2573" spans="1:4">
      <c r="A2573" t="s">
        <v>70</v>
      </c>
      <c r="B2573" t="s">
        <v>251</v>
      </c>
      <c r="C2573">
        <v>2018</v>
      </c>
      <c r="D2573">
        <v>2155</v>
      </c>
    </row>
    <row r="2574" spans="1:4">
      <c r="A2574" t="s">
        <v>144</v>
      </c>
      <c r="B2574" t="s">
        <v>251</v>
      </c>
      <c r="C2574">
        <v>2018</v>
      </c>
      <c r="D2574">
        <v>2</v>
      </c>
    </row>
    <row r="2575" spans="1:4">
      <c r="A2575" t="s">
        <v>89</v>
      </c>
      <c r="B2575" t="s">
        <v>251</v>
      </c>
      <c r="C2575">
        <v>2018</v>
      </c>
      <c r="D2575">
        <v>100</v>
      </c>
    </row>
    <row r="2576" spans="1:4">
      <c r="A2576" t="s">
        <v>204</v>
      </c>
      <c r="B2576" t="s">
        <v>251</v>
      </c>
      <c r="C2576">
        <v>2018</v>
      </c>
      <c r="D2576">
        <v>5</v>
      </c>
    </row>
    <row r="2577" spans="1:4">
      <c r="A2577" t="s">
        <v>114</v>
      </c>
      <c r="B2577" t="s">
        <v>251</v>
      </c>
      <c r="C2577">
        <v>2018</v>
      </c>
      <c r="D2577">
        <v>128</v>
      </c>
    </row>
    <row r="2578" spans="1:4">
      <c r="A2578" t="s">
        <v>184</v>
      </c>
      <c r="B2578" t="s">
        <v>251</v>
      </c>
      <c r="C2578">
        <v>2018</v>
      </c>
      <c r="D2578">
        <v>22</v>
      </c>
    </row>
    <row r="2579" spans="1:4">
      <c r="A2579" t="s">
        <v>79</v>
      </c>
      <c r="B2579" t="s">
        <v>251</v>
      </c>
      <c r="C2579">
        <v>2018</v>
      </c>
      <c r="D2579">
        <v>112</v>
      </c>
    </row>
    <row r="2580" spans="1:4">
      <c r="A2580" t="s">
        <v>199</v>
      </c>
      <c r="B2580" t="s">
        <v>251</v>
      </c>
      <c r="C2580">
        <v>2018</v>
      </c>
    </row>
    <row r="2581" spans="1:4">
      <c r="A2581" t="s">
        <v>224</v>
      </c>
      <c r="B2581" t="s">
        <v>251</v>
      </c>
      <c r="C2581">
        <v>2018</v>
      </c>
      <c r="D2581">
        <v>16</v>
      </c>
    </row>
    <row r="2582" spans="1:4">
      <c r="A2582" t="s">
        <v>194</v>
      </c>
      <c r="B2582" t="s">
        <v>251</v>
      </c>
      <c r="C2582">
        <v>2018</v>
      </c>
      <c r="D2582">
        <v>0.5</v>
      </c>
    </row>
    <row r="2583" spans="1:4">
      <c r="A2583" t="s">
        <v>124</v>
      </c>
      <c r="B2583" t="s">
        <v>251</v>
      </c>
      <c r="C2583">
        <v>2018</v>
      </c>
      <c r="D2583">
        <v>157</v>
      </c>
    </row>
    <row r="2584" spans="1:4">
      <c r="A2584" t="s">
        <v>179</v>
      </c>
      <c r="B2584" t="s">
        <v>251</v>
      </c>
      <c r="C2584">
        <v>2018</v>
      </c>
      <c r="D2584">
        <v>49</v>
      </c>
    </row>
    <row r="2585" spans="1:4">
      <c r="A2585" t="s">
        <v>129</v>
      </c>
      <c r="B2585" t="s">
        <v>251</v>
      </c>
      <c r="C2585">
        <v>2019</v>
      </c>
      <c r="D2585">
        <v>4</v>
      </c>
    </row>
    <row r="2586" spans="1:4">
      <c r="A2586" t="s">
        <v>74</v>
      </c>
      <c r="B2586" t="s">
        <v>251</v>
      </c>
      <c r="C2586">
        <v>2019</v>
      </c>
      <c r="D2586">
        <v>404</v>
      </c>
    </row>
    <row r="2587" spans="1:4">
      <c r="A2587" t="s">
        <v>134</v>
      </c>
      <c r="B2587" t="s">
        <v>251</v>
      </c>
      <c r="C2587">
        <v>2019</v>
      </c>
      <c r="D2587">
        <v>67</v>
      </c>
    </row>
    <row r="2588" spans="1:4">
      <c r="A2588" t="s">
        <v>209</v>
      </c>
      <c r="B2588" t="s">
        <v>251</v>
      </c>
      <c r="C2588">
        <v>2019</v>
      </c>
    </row>
    <row r="2589" spans="1:4">
      <c r="A2589" t="s">
        <v>164</v>
      </c>
      <c r="B2589" t="s">
        <v>251</v>
      </c>
      <c r="C2589">
        <v>2019</v>
      </c>
      <c r="D2589">
        <v>594</v>
      </c>
    </row>
    <row r="2590" spans="1:4">
      <c r="A2590" t="s">
        <v>169</v>
      </c>
      <c r="B2590" t="s">
        <v>251</v>
      </c>
      <c r="C2590">
        <v>2019</v>
      </c>
      <c r="D2590">
        <v>5</v>
      </c>
    </row>
    <row r="2591" spans="1:4">
      <c r="A2591" t="s">
        <v>189</v>
      </c>
      <c r="B2591" t="s">
        <v>251</v>
      </c>
      <c r="C2591">
        <v>2019</v>
      </c>
    </row>
    <row r="2592" spans="1:4">
      <c r="A2592" t="s">
        <v>174</v>
      </c>
      <c r="B2592" t="s">
        <v>251</v>
      </c>
      <c r="C2592">
        <v>2019</v>
      </c>
      <c r="D2592">
        <v>14</v>
      </c>
    </row>
    <row r="2593" spans="1:4">
      <c r="A2593" t="s">
        <v>84</v>
      </c>
      <c r="B2593" t="s">
        <v>251</v>
      </c>
      <c r="C2593">
        <v>2019</v>
      </c>
      <c r="D2593">
        <v>1</v>
      </c>
    </row>
    <row r="2594" spans="1:4">
      <c r="A2594" t="s">
        <v>149</v>
      </c>
      <c r="B2594" t="s">
        <v>251</v>
      </c>
      <c r="C2594">
        <v>2019</v>
      </c>
      <c r="D2594">
        <v>24</v>
      </c>
    </row>
    <row r="2595" spans="1:4">
      <c r="A2595" t="s">
        <v>109</v>
      </c>
      <c r="B2595" t="s">
        <v>251</v>
      </c>
      <c r="C2595">
        <v>2019</v>
      </c>
      <c r="D2595">
        <v>3</v>
      </c>
    </row>
    <row r="2596" spans="1:4">
      <c r="A2596" t="s">
        <v>154</v>
      </c>
      <c r="B2596" t="s">
        <v>251</v>
      </c>
      <c r="C2596">
        <v>2019</v>
      </c>
      <c r="D2596">
        <v>33</v>
      </c>
    </row>
    <row r="2597" spans="1:4">
      <c r="A2597" t="s">
        <v>159</v>
      </c>
      <c r="B2597" t="s">
        <v>251</v>
      </c>
      <c r="C2597">
        <v>2019</v>
      </c>
      <c r="D2597">
        <v>2</v>
      </c>
    </row>
    <row r="2598" spans="1:4">
      <c r="A2598" t="s">
        <v>104</v>
      </c>
      <c r="B2598" t="s">
        <v>251</v>
      </c>
      <c r="C2598">
        <v>2019</v>
      </c>
      <c r="D2598">
        <v>0.1</v>
      </c>
    </row>
    <row r="2599" spans="1:4">
      <c r="A2599" t="s">
        <v>119</v>
      </c>
      <c r="B2599" t="s">
        <v>251</v>
      </c>
      <c r="C2599">
        <v>2019</v>
      </c>
      <c r="D2599">
        <v>532</v>
      </c>
    </row>
    <row r="2600" spans="1:4">
      <c r="A2600" t="s">
        <v>139</v>
      </c>
      <c r="B2600" t="s">
        <v>251</v>
      </c>
      <c r="C2600">
        <v>2019</v>
      </c>
      <c r="D2600">
        <v>6</v>
      </c>
    </row>
    <row r="2601" spans="1:4">
      <c r="A2601" t="s">
        <v>99</v>
      </c>
      <c r="B2601" t="s">
        <v>251</v>
      </c>
      <c r="C2601">
        <v>2019</v>
      </c>
      <c r="D2601">
        <v>3</v>
      </c>
    </row>
    <row r="2602" spans="1:4">
      <c r="A2602" t="s">
        <v>94</v>
      </c>
      <c r="B2602" t="s">
        <v>251</v>
      </c>
      <c r="C2602">
        <v>2019</v>
      </c>
      <c r="D2602">
        <v>0.3</v>
      </c>
    </row>
    <row r="2603" spans="1:4">
      <c r="A2603" t="s">
        <v>219</v>
      </c>
      <c r="B2603" t="s">
        <v>251</v>
      </c>
      <c r="C2603">
        <v>2019</v>
      </c>
      <c r="D2603">
        <v>13</v>
      </c>
    </row>
    <row r="2604" spans="1:4">
      <c r="A2604" t="s">
        <v>214</v>
      </c>
      <c r="B2604" t="s">
        <v>251</v>
      </c>
      <c r="C2604">
        <v>2019</v>
      </c>
      <c r="D2604">
        <v>0.1</v>
      </c>
    </row>
    <row r="2605" spans="1:4">
      <c r="A2605" t="s">
        <v>70</v>
      </c>
      <c r="B2605" t="s">
        <v>251</v>
      </c>
      <c r="C2605">
        <v>2019</v>
      </c>
      <c r="D2605">
        <v>2325</v>
      </c>
    </row>
    <row r="2606" spans="1:4">
      <c r="A2606" t="s">
        <v>144</v>
      </c>
      <c r="B2606" t="s">
        <v>251</v>
      </c>
      <c r="C2606">
        <v>2019</v>
      </c>
      <c r="D2606">
        <v>2</v>
      </c>
    </row>
    <row r="2607" spans="1:4">
      <c r="A2607" t="s">
        <v>89</v>
      </c>
      <c r="B2607" t="s">
        <v>251</v>
      </c>
      <c r="C2607">
        <v>2019</v>
      </c>
      <c r="D2607">
        <v>105</v>
      </c>
    </row>
    <row r="2608" spans="1:4">
      <c r="A2608" t="s">
        <v>204</v>
      </c>
      <c r="B2608" t="s">
        <v>251</v>
      </c>
      <c r="C2608">
        <v>2019</v>
      </c>
      <c r="D2608">
        <v>5</v>
      </c>
    </row>
    <row r="2609" spans="1:4">
      <c r="A2609" t="s">
        <v>114</v>
      </c>
      <c r="B2609" t="s">
        <v>251</v>
      </c>
      <c r="C2609">
        <v>2019</v>
      </c>
      <c r="D2609">
        <v>149</v>
      </c>
    </row>
    <row r="2610" spans="1:4">
      <c r="A2610" t="s">
        <v>184</v>
      </c>
      <c r="B2610" t="s">
        <v>251</v>
      </c>
      <c r="C2610">
        <v>2019</v>
      </c>
      <c r="D2610">
        <v>26</v>
      </c>
    </row>
    <row r="2611" spans="1:4">
      <c r="A2611" t="s">
        <v>79</v>
      </c>
      <c r="B2611" t="s">
        <v>251</v>
      </c>
      <c r="C2611">
        <v>2019</v>
      </c>
      <c r="D2611">
        <v>114</v>
      </c>
    </row>
    <row r="2612" spans="1:4">
      <c r="A2612" t="s">
        <v>199</v>
      </c>
      <c r="B2612" t="s">
        <v>251</v>
      </c>
      <c r="C2612">
        <v>2019</v>
      </c>
    </row>
    <row r="2613" spans="1:4">
      <c r="A2613" t="s">
        <v>224</v>
      </c>
      <c r="B2613" t="s">
        <v>251</v>
      </c>
      <c r="C2613">
        <v>2019</v>
      </c>
      <c r="D2613">
        <v>19</v>
      </c>
    </row>
    <row r="2614" spans="1:4">
      <c r="A2614" t="s">
        <v>194</v>
      </c>
      <c r="B2614" t="s">
        <v>251</v>
      </c>
      <c r="C2614">
        <v>2019</v>
      </c>
      <c r="D2614">
        <v>0.5</v>
      </c>
    </row>
    <row r="2615" spans="1:4">
      <c r="A2615" t="s">
        <v>124</v>
      </c>
      <c r="B2615" t="s">
        <v>251</v>
      </c>
      <c r="C2615">
        <v>2019</v>
      </c>
      <c r="D2615">
        <v>150</v>
      </c>
    </row>
    <row r="2616" spans="1:4">
      <c r="A2616" t="s">
        <v>179</v>
      </c>
      <c r="B2616" t="s">
        <v>251</v>
      </c>
      <c r="C2616">
        <v>2019</v>
      </c>
      <c r="D2616">
        <v>50</v>
      </c>
    </row>
    <row r="2617" spans="1:4">
      <c r="A2617" t="s">
        <v>129</v>
      </c>
      <c r="B2617" t="s">
        <v>251</v>
      </c>
      <c r="C2617">
        <v>2020</v>
      </c>
      <c r="D2617">
        <v>3</v>
      </c>
    </row>
    <row r="2618" spans="1:4">
      <c r="A2618" t="s">
        <v>74</v>
      </c>
      <c r="B2618" t="s">
        <v>251</v>
      </c>
      <c r="C2618">
        <v>2020</v>
      </c>
      <c r="D2618">
        <v>397</v>
      </c>
    </row>
    <row r="2619" spans="1:4">
      <c r="A2619" t="s">
        <v>134</v>
      </c>
      <c r="B2619" t="s">
        <v>251</v>
      </c>
      <c r="C2619">
        <v>2020</v>
      </c>
      <c r="D2619">
        <v>64</v>
      </c>
    </row>
    <row r="2620" spans="1:4">
      <c r="A2620" t="s">
        <v>209</v>
      </c>
      <c r="B2620" t="s">
        <v>251</v>
      </c>
      <c r="C2620">
        <v>2020</v>
      </c>
    </row>
    <row r="2621" spans="1:4">
      <c r="A2621" t="s">
        <v>164</v>
      </c>
      <c r="B2621" t="s">
        <v>251</v>
      </c>
      <c r="C2621">
        <v>2020</v>
      </c>
      <c r="D2621">
        <v>751</v>
      </c>
    </row>
    <row r="2622" spans="1:4">
      <c r="A2622" t="s">
        <v>169</v>
      </c>
      <c r="B2622" t="s">
        <v>251</v>
      </c>
      <c r="C2622">
        <v>2020</v>
      </c>
      <c r="D2622">
        <v>9</v>
      </c>
    </row>
    <row r="2623" spans="1:4">
      <c r="A2623" t="s">
        <v>189</v>
      </c>
      <c r="B2623" t="s">
        <v>251</v>
      </c>
      <c r="C2623">
        <v>2020</v>
      </c>
      <c r="D2623">
        <v>19</v>
      </c>
    </row>
    <row r="2624" spans="1:4">
      <c r="A2624" t="s">
        <v>174</v>
      </c>
      <c r="B2624" t="s">
        <v>251</v>
      </c>
      <c r="C2624">
        <v>2020</v>
      </c>
      <c r="D2624">
        <v>28</v>
      </c>
    </row>
    <row r="2625" spans="1:4">
      <c r="A2625" t="s">
        <v>84</v>
      </c>
      <c r="B2625" t="s">
        <v>251</v>
      </c>
      <c r="C2625">
        <v>2020</v>
      </c>
      <c r="D2625">
        <v>8</v>
      </c>
    </row>
    <row r="2626" spans="1:4">
      <c r="A2626" t="s">
        <v>149</v>
      </c>
      <c r="B2626" t="s">
        <v>251</v>
      </c>
      <c r="C2626">
        <v>2020</v>
      </c>
      <c r="D2626">
        <v>29</v>
      </c>
    </row>
    <row r="2627" spans="1:4">
      <c r="A2627" t="s">
        <v>109</v>
      </c>
      <c r="B2627" t="s">
        <v>251</v>
      </c>
      <c r="C2627">
        <v>2020</v>
      </c>
      <c r="D2627">
        <v>3</v>
      </c>
    </row>
    <row r="2628" spans="1:4">
      <c r="A2628" t="s">
        <v>154</v>
      </c>
      <c r="B2628" t="s">
        <v>251</v>
      </c>
      <c r="C2628">
        <v>2020</v>
      </c>
      <c r="D2628">
        <v>30</v>
      </c>
    </row>
    <row r="2629" spans="1:4">
      <c r="A2629" t="s">
        <v>159</v>
      </c>
      <c r="B2629" t="s">
        <v>251</v>
      </c>
      <c r="C2629">
        <v>2020</v>
      </c>
      <c r="D2629">
        <v>3</v>
      </c>
    </row>
    <row r="2630" spans="1:4">
      <c r="A2630" t="s">
        <v>104</v>
      </c>
      <c r="B2630" t="s">
        <v>251</v>
      </c>
      <c r="C2630">
        <v>2020</v>
      </c>
      <c r="D2630">
        <v>0.1</v>
      </c>
    </row>
    <row r="2631" spans="1:4">
      <c r="A2631" t="s">
        <v>119</v>
      </c>
      <c r="B2631" t="s">
        <v>251</v>
      </c>
      <c r="C2631">
        <v>2020</v>
      </c>
      <c r="D2631">
        <v>477</v>
      </c>
    </row>
    <row r="2632" spans="1:4">
      <c r="A2632" t="s">
        <v>139</v>
      </c>
      <c r="B2632" t="s">
        <v>251</v>
      </c>
      <c r="C2632">
        <v>2020</v>
      </c>
      <c r="D2632">
        <v>4</v>
      </c>
    </row>
    <row r="2633" spans="1:4">
      <c r="A2633" t="s">
        <v>99</v>
      </c>
      <c r="B2633" t="s">
        <v>251</v>
      </c>
      <c r="C2633">
        <v>2020</v>
      </c>
      <c r="D2633">
        <v>3</v>
      </c>
    </row>
    <row r="2634" spans="1:4">
      <c r="A2634" t="s">
        <v>94</v>
      </c>
      <c r="B2634" t="s">
        <v>251</v>
      </c>
      <c r="C2634">
        <v>2020</v>
      </c>
      <c r="D2634">
        <v>28.4</v>
      </c>
    </row>
    <row r="2635" spans="1:4">
      <c r="A2635" t="s">
        <v>219</v>
      </c>
      <c r="B2635" t="s">
        <v>251</v>
      </c>
      <c r="C2635">
        <v>2020</v>
      </c>
      <c r="D2635">
        <v>12</v>
      </c>
    </row>
    <row r="2636" spans="1:4">
      <c r="A2636" t="s">
        <v>214</v>
      </c>
      <c r="B2636" t="s">
        <v>251</v>
      </c>
      <c r="C2636">
        <v>2020</v>
      </c>
      <c r="D2636">
        <v>0.1</v>
      </c>
    </row>
    <row r="2637" spans="1:4">
      <c r="A2637" t="s">
        <v>70</v>
      </c>
      <c r="B2637" t="s">
        <v>251</v>
      </c>
      <c r="C2637">
        <v>2020</v>
      </c>
      <c r="D2637">
        <v>2525</v>
      </c>
    </row>
    <row r="2638" spans="1:4">
      <c r="A2638" t="s">
        <v>144</v>
      </c>
      <c r="B2638" t="s">
        <v>251</v>
      </c>
      <c r="C2638">
        <v>2020</v>
      </c>
      <c r="D2638">
        <v>3</v>
      </c>
    </row>
    <row r="2639" spans="1:4">
      <c r="A2639" t="s">
        <v>89</v>
      </c>
      <c r="B2639" t="s">
        <v>251</v>
      </c>
      <c r="C2639">
        <v>2020</v>
      </c>
      <c r="D2639">
        <v>108</v>
      </c>
    </row>
    <row r="2640" spans="1:4">
      <c r="A2640" t="s">
        <v>204</v>
      </c>
      <c r="B2640" t="s">
        <v>251</v>
      </c>
      <c r="C2640">
        <v>2020</v>
      </c>
      <c r="D2640">
        <v>8</v>
      </c>
    </row>
    <row r="2641" spans="1:4">
      <c r="A2641" t="s">
        <v>114</v>
      </c>
      <c r="B2641" t="s">
        <v>251</v>
      </c>
      <c r="C2641">
        <v>2020</v>
      </c>
      <c r="D2641">
        <v>152</v>
      </c>
    </row>
    <row r="2642" spans="1:4">
      <c r="A2642" t="s">
        <v>184</v>
      </c>
      <c r="B2642" t="s">
        <v>251</v>
      </c>
      <c r="C2642">
        <v>2020</v>
      </c>
      <c r="D2642">
        <v>26</v>
      </c>
    </row>
    <row r="2643" spans="1:4">
      <c r="A2643" t="s">
        <v>79</v>
      </c>
      <c r="B2643" t="s">
        <v>251</v>
      </c>
      <c r="C2643">
        <v>2020</v>
      </c>
      <c r="D2643">
        <v>134</v>
      </c>
    </row>
    <row r="2644" spans="1:4">
      <c r="A2644" t="s">
        <v>199</v>
      </c>
      <c r="B2644" t="s">
        <v>251</v>
      </c>
      <c r="C2644">
        <v>2020</v>
      </c>
    </row>
    <row r="2645" spans="1:4">
      <c r="A2645" t="s">
        <v>224</v>
      </c>
      <c r="B2645" t="s">
        <v>251</v>
      </c>
      <c r="C2645">
        <v>2020</v>
      </c>
      <c r="D2645">
        <v>18</v>
      </c>
    </row>
    <row r="2646" spans="1:4">
      <c r="A2646" t="s">
        <v>194</v>
      </c>
      <c r="B2646" t="s">
        <v>251</v>
      </c>
      <c r="C2646">
        <v>2020</v>
      </c>
      <c r="D2646">
        <v>0.5</v>
      </c>
    </row>
    <row r="2647" spans="1:4">
      <c r="A2647" t="s">
        <v>124</v>
      </c>
      <c r="B2647" t="s">
        <v>251</v>
      </c>
      <c r="C2647">
        <v>2020</v>
      </c>
      <c r="D2647">
        <v>163</v>
      </c>
    </row>
    <row r="2648" spans="1:4">
      <c r="A2648" t="s">
        <v>179</v>
      </c>
      <c r="B2648" t="s">
        <v>251</v>
      </c>
      <c r="C2648">
        <v>2020</v>
      </c>
      <c r="D2648">
        <v>42</v>
      </c>
    </row>
    <row r="2649" spans="1:4">
      <c r="A2649" t="s">
        <v>129</v>
      </c>
      <c r="B2649" t="s">
        <v>251</v>
      </c>
      <c r="C2649">
        <v>2021</v>
      </c>
      <c r="D2649">
        <v>2.6</v>
      </c>
    </row>
    <row r="2650" spans="1:4">
      <c r="A2650" t="s">
        <v>74</v>
      </c>
      <c r="B2650" t="s">
        <v>251</v>
      </c>
      <c r="C2650">
        <v>2021</v>
      </c>
      <c r="D2650">
        <v>404</v>
      </c>
    </row>
    <row r="2651" spans="1:4">
      <c r="A2651" t="s">
        <v>134</v>
      </c>
      <c r="B2651" t="s">
        <v>251</v>
      </c>
      <c r="C2651">
        <v>2021</v>
      </c>
      <c r="D2651">
        <v>67</v>
      </c>
    </row>
    <row r="2652" spans="1:4">
      <c r="A2652" t="s">
        <v>209</v>
      </c>
      <c r="B2652" t="s">
        <v>251</v>
      </c>
      <c r="C2652">
        <v>2021</v>
      </c>
      <c r="D2652">
        <v>0</v>
      </c>
    </row>
    <row r="2653" spans="1:4">
      <c r="A2653" t="s">
        <v>164</v>
      </c>
      <c r="B2653" t="s">
        <v>251</v>
      </c>
      <c r="C2653">
        <v>2021</v>
      </c>
      <c r="D2653">
        <v>908</v>
      </c>
    </row>
    <row r="2654" spans="1:4">
      <c r="A2654" t="s">
        <v>169</v>
      </c>
      <c r="B2654" t="s">
        <v>251</v>
      </c>
      <c r="C2654">
        <v>2021</v>
      </c>
      <c r="D2654">
        <v>9</v>
      </c>
    </row>
    <row r="2655" spans="1:4">
      <c r="A2655" t="s">
        <v>189</v>
      </c>
      <c r="B2655" t="s">
        <v>251</v>
      </c>
      <c r="C2655">
        <v>2021</v>
      </c>
      <c r="D2655">
        <v>23</v>
      </c>
    </row>
    <row r="2656" spans="1:4">
      <c r="A2656" t="s">
        <v>174</v>
      </c>
      <c r="B2656" t="s">
        <v>251</v>
      </c>
      <c r="C2656">
        <v>2021</v>
      </c>
      <c r="D2656">
        <v>49.7</v>
      </c>
    </row>
    <row r="2657" spans="1:4">
      <c r="A2657" t="s">
        <v>84</v>
      </c>
      <c r="B2657" t="s">
        <v>251</v>
      </c>
      <c r="C2657">
        <v>2021</v>
      </c>
      <c r="D2657">
        <v>10</v>
      </c>
    </row>
    <row r="2658" spans="1:4">
      <c r="A2658" t="s">
        <v>149</v>
      </c>
      <c r="B2658" t="s">
        <v>251</v>
      </c>
      <c r="C2658">
        <v>2021</v>
      </c>
      <c r="D2658">
        <v>9</v>
      </c>
    </row>
    <row r="2659" spans="1:4">
      <c r="A2659" t="s">
        <v>109</v>
      </c>
      <c r="B2659" t="s">
        <v>251</v>
      </c>
      <c r="C2659">
        <v>2021</v>
      </c>
      <c r="D2659">
        <v>3.6</v>
      </c>
    </row>
    <row r="2660" spans="1:4">
      <c r="A2660" t="s">
        <v>154</v>
      </c>
      <c r="B2660" t="s">
        <v>251</v>
      </c>
      <c r="C2660">
        <v>2021</v>
      </c>
      <c r="D2660">
        <v>37</v>
      </c>
    </row>
    <row r="2661" spans="1:4">
      <c r="A2661" t="s">
        <v>159</v>
      </c>
      <c r="B2661" t="s">
        <v>251</v>
      </c>
      <c r="C2661">
        <v>2021</v>
      </c>
      <c r="D2661">
        <v>1</v>
      </c>
    </row>
    <row r="2662" spans="1:4">
      <c r="A2662" t="s">
        <v>104</v>
      </c>
      <c r="B2662" t="s">
        <v>251</v>
      </c>
      <c r="C2662">
        <v>2021</v>
      </c>
      <c r="D2662">
        <v>0</v>
      </c>
    </row>
    <row r="2663" spans="1:4">
      <c r="A2663" t="s">
        <v>119</v>
      </c>
      <c r="B2663" t="s">
        <v>251</v>
      </c>
      <c r="C2663">
        <v>2021</v>
      </c>
      <c r="D2663">
        <v>486</v>
      </c>
    </row>
    <row r="2664" spans="1:4">
      <c r="A2664" t="s">
        <v>139</v>
      </c>
      <c r="B2664" t="s">
        <v>251</v>
      </c>
      <c r="C2664">
        <v>2021</v>
      </c>
      <c r="D2664">
        <v>5</v>
      </c>
    </row>
    <row r="2665" spans="1:4">
      <c r="A2665" t="s">
        <v>99</v>
      </c>
      <c r="B2665" t="s">
        <v>251</v>
      </c>
      <c r="C2665">
        <v>2021</v>
      </c>
      <c r="D2665">
        <v>0</v>
      </c>
    </row>
    <row r="2666" spans="1:4">
      <c r="A2666" t="s">
        <v>94</v>
      </c>
      <c r="B2666" t="s">
        <v>251</v>
      </c>
      <c r="C2666">
        <v>2021</v>
      </c>
      <c r="D2666">
        <v>32.9</v>
      </c>
    </row>
    <row r="2667" spans="1:4">
      <c r="A2667" t="s">
        <v>219</v>
      </c>
      <c r="B2667" t="s">
        <v>251</v>
      </c>
      <c r="C2667">
        <v>2021</v>
      </c>
      <c r="D2667">
        <v>12</v>
      </c>
    </row>
    <row r="2668" spans="1:4">
      <c r="A2668" t="s">
        <v>214</v>
      </c>
      <c r="B2668" t="s">
        <v>251</v>
      </c>
      <c r="C2668">
        <v>2021</v>
      </c>
      <c r="D2668">
        <v>0</v>
      </c>
    </row>
    <row r="2669" spans="1:4">
      <c r="A2669" t="s">
        <v>70</v>
      </c>
      <c r="B2669" t="s">
        <v>251</v>
      </c>
      <c r="C2669">
        <v>2021</v>
      </c>
      <c r="D2669">
        <v>2834</v>
      </c>
    </row>
    <row r="2670" spans="1:4">
      <c r="A2670" t="s">
        <v>144</v>
      </c>
      <c r="B2670" t="s">
        <v>251</v>
      </c>
      <c r="C2670">
        <v>2021</v>
      </c>
      <c r="D2670">
        <v>0</v>
      </c>
    </row>
    <row r="2671" spans="1:4">
      <c r="A2671" t="s">
        <v>89</v>
      </c>
      <c r="B2671" t="s">
        <v>251</v>
      </c>
      <c r="C2671">
        <v>2021</v>
      </c>
      <c r="D2671">
        <v>101.8</v>
      </c>
    </row>
    <row r="2672" spans="1:4">
      <c r="A2672" t="s">
        <v>204</v>
      </c>
      <c r="B2672" t="s">
        <v>251</v>
      </c>
      <c r="C2672">
        <v>2021</v>
      </c>
      <c r="D2672">
        <v>14</v>
      </c>
    </row>
    <row r="2673" spans="1:4">
      <c r="A2673" t="s">
        <v>114</v>
      </c>
      <c r="B2673" t="s">
        <v>251</v>
      </c>
      <c r="C2673">
        <v>2021</v>
      </c>
      <c r="D2673">
        <v>151</v>
      </c>
    </row>
    <row r="2674" spans="1:4">
      <c r="A2674" t="s">
        <v>184</v>
      </c>
      <c r="B2674" t="s">
        <v>251</v>
      </c>
      <c r="C2674">
        <v>2021</v>
      </c>
      <c r="D2674">
        <v>30</v>
      </c>
    </row>
    <row r="2675" spans="1:4">
      <c r="A2675" t="s">
        <v>79</v>
      </c>
      <c r="B2675" t="s">
        <v>251</v>
      </c>
      <c r="C2675">
        <v>2021</v>
      </c>
      <c r="D2675">
        <v>147</v>
      </c>
    </row>
    <row r="2676" spans="1:4">
      <c r="A2676" t="s">
        <v>199</v>
      </c>
      <c r="B2676" t="s">
        <v>251</v>
      </c>
      <c r="C2676">
        <v>2021</v>
      </c>
      <c r="D2676">
        <v>0</v>
      </c>
    </row>
    <row r="2677" spans="1:4">
      <c r="A2677" t="s">
        <v>224</v>
      </c>
      <c r="B2677" t="s">
        <v>251</v>
      </c>
      <c r="C2677">
        <v>2021</v>
      </c>
      <c r="D2677">
        <v>41</v>
      </c>
    </row>
    <row r="2678" spans="1:4">
      <c r="A2678" t="s">
        <v>194</v>
      </c>
      <c r="B2678" t="s">
        <v>251</v>
      </c>
      <c r="C2678">
        <v>2021</v>
      </c>
      <c r="D2678">
        <v>0.2</v>
      </c>
    </row>
    <row r="2679" spans="1:4">
      <c r="A2679" t="s">
        <v>124</v>
      </c>
      <c r="B2679" t="s">
        <v>251</v>
      </c>
      <c r="C2679">
        <v>2021</v>
      </c>
      <c r="D2679">
        <v>236</v>
      </c>
    </row>
    <row r="2680" spans="1:4">
      <c r="A2680" t="s">
        <v>179</v>
      </c>
      <c r="B2680" t="s">
        <v>251</v>
      </c>
      <c r="C2680">
        <v>2021</v>
      </c>
      <c r="D2680">
        <v>54.999</v>
      </c>
    </row>
    <row r="2681" spans="1:4">
      <c r="A2681" t="s">
        <v>70</v>
      </c>
      <c r="B2681" t="s">
        <v>251</v>
      </c>
      <c r="C2681" s="29">
        <v>2022</v>
      </c>
      <c r="D2681" s="97">
        <v>2741</v>
      </c>
    </row>
    <row r="2682" spans="1:4">
      <c r="A2682" t="s">
        <v>74</v>
      </c>
      <c r="B2682" t="s">
        <v>251</v>
      </c>
      <c r="C2682" s="29">
        <v>2022</v>
      </c>
      <c r="D2682" s="97">
        <v>404</v>
      </c>
    </row>
    <row r="2683" spans="1:4">
      <c r="A2683" t="s">
        <v>79</v>
      </c>
      <c r="B2683" t="s">
        <v>251</v>
      </c>
      <c r="C2683" s="29">
        <v>2022</v>
      </c>
      <c r="D2683" s="97">
        <v>132</v>
      </c>
    </row>
    <row r="2684" spans="1:4">
      <c r="A2684" t="s">
        <v>84</v>
      </c>
      <c r="B2684" t="s">
        <v>251</v>
      </c>
      <c r="C2684" s="29">
        <v>2022</v>
      </c>
      <c r="D2684" s="97">
        <v>18</v>
      </c>
    </row>
    <row r="2685" spans="1:4">
      <c r="A2685" t="s">
        <v>89</v>
      </c>
      <c r="B2685" t="s">
        <v>251</v>
      </c>
      <c r="C2685" s="29">
        <v>2022</v>
      </c>
      <c r="D2685" s="97">
        <v>102</v>
      </c>
    </row>
    <row r="2686" spans="1:4">
      <c r="A2686" t="s">
        <v>94</v>
      </c>
      <c r="B2686" t="s">
        <v>251</v>
      </c>
      <c r="C2686" s="29">
        <v>2022</v>
      </c>
      <c r="D2686" s="97">
        <v>1</v>
      </c>
    </row>
    <row r="2687" spans="1:4">
      <c r="A2687" t="s">
        <v>99</v>
      </c>
      <c r="B2687" t="s">
        <v>251</v>
      </c>
      <c r="C2687" s="29">
        <v>2022</v>
      </c>
      <c r="D2687" s="97">
        <v>1</v>
      </c>
    </row>
    <row r="2688" spans="1:4">
      <c r="A2688" t="s">
        <v>104</v>
      </c>
      <c r="B2688" t="s">
        <v>251</v>
      </c>
      <c r="C2688" s="29">
        <v>2022</v>
      </c>
      <c r="D2688" s="97">
        <v>0.4</v>
      </c>
    </row>
    <row r="2689" spans="1:4">
      <c r="A2689" t="s">
        <v>109</v>
      </c>
      <c r="B2689" t="s">
        <v>251</v>
      </c>
      <c r="C2689" s="29">
        <v>2022</v>
      </c>
      <c r="D2689" s="97">
        <v>4</v>
      </c>
    </row>
    <row r="2690" spans="1:4">
      <c r="A2690" t="s">
        <v>114</v>
      </c>
      <c r="B2690" t="s">
        <v>251</v>
      </c>
      <c r="C2690" s="29">
        <v>2022</v>
      </c>
      <c r="D2690" s="97">
        <v>143</v>
      </c>
    </row>
    <row r="2691" spans="1:4">
      <c r="A2691" t="s">
        <v>119</v>
      </c>
      <c r="B2691" t="s">
        <v>251</v>
      </c>
      <c r="C2691" s="29">
        <v>2022</v>
      </c>
      <c r="D2691" s="97">
        <v>474</v>
      </c>
    </row>
    <row r="2692" spans="1:4">
      <c r="A2692" t="s">
        <v>124</v>
      </c>
      <c r="B2692" t="s">
        <v>251</v>
      </c>
      <c r="C2692" s="29">
        <v>2022</v>
      </c>
      <c r="D2692" s="97">
        <v>231</v>
      </c>
    </row>
    <row r="2693" spans="1:4">
      <c r="A2693" t="s">
        <v>129</v>
      </c>
      <c r="B2693" t="s">
        <v>251</v>
      </c>
      <c r="C2693" s="29">
        <v>2022</v>
      </c>
      <c r="D2693" s="97">
        <v>4</v>
      </c>
    </row>
    <row r="2694" spans="1:4">
      <c r="A2694" t="s">
        <v>134</v>
      </c>
      <c r="B2694" t="s">
        <v>251</v>
      </c>
      <c r="C2694" s="29">
        <v>2022</v>
      </c>
      <c r="D2694" s="97">
        <v>58</v>
      </c>
    </row>
    <row r="2695" spans="1:4">
      <c r="A2695" t="s">
        <v>139</v>
      </c>
      <c r="B2695" t="s">
        <v>251</v>
      </c>
      <c r="C2695" s="29">
        <v>2022</v>
      </c>
      <c r="D2695" s="97">
        <v>2</v>
      </c>
    </row>
    <row r="2696" spans="1:4">
      <c r="A2696" t="s">
        <v>144</v>
      </c>
      <c r="B2696" t="s">
        <v>251</v>
      </c>
      <c r="C2696" s="29">
        <v>2022</v>
      </c>
      <c r="D2696" s="97">
        <v>4</v>
      </c>
    </row>
    <row r="2697" spans="1:4">
      <c r="A2697" t="s">
        <v>149</v>
      </c>
      <c r="B2697" t="s">
        <v>251</v>
      </c>
      <c r="C2697" s="29">
        <v>2022</v>
      </c>
      <c r="D2697" s="97">
        <v>9</v>
      </c>
    </row>
    <row r="2698" spans="1:4">
      <c r="A2698" t="s">
        <v>154</v>
      </c>
      <c r="B2698" t="s">
        <v>251</v>
      </c>
      <c r="C2698" s="29">
        <v>2022</v>
      </c>
      <c r="D2698" s="97">
        <v>38</v>
      </c>
    </row>
    <row r="2699" spans="1:4">
      <c r="A2699" t="s">
        <v>159</v>
      </c>
      <c r="B2699" t="s">
        <v>251</v>
      </c>
      <c r="C2699" s="29">
        <v>2022</v>
      </c>
      <c r="D2699" s="97">
        <v>3</v>
      </c>
    </row>
    <row r="2700" spans="1:4">
      <c r="A2700" t="s">
        <v>164</v>
      </c>
      <c r="B2700" t="s">
        <v>251</v>
      </c>
      <c r="C2700" s="29">
        <v>2022</v>
      </c>
      <c r="D2700" s="97">
        <v>864</v>
      </c>
    </row>
    <row r="2701" spans="1:4">
      <c r="A2701" t="s">
        <v>169</v>
      </c>
      <c r="B2701" t="s">
        <v>251</v>
      </c>
      <c r="C2701" s="29">
        <v>2022</v>
      </c>
      <c r="D2701" s="97">
        <v>9</v>
      </c>
    </row>
    <row r="2702" spans="1:4">
      <c r="A2702" t="s">
        <v>174</v>
      </c>
      <c r="B2702" t="s">
        <v>251</v>
      </c>
      <c r="C2702" s="29">
        <v>2022</v>
      </c>
      <c r="D2702" s="97">
        <v>60</v>
      </c>
    </row>
    <row r="2703" spans="1:4">
      <c r="A2703" t="s">
        <v>179</v>
      </c>
      <c r="B2703" t="s">
        <v>251</v>
      </c>
      <c r="C2703" s="29">
        <v>2022</v>
      </c>
      <c r="D2703" s="97">
        <v>63</v>
      </c>
    </row>
    <row r="2704" spans="1:4">
      <c r="A2704" t="s">
        <v>184</v>
      </c>
      <c r="B2704" t="s">
        <v>251</v>
      </c>
      <c r="C2704" s="29">
        <v>2022</v>
      </c>
      <c r="D2704" s="97">
        <v>40</v>
      </c>
    </row>
    <row r="2705" spans="1:4">
      <c r="A2705" t="s">
        <v>189</v>
      </c>
      <c r="B2705" t="s">
        <v>251</v>
      </c>
      <c r="C2705" s="29">
        <v>2022</v>
      </c>
      <c r="D2705" s="97">
        <v>26</v>
      </c>
    </row>
    <row r="2706" spans="1:4">
      <c r="A2706" t="s">
        <v>194</v>
      </c>
      <c r="B2706" t="s">
        <v>251</v>
      </c>
      <c r="C2706" s="29">
        <v>2022</v>
      </c>
      <c r="D2706" t="s">
        <v>252</v>
      </c>
    </row>
    <row r="2707" spans="1:4">
      <c r="A2707" t="s">
        <v>199</v>
      </c>
      <c r="B2707" t="s">
        <v>251</v>
      </c>
      <c r="C2707" s="29">
        <v>2022</v>
      </c>
    </row>
    <row r="2708" spans="1:4">
      <c r="A2708" t="s">
        <v>204</v>
      </c>
      <c r="B2708" t="s">
        <v>251</v>
      </c>
      <c r="C2708" s="29">
        <v>2022</v>
      </c>
      <c r="D2708" s="97">
        <v>14</v>
      </c>
    </row>
    <row r="2709" spans="1:4">
      <c r="A2709" t="s">
        <v>209</v>
      </c>
      <c r="B2709" t="s">
        <v>251</v>
      </c>
      <c r="C2709" s="29">
        <v>2022</v>
      </c>
    </row>
    <row r="2710" spans="1:4">
      <c r="A2710" t="s">
        <v>214</v>
      </c>
      <c r="B2710" t="s">
        <v>251</v>
      </c>
      <c r="C2710" s="29">
        <v>2022</v>
      </c>
      <c r="D2710" t="s">
        <v>253</v>
      </c>
    </row>
    <row r="2711" spans="1:4">
      <c r="A2711" t="s">
        <v>219</v>
      </c>
      <c r="B2711" t="s">
        <v>251</v>
      </c>
      <c r="C2711" s="29">
        <v>2022</v>
      </c>
      <c r="D2711" s="97">
        <v>9</v>
      </c>
    </row>
    <row r="2712" spans="1:4">
      <c r="A2712" t="s">
        <v>224</v>
      </c>
      <c r="B2712" t="s">
        <v>251</v>
      </c>
      <c r="C2712" s="29">
        <v>2022</v>
      </c>
      <c r="D2712" s="97">
        <v>26</v>
      </c>
    </row>
    <row r="2713" spans="1:4">
      <c r="A2713" t="s">
        <v>129</v>
      </c>
      <c r="B2713" t="s">
        <v>254</v>
      </c>
      <c r="C2713">
        <v>2015</v>
      </c>
    </row>
    <row r="2714" spans="1:4">
      <c r="A2714" t="s">
        <v>74</v>
      </c>
      <c r="B2714" t="s">
        <v>254</v>
      </c>
      <c r="C2714">
        <v>2015</v>
      </c>
    </row>
    <row r="2715" spans="1:4">
      <c r="A2715" t="s">
        <v>134</v>
      </c>
      <c r="B2715" t="s">
        <v>254</v>
      </c>
      <c r="C2715">
        <v>2015</v>
      </c>
    </row>
    <row r="2716" spans="1:4">
      <c r="A2716" t="s">
        <v>209</v>
      </c>
      <c r="B2716" t="s">
        <v>254</v>
      </c>
      <c r="C2716">
        <v>2015</v>
      </c>
    </row>
    <row r="2717" spans="1:4">
      <c r="A2717" t="s">
        <v>164</v>
      </c>
      <c r="B2717" t="s">
        <v>254</v>
      </c>
      <c r="C2717">
        <v>2015</v>
      </c>
    </row>
    <row r="2718" spans="1:4">
      <c r="A2718" t="s">
        <v>169</v>
      </c>
      <c r="B2718" t="s">
        <v>254</v>
      </c>
      <c r="C2718">
        <v>2015</v>
      </c>
    </row>
    <row r="2719" spans="1:4">
      <c r="A2719" t="s">
        <v>189</v>
      </c>
      <c r="B2719" t="s">
        <v>254</v>
      </c>
      <c r="C2719">
        <v>2015</v>
      </c>
    </row>
    <row r="2720" spans="1:4">
      <c r="A2720" t="s">
        <v>174</v>
      </c>
      <c r="B2720" t="s">
        <v>254</v>
      </c>
      <c r="C2720">
        <v>2015</v>
      </c>
    </row>
    <row r="2721" spans="1:3">
      <c r="A2721" t="s">
        <v>84</v>
      </c>
      <c r="B2721" t="s">
        <v>254</v>
      </c>
      <c r="C2721">
        <v>2015</v>
      </c>
    </row>
    <row r="2722" spans="1:3">
      <c r="A2722" t="s">
        <v>149</v>
      </c>
      <c r="B2722" t="s">
        <v>254</v>
      </c>
      <c r="C2722">
        <v>2015</v>
      </c>
    </row>
    <row r="2723" spans="1:3">
      <c r="A2723" t="s">
        <v>109</v>
      </c>
      <c r="B2723" t="s">
        <v>254</v>
      </c>
      <c r="C2723">
        <v>2015</v>
      </c>
    </row>
    <row r="2724" spans="1:3">
      <c r="A2724" t="s">
        <v>154</v>
      </c>
      <c r="B2724" t="s">
        <v>254</v>
      </c>
      <c r="C2724">
        <v>2015</v>
      </c>
    </row>
    <row r="2725" spans="1:3">
      <c r="A2725" t="s">
        <v>159</v>
      </c>
      <c r="B2725" t="s">
        <v>254</v>
      </c>
      <c r="C2725">
        <v>2015</v>
      </c>
    </row>
    <row r="2726" spans="1:3">
      <c r="A2726" t="s">
        <v>104</v>
      </c>
      <c r="B2726" t="s">
        <v>254</v>
      </c>
      <c r="C2726">
        <v>2015</v>
      </c>
    </row>
    <row r="2727" spans="1:3">
      <c r="A2727" t="s">
        <v>119</v>
      </c>
      <c r="B2727" t="s">
        <v>254</v>
      </c>
      <c r="C2727">
        <v>2015</v>
      </c>
    </row>
    <row r="2728" spans="1:3">
      <c r="A2728" t="s">
        <v>139</v>
      </c>
      <c r="B2728" t="s">
        <v>254</v>
      </c>
      <c r="C2728">
        <v>2015</v>
      </c>
    </row>
    <row r="2729" spans="1:3">
      <c r="A2729" t="s">
        <v>99</v>
      </c>
      <c r="B2729" t="s">
        <v>254</v>
      </c>
      <c r="C2729">
        <v>2015</v>
      </c>
    </row>
    <row r="2730" spans="1:3">
      <c r="A2730" t="s">
        <v>94</v>
      </c>
      <c r="B2730" t="s">
        <v>254</v>
      </c>
      <c r="C2730">
        <v>2015</v>
      </c>
    </row>
    <row r="2731" spans="1:3">
      <c r="A2731" t="s">
        <v>219</v>
      </c>
      <c r="B2731" t="s">
        <v>254</v>
      </c>
      <c r="C2731">
        <v>2015</v>
      </c>
    </row>
    <row r="2732" spans="1:3">
      <c r="A2732" t="s">
        <v>214</v>
      </c>
      <c r="B2732" t="s">
        <v>254</v>
      </c>
      <c r="C2732">
        <v>2015</v>
      </c>
    </row>
    <row r="2733" spans="1:3">
      <c r="A2733" t="s">
        <v>70</v>
      </c>
      <c r="B2733" t="s">
        <v>254</v>
      </c>
      <c r="C2733">
        <v>2015</v>
      </c>
    </row>
    <row r="2734" spans="1:3">
      <c r="A2734" t="s">
        <v>144</v>
      </c>
      <c r="B2734" t="s">
        <v>254</v>
      </c>
      <c r="C2734">
        <v>2015</v>
      </c>
    </row>
    <row r="2735" spans="1:3">
      <c r="A2735" t="s">
        <v>89</v>
      </c>
      <c r="B2735" t="s">
        <v>254</v>
      </c>
      <c r="C2735">
        <v>2015</v>
      </c>
    </row>
    <row r="2736" spans="1:3">
      <c r="A2736" t="s">
        <v>204</v>
      </c>
      <c r="B2736" t="s">
        <v>254</v>
      </c>
      <c r="C2736">
        <v>2015</v>
      </c>
    </row>
    <row r="2737" spans="1:4">
      <c r="A2737" t="s">
        <v>114</v>
      </c>
      <c r="B2737" t="s">
        <v>254</v>
      </c>
      <c r="C2737">
        <v>2015</v>
      </c>
    </row>
    <row r="2738" spans="1:4">
      <c r="A2738" t="s">
        <v>184</v>
      </c>
      <c r="B2738" t="s">
        <v>254</v>
      </c>
      <c r="C2738">
        <v>2015</v>
      </c>
    </row>
    <row r="2739" spans="1:4">
      <c r="A2739" t="s">
        <v>79</v>
      </c>
      <c r="B2739" t="s">
        <v>254</v>
      </c>
      <c r="C2739">
        <v>2015</v>
      </c>
    </row>
    <row r="2740" spans="1:4">
      <c r="A2740" t="s">
        <v>199</v>
      </c>
      <c r="B2740" t="s">
        <v>254</v>
      </c>
      <c r="C2740">
        <v>2015</v>
      </c>
    </row>
    <row r="2741" spans="1:4">
      <c r="A2741" t="s">
        <v>224</v>
      </c>
      <c r="B2741" t="s">
        <v>254</v>
      </c>
      <c r="C2741">
        <v>2015</v>
      </c>
    </row>
    <row r="2742" spans="1:4">
      <c r="A2742" t="s">
        <v>194</v>
      </c>
      <c r="B2742" t="s">
        <v>254</v>
      </c>
      <c r="C2742">
        <v>2015</v>
      </c>
    </row>
    <row r="2743" spans="1:4">
      <c r="A2743" t="s">
        <v>124</v>
      </c>
      <c r="B2743" t="s">
        <v>254</v>
      </c>
      <c r="C2743">
        <v>2015</v>
      </c>
    </row>
    <row r="2744" spans="1:4">
      <c r="A2744" t="s">
        <v>179</v>
      </c>
      <c r="B2744" t="s">
        <v>254</v>
      </c>
      <c r="C2744">
        <v>2015</v>
      </c>
    </row>
    <row r="2745" spans="1:4">
      <c r="A2745" t="s">
        <v>129</v>
      </c>
      <c r="B2745" t="s">
        <v>254</v>
      </c>
      <c r="C2745">
        <v>2016</v>
      </c>
    </row>
    <row r="2746" spans="1:4">
      <c r="A2746" t="s">
        <v>74</v>
      </c>
      <c r="B2746" t="s">
        <v>254</v>
      </c>
      <c r="C2746">
        <v>2016</v>
      </c>
      <c r="D2746">
        <v>6</v>
      </c>
    </row>
    <row r="2747" spans="1:4">
      <c r="A2747" t="s">
        <v>134</v>
      </c>
      <c r="B2747" t="s">
        <v>254</v>
      </c>
      <c r="C2747">
        <v>2016</v>
      </c>
      <c r="D2747">
        <v>1</v>
      </c>
    </row>
    <row r="2748" spans="1:4">
      <c r="A2748" t="s">
        <v>209</v>
      </c>
      <c r="B2748" t="s">
        <v>254</v>
      </c>
      <c r="C2748">
        <v>2016</v>
      </c>
    </row>
    <row r="2749" spans="1:4">
      <c r="A2749" t="s">
        <v>164</v>
      </c>
      <c r="B2749" t="s">
        <v>254</v>
      </c>
      <c r="C2749">
        <v>2016</v>
      </c>
      <c r="D2749">
        <v>12</v>
      </c>
    </row>
    <row r="2750" spans="1:4">
      <c r="A2750" t="s">
        <v>169</v>
      </c>
      <c r="B2750" t="s">
        <v>254</v>
      </c>
      <c r="C2750">
        <v>2016</v>
      </c>
    </row>
    <row r="2751" spans="1:4">
      <c r="A2751" t="s">
        <v>189</v>
      </c>
      <c r="B2751" t="s">
        <v>254</v>
      </c>
      <c r="C2751">
        <v>2016</v>
      </c>
    </row>
    <row r="2752" spans="1:4">
      <c r="A2752" t="s">
        <v>174</v>
      </c>
      <c r="B2752" t="s">
        <v>254</v>
      </c>
      <c r="C2752">
        <v>2016</v>
      </c>
    </row>
    <row r="2753" spans="1:4">
      <c r="A2753" t="s">
        <v>84</v>
      </c>
      <c r="B2753" t="s">
        <v>254</v>
      </c>
      <c r="C2753">
        <v>2016</v>
      </c>
    </row>
    <row r="2754" spans="1:4">
      <c r="A2754" t="s">
        <v>149</v>
      </c>
      <c r="B2754" t="s">
        <v>254</v>
      </c>
      <c r="C2754">
        <v>2016</v>
      </c>
    </row>
    <row r="2755" spans="1:4">
      <c r="A2755" t="s">
        <v>109</v>
      </c>
      <c r="B2755" t="s">
        <v>254</v>
      </c>
      <c r="C2755">
        <v>2016</v>
      </c>
      <c r="D2755">
        <v>0</v>
      </c>
    </row>
    <row r="2756" spans="1:4">
      <c r="A2756" t="s">
        <v>154</v>
      </c>
      <c r="B2756" t="s">
        <v>254</v>
      </c>
      <c r="C2756">
        <v>2016</v>
      </c>
    </row>
    <row r="2757" spans="1:4">
      <c r="A2757" t="s">
        <v>159</v>
      </c>
      <c r="B2757" t="s">
        <v>254</v>
      </c>
      <c r="C2757">
        <v>2016</v>
      </c>
      <c r="D2757">
        <v>3</v>
      </c>
    </row>
    <row r="2758" spans="1:4">
      <c r="A2758" t="s">
        <v>104</v>
      </c>
      <c r="B2758" t="s">
        <v>254</v>
      </c>
      <c r="C2758">
        <v>2016</v>
      </c>
    </row>
    <row r="2759" spans="1:4">
      <c r="A2759" t="s">
        <v>119</v>
      </c>
      <c r="B2759" t="s">
        <v>254</v>
      </c>
      <c r="C2759">
        <v>2016</v>
      </c>
    </row>
    <row r="2760" spans="1:4">
      <c r="A2760" t="s">
        <v>139</v>
      </c>
      <c r="B2760" t="s">
        <v>254</v>
      </c>
      <c r="C2760">
        <v>2016</v>
      </c>
    </row>
    <row r="2761" spans="1:4">
      <c r="A2761" t="s">
        <v>99</v>
      </c>
      <c r="B2761" t="s">
        <v>254</v>
      </c>
      <c r="C2761">
        <v>2016</v>
      </c>
      <c r="D2761">
        <v>5</v>
      </c>
    </row>
    <row r="2762" spans="1:4">
      <c r="A2762" t="s">
        <v>94</v>
      </c>
      <c r="B2762" t="s">
        <v>254</v>
      </c>
      <c r="C2762">
        <v>2016</v>
      </c>
    </row>
    <row r="2763" spans="1:4">
      <c r="A2763" t="s">
        <v>219</v>
      </c>
      <c r="B2763" t="s">
        <v>254</v>
      </c>
      <c r="C2763">
        <v>2016</v>
      </c>
    </row>
    <row r="2764" spans="1:4">
      <c r="A2764" t="s">
        <v>214</v>
      </c>
      <c r="B2764" t="s">
        <v>254</v>
      </c>
      <c r="C2764">
        <v>2016</v>
      </c>
      <c r="D2764">
        <v>0</v>
      </c>
    </row>
    <row r="2765" spans="1:4">
      <c r="A2765" t="s">
        <v>70</v>
      </c>
      <c r="B2765" t="s">
        <v>254</v>
      </c>
      <c r="C2765">
        <v>2016</v>
      </c>
      <c r="D2765">
        <v>28</v>
      </c>
    </row>
    <row r="2766" spans="1:4">
      <c r="A2766" t="s">
        <v>144</v>
      </c>
      <c r="B2766" t="s">
        <v>254</v>
      </c>
      <c r="C2766">
        <v>2016</v>
      </c>
    </row>
    <row r="2767" spans="1:4">
      <c r="A2767" t="s">
        <v>89</v>
      </c>
      <c r="B2767" t="s">
        <v>254</v>
      </c>
      <c r="C2767">
        <v>2016</v>
      </c>
    </row>
    <row r="2768" spans="1:4">
      <c r="A2768" t="s">
        <v>204</v>
      </c>
      <c r="B2768" t="s">
        <v>254</v>
      </c>
      <c r="C2768">
        <v>2016</v>
      </c>
    </row>
    <row r="2769" spans="1:4">
      <c r="A2769" t="s">
        <v>114</v>
      </c>
      <c r="B2769" t="s">
        <v>254</v>
      </c>
      <c r="C2769">
        <v>2016</v>
      </c>
      <c r="D2769">
        <v>1</v>
      </c>
    </row>
    <row r="2770" spans="1:4">
      <c r="A2770" t="s">
        <v>184</v>
      </c>
      <c r="B2770" t="s">
        <v>254</v>
      </c>
      <c r="C2770">
        <v>2016</v>
      </c>
    </row>
    <row r="2771" spans="1:4">
      <c r="A2771" t="s">
        <v>79</v>
      </c>
      <c r="B2771" t="s">
        <v>254</v>
      </c>
      <c r="C2771">
        <v>2016</v>
      </c>
    </row>
    <row r="2772" spans="1:4">
      <c r="A2772" t="s">
        <v>199</v>
      </c>
      <c r="B2772" t="s">
        <v>254</v>
      </c>
      <c r="C2772">
        <v>2016</v>
      </c>
      <c r="D2772">
        <v>0</v>
      </c>
    </row>
    <row r="2773" spans="1:4">
      <c r="A2773" t="s">
        <v>224</v>
      </c>
      <c r="B2773" t="s">
        <v>254</v>
      </c>
      <c r="C2773">
        <v>2016</v>
      </c>
    </row>
    <row r="2774" spans="1:4">
      <c r="A2774" t="s">
        <v>194</v>
      </c>
      <c r="B2774" t="s">
        <v>254</v>
      </c>
      <c r="C2774">
        <v>2016</v>
      </c>
    </row>
    <row r="2775" spans="1:4">
      <c r="A2775" t="s">
        <v>124</v>
      </c>
      <c r="B2775" t="s">
        <v>254</v>
      </c>
      <c r="C2775">
        <v>2016</v>
      </c>
      <c r="D2775">
        <v>0</v>
      </c>
    </row>
    <row r="2776" spans="1:4">
      <c r="A2776" t="s">
        <v>179</v>
      </c>
      <c r="B2776" t="s">
        <v>254</v>
      </c>
      <c r="C2776">
        <v>2016</v>
      </c>
    </row>
    <row r="2777" spans="1:4">
      <c r="A2777" t="s">
        <v>129</v>
      </c>
      <c r="B2777" t="s">
        <v>254</v>
      </c>
      <c r="C2777">
        <v>2017</v>
      </c>
    </row>
    <row r="2778" spans="1:4">
      <c r="A2778" t="s">
        <v>74</v>
      </c>
      <c r="B2778" t="s">
        <v>254</v>
      </c>
      <c r="C2778">
        <v>2017</v>
      </c>
      <c r="D2778">
        <v>4</v>
      </c>
    </row>
    <row r="2779" spans="1:4">
      <c r="A2779" t="s">
        <v>134</v>
      </c>
      <c r="B2779" t="s">
        <v>254</v>
      </c>
      <c r="C2779">
        <v>2017</v>
      </c>
      <c r="D2779">
        <v>0.04</v>
      </c>
    </row>
    <row r="2780" spans="1:4">
      <c r="A2780" t="s">
        <v>209</v>
      </c>
      <c r="B2780" t="s">
        <v>254</v>
      </c>
      <c r="C2780">
        <v>2017</v>
      </c>
    </row>
    <row r="2781" spans="1:4">
      <c r="A2781" t="s">
        <v>164</v>
      </c>
      <c r="B2781" t="s">
        <v>254</v>
      </c>
      <c r="C2781">
        <v>2017</v>
      </c>
      <c r="D2781">
        <v>13</v>
      </c>
    </row>
    <row r="2782" spans="1:4">
      <c r="A2782" t="s">
        <v>169</v>
      </c>
      <c r="B2782" t="s">
        <v>254</v>
      </c>
      <c r="C2782">
        <v>2017</v>
      </c>
    </row>
    <row r="2783" spans="1:4">
      <c r="A2783" t="s">
        <v>189</v>
      </c>
      <c r="B2783" t="s">
        <v>254</v>
      </c>
      <c r="C2783">
        <v>2017</v>
      </c>
    </row>
    <row r="2784" spans="1:4">
      <c r="A2784" t="s">
        <v>174</v>
      </c>
      <c r="B2784" t="s">
        <v>254</v>
      </c>
      <c r="C2784">
        <v>2017</v>
      </c>
    </row>
    <row r="2785" spans="1:4">
      <c r="A2785" t="s">
        <v>84</v>
      </c>
      <c r="B2785" t="s">
        <v>254</v>
      </c>
      <c r="C2785">
        <v>2017</v>
      </c>
    </row>
    <row r="2786" spans="1:4">
      <c r="A2786" t="s">
        <v>149</v>
      </c>
      <c r="B2786" t="s">
        <v>254</v>
      </c>
      <c r="C2786">
        <v>2017</v>
      </c>
    </row>
    <row r="2787" spans="1:4">
      <c r="A2787" t="s">
        <v>109</v>
      </c>
      <c r="B2787" t="s">
        <v>254</v>
      </c>
      <c r="C2787">
        <v>2017</v>
      </c>
      <c r="D2787">
        <v>0.3</v>
      </c>
    </row>
    <row r="2788" spans="1:4">
      <c r="A2788" t="s">
        <v>154</v>
      </c>
      <c r="B2788" t="s">
        <v>254</v>
      </c>
      <c r="C2788">
        <v>2017</v>
      </c>
    </row>
    <row r="2789" spans="1:4">
      <c r="A2789" t="s">
        <v>159</v>
      </c>
      <c r="B2789" t="s">
        <v>254</v>
      </c>
      <c r="C2789">
        <v>2017</v>
      </c>
      <c r="D2789">
        <v>3</v>
      </c>
    </row>
    <row r="2790" spans="1:4">
      <c r="A2790" t="s">
        <v>104</v>
      </c>
      <c r="B2790" t="s">
        <v>254</v>
      </c>
      <c r="C2790">
        <v>2017</v>
      </c>
    </row>
    <row r="2791" spans="1:4">
      <c r="A2791" t="s">
        <v>119</v>
      </c>
      <c r="B2791" t="s">
        <v>254</v>
      </c>
      <c r="C2791">
        <v>2017</v>
      </c>
    </row>
    <row r="2792" spans="1:4">
      <c r="A2792" t="s">
        <v>139</v>
      </c>
      <c r="B2792" t="s">
        <v>254</v>
      </c>
      <c r="C2792">
        <v>2017</v>
      </c>
    </row>
    <row r="2793" spans="1:4">
      <c r="A2793" t="s">
        <v>99</v>
      </c>
      <c r="B2793" t="s">
        <v>254</v>
      </c>
      <c r="C2793">
        <v>2017</v>
      </c>
      <c r="D2793">
        <v>5</v>
      </c>
    </row>
    <row r="2794" spans="1:4">
      <c r="A2794" t="s">
        <v>94</v>
      </c>
      <c r="B2794" t="s">
        <v>254</v>
      </c>
      <c r="C2794">
        <v>2017</v>
      </c>
    </row>
    <row r="2795" spans="1:4">
      <c r="A2795" t="s">
        <v>219</v>
      </c>
      <c r="B2795" t="s">
        <v>254</v>
      </c>
      <c r="C2795">
        <v>2017</v>
      </c>
    </row>
    <row r="2796" spans="1:4">
      <c r="A2796" t="s">
        <v>214</v>
      </c>
      <c r="B2796" t="s">
        <v>254</v>
      </c>
      <c r="C2796">
        <v>2017</v>
      </c>
    </row>
    <row r="2797" spans="1:4">
      <c r="A2797" t="s">
        <v>70</v>
      </c>
      <c r="B2797" t="s">
        <v>254</v>
      </c>
      <c r="C2797">
        <v>2017</v>
      </c>
      <c r="D2797">
        <v>27</v>
      </c>
    </row>
    <row r="2798" spans="1:4">
      <c r="A2798" t="s">
        <v>144</v>
      </c>
      <c r="B2798" t="s">
        <v>254</v>
      </c>
      <c r="C2798">
        <v>2017</v>
      </c>
    </row>
    <row r="2799" spans="1:4">
      <c r="A2799" t="s">
        <v>89</v>
      </c>
      <c r="B2799" t="s">
        <v>254</v>
      </c>
      <c r="C2799">
        <v>2017</v>
      </c>
    </row>
    <row r="2800" spans="1:4">
      <c r="A2800" t="s">
        <v>204</v>
      </c>
      <c r="B2800" t="s">
        <v>254</v>
      </c>
      <c r="C2800">
        <v>2017</v>
      </c>
    </row>
    <row r="2801" spans="1:4">
      <c r="A2801" t="s">
        <v>114</v>
      </c>
      <c r="B2801" t="s">
        <v>254</v>
      </c>
      <c r="C2801">
        <v>2017</v>
      </c>
      <c r="D2801">
        <v>1</v>
      </c>
    </row>
    <row r="2802" spans="1:4">
      <c r="A2802" t="s">
        <v>184</v>
      </c>
      <c r="B2802" t="s">
        <v>254</v>
      </c>
      <c r="C2802">
        <v>2017</v>
      </c>
    </row>
    <row r="2803" spans="1:4">
      <c r="A2803" t="s">
        <v>79</v>
      </c>
      <c r="B2803" t="s">
        <v>254</v>
      </c>
      <c r="C2803">
        <v>2017</v>
      </c>
    </row>
    <row r="2804" spans="1:4">
      <c r="A2804" t="s">
        <v>199</v>
      </c>
      <c r="B2804" t="s">
        <v>254</v>
      </c>
      <c r="C2804">
        <v>2017</v>
      </c>
      <c r="D2804">
        <v>0.4</v>
      </c>
    </row>
    <row r="2805" spans="1:4">
      <c r="A2805" t="s">
        <v>224</v>
      </c>
      <c r="B2805" t="s">
        <v>254</v>
      </c>
      <c r="C2805">
        <v>2017</v>
      </c>
    </row>
    <row r="2806" spans="1:4">
      <c r="A2806" t="s">
        <v>194</v>
      </c>
      <c r="B2806" t="s">
        <v>254</v>
      </c>
      <c r="C2806">
        <v>2017</v>
      </c>
    </row>
    <row r="2807" spans="1:4">
      <c r="A2807" t="s">
        <v>124</v>
      </c>
      <c r="B2807" t="s">
        <v>254</v>
      </c>
      <c r="C2807">
        <v>2017</v>
      </c>
      <c r="D2807">
        <v>0.02</v>
      </c>
    </row>
    <row r="2808" spans="1:4">
      <c r="A2808" t="s">
        <v>179</v>
      </c>
      <c r="B2808" t="s">
        <v>254</v>
      </c>
      <c r="C2808">
        <v>2017</v>
      </c>
    </row>
    <row r="2809" spans="1:4">
      <c r="A2809" t="s">
        <v>129</v>
      </c>
      <c r="B2809" t="s">
        <v>254</v>
      </c>
      <c r="C2809">
        <v>2018</v>
      </c>
    </row>
    <row r="2810" spans="1:4">
      <c r="A2810" t="s">
        <v>74</v>
      </c>
      <c r="B2810" t="s">
        <v>254</v>
      </c>
      <c r="C2810">
        <v>2018</v>
      </c>
      <c r="D2810">
        <v>5</v>
      </c>
    </row>
    <row r="2811" spans="1:4">
      <c r="A2811" t="s">
        <v>134</v>
      </c>
      <c r="B2811" t="s">
        <v>254</v>
      </c>
      <c r="C2811">
        <v>2018</v>
      </c>
    </row>
    <row r="2812" spans="1:4">
      <c r="A2812" t="s">
        <v>209</v>
      </c>
      <c r="B2812" t="s">
        <v>254</v>
      </c>
      <c r="C2812">
        <v>2018</v>
      </c>
    </row>
    <row r="2813" spans="1:4">
      <c r="A2813" t="s">
        <v>164</v>
      </c>
      <c r="B2813" t="s">
        <v>254</v>
      </c>
      <c r="C2813">
        <v>2018</v>
      </c>
    </row>
    <row r="2814" spans="1:4">
      <c r="A2814" t="s">
        <v>169</v>
      </c>
      <c r="B2814" t="s">
        <v>254</v>
      </c>
      <c r="C2814">
        <v>2018</v>
      </c>
    </row>
    <row r="2815" spans="1:4">
      <c r="A2815" t="s">
        <v>189</v>
      </c>
      <c r="B2815" t="s">
        <v>254</v>
      </c>
      <c r="C2815">
        <v>2018</v>
      </c>
    </row>
    <row r="2816" spans="1:4">
      <c r="A2816" t="s">
        <v>174</v>
      </c>
      <c r="B2816" t="s">
        <v>254</v>
      </c>
      <c r="C2816">
        <v>2018</v>
      </c>
    </row>
    <row r="2817" spans="1:4">
      <c r="A2817" t="s">
        <v>84</v>
      </c>
      <c r="B2817" t="s">
        <v>254</v>
      </c>
      <c r="C2817">
        <v>2018</v>
      </c>
    </row>
    <row r="2818" spans="1:4">
      <c r="A2818" t="s">
        <v>149</v>
      </c>
      <c r="B2818" t="s">
        <v>254</v>
      </c>
      <c r="C2818">
        <v>2018</v>
      </c>
    </row>
    <row r="2819" spans="1:4">
      <c r="A2819" t="s">
        <v>109</v>
      </c>
      <c r="B2819" t="s">
        <v>254</v>
      </c>
      <c r="C2819">
        <v>2018</v>
      </c>
      <c r="D2819">
        <v>0.3</v>
      </c>
    </row>
    <row r="2820" spans="1:4">
      <c r="A2820" t="s">
        <v>154</v>
      </c>
      <c r="B2820" t="s">
        <v>254</v>
      </c>
      <c r="C2820">
        <v>2018</v>
      </c>
    </row>
    <row r="2821" spans="1:4">
      <c r="A2821" t="s">
        <v>159</v>
      </c>
      <c r="B2821" t="s">
        <v>254</v>
      </c>
      <c r="C2821">
        <v>2018</v>
      </c>
      <c r="D2821">
        <v>3</v>
      </c>
    </row>
    <row r="2822" spans="1:4">
      <c r="A2822" t="s">
        <v>104</v>
      </c>
      <c r="B2822" t="s">
        <v>254</v>
      </c>
      <c r="C2822">
        <v>2018</v>
      </c>
    </row>
    <row r="2823" spans="1:4">
      <c r="A2823" t="s">
        <v>119</v>
      </c>
      <c r="B2823" t="s">
        <v>254</v>
      </c>
      <c r="C2823">
        <v>2018</v>
      </c>
    </row>
    <row r="2824" spans="1:4">
      <c r="A2824" t="s">
        <v>139</v>
      </c>
      <c r="B2824" t="s">
        <v>254</v>
      </c>
      <c r="C2824">
        <v>2018</v>
      </c>
    </row>
    <row r="2825" spans="1:4">
      <c r="A2825" t="s">
        <v>99</v>
      </c>
      <c r="B2825" t="s">
        <v>254</v>
      </c>
      <c r="C2825">
        <v>2018</v>
      </c>
      <c r="D2825">
        <v>6</v>
      </c>
    </row>
    <row r="2826" spans="1:4">
      <c r="A2826" t="s">
        <v>94</v>
      </c>
      <c r="B2826" t="s">
        <v>254</v>
      </c>
      <c r="C2826">
        <v>2018</v>
      </c>
    </row>
    <row r="2827" spans="1:4">
      <c r="A2827" t="s">
        <v>219</v>
      </c>
      <c r="B2827" t="s">
        <v>254</v>
      </c>
      <c r="C2827">
        <v>2018</v>
      </c>
    </row>
    <row r="2828" spans="1:4">
      <c r="A2828" t="s">
        <v>214</v>
      </c>
      <c r="B2828" t="s">
        <v>254</v>
      </c>
      <c r="C2828">
        <v>2018</v>
      </c>
    </row>
    <row r="2829" spans="1:4">
      <c r="A2829" t="s">
        <v>70</v>
      </c>
      <c r="B2829" t="s">
        <v>254</v>
      </c>
      <c r="C2829">
        <v>2018</v>
      </c>
      <c r="D2829">
        <v>15</v>
      </c>
    </row>
    <row r="2830" spans="1:4">
      <c r="A2830" t="s">
        <v>144</v>
      </c>
      <c r="B2830" t="s">
        <v>254</v>
      </c>
      <c r="C2830">
        <v>2018</v>
      </c>
    </row>
    <row r="2831" spans="1:4">
      <c r="A2831" t="s">
        <v>89</v>
      </c>
      <c r="B2831" t="s">
        <v>254</v>
      </c>
      <c r="C2831">
        <v>2018</v>
      </c>
    </row>
    <row r="2832" spans="1:4">
      <c r="A2832" t="s">
        <v>204</v>
      </c>
      <c r="B2832" t="s">
        <v>254</v>
      </c>
      <c r="C2832">
        <v>2018</v>
      </c>
    </row>
    <row r="2833" spans="1:4">
      <c r="A2833" t="s">
        <v>114</v>
      </c>
      <c r="B2833" t="s">
        <v>254</v>
      </c>
      <c r="C2833">
        <v>2018</v>
      </c>
      <c r="D2833">
        <v>1</v>
      </c>
    </row>
    <row r="2834" spans="1:4">
      <c r="A2834" t="s">
        <v>184</v>
      </c>
      <c r="B2834" t="s">
        <v>254</v>
      </c>
      <c r="C2834">
        <v>2018</v>
      </c>
    </row>
    <row r="2835" spans="1:4">
      <c r="A2835" t="s">
        <v>79</v>
      </c>
      <c r="B2835" t="s">
        <v>254</v>
      </c>
      <c r="C2835">
        <v>2018</v>
      </c>
    </row>
    <row r="2836" spans="1:4">
      <c r="A2836" t="s">
        <v>199</v>
      </c>
      <c r="B2836" t="s">
        <v>254</v>
      </c>
      <c r="C2836">
        <v>2018</v>
      </c>
      <c r="D2836">
        <v>0.6</v>
      </c>
    </row>
    <row r="2837" spans="1:4">
      <c r="A2837" t="s">
        <v>224</v>
      </c>
      <c r="B2837" t="s">
        <v>254</v>
      </c>
      <c r="C2837">
        <v>2018</v>
      </c>
    </row>
    <row r="2838" spans="1:4">
      <c r="A2838" t="s">
        <v>194</v>
      </c>
      <c r="B2838" t="s">
        <v>254</v>
      </c>
      <c r="C2838">
        <v>2018</v>
      </c>
    </row>
    <row r="2839" spans="1:4">
      <c r="A2839" t="s">
        <v>124</v>
      </c>
      <c r="B2839" t="s">
        <v>254</v>
      </c>
      <c r="C2839">
        <v>2018</v>
      </c>
      <c r="D2839">
        <v>0.01</v>
      </c>
    </row>
    <row r="2840" spans="1:4">
      <c r="A2840" t="s">
        <v>179</v>
      </c>
      <c r="B2840" t="s">
        <v>254</v>
      </c>
      <c r="C2840">
        <v>2018</v>
      </c>
    </row>
    <row r="2841" spans="1:4">
      <c r="A2841" t="s">
        <v>129</v>
      </c>
      <c r="B2841" t="s">
        <v>254</v>
      </c>
      <c r="C2841">
        <v>2019</v>
      </c>
    </row>
    <row r="2842" spans="1:4">
      <c r="A2842" t="s">
        <v>74</v>
      </c>
      <c r="B2842" t="s">
        <v>254</v>
      </c>
      <c r="C2842">
        <v>2019</v>
      </c>
      <c r="D2842">
        <v>5</v>
      </c>
    </row>
    <row r="2843" spans="1:4">
      <c r="A2843" t="s">
        <v>134</v>
      </c>
      <c r="B2843" t="s">
        <v>254</v>
      </c>
      <c r="C2843">
        <v>2019</v>
      </c>
      <c r="D2843">
        <v>0.01</v>
      </c>
    </row>
    <row r="2844" spans="1:4">
      <c r="A2844" t="s">
        <v>209</v>
      </c>
      <c r="B2844" t="s">
        <v>254</v>
      </c>
      <c r="C2844">
        <v>2019</v>
      </c>
    </row>
    <row r="2845" spans="1:4">
      <c r="A2845" t="s">
        <v>164</v>
      </c>
      <c r="B2845" t="s">
        <v>254</v>
      </c>
      <c r="C2845">
        <v>2019</v>
      </c>
    </row>
    <row r="2846" spans="1:4">
      <c r="A2846" t="s">
        <v>169</v>
      </c>
      <c r="B2846" t="s">
        <v>254</v>
      </c>
      <c r="C2846">
        <v>2019</v>
      </c>
    </row>
    <row r="2847" spans="1:4">
      <c r="A2847" t="s">
        <v>189</v>
      </c>
      <c r="B2847" t="s">
        <v>254</v>
      </c>
      <c r="C2847">
        <v>2019</v>
      </c>
    </row>
    <row r="2848" spans="1:4">
      <c r="A2848" t="s">
        <v>174</v>
      </c>
      <c r="B2848" t="s">
        <v>254</v>
      </c>
      <c r="C2848">
        <v>2019</v>
      </c>
    </row>
    <row r="2849" spans="1:4">
      <c r="A2849" t="s">
        <v>84</v>
      </c>
      <c r="B2849" t="s">
        <v>254</v>
      </c>
      <c r="C2849">
        <v>2019</v>
      </c>
    </row>
    <row r="2850" spans="1:4">
      <c r="A2850" t="s">
        <v>149</v>
      </c>
      <c r="B2850" t="s">
        <v>254</v>
      </c>
      <c r="C2850">
        <v>2019</v>
      </c>
    </row>
    <row r="2851" spans="1:4">
      <c r="A2851" t="s">
        <v>109</v>
      </c>
      <c r="B2851" t="s">
        <v>254</v>
      </c>
      <c r="C2851">
        <v>2019</v>
      </c>
    </row>
    <row r="2852" spans="1:4">
      <c r="A2852" t="s">
        <v>154</v>
      </c>
      <c r="B2852" t="s">
        <v>254</v>
      </c>
      <c r="C2852">
        <v>2019</v>
      </c>
    </row>
    <row r="2853" spans="1:4">
      <c r="A2853" t="s">
        <v>159</v>
      </c>
      <c r="B2853" t="s">
        <v>254</v>
      </c>
      <c r="C2853">
        <v>2019</v>
      </c>
      <c r="D2853">
        <v>3</v>
      </c>
    </row>
    <row r="2854" spans="1:4">
      <c r="A2854" t="s">
        <v>104</v>
      </c>
      <c r="B2854" t="s">
        <v>254</v>
      </c>
      <c r="C2854">
        <v>2019</v>
      </c>
    </row>
    <row r="2855" spans="1:4">
      <c r="A2855" t="s">
        <v>119</v>
      </c>
      <c r="B2855" t="s">
        <v>254</v>
      </c>
      <c r="C2855">
        <v>2019</v>
      </c>
    </row>
    <row r="2856" spans="1:4">
      <c r="A2856" t="s">
        <v>139</v>
      </c>
      <c r="B2856" t="s">
        <v>254</v>
      </c>
      <c r="C2856">
        <v>2019</v>
      </c>
    </row>
    <row r="2857" spans="1:4">
      <c r="A2857" t="s">
        <v>99</v>
      </c>
      <c r="B2857" t="s">
        <v>254</v>
      </c>
      <c r="C2857">
        <v>2019</v>
      </c>
      <c r="D2857">
        <v>4</v>
      </c>
    </row>
    <row r="2858" spans="1:4">
      <c r="A2858" t="s">
        <v>94</v>
      </c>
      <c r="B2858" t="s">
        <v>254</v>
      </c>
      <c r="C2858">
        <v>2019</v>
      </c>
    </row>
    <row r="2859" spans="1:4">
      <c r="A2859" t="s">
        <v>219</v>
      </c>
      <c r="B2859" t="s">
        <v>254</v>
      </c>
      <c r="C2859">
        <v>2019</v>
      </c>
    </row>
    <row r="2860" spans="1:4">
      <c r="A2860" t="s">
        <v>214</v>
      </c>
      <c r="B2860" t="s">
        <v>254</v>
      </c>
      <c r="C2860">
        <v>2019</v>
      </c>
    </row>
    <row r="2861" spans="1:4">
      <c r="A2861" t="s">
        <v>70</v>
      </c>
      <c r="B2861" t="s">
        <v>254</v>
      </c>
      <c r="C2861">
        <v>2019</v>
      </c>
      <c r="D2861">
        <v>13</v>
      </c>
    </row>
    <row r="2862" spans="1:4">
      <c r="A2862" t="s">
        <v>144</v>
      </c>
      <c r="B2862" t="s">
        <v>254</v>
      </c>
      <c r="C2862">
        <v>2019</v>
      </c>
    </row>
    <row r="2863" spans="1:4">
      <c r="A2863" t="s">
        <v>89</v>
      </c>
      <c r="B2863" t="s">
        <v>254</v>
      </c>
      <c r="C2863">
        <v>2019</v>
      </c>
    </row>
    <row r="2864" spans="1:4">
      <c r="A2864" t="s">
        <v>204</v>
      </c>
      <c r="B2864" t="s">
        <v>254</v>
      </c>
      <c r="C2864">
        <v>2019</v>
      </c>
    </row>
    <row r="2865" spans="1:4">
      <c r="A2865" t="s">
        <v>114</v>
      </c>
      <c r="B2865" t="s">
        <v>254</v>
      </c>
      <c r="C2865">
        <v>2019</v>
      </c>
      <c r="D2865">
        <v>1</v>
      </c>
    </row>
    <row r="2866" spans="1:4">
      <c r="A2866" t="s">
        <v>184</v>
      </c>
      <c r="B2866" t="s">
        <v>254</v>
      </c>
      <c r="C2866">
        <v>2019</v>
      </c>
    </row>
    <row r="2867" spans="1:4">
      <c r="A2867" t="s">
        <v>79</v>
      </c>
      <c r="B2867" t="s">
        <v>254</v>
      </c>
      <c r="C2867">
        <v>2019</v>
      </c>
    </row>
    <row r="2868" spans="1:4">
      <c r="A2868" t="s">
        <v>199</v>
      </c>
      <c r="B2868" t="s">
        <v>254</v>
      </c>
      <c r="C2868">
        <v>2019</v>
      </c>
      <c r="D2868">
        <v>0.4</v>
      </c>
    </row>
    <row r="2869" spans="1:4">
      <c r="A2869" t="s">
        <v>224</v>
      </c>
      <c r="B2869" t="s">
        <v>254</v>
      </c>
      <c r="C2869">
        <v>2019</v>
      </c>
    </row>
    <row r="2870" spans="1:4">
      <c r="A2870" t="s">
        <v>194</v>
      </c>
      <c r="B2870" t="s">
        <v>254</v>
      </c>
      <c r="C2870">
        <v>2019</v>
      </c>
    </row>
    <row r="2871" spans="1:4">
      <c r="A2871" t="s">
        <v>124</v>
      </c>
      <c r="B2871" t="s">
        <v>254</v>
      </c>
      <c r="C2871">
        <v>2019</v>
      </c>
      <c r="D2871">
        <v>0.02</v>
      </c>
    </row>
    <row r="2872" spans="1:4">
      <c r="A2872" t="s">
        <v>179</v>
      </c>
      <c r="B2872" t="s">
        <v>254</v>
      </c>
      <c r="C2872">
        <v>2019</v>
      </c>
    </row>
    <row r="2873" spans="1:4">
      <c r="A2873" t="s">
        <v>129</v>
      </c>
      <c r="B2873" t="s">
        <v>254</v>
      </c>
      <c r="C2873">
        <v>2020</v>
      </c>
    </row>
    <row r="2874" spans="1:4">
      <c r="A2874" t="s">
        <v>74</v>
      </c>
      <c r="B2874" t="s">
        <v>254</v>
      </c>
      <c r="C2874">
        <v>2020</v>
      </c>
      <c r="D2874">
        <v>4</v>
      </c>
    </row>
    <row r="2875" spans="1:4">
      <c r="A2875" t="s">
        <v>134</v>
      </c>
      <c r="B2875" t="s">
        <v>254</v>
      </c>
      <c r="C2875">
        <v>2020</v>
      </c>
    </row>
    <row r="2876" spans="1:4">
      <c r="A2876" t="s">
        <v>209</v>
      </c>
      <c r="B2876" t="s">
        <v>254</v>
      </c>
      <c r="C2876">
        <v>2020</v>
      </c>
    </row>
    <row r="2877" spans="1:4">
      <c r="A2877" t="s">
        <v>164</v>
      </c>
      <c r="B2877" t="s">
        <v>254</v>
      </c>
      <c r="C2877">
        <v>2020</v>
      </c>
    </row>
    <row r="2878" spans="1:4">
      <c r="A2878" t="s">
        <v>169</v>
      </c>
      <c r="B2878" t="s">
        <v>254</v>
      </c>
      <c r="C2878">
        <v>2020</v>
      </c>
    </row>
    <row r="2879" spans="1:4">
      <c r="A2879" t="s">
        <v>189</v>
      </c>
      <c r="B2879" t="s">
        <v>254</v>
      </c>
      <c r="C2879">
        <v>2020</v>
      </c>
    </row>
    <row r="2880" spans="1:4">
      <c r="A2880" t="s">
        <v>174</v>
      </c>
      <c r="B2880" t="s">
        <v>254</v>
      </c>
      <c r="C2880">
        <v>2020</v>
      </c>
    </row>
    <row r="2881" spans="1:4">
      <c r="A2881" t="s">
        <v>84</v>
      </c>
      <c r="B2881" t="s">
        <v>254</v>
      </c>
      <c r="C2881">
        <v>2020</v>
      </c>
    </row>
    <row r="2882" spans="1:4">
      <c r="A2882" t="s">
        <v>149</v>
      </c>
      <c r="B2882" t="s">
        <v>254</v>
      </c>
      <c r="C2882">
        <v>2020</v>
      </c>
    </row>
    <row r="2883" spans="1:4">
      <c r="A2883" t="s">
        <v>109</v>
      </c>
      <c r="B2883" t="s">
        <v>254</v>
      </c>
      <c r="C2883">
        <v>2020</v>
      </c>
    </row>
    <row r="2884" spans="1:4">
      <c r="A2884" t="s">
        <v>154</v>
      </c>
      <c r="B2884" t="s">
        <v>254</v>
      </c>
      <c r="C2884">
        <v>2020</v>
      </c>
    </row>
    <row r="2885" spans="1:4">
      <c r="A2885" t="s">
        <v>159</v>
      </c>
      <c r="B2885" t="s">
        <v>254</v>
      </c>
      <c r="C2885">
        <v>2020</v>
      </c>
      <c r="D2885">
        <v>3</v>
      </c>
    </row>
    <row r="2886" spans="1:4">
      <c r="A2886" t="s">
        <v>104</v>
      </c>
      <c r="B2886" t="s">
        <v>254</v>
      </c>
      <c r="C2886">
        <v>2020</v>
      </c>
    </row>
    <row r="2887" spans="1:4">
      <c r="A2887" t="s">
        <v>119</v>
      </c>
      <c r="B2887" t="s">
        <v>254</v>
      </c>
      <c r="C2887">
        <v>2020</v>
      </c>
    </row>
    <row r="2888" spans="1:4">
      <c r="A2888" t="s">
        <v>139</v>
      </c>
      <c r="B2888" t="s">
        <v>254</v>
      </c>
      <c r="C2888">
        <v>2020</v>
      </c>
    </row>
    <row r="2889" spans="1:4">
      <c r="A2889" t="s">
        <v>99</v>
      </c>
      <c r="B2889" t="s">
        <v>254</v>
      </c>
      <c r="C2889">
        <v>2020</v>
      </c>
      <c r="D2889">
        <v>4</v>
      </c>
    </row>
    <row r="2890" spans="1:4">
      <c r="A2890" t="s">
        <v>94</v>
      </c>
      <c r="B2890" t="s">
        <v>254</v>
      </c>
      <c r="C2890">
        <v>2020</v>
      </c>
    </row>
    <row r="2891" spans="1:4">
      <c r="A2891" t="s">
        <v>219</v>
      </c>
      <c r="B2891" t="s">
        <v>254</v>
      </c>
      <c r="C2891">
        <v>2020</v>
      </c>
    </row>
    <row r="2892" spans="1:4">
      <c r="A2892" t="s">
        <v>214</v>
      </c>
      <c r="B2892" t="s">
        <v>254</v>
      </c>
      <c r="C2892">
        <v>2020</v>
      </c>
    </row>
    <row r="2893" spans="1:4">
      <c r="A2893" t="s">
        <v>70</v>
      </c>
      <c r="B2893" t="s">
        <v>254</v>
      </c>
      <c r="C2893">
        <v>2020</v>
      </c>
      <c r="D2893">
        <v>12</v>
      </c>
    </row>
    <row r="2894" spans="1:4">
      <c r="A2894" t="s">
        <v>144</v>
      </c>
      <c r="B2894" t="s">
        <v>254</v>
      </c>
      <c r="C2894">
        <v>2020</v>
      </c>
    </row>
    <row r="2895" spans="1:4">
      <c r="A2895" t="s">
        <v>89</v>
      </c>
      <c r="B2895" t="s">
        <v>254</v>
      </c>
      <c r="C2895">
        <v>2020</v>
      </c>
    </row>
    <row r="2896" spans="1:4">
      <c r="A2896" t="s">
        <v>204</v>
      </c>
      <c r="B2896" t="s">
        <v>254</v>
      </c>
      <c r="C2896">
        <v>2020</v>
      </c>
    </row>
    <row r="2897" spans="1:4">
      <c r="A2897" t="s">
        <v>114</v>
      </c>
      <c r="B2897" t="s">
        <v>254</v>
      </c>
      <c r="C2897">
        <v>2020</v>
      </c>
      <c r="D2897">
        <v>1</v>
      </c>
    </row>
    <row r="2898" spans="1:4">
      <c r="A2898" t="s">
        <v>184</v>
      </c>
      <c r="B2898" t="s">
        <v>254</v>
      </c>
      <c r="C2898">
        <v>2020</v>
      </c>
    </row>
    <row r="2899" spans="1:4">
      <c r="A2899" t="s">
        <v>79</v>
      </c>
      <c r="B2899" t="s">
        <v>254</v>
      </c>
      <c r="C2899">
        <v>2020</v>
      </c>
    </row>
    <row r="2900" spans="1:4">
      <c r="A2900" t="s">
        <v>199</v>
      </c>
      <c r="B2900" t="s">
        <v>254</v>
      </c>
      <c r="C2900">
        <v>2020</v>
      </c>
    </row>
    <row r="2901" spans="1:4">
      <c r="A2901" t="s">
        <v>224</v>
      </c>
      <c r="B2901" t="s">
        <v>254</v>
      </c>
      <c r="C2901">
        <v>2020</v>
      </c>
    </row>
    <row r="2902" spans="1:4">
      <c r="A2902" t="s">
        <v>194</v>
      </c>
      <c r="B2902" t="s">
        <v>254</v>
      </c>
      <c r="C2902">
        <v>2020</v>
      </c>
    </row>
    <row r="2903" spans="1:4">
      <c r="A2903" t="s">
        <v>124</v>
      </c>
      <c r="B2903" t="s">
        <v>254</v>
      </c>
      <c r="C2903">
        <v>2020</v>
      </c>
      <c r="D2903">
        <v>0.03</v>
      </c>
    </row>
    <row r="2904" spans="1:4">
      <c r="A2904" t="s">
        <v>179</v>
      </c>
      <c r="B2904" t="s">
        <v>254</v>
      </c>
      <c r="C2904">
        <v>2020</v>
      </c>
    </row>
    <row r="2905" spans="1:4">
      <c r="A2905" t="s">
        <v>74</v>
      </c>
      <c r="B2905" t="s">
        <v>254</v>
      </c>
      <c r="C2905">
        <v>2021</v>
      </c>
      <c r="D2905">
        <v>2</v>
      </c>
    </row>
    <row r="2906" spans="1:4">
      <c r="A2906" t="s">
        <v>159</v>
      </c>
      <c r="B2906" t="s">
        <v>254</v>
      </c>
      <c r="C2906">
        <v>2021</v>
      </c>
      <c r="D2906">
        <v>3</v>
      </c>
    </row>
    <row r="2907" spans="1:4">
      <c r="A2907" t="s">
        <v>99</v>
      </c>
      <c r="B2907" t="s">
        <v>254</v>
      </c>
      <c r="C2907">
        <v>2021</v>
      </c>
      <c r="D2907">
        <v>4</v>
      </c>
    </row>
    <row r="2908" spans="1:4">
      <c r="A2908" t="s">
        <v>70</v>
      </c>
      <c r="B2908" t="s">
        <v>254</v>
      </c>
      <c r="C2908">
        <v>2021</v>
      </c>
      <c r="D2908">
        <v>16</v>
      </c>
    </row>
    <row r="2909" spans="1:4">
      <c r="A2909" t="s">
        <v>114</v>
      </c>
      <c r="B2909" t="s">
        <v>254</v>
      </c>
      <c r="C2909">
        <v>2021</v>
      </c>
      <c r="D2909">
        <v>2</v>
      </c>
    </row>
    <row r="2910" spans="1:4">
      <c r="A2910" t="s">
        <v>79</v>
      </c>
      <c r="B2910" t="s">
        <v>254</v>
      </c>
      <c r="C2910">
        <v>2021</v>
      </c>
      <c r="D2910">
        <v>5</v>
      </c>
    </row>
    <row r="2911" spans="1:4">
      <c r="A2911" t="s">
        <v>199</v>
      </c>
      <c r="B2911" t="s">
        <v>254</v>
      </c>
      <c r="C2911">
        <v>2021</v>
      </c>
      <c r="D2911">
        <v>0.4</v>
      </c>
    </row>
    <row r="2912" spans="1:4">
      <c r="A2912" t="s">
        <v>124</v>
      </c>
      <c r="B2912" t="s">
        <v>254</v>
      </c>
      <c r="C2912">
        <v>2021</v>
      </c>
      <c r="D2912">
        <v>0.04</v>
      </c>
    </row>
    <row r="2913" spans="1:4">
      <c r="A2913" t="s">
        <v>70</v>
      </c>
      <c r="B2913" t="s">
        <v>254</v>
      </c>
      <c r="C2913" s="29">
        <v>2022</v>
      </c>
      <c r="D2913" s="97">
        <v>9</v>
      </c>
    </row>
    <row r="2914" spans="1:4">
      <c r="A2914" t="s">
        <v>74</v>
      </c>
      <c r="B2914" t="s">
        <v>254</v>
      </c>
      <c r="C2914" s="29">
        <v>2022</v>
      </c>
      <c r="D2914" s="97">
        <v>2</v>
      </c>
    </row>
    <row r="2915" spans="1:4">
      <c r="A2915" t="s">
        <v>79</v>
      </c>
      <c r="B2915" t="s">
        <v>254</v>
      </c>
      <c r="C2915" s="29">
        <v>2022</v>
      </c>
      <c r="D2915" s="97">
        <v>1</v>
      </c>
    </row>
    <row r="2916" spans="1:4">
      <c r="A2916" t="s">
        <v>84</v>
      </c>
      <c r="B2916" t="s">
        <v>254</v>
      </c>
      <c r="C2916" s="29">
        <v>2022</v>
      </c>
    </row>
    <row r="2917" spans="1:4">
      <c r="A2917" t="s">
        <v>89</v>
      </c>
      <c r="B2917" t="s">
        <v>254</v>
      </c>
      <c r="C2917" s="29">
        <v>2022</v>
      </c>
    </row>
    <row r="2918" spans="1:4">
      <c r="A2918" t="s">
        <v>94</v>
      </c>
      <c r="B2918" t="s">
        <v>254</v>
      </c>
      <c r="C2918" s="29">
        <v>2022</v>
      </c>
    </row>
    <row r="2919" spans="1:4">
      <c r="A2919" t="s">
        <v>99</v>
      </c>
      <c r="B2919" t="s">
        <v>254</v>
      </c>
      <c r="C2919" s="29">
        <v>2022</v>
      </c>
      <c r="D2919" s="97">
        <v>3</v>
      </c>
    </row>
    <row r="2920" spans="1:4">
      <c r="A2920" t="s">
        <v>104</v>
      </c>
      <c r="B2920" t="s">
        <v>254</v>
      </c>
      <c r="C2920" s="29">
        <v>2022</v>
      </c>
    </row>
    <row r="2921" spans="1:4">
      <c r="A2921" t="s">
        <v>109</v>
      </c>
      <c r="B2921" t="s">
        <v>254</v>
      </c>
      <c r="C2921" s="29">
        <v>2022</v>
      </c>
    </row>
    <row r="2922" spans="1:4">
      <c r="A2922" t="s">
        <v>114</v>
      </c>
      <c r="B2922" t="s">
        <v>254</v>
      </c>
      <c r="C2922" s="29">
        <v>2022</v>
      </c>
      <c r="D2922" s="97">
        <v>2</v>
      </c>
    </row>
    <row r="2923" spans="1:4">
      <c r="A2923" t="s">
        <v>119</v>
      </c>
      <c r="B2923" t="s">
        <v>254</v>
      </c>
      <c r="C2923" s="29">
        <v>2022</v>
      </c>
    </row>
    <row r="2924" spans="1:4">
      <c r="A2924" t="s">
        <v>124</v>
      </c>
      <c r="B2924" t="s">
        <v>254</v>
      </c>
      <c r="C2924" s="29">
        <v>2022</v>
      </c>
      <c r="D2924" t="s">
        <v>255</v>
      </c>
    </row>
    <row r="2925" spans="1:4">
      <c r="A2925" t="s">
        <v>129</v>
      </c>
      <c r="B2925" t="s">
        <v>254</v>
      </c>
      <c r="C2925" s="29">
        <v>2022</v>
      </c>
    </row>
    <row r="2926" spans="1:4">
      <c r="A2926" t="s">
        <v>134</v>
      </c>
      <c r="B2926" t="s">
        <v>254</v>
      </c>
      <c r="C2926" s="29">
        <v>2022</v>
      </c>
    </row>
    <row r="2927" spans="1:4">
      <c r="A2927" t="s">
        <v>139</v>
      </c>
      <c r="B2927" t="s">
        <v>254</v>
      </c>
      <c r="C2927" s="29">
        <v>2022</v>
      </c>
    </row>
    <row r="2928" spans="1:4">
      <c r="A2928" t="s">
        <v>144</v>
      </c>
      <c r="B2928" t="s">
        <v>254</v>
      </c>
      <c r="C2928" s="29">
        <v>2022</v>
      </c>
    </row>
    <row r="2929" spans="1:4">
      <c r="A2929" t="s">
        <v>149</v>
      </c>
      <c r="B2929" t="s">
        <v>254</v>
      </c>
      <c r="C2929" s="29">
        <v>2022</v>
      </c>
    </row>
    <row r="2930" spans="1:4">
      <c r="A2930" t="s">
        <v>154</v>
      </c>
      <c r="B2930" t="s">
        <v>254</v>
      </c>
      <c r="C2930" s="29">
        <v>2022</v>
      </c>
    </row>
    <row r="2931" spans="1:4">
      <c r="A2931" t="s">
        <v>159</v>
      </c>
      <c r="B2931" t="s">
        <v>254</v>
      </c>
      <c r="C2931" s="29">
        <v>2022</v>
      </c>
      <c r="D2931" s="97">
        <v>2</v>
      </c>
    </row>
    <row r="2932" spans="1:4">
      <c r="A2932" t="s">
        <v>164</v>
      </c>
      <c r="B2932" t="s">
        <v>254</v>
      </c>
      <c r="C2932" s="29">
        <v>2022</v>
      </c>
    </row>
    <row r="2933" spans="1:4">
      <c r="A2933" t="s">
        <v>169</v>
      </c>
      <c r="B2933" t="s">
        <v>254</v>
      </c>
      <c r="C2933" s="29">
        <v>2022</v>
      </c>
    </row>
    <row r="2934" spans="1:4">
      <c r="A2934" t="s">
        <v>174</v>
      </c>
      <c r="B2934" t="s">
        <v>254</v>
      </c>
      <c r="C2934" s="29">
        <v>2022</v>
      </c>
    </row>
    <row r="2935" spans="1:4">
      <c r="A2935" t="s">
        <v>179</v>
      </c>
      <c r="B2935" t="s">
        <v>254</v>
      </c>
      <c r="C2935" s="29">
        <v>2022</v>
      </c>
    </row>
    <row r="2936" spans="1:4">
      <c r="A2936" t="s">
        <v>184</v>
      </c>
      <c r="B2936" t="s">
        <v>254</v>
      </c>
      <c r="C2936" s="29">
        <v>2022</v>
      </c>
    </row>
    <row r="2937" spans="1:4">
      <c r="A2937" t="s">
        <v>189</v>
      </c>
      <c r="B2937" t="s">
        <v>254</v>
      </c>
      <c r="C2937" s="29">
        <v>2022</v>
      </c>
    </row>
    <row r="2938" spans="1:4">
      <c r="A2938" t="s">
        <v>194</v>
      </c>
      <c r="B2938" t="s">
        <v>254</v>
      </c>
      <c r="C2938" s="29">
        <v>2022</v>
      </c>
    </row>
    <row r="2939" spans="1:4">
      <c r="A2939" t="s">
        <v>199</v>
      </c>
      <c r="B2939" t="s">
        <v>254</v>
      </c>
      <c r="C2939" s="29">
        <v>2022</v>
      </c>
      <c r="D2939" t="s">
        <v>256</v>
      </c>
    </row>
    <row r="2940" spans="1:4">
      <c r="A2940" t="s">
        <v>204</v>
      </c>
      <c r="B2940" t="s">
        <v>254</v>
      </c>
      <c r="C2940" s="29">
        <v>2022</v>
      </c>
    </row>
    <row r="2941" spans="1:4">
      <c r="A2941" t="s">
        <v>209</v>
      </c>
      <c r="B2941" t="s">
        <v>254</v>
      </c>
      <c r="C2941" s="29">
        <v>2022</v>
      </c>
    </row>
    <row r="2942" spans="1:4">
      <c r="A2942" t="s">
        <v>214</v>
      </c>
      <c r="B2942" t="s">
        <v>254</v>
      </c>
      <c r="C2942" s="29">
        <v>2022</v>
      </c>
    </row>
    <row r="2943" spans="1:4">
      <c r="A2943" t="s">
        <v>219</v>
      </c>
      <c r="B2943" t="s">
        <v>254</v>
      </c>
      <c r="C2943" s="29">
        <v>2022</v>
      </c>
    </row>
    <row r="2944" spans="1:4">
      <c r="A2944" t="s">
        <v>224</v>
      </c>
      <c r="B2944" t="s">
        <v>254</v>
      </c>
      <c r="C2944" s="29">
        <v>2022</v>
      </c>
    </row>
    <row r="2945" spans="1:4">
      <c r="A2945" t="s">
        <v>129</v>
      </c>
      <c r="B2945" t="s">
        <v>257</v>
      </c>
      <c r="C2945">
        <v>2015</v>
      </c>
      <c r="D2945">
        <v>49</v>
      </c>
    </row>
    <row r="2946" spans="1:4">
      <c r="A2946" t="s">
        <v>74</v>
      </c>
      <c r="B2946" t="s">
        <v>257</v>
      </c>
      <c r="C2946">
        <v>2015</v>
      </c>
      <c r="D2946">
        <v>7</v>
      </c>
    </row>
    <row r="2947" spans="1:4">
      <c r="A2947" t="s">
        <v>134</v>
      </c>
      <c r="B2947" t="s">
        <v>257</v>
      </c>
      <c r="C2947">
        <v>2015</v>
      </c>
      <c r="D2947">
        <v>439</v>
      </c>
    </row>
    <row r="2948" spans="1:4">
      <c r="A2948" t="s">
        <v>209</v>
      </c>
      <c r="B2948" t="s">
        <v>257</v>
      </c>
      <c r="C2948">
        <v>2015</v>
      </c>
      <c r="D2948">
        <v>336</v>
      </c>
    </row>
    <row r="2949" spans="1:4">
      <c r="A2949" t="s">
        <v>164</v>
      </c>
      <c r="B2949" t="s">
        <v>257</v>
      </c>
      <c r="C2949">
        <v>2015</v>
      </c>
      <c r="D2949">
        <v>284</v>
      </c>
    </row>
    <row r="2950" spans="1:4">
      <c r="A2950" t="s">
        <v>169</v>
      </c>
      <c r="B2950" t="s">
        <v>257</v>
      </c>
      <c r="C2950">
        <v>2015</v>
      </c>
      <c r="D2950">
        <v>762</v>
      </c>
    </row>
    <row r="2951" spans="1:4">
      <c r="A2951" t="s">
        <v>189</v>
      </c>
      <c r="B2951" t="s">
        <v>257</v>
      </c>
      <c r="C2951">
        <v>2015</v>
      </c>
      <c r="D2951">
        <v>827</v>
      </c>
    </row>
    <row r="2952" spans="1:4">
      <c r="A2952" t="s">
        <v>174</v>
      </c>
      <c r="B2952" t="s">
        <v>257</v>
      </c>
      <c r="C2952">
        <v>2015</v>
      </c>
      <c r="D2952">
        <v>9</v>
      </c>
    </row>
    <row r="2953" spans="1:4">
      <c r="A2953" t="s">
        <v>84</v>
      </c>
      <c r="B2953" t="s">
        <v>257</v>
      </c>
      <c r="C2953">
        <v>2015</v>
      </c>
      <c r="D2953">
        <v>11</v>
      </c>
    </row>
    <row r="2954" spans="1:4">
      <c r="A2954" t="s">
        <v>149</v>
      </c>
      <c r="B2954" t="s">
        <v>257</v>
      </c>
      <c r="C2954">
        <v>2015</v>
      </c>
      <c r="D2954">
        <v>109</v>
      </c>
    </row>
    <row r="2955" spans="1:4">
      <c r="A2955" t="s">
        <v>109</v>
      </c>
      <c r="B2955" t="s">
        <v>257</v>
      </c>
      <c r="C2955">
        <v>2015</v>
      </c>
      <c r="D2955">
        <v>19</v>
      </c>
    </row>
    <row r="2956" spans="1:4">
      <c r="A2956" t="s">
        <v>154</v>
      </c>
      <c r="B2956" t="s">
        <v>257</v>
      </c>
      <c r="C2956">
        <v>2015</v>
      </c>
      <c r="D2956">
        <v>1303</v>
      </c>
    </row>
    <row r="2957" spans="1:4">
      <c r="A2957" t="s">
        <v>159</v>
      </c>
      <c r="B2957" t="s">
        <v>257</v>
      </c>
      <c r="C2957">
        <v>2015</v>
      </c>
      <c r="D2957">
        <v>520</v>
      </c>
    </row>
    <row r="2958" spans="1:4">
      <c r="A2958" t="s">
        <v>104</v>
      </c>
      <c r="B2958" t="s">
        <v>257</v>
      </c>
      <c r="C2958">
        <v>2015</v>
      </c>
      <c r="D2958">
        <v>53</v>
      </c>
    </row>
    <row r="2959" spans="1:4">
      <c r="A2959" t="s">
        <v>119</v>
      </c>
      <c r="B2959" t="s">
        <v>257</v>
      </c>
      <c r="C2959">
        <v>2015</v>
      </c>
      <c r="D2959">
        <v>12</v>
      </c>
    </row>
    <row r="2960" spans="1:4">
      <c r="A2960" t="s">
        <v>139</v>
      </c>
      <c r="B2960" t="s">
        <v>257</v>
      </c>
      <c r="C2960">
        <v>2015</v>
      </c>
      <c r="D2960">
        <v>171</v>
      </c>
    </row>
    <row r="2961" spans="1:4">
      <c r="A2961" t="s">
        <v>99</v>
      </c>
      <c r="B2961" t="s">
        <v>257</v>
      </c>
      <c r="C2961">
        <v>2015</v>
      </c>
      <c r="D2961">
        <v>32</v>
      </c>
    </row>
    <row r="2962" spans="1:4">
      <c r="A2962" t="s">
        <v>94</v>
      </c>
      <c r="B2962" t="s">
        <v>257</v>
      </c>
      <c r="C2962">
        <v>2015</v>
      </c>
      <c r="D2962">
        <v>36</v>
      </c>
    </row>
    <row r="2963" spans="1:4">
      <c r="A2963" t="s">
        <v>219</v>
      </c>
      <c r="B2963" t="s">
        <v>257</v>
      </c>
      <c r="C2963">
        <v>2015</v>
      </c>
      <c r="D2963">
        <v>16</v>
      </c>
    </row>
    <row r="2964" spans="1:4">
      <c r="A2964" t="s">
        <v>214</v>
      </c>
      <c r="B2964" t="s">
        <v>257</v>
      </c>
      <c r="C2964">
        <v>2015</v>
      </c>
      <c r="D2964">
        <v>371</v>
      </c>
    </row>
    <row r="2965" spans="1:4">
      <c r="A2965" t="s">
        <v>70</v>
      </c>
      <c r="B2965" t="s">
        <v>257</v>
      </c>
      <c r="C2965">
        <v>2015</v>
      </c>
      <c r="D2965">
        <v>11127</v>
      </c>
    </row>
    <row r="2966" spans="1:4">
      <c r="A2966" t="s">
        <v>144</v>
      </c>
      <c r="B2966" t="s">
        <v>257</v>
      </c>
      <c r="C2966">
        <v>2015</v>
      </c>
      <c r="D2966">
        <v>7.2</v>
      </c>
    </row>
    <row r="2967" spans="1:4">
      <c r="A2967" t="s">
        <v>89</v>
      </c>
      <c r="B2967" t="s">
        <v>257</v>
      </c>
      <c r="C2967">
        <v>2015</v>
      </c>
      <c r="D2967">
        <v>31</v>
      </c>
    </row>
    <row r="2968" spans="1:4">
      <c r="A2968" t="s">
        <v>204</v>
      </c>
      <c r="B2968" t="s">
        <v>257</v>
      </c>
      <c r="C2968">
        <v>2015</v>
      </c>
      <c r="D2968">
        <v>83</v>
      </c>
    </row>
    <row r="2969" spans="1:4">
      <c r="A2969" t="s">
        <v>114</v>
      </c>
      <c r="B2969" t="s">
        <v>257</v>
      </c>
      <c r="C2969">
        <v>2015</v>
      </c>
    </row>
    <row r="2970" spans="1:4">
      <c r="A2970" t="s">
        <v>184</v>
      </c>
      <c r="B2970" t="s">
        <v>257</v>
      </c>
      <c r="C2970">
        <v>2015</v>
      </c>
      <c r="D2970">
        <v>2767</v>
      </c>
    </row>
    <row r="2971" spans="1:4">
      <c r="A2971" t="s">
        <v>79</v>
      </c>
      <c r="B2971" t="s">
        <v>257</v>
      </c>
      <c r="C2971">
        <v>2015</v>
      </c>
      <c r="D2971">
        <v>0.2</v>
      </c>
    </row>
    <row r="2972" spans="1:4">
      <c r="A2972" t="s">
        <v>199</v>
      </c>
      <c r="B2972" t="s">
        <v>257</v>
      </c>
      <c r="C2972">
        <v>2015</v>
      </c>
      <c r="D2972">
        <v>34</v>
      </c>
    </row>
    <row r="2973" spans="1:4">
      <c r="A2973" t="s">
        <v>224</v>
      </c>
      <c r="B2973" t="s">
        <v>257</v>
      </c>
      <c r="C2973">
        <v>2015</v>
      </c>
      <c r="D2973">
        <v>203</v>
      </c>
    </row>
    <row r="2974" spans="1:4">
      <c r="A2974" t="s">
        <v>194</v>
      </c>
      <c r="B2974" t="s">
        <v>257</v>
      </c>
      <c r="C2974">
        <v>2015</v>
      </c>
      <c r="D2974">
        <v>2177</v>
      </c>
    </row>
    <row r="2975" spans="1:4">
      <c r="A2975" t="s">
        <v>124</v>
      </c>
      <c r="B2975" t="s">
        <v>257</v>
      </c>
      <c r="C2975">
        <v>2015</v>
      </c>
      <c r="D2975">
        <v>229</v>
      </c>
    </row>
    <row r="2976" spans="1:4">
      <c r="A2976" t="s">
        <v>179</v>
      </c>
      <c r="B2976" t="s">
        <v>257</v>
      </c>
      <c r="C2976">
        <v>2015</v>
      </c>
      <c r="D2976">
        <v>229</v>
      </c>
    </row>
    <row r="2977" spans="1:4">
      <c r="A2977" t="s">
        <v>129</v>
      </c>
      <c r="B2977" t="s">
        <v>257</v>
      </c>
      <c r="C2977">
        <v>2016</v>
      </c>
      <c r="D2977">
        <v>63</v>
      </c>
    </row>
    <row r="2978" spans="1:4">
      <c r="A2978" t="s">
        <v>74</v>
      </c>
      <c r="B2978" t="s">
        <v>257</v>
      </c>
      <c r="C2978">
        <v>2016</v>
      </c>
      <c r="D2978">
        <v>12</v>
      </c>
    </row>
    <row r="2979" spans="1:4">
      <c r="A2979" t="s">
        <v>134</v>
      </c>
      <c r="B2979" t="s">
        <v>257</v>
      </c>
      <c r="C2979">
        <v>2016</v>
      </c>
      <c r="D2979">
        <v>631</v>
      </c>
    </row>
    <row r="2980" spans="1:4">
      <c r="A2980" t="s">
        <v>209</v>
      </c>
      <c r="B2980" t="s">
        <v>257</v>
      </c>
      <c r="C2980">
        <v>2016</v>
      </c>
      <c r="D2980">
        <v>314</v>
      </c>
    </row>
    <row r="2981" spans="1:4">
      <c r="A2981" t="s">
        <v>164</v>
      </c>
      <c r="B2981" t="s">
        <v>257</v>
      </c>
      <c r="C2981">
        <v>2016</v>
      </c>
      <c r="D2981">
        <v>423</v>
      </c>
    </row>
    <row r="2982" spans="1:4">
      <c r="A2982" t="s">
        <v>169</v>
      </c>
      <c r="B2982" t="s">
        <v>257</v>
      </c>
      <c r="C2982">
        <v>2016</v>
      </c>
      <c r="D2982">
        <v>600</v>
      </c>
    </row>
    <row r="2983" spans="1:4">
      <c r="A2983" t="s">
        <v>189</v>
      </c>
      <c r="B2983" t="s">
        <v>257</v>
      </c>
      <c r="C2983">
        <v>2016</v>
      </c>
      <c r="D2983">
        <v>727</v>
      </c>
    </row>
    <row r="2984" spans="1:4">
      <c r="A2984" t="s">
        <v>174</v>
      </c>
      <c r="B2984" t="s">
        <v>257</v>
      </c>
      <c r="C2984">
        <v>2016</v>
      </c>
      <c r="D2984">
        <v>23</v>
      </c>
    </row>
    <row r="2985" spans="1:4">
      <c r="A2985" t="s">
        <v>84</v>
      </c>
      <c r="B2985" t="s">
        <v>257</v>
      </c>
      <c r="C2985">
        <v>2016</v>
      </c>
      <c r="D2985">
        <v>24</v>
      </c>
    </row>
    <row r="2986" spans="1:4">
      <c r="A2986" t="s">
        <v>149</v>
      </c>
      <c r="B2986" t="s">
        <v>257</v>
      </c>
      <c r="C2986">
        <v>2016</v>
      </c>
      <c r="D2986">
        <v>93</v>
      </c>
    </row>
    <row r="2987" spans="1:4">
      <c r="A2987" t="s">
        <v>109</v>
      </c>
      <c r="B2987" t="s">
        <v>257</v>
      </c>
      <c r="C2987">
        <v>2016</v>
      </c>
      <c r="D2987">
        <v>23</v>
      </c>
    </row>
    <row r="2988" spans="1:4">
      <c r="A2988" t="s">
        <v>154</v>
      </c>
      <c r="B2988" t="s">
        <v>257</v>
      </c>
      <c r="C2988">
        <v>2016</v>
      </c>
      <c r="D2988">
        <v>1399</v>
      </c>
    </row>
    <row r="2989" spans="1:4">
      <c r="A2989" t="s">
        <v>159</v>
      </c>
      <c r="B2989" t="s">
        <v>257</v>
      </c>
      <c r="C2989">
        <v>2016</v>
      </c>
      <c r="D2989">
        <v>560</v>
      </c>
    </row>
    <row r="2990" spans="1:4">
      <c r="A2990" t="s">
        <v>104</v>
      </c>
      <c r="B2990" t="s">
        <v>257</v>
      </c>
      <c r="C2990">
        <v>2016</v>
      </c>
      <c r="D2990">
        <v>85</v>
      </c>
    </row>
    <row r="2991" spans="1:4">
      <c r="A2991" t="s">
        <v>119</v>
      </c>
      <c r="B2991" t="s">
        <v>257</v>
      </c>
      <c r="C2991">
        <v>2016</v>
      </c>
      <c r="D2991">
        <v>17</v>
      </c>
    </row>
    <row r="2992" spans="1:4">
      <c r="A2992" t="s">
        <v>139</v>
      </c>
      <c r="B2992" t="s">
        <v>257</v>
      </c>
      <c r="C2992">
        <v>2016</v>
      </c>
      <c r="D2992">
        <v>199</v>
      </c>
    </row>
    <row r="2993" spans="1:4">
      <c r="A2993" t="s">
        <v>99</v>
      </c>
      <c r="B2993" t="s">
        <v>257</v>
      </c>
      <c r="C2993">
        <v>2016</v>
      </c>
      <c r="D2993">
        <v>56</v>
      </c>
    </row>
    <row r="2994" spans="1:4">
      <c r="A2994" t="s">
        <v>94</v>
      </c>
      <c r="B2994" t="s">
        <v>257</v>
      </c>
      <c r="C2994">
        <v>2016</v>
      </c>
      <c r="D2994">
        <v>27</v>
      </c>
    </row>
    <row r="2995" spans="1:4">
      <c r="A2995" t="s">
        <v>219</v>
      </c>
      <c r="B2995" t="s">
        <v>257</v>
      </c>
      <c r="C2995">
        <v>2016</v>
      </c>
      <c r="D2995">
        <v>14</v>
      </c>
    </row>
    <row r="2996" spans="1:4">
      <c r="A2996" t="s">
        <v>214</v>
      </c>
      <c r="B2996" t="s">
        <v>257</v>
      </c>
      <c r="C2996">
        <v>2016</v>
      </c>
      <c r="D2996">
        <v>302</v>
      </c>
    </row>
    <row r="2997" spans="1:4">
      <c r="A2997" t="s">
        <v>70</v>
      </c>
      <c r="B2997" t="s">
        <v>257</v>
      </c>
      <c r="C2997">
        <v>2016</v>
      </c>
      <c r="D2997">
        <v>11748</v>
      </c>
    </row>
    <row r="2998" spans="1:4">
      <c r="A2998" t="s">
        <v>144</v>
      </c>
      <c r="B2998" t="s">
        <v>257</v>
      </c>
      <c r="C2998">
        <v>2016</v>
      </c>
      <c r="D2998">
        <v>13.9</v>
      </c>
    </row>
    <row r="2999" spans="1:4">
      <c r="A2999" t="s">
        <v>89</v>
      </c>
      <c r="B2999" t="s">
        <v>257</v>
      </c>
      <c r="C2999">
        <v>2016</v>
      </c>
      <c r="D2999">
        <v>39</v>
      </c>
    </row>
    <row r="3000" spans="1:4">
      <c r="A3000" t="s">
        <v>204</v>
      </c>
      <c r="B3000" t="s">
        <v>257</v>
      </c>
      <c r="C3000">
        <v>2016</v>
      </c>
      <c r="D3000">
        <v>69</v>
      </c>
    </row>
    <row r="3001" spans="1:4">
      <c r="A3001" t="s">
        <v>114</v>
      </c>
      <c r="B3001" t="s">
        <v>257</v>
      </c>
      <c r="C3001">
        <v>2016</v>
      </c>
    </row>
    <row r="3002" spans="1:4">
      <c r="A3002" t="s">
        <v>184</v>
      </c>
      <c r="B3002" t="s">
        <v>257</v>
      </c>
      <c r="C3002">
        <v>2016</v>
      </c>
      <c r="D3002">
        <v>2989</v>
      </c>
    </row>
    <row r="3003" spans="1:4">
      <c r="A3003" t="s">
        <v>79</v>
      </c>
      <c r="B3003" t="s">
        <v>257</v>
      </c>
      <c r="C3003">
        <v>2016</v>
      </c>
      <c r="D3003">
        <v>0</v>
      </c>
    </row>
    <row r="3004" spans="1:4">
      <c r="A3004" t="s">
        <v>199</v>
      </c>
      <c r="B3004" t="s">
        <v>257</v>
      </c>
      <c r="C3004">
        <v>2016</v>
      </c>
      <c r="D3004">
        <v>46</v>
      </c>
    </row>
    <row r="3005" spans="1:4">
      <c r="A3005" t="s">
        <v>224</v>
      </c>
      <c r="B3005" t="s">
        <v>257</v>
      </c>
      <c r="C3005">
        <v>2016</v>
      </c>
      <c r="D3005">
        <v>211</v>
      </c>
    </row>
    <row r="3006" spans="1:4">
      <c r="A3006" t="s">
        <v>194</v>
      </c>
      <c r="B3006" t="s">
        <v>257</v>
      </c>
      <c r="C3006">
        <v>2016</v>
      </c>
      <c r="D3006">
        <v>2268</v>
      </c>
    </row>
    <row r="3007" spans="1:4">
      <c r="A3007" t="s">
        <v>124</v>
      </c>
      <c r="B3007" t="s">
        <v>257</v>
      </c>
      <c r="C3007">
        <v>2016</v>
      </c>
      <c r="D3007">
        <v>274</v>
      </c>
    </row>
    <row r="3008" spans="1:4">
      <c r="A3008" t="s">
        <v>179</v>
      </c>
      <c r="B3008" t="s">
        <v>257</v>
      </c>
      <c r="C3008">
        <v>2016</v>
      </c>
      <c r="D3008">
        <v>247</v>
      </c>
    </row>
    <row r="3009" spans="1:4">
      <c r="A3009" t="s">
        <v>129</v>
      </c>
      <c r="B3009" t="s">
        <v>257</v>
      </c>
      <c r="C3009">
        <v>2017</v>
      </c>
      <c r="D3009">
        <v>57</v>
      </c>
    </row>
    <row r="3010" spans="1:4">
      <c r="A3010" t="s">
        <v>74</v>
      </c>
      <c r="B3010" t="s">
        <v>257</v>
      </c>
      <c r="C3010">
        <v>2017</v>
      </c>
      <c r="D3010">
        <v>11</v>
      </c>
    </row>
    <row r="3011" spans="1:4">
      <c r="A3011" t="s">
        <v>134</v>
      </c>
      <c r="B3011" t="s">
        <v>257</v>
      </c>
      <c r="C3011">
        <v>2017</v>
      </c>
      <c r="D3011">
        <v>416</v>
      </c>
    </row>
    <row r="3012" spans="1:4">
      <c r="A3012" t="s">
        <v>209</v>
      </c>
      <c r="B3012" t="s">
        <v>257</v>
      </c>
      <c r="C3012">
        <v>2017</v>
      </c>
      <c r="D3012">
        <v>374</v>
      </c>
    </row>
    <row r="3013" spans="1:4">
      <c r="A3013" t="s">
        <v>164</v>
      </c>
      <c r="B3013" t="s">
        <v>257</v>
      </c>
      <c r="C3013">
        <v>2017</v>
      </c>
      <c r="D3013">
        <v>301</v>
      </c>
    </row>
    <row r="3014" spans="1:4">
      <c r="A3014" t="s">
        <v>169</v>
      </c>
      <c r="B3014" t="s">
        <v>257</v>
      </c>
      <c r="C3014">
        <v>2017</v>
      </c>
      <c r="D3014">
        <v>614</v>
      </c>
    </row>
    <row r="3015" spans="1:4">
      <c r="A3015" t="s">
        <v>189</v>
      </c>
      <c r="B3015" t="s">
        <v>257</v>
      </c>
      <c r="C3015">
        <v>2017</v>
      </c>
      <c r="D3015">
        <v>733</v>
      </c>
    </row>
    <row r="3016" spans="1:4">
      <c r="A3016" t="s">
        <v>174</v>
      </c>
      <c r="B3016" t="s">
        <v>257</v>
      </c>
      <c r="C3016">
        <v>2017</v>
      </c>
      <c r="D3016">
        <v>26</v>
      </c>
    </row>
    <row r="3017" spans="1:4">
      <c r="A3017" t="s">
        <v>84</v>
      </c>
      <c r="B3017" t="s">
        <v>257</v>
      </c>
      <c r="C3017">
        <v>2017</v>
      </c>
      <c r="D3017">
        <v>20</v>
      </c>
    </row>
    <row r="3018" spans="1:4">
      <c r="A3018" t="s">
        <v>149</v>
      </c>
      <c r="B3018" t="s">
        <v>257</v>
      </c>
      <c r="C3018">
        <v>2017</v>
      </c>
      <c r="D3018">
        <v>100</v>
      </c>
    </row>
    <row r="3019" spans="1:4">
      <c r="A3019" t="s">
        <v>109</v>
      </c>
      <c r="B3019" t="s">
        <v>257</v>
      </c>
      <c r="C3019">
        <v>2017</v>
      </c>
      <c r="D3019">
        <v>25</v>
      </c>
    </row>
    <row r="3020" spans="1:4">
      <c r="A3020" t="s">
        <v>154</v>
      </c>
      <c r="B3020" t="s">
        <v>257</v>
      </c>
      <c r="C3020">
        <v>2017</v>
      </c>
      <c r="D3020">
        <v>1494</v>
      </c>
    </row>
    <row r="3021" spans="1:4">
      <c r="A3021" t="s">
        <v>159</v>
      </c>
      <c r="B3021" t="s">
        <v>257</v>
      </c>
      <c r="C3021">
        <v>2017</v>
      </c>
      <c r="D3021">
        <v>498</v>
      </c>
    </row>
    <row r="3022" spans="1:4">
      <c r="A3022" t="s">
        <v>104</v>
      </c>
      <c r="B3022" t="s">
        <v>257</v>
      </c>
      <c r="C3022">
        <v>2017</v>
      </c>
      <c r="D3022">
        <v>77</v>
      </c>
    </row>
    <row r="3023" spans="1:4">
      <c r="A3023" t="s">
        <v>119</v>
      </c>
      <c r="B3023" t="s">
        <v>257</v>
      </c>
      <c r="C3023">
        <v>2017</v>
      </c>
      <c r="D3023">
        <v>29</v>
      </c>
    </row>
    <row r="3024" spans="1:4">
      <c r="A3024" t="s">
        <v>139</v>
      </c>
      <c r="B3024" t="s">
        <v>257</v>
      </c>
      <c r="C3024">
        <v>2017</v>
      </c>
      <c r="D3024">
        <v>157</v>
      </c>
    </row>
    <row r="3025" spans="1:4">
      <c r="A3025" t="s">
        <v>99</v>
      </c>
      <c r="B3025" t="s">
        <v>257</v>
      </c>
      <c r="C3025">
        <v>2017</v>
      </c>
      <c r="D3025">
        <v>45</v>
      </c>
    </row>
    <row r="3026" spans="1:4">
      <c r="A3026" t="s">
        <v>94</v>
      </c>
      <c r="B3026" t="s">
        <v>257</v>
      </c>
      <c r="C3026">
        <v>2017</v>
      </c>
      <c r="D3026">
        <v>24</v>
      </c>
    </row>
    <row r="3027" spans="1:4">
      <c r="A3027" t="s">
        <v>219</v>
      </c>
      <c r="B3027" t="s">
        <v>257</v>
      </c>
      <c r="C3027">
        <v>2017</v>
      </c>
      <c r="D3027">
        <v>16</v>
      </c>
    </row>
    <row r="3028" spans="1:4">
      <c r="A3028" t="s">
        <v>214</v>
      </c>
      <c r="B3028" t="s">
        <v>257</v>
      </c>
      <c r="C3028">
        <v>2017</v>
      </c>
      <c r="D3028">
        <v>332</v>
      </c>
    </row>
    <row r="3029" spans="1:4">
      <c r="A3029" t="s">
        <v>70</v>
      </c>
      <c r="B3029" t="s">
        <v>257</v>
      </c>
      <c r="C3029">
        <v>2017</v>
      </c>
      <c r="D3029">
        <v>11931</v>
      </c>
    </row>
    <row r="3030" spans="1:4">
      <c r="A3030" t="s">
        <v>144</v>
      </c>
      <c r="B3030" t="s">
        <v>257</v>
      </c>
      <c r="C3030">
        <v>2017</v>
      </c>
      <c r="D3030">
        <v>7</v>
      </c>
    </row>
    <row r="3031" spans="1:4">
      <c r="A3031" t="s">
        <v>89</v>
      </c>
      <c r="B3031" t="s">
        <v>257</v>
      </c>
      <c r="C3031">
        <v>2017</v>
      </c>
      <c r="D3031">
        <v>42</v>
      </c>
    </row>
    <row r="3032" spans="1:4">
      <c r="A3032" t="s">
        <v>204</v>
      </c>
      <c r="B3032" t="s">
        <v>257</v>
      </c>
      <c r="C3032">
        <v>2017</v>
      </c>
      <c r="D3032">
        <v>93</v>
      </c>
    </row>
    <row r="3033" spans="1:4">
      <c r="A3033" t="s">
        <v>114</v>
      </c>
      <c r="B3033" t="s">
        <v>257</v>
      </c>
      <c r="C3033">
        <v>2017</v>
      </c>
    </row>
    <row r="3034" spans="1:4">
      <c r="A3034" t="s">
        <v>184</v>
      </c>
      <c r="B3034" t="s">
        <v>257</v>
      </c>
      <c r="C3034">
        <v>2017</v>
      </c>
      <c r="D3034">
        <v>3164</v>
      </c>
    </row>
    <row r="3035" spans="1:4">
      <c r="A3035" t="s">
        <v>79</v>
      </c>
      <c r="B3035" t="s">
        <v>257</v>
      </c>
      <c r="C3035">
        <v>2017</v>
      </c>
      <c r="D3035">
        <v>0.1</v>
      </c>
    </row>
    <row r="3036" spans="1:4">
      <c r="A3036" t="s">
        <v>199</v>
      </c>
      <c r="B3036" t="s">
        <v>257</v>
      </c>
      <c r="C3036">
        <v>2017</v>
      </c>
      <c r="D3036">
        <v>51</v>
      </c>
    </row>
    <row r="3037" spans="1:4">
      <c r="A3037" t="s">
        <v>224</v>
      </c>
      <c r="B3037" t="s">
        <v>257</v>
      </c>
      <c r="C3037">
        <v>2017</v>
      </c>
      <c r="D3037">
        <v>256</v>
      </c>
    </row>
    <row r="3038" spans="1:4">
      <c r="A3038" t="s">
        <v>194</v>
      </c>
      <c r="B3038" t="s">
        <v>257</v>
      </c>
      <c r="C3038">
        <v>2017</v>
      </c>
      <c r="D3038">
        <v>2502</v>
      </c>
    </row>
    <row r="3039" spans="1:4">
      <c r="A3039" t="s">
        <v>124</v>
      </c>
      <c r="B3039" t="s">
        <v>257</v>
      </c>
      <c r="C3039">
        <v>2017</v>
      </c>
      <c r="D3039">
        <v>212</v>
      </c>
    </row>
    <row r="3040" spans="1:4">
      <c r="A3040" t="s">
        <v>179</v>
      </c>
      <c r="B3040" t="s">
        <v>257</v>
      </c>
      <c r="C3040">
        <v>2017</v>
      </c>
      <c r="D3040">
        <v>253</v>
      </c>
    </row>
    <row r="3041" spans="1:4">
      <c r="A3041" t="s">
        <v>129</v>
      </c>
      <c r="B3041" t="s">
        <v>257</v>
      </c>
      <c r="C3041">
        <v>2018</v>
      </c>
      <c r="D3041">
        <v>53</v>
      </c>
    </row>
    <row r="3042" spans="1:4">
      <c r="A3042" t="s">
        <v>74</v>
      </c>
      <c r="B3042" t="s">
        <v>257</v>
      </c>
      <c r="C3042">
        <v>2018</v>
      </c>
      <c r="D3042">
        <v>10</v>
      </c>
    </row>
    <row r="3043" spans="1:4">
      <c r="A3043" t="s">
        <v>134</v>
      </c>
      <c r="B3043" t="s">
        <v>257</v>
      </c>
      <c r="C3043">
        <v>2018</v>
      </c>
      <c r="D3043">
        <v>325</v>
      </c>
    </row>
    <row r="3044" spans="1:4">
      <c r="A3044" t="s">
        <v>209</v>
      </c>
      <c r="B3044" t="s">
        <v>257</v>
      </c>
      <c r="C3044">
        <v>2018</v>
      </c>
      <c r="D3044">
        <v>444</v>
      </c>
    </row>
    <row r="3045" spans="1:4">
      <c r="A3045" t="s">
        <v>164</v>
      </c>
      <c r="B3045" t="s">
        <v>257</v>
      </c>
      <c r="C3045">
        <v>2018</v>
      </c>
      <c r="D3045">
        <v>292</v>
      </c>
    </row>
    <row r="3046" spans="1:4">
      <c r="A3046" t="s">
        <v>169</v>
      </c>
      <c r="B3046" t="s">
        <v>257</v>
      </c>
      <c r="C3046">
        <v>2018</v>
      </c>
      <c r="D3046">
        <v>609</v>
      </c>
    </row>
    <row r="3047" spans="1:4">
      <c r="A3047" t="s">
        <v>189</v>
      </c>
      <c r="B3047" t="s">
        <v>257</v>
      </c>
      <c r="C3047">
        <v>2018</v>
      </c>
      <c r="D3047">
        <v>770</v>
      </c>
    </row>
    <row r="3048" spans="1:4">
      <c r="A3048" t="s">
        <v>174</v>
      </c>
      <c r="B3048" t="s">
        <v>257</v>
      </c>
      <c r="C3048">
        <v>2018</v>
      </c>
      <c r="D3048">
        <v>27</v>
      </c>
    </row>
    <row r="3049" spans="1:4">
      <c r="A3049" t="s">
        <v>84</v>
      </c>
      <c r="B3049" t="s">
        <v>257</v>
      </c>
      <c r="C3049">
        <v>2018</v>
      </c>
      <c r="D3049">
        <v>17</v>
      </c>
    </row>
    <row r="3050" spans="1:4">
      <c r="A3050" t="s">
        <v>149</v>
      </c>
      <c r="B3050" t="s">
        <v>257</v>
      </c>
      <c r="C3050">
        <v>2018</v>
      </c>
      <c r="D3050">
        <v>144</v>
      </c>
    </row>
    <row r="3051" spans="1:4">
      <c r="A3051" t="s">
        <v>109</v>
      </c>
      <c r="B3051" t="s">
        <v>257</v>
      </c>
      <c r="C3051">
        <v>2018</v>
      </c>
      <c r="D3051">
        <v>26</v>
      </c>
    </row>
    <row r="3052" spans="1:4">
      <c r="A3052" t="s">
        <v>154</v>
      </c>
      <c r="B3052" t="s">
        <v>257</v>
      </c>
      <c r="C3052">
        <v>2018</v>
      </c>
      <c r="D3052">
        <v>1471</v>
      </c>
    </row>
    <row r="3053" spans="1:4">
      <c r="A3053" t="s">
        <v>159</v>
      </c>
      <c r="B3053" t="s">
        <v>257</v>
      </c>
      <c r="C3053">
        <v>2018</v>
      </c>
      <c r="D3053">
        <v>432</v>
      </c>
    </row>
    <row r="3054" spans="1:4">
      <c r="A3054" t="s">
        <v>104</v>
      </c>
      <c r="B3054" t="s">
        <v>257</v>
      </c>
      <c r="C3054">
        <v>2018</v>
      </c>
      <c r="D3054">
        <v>79</v>
      </c>
    </row>
    <row r="3055" spans="1:4">
      <c r="A3055" t="s">
        <v>119</v>
      </c>
      <c r="B3055" t="s">
        <v>257</v>
      </c>
      <c r="C3055">
        <v>2018</v>
      </c>
      <c r="D3055">
        <v>34</v>
      </c>
    </row>
    <row r="3056" spans="1:4">
      <c r="A3056" t="s">
        <v>139</v>
      </c>
      <c r="B3056" t="s">
        <v>257</v>
      </c>
      <c r="C3056">
        <v>2018</v>
      </c>
      <c r="D3056">
        <v>116</v>
      </c>
    </row>
    <row r="3057" spans="1:4">
      <c r="A3057" t="s">
        <v>99</v>
      </c>
      <c r="B3057" t="s">
        <v>257</v>
      </c>
      <c r="C3057">
        <v>2018</v>
      </c>
      <c r="D3057">
        <v>46</v>
      </c>
    </row>
    <row r="3058" spans="1:4">
      <c r="A3058" t="s">
        <v>94</v>
      </c>
      <c r="B3058" t="s">
        <v>257</v>
      </c>
      <c r="C3058">
        <v>2018</v>
      </c>
      <c r="D3058">
        <v>45</v>
      </c>
    </row>
    <row r="3059" spans="1:4">
      <c r="A3059" t="s">
        <v>219</v>
      </c>
      <c r="B3059" t="s">
        <v>257</v>
      </c>
      <c r="C3059">
        <v>2018</v>
      </c>
      <c r="D3059">
        <v>20</v>
      </c>
    </row>
    <row r="3060" spans="1:4">
      <c r="A3060" t="s">
        <v>214</v>
      </c>
      <c r="B3060" t="s">
        <v>257</v>
      </c>
      <c r="C3060">
        <v>2018</v>
      </c>
      <c r="D3060">
        <v>517</v>
      </c>
    </row>
    <row r="3061" spans="1:4">
      <c r="A3061" t="s">
        <v>70</v>
      </c>
      <c r="B3061" t="s">
        <v>257</v>
      </c>
      <c r="C3061">
        <v>2018</v>
      </c>
      <c r="D3061">
        <v>12321</v>
      </c>
    </row>
    <row r="3062" spans="1:4">
      <c r="A3062" t="s">
        <v>144</v>
      </c>
      <c r="B3062" t="s">
        <v>257</v>
      </c>
      <c r="C3062">
        <v>2018</v>
      </c>
      <c r="D3062">
        <v>5</v>
      </c>
    </row>
    <row r="3063" spans="1:4">
      <c r="A3063" t="s">
        <v>89</v>
      </c>
      <c r="B3063" t="s">
        <v>257</v>
      </c>
      <c r="C3063">
        <v>2018</v>
      </c>
      <c r="D3063">
        <v>43</v>
      </c>
    </row>
    <row r="3064" spans="1:4">
      <c r="A3064" t="s">
        <v>204</v>
      </c>
      <c r="B3064" t="s">
        <v>257</v>
      </c>
      <c r="C3064">
        <v>2018</v>
      </c>
      <c r="D3064">
        <v>102</v>
      </c>
    </row>
    <row r="3065" spans="1:4">
      <c r="A3065" t="s">
        <v>114</v>
      </c>
      <c r="B3065" t="s">
        <v>257</v>
      </c>
      <c r="C3065">
        <v>2018</v>
      </c>
    </row>
    <row r="3066" spans="1:4">
      <c r="A3066" t="s">
        <v>184</v>
      </c>
      <c r="B3066" t="s">
        <v>257</v>
      </c>
      <c r="C3066">
        <v>2018</v>
      </c>
      <c r="D3066">
        <v>3249</v>
      </c>
    </row>
    <row r="3067" spans="1:4">
      <c r="A3067" t="s">
        <v>79</v>
      </c>
      <c r="B3067" t="s">
        <v>257</v>
      </c>
      <c r="C3067">
        <v>2018</v>
      </c>
      <c r="D3067">
        <v>0.2</v>
      </c>
    </row>
    <row r="3068" spans="1:4">
      <c r="A3068" t="s">
        <v>199</v>
      </c>
      <c r="B3068" t="s">
        <v>257</v>
      </c>
      <c r="C3068">
        <v>2018</v>
      </c>
      <c r="D3068">
        <v>57</v>
      </c>
    </row>
    <row r="3069" spans="1:4">
      <c r="A3069" t="s">
        <v>224</v>
      </c>
      <c r="B3069" t="s">
        <v>257</v>
      </c>
      <c r="C3069">
        <v>2018</v>
      </c>
      <c r="D3069">
        <v>254</v>
      </c>
    </row>
    <row r="3070" spans="1:4">
      <c r="A3070" t="s">
        <v>194</v>
      </c>
      <c r="B3070" t="s">
        <v>257</v>
      </c>
      <c r="C3070">
        <v>2018</v>
      </c>
      <c r="D3070">
        <v>2699</v>
      </c>
    </row>
    <row r="3071" spans="1:4">
      <c r="A3071" t="s">
        <v>124</v>
      </c>
      <c r="B3071" t="s">
        <v>257</v>
      </c>
      <c r="C3071">
        <v>2018</v>
      </c>
      <c r="D3071">
        <v>192</v>
      </c>
    </row>
    <row r="3072" spans="1:4">
      <c r="A3072" t="s">
        <v>179</v>
      </c>
      <c r="B3072" t="s">
        <v>257</v>
      </c>
      <c r="C3072">
        <v>2018</v>
      </c>
      <c r="D3072">
        <v>242</v>
      </c>
    </row>
    <row r="3073" spans="1:4">
      <c r="A3073" t="s">
        <v>129</v>
      </c>
      <c r="B3073" t="s">
        <v>257</v>
      </c>
      <c r="C3073">
        <v>2019</v>
      </c>
      <c r="D3073">
        <v>51</v>
      </c>
    </row>
    <row r="3074" spans="1:4">
      <c r="A3074" t="s">
        <v>74</v>
      </c>
      <c r="B3074" t="s">
        <v>257</v>
      </c>
      <c r="C3074">
        <v>2019</v>
      </c>
      <c r="D3074">
        <v>10</v>
      </c>
    </row>
    <row r="3075" spans="1:4">
      <c r="A3075" t="s">
        <v>134</v>
      </c>
      <c r="B3075" t="s">
        <v>257</v>
      </c>
      <c r="C3075">
        <v>2019</v>
      </c>
      <c r="D3075">
        <v>442</v>
      </c>
    </row>
    <row r="3076" spans="1:4">
      <c r="A3076" t="s">
        <v>209</v>
      </c>
      <c r="B3076" t="s">
        <v>257</v>
      </c>
      <c r="C3076">
        <v>2019</v>
      </c>
      <c r="D3076">
        <v>496</v>
      </c>
    </row>
    <row r="3077" spans="1:4">
      <c r="A3077" t="s">
        <v>164</v>
      </c>
      <c r="B3077" t="s">
        <v>257</v>
      </c>
      <c r="C3077">
        <v>2019</v>
      </c>
      <c r="D3077">
        <v>397</v>
      </c>
    </row>
    <row r="3078" spans="1:4">
      <c r="A3078" t="s">
        <v>169</v>
      </c>
      <c r="B3078" t="s">
        <v>257</v>
      </c>
      <c r="C3078">
        <v>2019</v>
      </c>
      <c r="D3078">
        <v>593</v>
      </c>
    </row>
    <row r="3079" spans="1:4">
      <c r="A3079" t="s">
        <v>189</v>
      </c>
      <c r="B3079" t="s">
        <v>257</v>
      </c>
      <c r="C3079">
        <v>2019</v>
      </c>
      <c r="D3079">
        <v>769</v>
      </c>
    </row>
    <row r="3080" spans="1:4">
      <c r="A3080" t="s">
        <v>174</v>
      </c>
      <c r="B3080" t="s">
        <v>257</v>
      </c>
      <c r="C3080">
        <v>2019</v>
      </c>
      <c r="D3080">
        <v>17</v>
      </c>
    </row>
    <row r="3081" spans="1:4">
      <c r="A3081" t="s">
        <v>84</v>
      </c>
      <c r="B3081" t="s">
        <v>257</v>
      </c>
      <c r="C3081">
        <v>2019</v>
      </c>
      <c r="D3081">
        <v>16</v>
      </c>
    </row>
    <row r="3082" spans="1:4">
      <c r="A3082" t="s">
        <v>149</v>
      </c>
      <c r="B3082" t="s">
        <v>257</v>
      </c>
      <c r="C3082">
        <v>2019</v>
      </c>
      <c r="D3082">
        <v>145</v>
      </c>
    </row>
    <row r="3083" spans="1:4">
      <c r="A3083" t="s">
        <v>109</v>
      </c>
      <c r="B3083" t="s">
        <v>257</v>
      </c>
      <c r="C3083">
        <v>2019</v>
      </c>
      <c r="D3083">
        <v>28</v>
      </c>
    </row>
    <row r="3084" spans="1:4">
      <c r="A3084" t="s">
        <v>154</v>
      </c>
      <c r="B3084" t="s">
        <v>257</v>
      </c>
      <c r="C3084">
        <v>2019</v>
      </c>
      <c r="D3084">
        <v>1357</v>
      </c>
    </row>
    <row r="3085" spans="1:4">
      <c r="A3085" t="s">
        <v>159</v>
      </c>
      <c r="B3085" t="s">
        <v>257</v>
      </c>
      <c r="C3085">
        <v>2019</v>
      </c>
      <c r="D3085">
        <v>544</v>
      </c>
    </row>
    <row r="3086" spans="1:4">
      <c r="A3086" t="s">
        <v>104</v>
      </c>
      <c r="B3086" t="s">
        <v>257</v>
      </c>
      <c r="C3086">
        <v>2019</v>
      </c>
      <c r="D3086">
        <v>67</v>
      </c>
    </row>
    <row r="3087" spans="1:4">
      <c r="A3087" t="s">
        <v>119</v>
      </c>
      <c r="B3087" t="s">
        <v>257</v>
      </c>
      <c r="C3087">
        <v>2019</v>
      </c>
      <c r="D3087">
        <v>31</v>
      </c>
    </row>
    <row r="3088" spans="1:4">
      <c r="A3088" t="s">
        <v>139</v>
      </c>
      <c r="B3088" t="s">
        <v>257</v>
      </c>
      <c r="C3088">
        <v>2019</v>
      </c>
      <c r="D3088">
        <v>168</v>
      </c>
    </row>
    <row r="3089" spans="1:4">
      <c r="A3089" t="s">
        <v>99</v>
      </c>
      <c r="B3089" t="s">
        <v>257</v>
      </c>
      <c r="C3089">
        <v>2019</v>
      </c>
      <c r="D3089">
        <v>44</v>
      </c>
    </row>
    <row r="3090" spans="1:4">
      <c r="A3090" t="s">
        <v>94</v>
      </c>
      <c r="B3090" t="s">
        <v>257</v>
      </c>
      <c r="C3090">
        <v>2019</v>
      </c>
      <c r="D3090">
        <v>58</v>
      </c>
    </row>
    <row r="3091" spans="1:4">
      <c r="A3091" t="s">
        <v>219</v>
      </c>
      <c r="B3091" t="s">
        <v>257</v>
      </c>
      <c r="C3091">
        <v>2019</v>
      </c>
      <c r="D3091">
        <v>22</v>
      </c>
    </row>
    <row r="3092" spans="1:4">
      <c r="A3092" t="s">
        <v>214</v>
      </c>
      <c r="B3092" t="s">
        <v>257</v>
      </c>
      <c r="C3092">
        <v>2019</v>
      </c>
      <c r="D3092">
        <v>554</v>
      </c>
    </row>
    <row r="3093" spans="1:4">
      <c r="A3093" t="s">
        <v>70</v>
      </c>
      <c r="B3093" t="s">
        <v>257</v>
      </c>
      <c r="C3093">
        <v>2019</v>
      </c>
      <c r="D3093">
        <v>13021</v>
      </c>
    </row>
    <row r="3094" spans="1:4">
      <c r="A3094" t="s">
        <v>144</v>
      </c>
      <c r="B3094" t="s">
        <v>257</v>
      </c>
      <c r="C3094">
        <v>2019</v>
      </c>
      <c r="D3094">
        <v>5</v>
      </c>
    </row>
    <row r="3095" spans="1:4">
      <c r="A3095" t="s">
        <v>89</v>
      </c>
      <c r="B3095" t="s">
        <v>257</v>
      </c>
      <c r="C3095">
        <v>2019</v>
      </c>
      <c r="D3095">
        <v>49</v>
      </c>
    </row>
    <row r="3096" spans="1:4">
      <c r="A3096" t="s">
        <v>204</v>
      </c>
      <c r="B3096" t="s">
        <v>257</v>
      </c>
      <c r="C3096">
        <v>2019</v>
      </c>
      <c r="D3096">
        <v>129</v>
      </c>
    </row>
    <row r="3097" spans="1:4">
      <c r="A3097" t="s">
        <v>114</v>
      </c>
      <c r="B3097" t="s">
        <v>257</v>
      </c>
      <c r="C3097">
        <v>2019</v>
      </c>
    </row>
    <row r="3098" spans="1:4">
      <c r="A3098" t="s">
        <v>184</v>
      </c>
      <c r="B3098" t="s">
        <v>257</v>
      </c>
      <c r="C3098">
        <v>2019</v>
      </c>
      <c r="D3098">
        <v>3316</v>
      </c>
    </row>
    <row r="3099" spans="1:4">
      <c r="A3099" t="s">
        <v>79</v>
      </c>
      <c r="B3099" t="s">
        <v>257</v>
      </c>
      <c r="C3099">
        <v>2019</v>
      </c>
      <c r="D3099">
        <v>0.12</v>
      </c>
    </row>
    <row r="3100" spans="1:4">
      <c r="A3100" t="s">
        <v>199</v>
      </c>
      <c r="B3100" t="s">
        <v>257</v>
      </c>
      <c r="C3100">
        <v>2019</v>
      </c>
      <c r="D3100">
        <v>68</v>
      </c>
    </row>
    <row r="3101" spans="1:4">
      <c r="A3101" t="s">
        <v>224</v>
      </c>
      <c r="B3101" t="s">
        <v>257</v>
      </c>
      <c r="C3101">
        <v>2019</v>
      </c>
      <c r="D3101">
        <v>290</v>
      </c>
    </row>
    <row r="3102" spans="1:4">
      <c r="A3102" t="s">
        <v>194</v>
      </c>
      <c r="B3102" t="s">
        <v>257</v>
      </c>
      <c r="C3102">
        <v>2019</v>
      </c>
      <c r="D3102">
        <v>2854</v>
      </c>
    </row>
    <row r="3103" spans="1:4">
      <c r="A3103" t="s">
        <v>124</v>
      </c>
      <c r="B3103" t="s">
        <v>257</v>
      </c>
      <c r="C3103">
        <v>2019</v>
      </c>
      <c r="D3103">
        <v>257</v>
      </c>
    </row>
    <row r="3104" spans="1:4">
      <c r="A3104" t="s">
        <v>179</v>
      </c>
      <c r="B3104" t="s">
        <v>257</v>
      </c>
      <c r="C3104">
        <v>2019</v>
      </c>
      <c r="D3104">
        <v>243</v>
      </c>
    </row>
    <row r="3105" spans="1:4">
      <c r="A3105" t="s">
        <v>129</v>
      </c>
      <c r="B3105" t="s">
        <v>257</v>
      </c>
      <c r="C3105">
        <v>2020</v>
      </c>
      <c r="D3105">
        <v>66</v>
      </c>
    </row>
    <row r="3106" spans="1:4">
      <c r="A3106" t="s">
        <v>74</v>
      </c>
      <c r="B3106" t="s">
        <v>257</v>
      </c>
      <c r="C3106">
        <v>2020</v>
      </c>
      <c r="D3106">
        <v>11</v>
      </c>
    </row>
    <row r="3107" spans="1:4">
      <c r="A3107" t="s">
        <v>134</v>
      </c>
      <c r="B3107" t="s">
        <v>257</v>
      </c>
      <c r="C3107">
        <v>2020</v>
      </c>
      <c r="D3107">
        <v>292</v>
      </c>
    </row>
    <row r="3108" spans="1:4">
      <c r="A3108" t="s">
        <v>209</v>
      </c>
      <c r="B3108" t="s">
        <v>257</v>
      </c>
      <c r="C3108">
        <v>2020</v>
      </c>
      <c r="D3108">
        <v>507</v>
      </c>
    </row>
    <row r="3109" spans="1:4">
      <c r="A3109" t="s">
        <v>164</v>
      </c>
      <c r="B3109" t="s">
        <v>257</v>
      </c>
      <c r="C3109">
        <v>2020</v>
      </c>
      <c r="D3109">
        <v>286</v>
      </c>
    </row>
    <row r="3110" spans="1:4">
      <c r="A3110" t="s">
        <v>169</v>
      </c>
      <c r="B3110" t="s">
        <v>257</v>
      </c>
      <c r="C3110">
        <v>2020</v>
      </c>
      <c r="D3110">
        <v>615</v>
      </c>
    </row>
    <row r="3111" spans="1:4">
      <c r="A3111" t="s">
        <v>189</v>
      </c>
      <c r="B3111" t="s">
        <v>257</v>
      </c>
      <c r="C3111">
        <v>2020</v>
      </c>
      <c r="D3111">
        <v>831</v>
      </c>
    </row>
    <row r="3112" spans="1:4">
      <c r="A3112" t="s">
        <v>174</v>
      </c>
      <c r="B3112" t="s">
        <v>257</v>
      </c>
      <c r="C3112">
        <v>2020</v>
      </c>
      <c r="D3112">
        <v>17</v>
      </c>
    </row>
    <row r="3113" spans="1:4">
      <c r="A3113" t="s">
        <v>84</v>
      </c>
      <c r="B3113" t="s">
        <v>257</v>
      </c>
      <c r="C3113">
        <v>2020</v>
      </c>
      <c r="D3113">
        <v>15</v>
      </c>
    </row>
    <row r="3114" spans="1:4">
      <c r="A3114" t="s">
        <v>149</v>
      </c>
      <c r="B3114" t="s">
        <v>257</v>
      </c>
      <c r="C3114">
        <v>2020</v>
      </c>
      <c r="D3114">
        <v>140</v>
      </c>
    </row>
    <row r="3115" spans="1:4">
      <c r="A3115" t="s">
        <v>109</v>
      </c>
      <c r="B3115" t="s">
        <v>257</v>
      </c>
      <c r="C3115">
        <v>2020</v>
      </c>
      <c r="D3115">
        <v>32</v>
      </c>
    </row>
    <row r="3116" spans="1:4">
      <c r="A3116" t="s">
        <v>154</v>
      </c>
      <c r="B3116" t="s">
        <v>257</v>
      </c>
      <c r="C3116">
        <v>2020</v>
      </c>
      <c r="D3116">
        <v>1647</v>
      </c>
    </row>
    <row r="3117" spans="1:4">
      <c r="A3117" t="s">
        <v>159</v>
      </c>
      <c r="B3117" t="s">
        <v>257</v>
      </c>
      <c r="C3117">
        <v>2020</v>
      </c>
      <c r="D3117">
        <v>574</v>
      </c>
    </row>
    <row r="3118" spans="1:4">
      <c r="A3118" t="s">
        <v>104</v>
      </c>
      <c r="B3118" t="s">
        <v>257</v>
      </c>
      <c r="C3118">
        <v>2020</v>
      </c>
      <c r="D3118">
        <v>94</v>
      </c>
    </row>
    <row r="3119" spans="1:4">
      <c r="A3119" t="s">
        <v>119</v>
      </c>
      <c r="B3119" t="s">
        <v>257</v>
      </c>
      <c r="C3119">
        <v>2020</v>
      </c>
      <c r="D3119">
        <v>32</v>
      </c>
    </row>
    <row r="3120" spans="1:4">
      <c r="A3120" t="s">
        <v>139</v>
      </c>
      <c r="B3120" t="s">
        <v>257</v>
      </c>
      <c r="C3120">
        <v>2020</v>
      </c>
      <c r="D3120">
        <v>145</v>
      </c>
    </row>
    <row r="3121" spans="1:4">
      <c r="A3121" t="s">
        <v>99</v>
      </c>
      <c r="B3121" t="s">
        <v>257</v>
      </c>
      <c r="C3121">
        <v>2020</v>
      </c>
      <c r="D3121">
        <v>57</v>
      </c>
    </row>
    <row r="3122" spans="1:4">
      <c r="A3122" t="s">
        <v>94</v>
      </c>
      <c r="B3122" t="s">
        <v>257</v>
      </c>
      <c r="C3122">
        <v>2020</v>
      </c>
      <c r="D3122">
        <v>57</v>
      </c>
    </row>
    <row r="3123" spans="1:4">
      <c r="A3123" t="s">
        <v>219</v>
      </c>
      <c r="B3123" t="s">
        <v>257</v>
      </c>
      <c r="C3123">
        <v>2020</v>
      </c>
      <c r="D3123">
        <v>22</v>
      </c>
    </row>
    <row r="3124" spans="1:4">
      <c r="A3124" t="s">
        <v>214</v>
      </c>
      <c r="B3124" t="s">
        <v>257</v>
      </c>
      <c r="C3124">
        <v>2020</v>
      </c>
      <c r="D3124">
        <v>599</v>
      </c>
    </row>
    <row r="3125" spans="1:4">
      <c r="A3125" t="s">
        <v>70</v>
      </c>
      <c r="B3125" t="s">
        <v>257</v>
      </c>
      <c r="C3125">
        <v>2020</v>
      </c>
      <c r="D3125">
        <v>13553</v>
      </c>
    </row>
    <row r="3126" spans="1:4">
      <c r="A3126" t="s">
        <v>144</v>
      </c>
      <c r="B3126" t="s">
        <v>257</v>
      </c>
      <c r="C3126">
        <v>2020</v>
      </c>
      <c r="D3126">
        <v>9</v>
      </c>
    </row>
    <row r="3127" spans="1:4">
      <c r="A3127" t="s">
        <v>89</v>
      </c>
      <c r="B3127" t="s">
        <v>257</v>
      </c>
      <c r="C3127">
        <v>2020</v>
      </c>
      <c r="D3127">
        <v>47</v>
      </c>
    </row>
    <row r="3128" spans="1:4">
      <c r="A3128" t="s">
        <v>204</v>
      </c>
      <c r="B3128" t="s">
        <v>257</v>
      </c>
      <c r="C3128">
        <v>2020</v>
      </c>
      <c r="D3128">
        <v>128</v>
      </c>
    </row>
    <row r="3129" spans="1:4">
      <c r="A3129" t="s">
        <v>114</v>
      </c>
      <c r="B3129" t="s">
        <v>257</v>
      </c>
      <c r="C3129">
        <v>2020</v>
      </c>
    </row>
    <row r="3130" spans="1:4">
      <c r="A3130" t="s">
        <v>184</v>
      </c>
      <c r="B3130" t="s">
        <v>257</v>
      </c>
      <c r="C3130">
        <v>2020</v>
      </c>
      <c r="D3130">
        <v>3541</v>
      </c>
    </row>
    <row r="3131" spans="1:4">
      <c r="A3131" t="s">
        <v>79</v>
      </c>
      <c r="B3131" t="s">
        <v>257</v>
      </c>
      <c r="C3131">
        <v>2020</v>
      </c>
      <c r="D3131">
        <v>0.1</v>
      </c>
    </row>
    <row r="3132" spans="1:4">
      <c r="A3132" t="s">
        <v>199</v>
      </c>
      <c r="B3132" t="s">
        <v>257</v>
      </c>
      <c r="C3132">
        <v>2020</v>
      </c>
      <c r="D3132">
        <v>70</v>
      </c>
    </row>
    <row r="3133" spans="1:4">
      <c r="A3133" t="s">
        <v>224</v>
      </c>
      <c r="B3133" t="s">
        <v>257</v>
      </c>
      <c r="C3133">
        <v>2020</v>
      </c>
      <c r="D3133">
        <v>268</v>
      </c>
    </row>
    <row r="3134" spans="1:4">
      <c r="A3134" t="s">
        <v>194</v>
      </c>
      <c r="B3134" t="s">
        <v>257</v>
      </c>
      <c r="C3134">
        <v>2020</v>
      </c>
      <c r="D3134">
        <v>2960</v>
      </c>
    </row>
    <row r="3135" spans="1:4">
      <c r="A3135" t="s">
        <v>124</v>
      </c>
      <c r="B3135" t="s">
        <v>257</v>
      </c>
      <c r="C3135">
        <v>2020</v>
      </c>
      <c r="D3135">
        <v>209</v>
      </c>
    </row>
    <row r="3136" spans="1:4">
      <c r="A3136" t="s">
        <v>179</v>
      </c>
      <c r="B3136" t="s">
        <v>257</v>
      </c>
      <c r="C3136">
        <v>2020</v>
      </c>
      <c r="D3136">
        <v>281</v>
      </c>
    </row>
    <row r="3137" spans="1:4">
      <c r="A3137" t="s">
        <v>129</v>
      </c>
      <c r="B3137" t="s">
        <v>257</v>
      </c>
      <c r="C3137">
        <v>2021</v>
      </c>
      <c r="D3137">
        <v>81</v>
      </c>
    </row>
    <row r="3138" spans="1:4">
      <c r="A3138" t="s">
        <v>74</v>
      </c>
      <c r="B3138" t="s">
        <v>257</v>
      </c>
      <c r="C3138">
        <v>2021</v>
      </c>
      <c r="D3138">
        <v>14</v>
      </c>
    </row>
    <row r="3139" spans="1:4">
      <c r="A3139" t="s">
        <v>134</v>
      </c>
      <c r="B3139" t="s">
        <v>257</v>
      </c>
      <c r="C3139">
        <v>2021</v>
      </c>
      <c r="D3139">
        <v>274</v>
      </c>
    </row>
    <row r="3140" spans="1:4">
      <c r="A3140" t="s">
        <v>209</v>
      </c>
      <c r="B3140" t="s">
        <v>257</v>
      </c>
      <c r="C3140">
        <v>2021</v>
      </c>
      <c r="D3140">
        <v>452</v>
      </c>
    </row>
    <row r="3141" spans="1:4">
      <c r="A3141" t="s">
        <v>164</v>
      </c>
      <c r="B3141" t="s">
        <v>257</v>
      </c>
      <c r="C3141">
        <v>2021</v>
      </c>
      <c r="D3141">
        <v>223</v>
      </c>
    </row>
    <row r="3142" spans="1:4">
      <c r="A3142" t="s">
        <v>169</v>
      </c>
      <c r="B3142" t="s">
        <v>257</v>
      </c>
      <c r="C3142">
        <v>2021</v>
      </c>
      <c r="D3142">
        <v>517</v>
      </c>
    </row>
    <row r="3143" spans="1:4">
      <c r="A3143" t="s">
        <v>189</v>
      </c>
      <c r="B3143" t="s">
        <v>257</v>
      </c>
      <c r="C3143">
        <v>2021</v>
      </c>
      <c r="D3143">
        <v>734</v>
      </c>
    </row>
    <row r="3144" spans="1:4">
      <c r="A3144" t="s">
        <v>174</v>
      </c>
      <c r="B3144" t="s">
        <v>257</v>
      </c>
      <c r="C3144">
        <v>2021</v>
      </c>
      <c r="D3144">
        <v>18</v>
      </c>
    </row>
    <row r="3145" spans="1:4">
      <c r="A3145" t="s">
        <v>84</v>
      </c>
      <c r="B3145" t="s">
        <v>257</v>
      </c>
      <c r="C3145">
        <v>2021</v>
      </c>
      <c r="D3145">
        <v>24</v>
      </c>
    </row>
    <row r="3146" spans="1:4">
      <c r="A3146" t="s">
        <v>149</v>
      </c>
      <c r="B3146" t="s">
        <v>257</v>
      </c>
      <c r="C3146">
        <v>2021</v>
      </c>
      <c r="D3146">
        <v>116</v>
      </c>
    </row>
    <row r="3147" spans="1:4">
      <c r="A3147" t="s">
        <v>109</v>
      </c>
      <c r="B3147" t="s">
        <v>257</v>
      </c>
      <c r="C3147">
        <v>2021</v>
      </c>
      <c r="D3147">
        <v>27</v>
      </c>
    </row>
    <row r="3148" spans="1:4">
      <c r="A3148" t="s">
        <v>154</v>
      </c>
      <c r="B3148" t="s">
        <v>257</v>
      </c>
      <c r="C3148">
        <v>2021</v>
      </c>
      <c r="D3148">
        <v>1599</v>
      </c>
    </row>
    <row r="3149" spans="1:4">
      <c r="A3149" t="s">
        <v>159</v>
      </c>
      <c r="B3149" t="s">
        <v>257</v>
      </c>
      <c r="C3149">
        <v>2021</v>
      </c>
      <c r="D3149">
        <v>538</v>
      </c>
    </row>
    <row r="3150" spans="1:4">
      <c r="A3150" t="s">
        <v>104</v>
      </c>
      <c r="B3150" t="s">
        <v>257</v>
      </c>
      <c r="C3150">
        <v>2021</v>
      </c>
      <c r="D3150">
        <v>105</v>
      </c>
    </row>
    <row r="3151" spans="1:4">
      <c r="A3151" t="s">
        <v>119</v>
      </c>
      <c r="B3151" t="s">
        <v>257</v>
      </c>
      <c r="C3151">
        <v>2021</v>
      </c>
      <c r="D3151">
        <v>31</v>
      </c>
    </row>
    <row r="3152" spans="1:4">
      <c r="A3152" t="s">
        <v>139</v>
      </c>
      <c r="B3152" t="s">
        <v>257</v>
      </c>
      <c r="C3152">
        <v>2021</v>
      </c>
      <c r="D3152">
        <v>136</v>
      </c>
    </row>
    <row r="3153" spans="1:4">
      <c r="A3153" t="s">
        <v>99</v>
      </c>
      <c r="B3153" t="s">
        <v>257</v>
      </c>
      <c r="C3153">
        <v>2021</v>
      </c>
      <c r="D3153">
        <v>78</v>
      </c>
    </row>
    <row r="3154" spans="1:4">
      <c r="A3154" t="s">
        <v>94</v>
      </c>
      <c r="B3154" t="s">
        <v>257</v>
      </c>
      <c r="C3154">
        <v>2021</v>
      </c>
      <c r="D3154">
        <v>62</v>
      </c>
    </row>
    <row r="3155" spans="1:4">
      <c r="A3155" t="s">
        <v>219</v>
      </c>
      <c r="B3155" t="s">
        <v>257</v>
      </c>
      <c r="C3155">
        <v>2021</v>
      </c>
      <c r="D3155">
        <v>21</v>
      </c>
    </row>
    <row r="3156" spans="1:4">
      <c r="A3156" t="s">
        <v>214</v>
      </c>
      <c r="B3156" t="s">
        <v>257</v>
      </c>
      <c r="C3156">
        <v>2021</v>
      </c>
      <c r="D3156">
        <v>505</v>
      </c>
    </row>
    <row r="3157" spans="1:4">
      <c r="A3157" t="s">
        <v>70</v>
      </c>
      <c r="B3157" t="s">
        <v>257</v>
      </c>
      <c r="C3157">
        <v>2021</v>
      </c>
      <c r="D3157">
        <v>13399</v>
      </c>
    </row>
    <row r="3158" spans="1:4">
      <c r="A3158" t="s">
        <v>144</v>
      </c>
      <c r="B3158" t="s">
        <v>257</v>
      </c>
      <c r="C3158">
        <v>2021</v>
      </c>
      <c r="D3158">
        <v>12</v>
      </c>
    </row>
    <row r="3159" spans="1:4">
      <c r="A3159" t="s">
        <v>89</v>
      </c>
      <c r="B3159" t="s">
        <v>257</v>
      </c>
      <c r="C3159">
        <v>2021</v>
      </c>
      <c r="D3159">
        <v>39</v>
      </c>
    </row>
    <row r="3160" spans="1:4">
      <c r="A3160" t="s">
        <v>204</v>
      </c>
      <c r="B3160" t="s">
        <v>257</v>
      </c>
      <c r="C3160">
        <v>2021</v>
      </c>
      <c r="D3160">
        <v>141</v>
      </c>
    </row>
    <row r="3161" spans="1:4">
      <c r="A3161" t="s">
        <v>184</v>
      </c>
      <c r="B3161" t="s">
        <v>257</v>
      </c>
      <c r="C3161">
        <v>2021</v>
      </c>
      <c r="D3161">
        <v>3724</v>
      </c>
    </row>
    <row r="3162" spans="1:4">
      <c r="A3162" t="s">
        <v>79</v>
      </c>
      <c r="B3162" t="s">
        <v>257</v>
      </c>
      <c r="C3162">
        <v>2021</v>
      </c>
      <c r="D3162">
        <v>0.2</v>
      </c>
    </row>
    <row r="3163" spans="1:4">
      <c r="A3163" t="s">
        <v>199</v>
      </c>
      <c r="B3163" t="s">
        <v>257</v>
      </c>
      <c r="C3163">
        <v>2021</v>
      </c>
      <c r="D3163">
        <v>93</v>
      </c>
    </row>
    <row r="3164" spans="1:4">
      <c r="A3164" t="s">
        <v>224</v>
      </c>
      <c r="B3164" t="s">
        <v>257</v>
      </c>
      <c r="C3164">
        <v>2021</v>
      </c>
      <c r="D3164">
        <v>286</v>
      </c>
    </row>
    <row r="3165" spans="1:4">
      <c r="A3165" t="s">
        <v>194</v>
      </c>
      <c r="B3165" t="s">
        <v>257</v>
      </c>
      <c r="C3165">
        <v>2021</v>
      </c>
      <c r="D3165">
        <v>3027</v>
      </c>
    </row>
    <row r="3166" spans="1:4">
      <c r="A3166" t="s">
        <v>124</v>
      </c>
      <c r="B3166" t="s">
        <v>257</v>
      </c>
      <c r="C3166">
        <v>2021</v>
      </c>
      <c r="D3166">
        <v>238</v>
      </c>
    </row>
    <row r="3167" spans="1:4">
      <c r="A3167" t="s">
        <v>179</v>
      </c>
      <c r="B3167" t="s">
        <v>257</v>
      </c>
      <c r="C3167">
        <v>2021</v>
      </c>
      <c r="D3167">
        <v>283</v>
      </c>
    </row>
    <row r="3168" spans="1:4">
      <c r="A3168" t="s">
        <v>70</v>
      </c>
      <c r="B3168" t="s">
        <v>257</v>
      </c>
      <c r="C3168">
        <v>2022</v>
      </c>
      <c r="D3168" s="97">
        <v>13517</v>
      </c>
    </row>
    <row r="3169" spans="1:4">
      <c r="A3169" t="s">
        <v>74</v>
      </c>
      <c r="B3169" t="s">
        <v>257</v>
      </c>
      <c r="C3169">
        <v>2022</v>
      </c>
      <c r="D3169" s="97">
        <v>9</v>
      </c>
    </row>
    <row r="3170" spans="1:4">
      <c r="A3170" t="s">
        <v>79</v>
      </c>
      <c r="B3170" t="s">
        <v>257</v>
      </c>
      <c r="C3170">
        <v>2022</v>
      </c>
      <c r="D3170">
        <v>0.1</v>
      </c>
    </row>
    <row r="3171" spans="1:4">
      <c r="A3171" t="s">
        <v>84</v>
      </c>
      <c r="B3171" t="s">
        <v>257</v>
      </c>
      <c r="C3171">
        <v>2022</v>
      </c>
      <c r="D3171" s="97">
        <v>37</v>
      </c>
    </row>
    <row r="3172" spans="1:4">
      <c r="A3172" t="s">
        <v>89</v>
      </c>
      <c r="B3172" t="s">
        <v>257</v>
      </c>
      <c r="C3172">
        <v>2022</v>
      </c>
      <c r="D3172" s="97">
        <v>36</v>
      </c>
    </row>
    <row r="3173" spans="1:4">
      <c r="A3173" t="s">
        <v>94</v>
      </c>
      <c r="B3173" t="s">
        <v>257</v>
      </c>
      <c r="C3173">
        <v>2022</v>
      </c>
      <c r="D3173" s="97">
        <v>43</v>
      </c>
    </row>
    <row r="3174" spans="1:4">
      <c r="A3174" t="s">
        <v>99</v>
      </c>
      <c r="B3174" t="s">
        <v>257</v>
      </c>
      <c r="C3174">
        <v>2022</v>
      </c>
      <c r="D3174" s="97">
        <v>80</v>
      </c>
    </row>
    <row r="3175" spans="1:4">
      <c r="A3175" t="s">
        <v>104</v>
      </c>
      <c r="B3175" t="s">
        <v>257</v>
      </c>
      <c r="C3175">
        <v>2022</v>
      </c>
      <c r="D3175" s="97">
        <v>118</v>
      </c>
    </row>
    <row r="3176" spans="1:4">
      <c r="A3176" t="s">
        <v>109</v>
      </c>
      <c r="B3176" t="s">
        <v>257</v>
      </c>
      <c r="C3176">
        <v>2022</v>
      </c>
      <c r="D3176" s="97">
        <v>40</v>
      </c>
    </row>
    <row r="3177" spans="1:4">
      <c r="A3177" t="s">
        <v>114</v>
      </c>
      <c r="B3177" t="s">
        <v>257</v>
      </c>
      <c r="C3177">
        <v>2022</v>
      </c>
    </row>
    <row r="3178" spans="1:4">
      <c r="A3178" t="s">
        <v>119</v>
      </c>
      <c r="B3178" t="s">
        <v>257</v>
      </c>
      <c r="C3178">
        <v>2022</v>
      </c>
      <c r="D3178" s="97">
        <v>31</v>
      </c>
    </row>
    <row r="3179" spans="1:4">
      <c r="A3179" t="s">
        <v>124</v>
      </c>
      <c r="B3179" t="s">
        <v>257</v>
      </c>
      <c r="C3179">
        <v>2022</v>
      </c>
      <c r="D3179" s="97">
        <v>246</v>
      </c>
    </row>
    <row r="3180" spans="1:4">
      <c r="A3180" t="s">
        <v>129</v>
      </c>
      <c r="B3180" t="s">
        <v>257</v>
      </c>
      <c r="C3180">
        <v>2022</v>
      </c>
      <c r="D3180" s="97">
        <v>72</v>
      </c>
    </row>
    <row r="3181" spans="1:4">
      <c r="A3181" t="s">
        <v>134</v>
      </c>
      <c r="B3181" t="s">
        <v>257</v>
      </c>
      <c r="C3181">
        <v>2022</v>
      </c>
      <c r="D3181" s="97">
        <v>387</v>
      </c>
    </row>
    <row r="3182" spans="1:4">
      <c r="A3182" t="s">
        <v>139</v>
      </c>
      <c r="B3182" t="s">
        <v>257</v>
      </c>
      <c r="C3182">
        <v>2022</v>
      </c>
      <c r="D3182" s="97">
        <v>162</v>
      </c>
    </row>
    <row r="3183" spans="1:4">
      <c r="A3183" t="s">
        <v>144</v>
      </c>
      <c r="B3183" t="s">
        <v>257</v>
      </c>
      <c r="C3183">
        <v>2022</v>
      </c>
      <c r="D3183" s="97">
        <v>28</v>
      </c>
    </row>
    <row r="3184" spans="1:4">
      <c r="A3184" t="s">
        <v>149</v>
      </c>
      <c r="B3184" t="s">
        <v>257</v>
      </c>
      <c r="C3184">
        <v>2022</v>
      </c>
      <c r="D3184" s="97">
        <v>122</v>
      </c>
    </row>
    <row r="3185" spans="1:4">
      <c r="A3185" t="s">
        <v>154</v>
      </c>
      <c r="B3185" t="s">
        <v>257</v>
      </c>
      <c r="C3185">
        <v>2022</v>
      </c>
      <c r="D3185" s="97">
        <v>1220</v>
      </c>
    </row>
    <row r="3186" spans="1:4">
      <c r="A3186" t="s">
        <v>159</v>
      </c>
      <c r="B3186" t="s">
        <v>257</v>
      </c>
      <c r="C3186">
        <v>2022</v>
      </c>
      <c r="D3186" s="97">
        <v>506</v>
      </c>
    </row>
    <row r="3187" spans="1:4">
      <c r="A3187" t="s">
        <v>164</v>
      </c>
      <c r="B3187" t="s">
        <v>257</v>
      </c>
      <c r="C3187">
        <v>2022</v>
      </c>
      <c r="D3187" s="97">
        <v>343</v>
      </c>
    </row>
    <row r="3188" spans="1:4">
      <c r="A3188" t="s">
        <v>169</v>
      </c>
      <c r="B3188" t="s">
        <v>257</v>
      </c>
      <c r="C3188">
        <v>2022</v>
      </c>
      <c r="D3188" s="97">
        <v>612</v>
      </c>
    </row>
    <row r="3189" spans="1:4">
      <c r="A3189" t="s">
        <v>174</v>
      </c>
      <c r="B3189" t="s">
        <v>257</v>
      </c>
      <c r="C3189">
        <v>2022</v>
      </c>
      <c r="D3189" s="97">
        <v>28</v>
      </c>
    </row>
    <row r="3190" spans="1:4">
      <c r="A3190" t="s">
        <v>179</v>
      </c>
      <c r="B3190" t="s">
        <v>257</v>
      </c>
      <c r="C3190">
        <v>2022</v>
      </c>
      <c r="D3190" s="97">
        <v>202</v>
      </c>
    </row>
    <row r="3191" spans="1:4">
      <c r="A3191" t="s">
        <v>184</v>
      </c>
      <c r="B3191" t="s">
        <v>257</v>
      </c>
      <c r="C3191">
        <v>2022</v>
      </c>
      <c r="D3191" s="97">
        <v>3886</v>
      </c>
    </row>
    <row r="3192" spans="1:4">
      <c r="A3192" t="s">
        <v>189</v>
      </c>
      <c r="B3192" t="s">
        <v>257</v>
      </c>
      <c r="C3192">
        <v>2022</v>
      </c>
      <c r="D3192" s="97">
        <v>678</v>
      </c>
    </row>
    <row r="3193" spans="1:4">
      <c r="A3193" t="s">
        <v>194</v>
      </c>
      <c r="B3193" t="s">
        <v>257</v>
      </c>
      <c r="C3193">
        <v>2022</v>
      </c>
      <c r="D3193" s="97">
        <v>3283</v>
      </c>
    </row>
    <row r="3194" spans="1:4">
      <c r="A3194" t="s">
        <v>199</v>
      </c>
      <c r="B3194" t="s">
        <v>257</v>
      </c>
      <c r="C3194">
        <v>2022</v>
      </c>
      <c r="D3194" s="97">
        <v>106</v>
      </c>
    </row>
    <row r="3195" spans="1:4">
      <c r="A3195" t="s">
        <v>204</v>
      </c>
      <c r="B3195" t="s">
        <v>257</v>
      </c>
      <c r="C3195">
        <v>2022</v>
      </c>
      <c r="D3195" s="97">
        <v>87</v>
      </c>
    </row>
    <row r="3196" spans="1:4">
      <c r="A3196" t="s">
        <v>209</v>
      </c>
      <c r="B3196" t="s">
        <v>257</v>
      </c>
      <c r="C3196">
        <v>2022</v>
      </c>
      <c r="D3196" s="97">
        <v>375</v>
      </c>
    </row>
    <row r="3197" spans="1:4">
      <c r="A3197" t="s">
        <v>214</v>
      </c>
      <c r="B3197" t="s">
        <v>257</v>
      </c>
      <c r="C3197">
        <v>2022</v>
      </c>
      <c r="D3197" s="97">
        <v>427</v>
      </c>
    </row>
    <row r="3198" spans="1:4">
      <c r="A3198" t="s">
        <v>219</v>
      </c>
      <c r="B3198" t="s">
        <v>257</v>
      </c>
      <c r="C3198">
        <v>2022</v>
      </c>
      <c r="D3198" s="97">
        <v>18</v>
      </c>
    </row>
    <row r="3199" spans="1:4">
      <c r="A3199" t="s">
        <v>224</v>
      </c>
      <c r="B3199" t="s">
        <v>257</v>
      </c>
      <c r="C3199">
        <v>2022</v>
      </c>
      <c r="D3199" s="97">
        <v>334</v>
      </c>
    </row>
    <row r="3200" spans="1:4">
      <c r="A3200" t="s">
        <v>129</v>
      </c>
      <c r="B3200" t="s">
        <v>258</v>
      </c>
      <c r="C3200">
        <v>2015</v>
      </c>
      <c r="D3200">
        <v>3.7</v>
      </c>
    </row>
    <row r="3201" spans="1:4">
      <c r="A3201" t="s">
        <v>74</v>
      </c>
      <c r="B3201" t="s">
        <v>258</v>
      </c>
      <c r="C3201">
        <v>2015</v>
      </c>
      <c r="D3201">
        <v>0.4</v>
      </c>
    </row>
    <row r="3202" spans="1:4">
      <c r="A3202" t="s">
        <v>134</v>
      </c>
      <c r="B3202" t="s">
        <v>258</v>
      </c>
      <c r="C3202">
        <v>2015</v>
      </c>
      <c r="D3202">
        <v>1</v>
      </c>
    </row>
    <row r="3203" spans="1:4">
      <c r="A3203" t="s">
        <v>209</v>
      </c>
      <c r="B3203" t="s">
        <v>258</v>
      </c>
      <c r="C3203">
        <v>2015</v>
      </c>
      <c r="D3203">
        <v>59.1</v>
      </c>
    </row>
    <row r="3204" spans="1:4">
      <c r="A3204" t="s">
        <v>164</v>
      </c>
      <c r="B3204" t="s">
        <v>258</v>
      </c>
      <c r="C3204">
        <v>2015</v>
      </c>
      <c r="D3204">
        <v>3.5</v>
      </c>
    </row>
    <row r="3205" spans="1:4">
      <c r="A3205" t="s">
        <v>169</v>
      </c>
      <c r="B3205" t="s">
        <v>258</v>
      </c>
      <c r="C3205">
        <v>2015</v>
      </c>
      <c r="D3205">
        <v>0.5</v>
      </c>
    </row>
    <row r="3206" spans="1:4">
      <c r="A3206" t="s">
        <v>189</v>
      </c>
      <c r="B3206" t="s">
        <v>258</v>
      </c>
      <c r="C3206">
        <v>2015</v>
      </c>
      <c r="D3206">
        <v>0.2</v>
      </c>
    </row>
    <row r="3207" spans="1:4">
      <c r="A3207" t="s">
        <v>174</v>
      </c>
      <c r="B3207" t="s">
        <v>258</v>
      </c>
      <c r="C3207">
        <v>2015</v>
      </c>
      <c r="D3207">
        <v>1.9</v>
      </c>
    </row>
    <row r="3208" spans="1:4">
      <c r="A3208" t="s">
        <v>84</v>
      </c>
      <c r="B3208" t="s">
        <v>258</v>
      </c>
      <c r="C3208">
        <v>2015</v>
      </c>
      <c r="D3208">
        <v>16.3</v>
      </c>
    </row>
    <row r="3209" spans="1:4">
      <c r="A3209" t="s">
        <v>149</v>
      </c>
      <c r="B3209" t="s">
        <v>258</v>
      </c>
      <c r="C3209">
        <v>2015</v>
      </c>
      <c r="D3209">
        <v>3.1</v>
      </c>
    </row>
    <row r="3210" spans="1:4">
      <c r="A3210" t="s">
        <v>109</v>
      </c>
      <c r="B3210" t="s">
        <v>258</v>
      </c>
      <c r="C3210">
        <v>2015</v>
      </c>
      <c r="D3210">
        <v>0.2</v>
      </c>
    </row>
    <row r="3211" spans="1:4">
      <c r="A3211" t="s">
        <v>154</v>
      </c>
      <c r="B3211" t="s">
        <v>258</v>
      </c>
      <c r="C3211">
        <v>2015</v>
      </c>
      <c r="D3211">
        <v>2.3</v>
      </c>
    </row>
    <row r="3212" spans="1:4">
      <c r="A3212" t="s">
        <v>159</v>
      </c>
      <c r="B3212" t="s">
        <v>258</v>
      </c>
      <c r="C3212">
        <v>2015</v>
      </c>
      <c r="D3212">
        <v>0.8</v>
      </c>
    </row>
    <row r="3213" spans="1:4">
      <c r="A3213" t="s">
        <v>104</v>
      </c>
      <c r="B3213" t="s">
        <v>258</v>
      </c>
      <c r="C3213">
        <v>2015</v>
      </c>
      <c r="D3213">
        <v>1</v>
      </c>
    </row>
    <row r="3214" spans="1:4">
      <c r="A3214" t="s">
        <v>119</v>
      </c>
      <c r="B3214" t="s">
        <v>258</v>
      </c>
      <c r="C3214">
        <v>2015</v>
      </c>
      <c r="D3214">
        <v>31.2</v>
      </c>
    </row>
    <row r="3215" spans="1:4">
      <c r="A3215" t="s">
        <v>139</v>
      </c>
      <c r="B3215" t="s">
        <v>258</v>
      </c>
      <c r="C3215">
        <v>2015</v>
      </c>
      <c r="D3215">
        <v>2.4</v>
      </c>
    </row>
    <row r="3216" spans="1:4">
      <c r="A3216" t="s">
        <v>99</v>
      </c>
      <c r="B3216" t="s">
        <v>258</v>
      </c>
      <c r="C3216">
        <v>2015</v>
      </c>
      <c r="D3216">
        <v>1.4</v>
      </c>
    </row>
    <row r="3217" spans="1:4">
      <c r="A3217" t="s">
        <v>94</v>
      </c>
      <c r="B3217" t="s">
        <v>258</v>
      </c>
      <c r="C3217">
        <v>2015</v>
      </c>
      <c r="D3217">
        <v>57</v>
      </c>
    </row>
    <row r="3218" spans="1:4">
      <c r="A3218" t="s">
        <v>219</v>
      </c>
      <c r="B3218" t="s">
        <v>258</v>
      </c>
      <c r="C3218">
        <v>2015</v>
      </c>
      <c r="D3218">
        <v>35.9</v>
      </c>
    </row>
    <row r="3219" spans="1:4">
      <c r="A3219" t="s">
        <v>214</v>
      </c>
      <c r="B3219" t="s">
        <v>258</v>
      </c>
      <c r="C3219">
        <v>2015</v>
      </c>
      <c r="D3219">
        <v>75.5</v>
      </c>
    </row>
    <row r="3220" spans="1:4">
      <c r="A3220" t="s">
        <v>70</v>
      </c>
      <c r="B3220" t="s">
        <v>258</v>
      </c>
      <c r="C3220">
        <v>2015</v>
      </c>
      <c r="D3220">
        <v>395</v>
      </c>
    </row>
    <row r="3221" spans="1:4">
      <c r="A3221" t="s">
        <v>144</v>
      </c>
      <c r="B3221" t="s">
        <v>258</v>
      </c>
      <c r="C3221">
        <v>2015</v>
      </c>
      <c r="D3221">
        <v>6.8</v>
      </c>
    </row>
    <row r="3222" spans="1:4">
      <c r="A3222" t="s">
        <v>89</v>
      </c>
      <c r="B3222" t="s">
        <v>258</v>
      </c>
      <c r="C3222">
        <v>2015</v>
      </c>
      <c r="D3222">
        <v>7.7</v>
      </c>
    </row>
    <row r="3223" spans="1:4">
      <c r="A3223" t="s">
        <v>204</v>
      </c>
      <c r="B3223" t="s">
        <v>258</v>
      </c>
      <c r="C3223">
        <v>2015</v>
      </c>
      <c r="D3223">
        <v>5.6</v>
      </c>
    </row>
    <row r="3224" spans="1:4">
      <c r="A3224" t="s">
        <v>114</v>
      </c>
      <c r="B3224" t="s">
        <v>258</v>
      </c>
      <c r="C3224">
        <v>2015</v>
      </c>
      <c r="D3224">
        <v>0.9</v>
      </c>
    </row>
    <row r="3225" spans="1:4">
      <c r="A3225" t="s">
        <v>184</v>
      </c>
      <c r="B3225" t="s">
        <v>258</v>
      </c>
      <c r="C3225">
        <v>2015</v>
      </c>
      <c r="D3225">
        <v>2.2</v>
      </c>
    </row>
    <row r="3226" spans="1:4">
      <c r="A3226" t="s">
        <v>79</v>
      </c>
      <c r="B3226" t="s">
        <v>258</v>
      </c>
      <c r="C3226">
        <v>2015</v>
      </c>
      <c r="D3226">
        <v>0.6</v>
      </c>
    </row>
    <row r="3227" spans="1:4">
      <c r="A3227" t="s">
        <v>199</v>
      </c>
      <c r="B3227" t="s">
        <v>258</v>
      </c>
      <c r="C3227">
        <v>2015</v>
      </c>
      <c r="D3227">
        <v>2.4</v>
      </c>
    </row>
    <row r="3228" spans="1:4">
      <c r="A3228" t="s">
        <v>224</v>
      </c>
      <c r="B3228" t="s">
        <v>258</v>
      </c>
      <c r="C3228">
        <v>2015</v>
      </c>
      <c r="D3228">
        <v>57.4</v>
      </c>
    </row>
    <row r="3229" spans="1:4">
      <c r="A3229" t="s">
        <v>194</v>
      </c>
      <c r="B3229" t="s">
        <v>258</v>
      </c>
      <c r="C3229">
        <v>2015</v>
      </c>
      <c r="D3229">
        <v>6.4</v>
      </c>
    </row>
    <row r="3230" spans="1:4">
      <c r="A3230" t="s">
        <v>124</v>
      </c>
      <c r="B3230" t="s">
        <v>258</v>
      </c>
      <c r="C3230">
        <v>2015</v>
      </c>
      <c r="D3230">
        <v>7.7</v>
      </c>
    </row>
    <row r="3231" spans="1:4">
      <c r="A3231" t="s">
        <v>179</v>
      </c>
      <c r="B3231" t="s">
        <v>258</v>
      </c>
      <c r="C3231">
        <v>2015</v>
      </c>
    </row>
    <row r="3232" spans="1:4">
      <c r="A3232" t="s">
        <v>129</v>
      </c>
      <c r="B3232" t="s">
        <v>258</v>
      </c>
      <c r="C3232">
        <v>2016</v>
      </c>
      <c r="D3232">
        <v>21</v>
      </c>
    </row>
    <row r="3233" spans="1:4">
      <c r="A3233" t="s">
        <v>74</v>
      </c>
      <c r="B3233" t="s">
        <v>258</v>
      </c>
      <c r="C3233">
        <v>2016</v>
      </c>
      <c r="D3233">
        <v>1.1</v>
      </c>
    </row>
    <row r="3234" spans="1:4">
      <c r="A3234" t="s">
        <v>134</v>
      </c>
      <c r="B3234" t="s">
        <v>258</v>
      </c>
      <c r="C3234">
        <v>2016</v>
      </c>
      <c r="D3234">
        <v>1</v>
      </c>
    </row>
    <row r="3235" spans="1:4">
      <c r="A3235" t="s">
        <v>209</v>
      </c>
      <c r="B3235" t="s">
        <v>258</v>
      </c>
      <c r="C3235">
        <v>2016</v>
      </c>
      <c r="D3235">
        <v>60</v>
      </c>
    </row>
    <row r="3236" spans="1:4">
      <c r="A3236" t="s">
        <v>164</v>
      </c>
      <c r="B3236" t="s">
        <v>258</v>
      </c>
      <c r="C3236">
        <v>2016</v>
      </c>
      <c r="D3236">
        <v>8</v>
      </c>
    </row>
    <row r="3237" spans="1:4">
      <c r="A3237" t="s">
        <v>169</v>
      </c>
      <c r="B3237" t="s">
        <v>258</v>
      </c>
      <c r="C3237">
        <v>2016</v>
      </c>
      <c r="D3237">
        <v>1.1</v>
      </c>
    </row>
    <row r="3238" spans="1:4">
      <c r="A3238" t="s">
        <v>189</v>
      </c>
      <c r="B3238" t="s">
        <v>258</v>
      </c>
      <c r="C3238">
        <v>2016</v>
      </c>
      <c r="D3238">
        <v>1.1</v>
      </c>
    </row>
    <row r="3239" spans="1:4">
      <c r="A3239" t="s">
        <v>174</v>
      </c>
      <c r="B3239" t="s">
        <v>258</v>
      </c>
      <c r="C3239">
        <v>2016</v>
      </c>
      <c r="D3239">
        <v>3</v>
      </c>
    </row>
    <row r="3240" spans="1:4">
      <c r="A3240" t="s">
        <v>84</v>
      </c>
      <c r="B3240" t="s">
        <v>258</v>
      </c>
      <c r="C3240">
        <v>2016</v>
      </c>
      <c r="D3240">
        <v>40</v>
      </c>
    </row>
    <row r="3241" spans="1:4">
      <c r="A3241" t="s">
        <v>149</v>
      </c>
      <c r="B3241" t="s">
        <v>258</v>
      </c>
      <c r="C3241">
        <v>2016</v>
      </c>
      <c r="D3241">
        <v>12</v>
      </c>
    </row>
    <row r="3242" spans="1:4">
      <c r="A3242" t="s">
        <v>109</v>
      </c>
      <c r="B3242" t="s">
        <v>258</v>
      </c>
      <c r="C3242">
        <v>2016</v>
      </c>
      <c r="D3242">
        <v>1.3</v>
      </c>
    </row>
    <row r="3243" spans="1:4">
      <c r="A3243" t="s">
        <v>154</v>
      </c>
      <c r="B3243" t="s">
        <v>258</v>
      </c>
      <c r="C3243">
        <v>2016</v>
      </c>
      <c r="D3243">
        <v>11</v>
      </c>
    </row>
    <row r="3244" spans="1:4">
      <c r="A3244" t="s">
        <v>159</v>
      </c>
      <c r="B3244" t="s">
        <v>258</v>
      </c>
      <c r="C3244">
        <v>2016</v>
      </c>
      <c r="D3244">
        <v>2</v>
      </c>
    </row>
    <row r="3245" spans="1:4">
      <c r="A3245" t="s">
        <v>104</v>
      </c>
      <c r="B3245" t="s">
        <v>258</v>
      </c>
      <c r="C3245">
        <v>2016</v>
      </c>
      <c r="D3245">
        <v>3</v>
      </c>
    </row>
    <row r="3246" spans="1:4">
      <c r="A3246" t="s">
        <v>119</v>
      </c>
      <c r="B3246" t="s">
        <v>258</v>
      </c>
      <c r="C3246">
        <v>2016</v>
      </c>
      <c r="D3246">
        <v>47</v>
      </c>
    </row>
    <row r="3247" spans="1:4">
      <c r="A3247" t="s">
        <v>139</v>
      </c>
      <c r="B3247" t="s">
        <v>258</v>
      </c>
      <c r="C3247">
        <v>2016</v>
      </c>
      <c r="D3247">
        <v>11</v>
      </c>
    </row>
    <row r="3248" spans="1:4">
      <c r="A3248" t="s">
        <v>99</v>
      </c>
      <c r="B3248" t="s">
        <v>258</v>
      </c>
      <c r="C3248">
        <v>2016</v>
      </c>
      <c r="D3248">
        <v>4</v>
      </c>
    </row>
    <row r="3249" spans="1:4">
      <c r="A3249" t="s">
        <v>94</v>
      </c>
      <c r="B3249" t="s">
        <v>258</v>
      </c>
      <c r="C3249">
        <v>2016</v>
      </c>
      <c r="D3249">
        <v>83</v>
      </c>
    </row>
    <row r="3250" spans="1:4">
      <c r="A3250" t="s">
        <v>219</v>
      </c>
      <c r="B3250" t="s">
        <v>258</v>
      </c>
      <c r="C3250">
        <v>2016</v>
      </c>
      <c r="D3250">
        <v>55</v>
      </c>
    </row>
    <row r="3251" spans="1:4">
      <c r="A3251" t="s">
        <v>214</v>
      </c>
      <c r="B3251" t="s">
        <v>258</v>
      </c>
      <c r="C3251">
        <v>2016</v>
      </c>
      <c r="D3251">
        <v>90</v>
      </c>
    </row>
    <row r="3252" spans="1:4">
      <c r="A3252" t="s">
        <v>70</v>
      </c>
      <c r="B3252" t="s">
        <v>258</v>
      </c>
      <c r="C3252">
        <v>2016</v>
      </c>
      <c r="D3252">
        <v>665</v>
      </c>
    </row>
    <row r="3253" spans="1:4">
      <c r="A3253" t="s">
        <v>144</v>
      </c>
      <c r="B3253" t="s">
        <v>258</v>
      </c>
      <c r="C3253">
        <v>2016</v>
      </c>
      <c r="D3253">
        <v>31</v>
      </c>
    </row>
    <row r="3254" spans="1:4">
      <c r="A3254" t="s">
        <v>89</v>
      </c>
      <c r="B3254" t="s">
        <v>258</v>
      </c>
      <c r="C3254">
        <v>2016</v>
      </c>
      <c r="D3254">
        <v>27</v>
      </c>
    </row>
    <row r="3255" spans="1:4">
      <c r="A3255" t="s">
        <v>204</v>
      </c>
      <c r="B3255" t="s">
        <v>258</v>
      </c>
      <c r="C3255">
        <v>2016</v>
      </c>
      <c r="D3255">
        <v>20</v>
      </c>
    </row>
    <row r="3256" spans="1:4">
      <c r="A3256" t="s">
        <v>114</v>
      </c>
      <c r="B3256" t="s">
        <v>258</v>
      </c>
      <c r="C3256">
        <v>2016</v>
      </c>
      <c r="D3256">
        <v>1</v>
      </c>
    </row>
    <row r="3257" spans="1:4">
      <c r="A3257" t="s">
        <v>184</v>
      </c>
      <c r="B3257" t="s">
        <v>258</v>
      </c>
      <c r="C3257">
        <v>2016</v>
      </c>
      <c r="D3257">
        <v>11</v>
      </c>
    </row>
    <row r="3258" spans="1:4">
      <c r="A3258" t="s">
        <v>79</v>
      </c>
      <c r="B3258" t="s">
        <v>258</v>
      </c>
      <c r="C3258">
        <v>2016</v>
      </c>
      <c r="D3258">
        <v>3</v>
      </c>
    </row>
    <row r="3259" spans="1:4">
      <c r="A3259" t="s">
        <v>199</v>
      </c>
      <c r="B3259" t="s">
        <v>258</v>
      </c>
      <c r="C3259">
        <v>2016</v>
      </c>
      <c r="D3259">
        <v>4</v>
      </c>
    </row>
    <row r="3260" spans="1:4">
      <c r="A3260" t="s">
        <v>224</v>
      </c>
      <c r="B3260" t="s">
        <v>258</v>
      </c>
      <c r="C3260">
        <v>2016</v>
      </c>
      <c r="D3260">
        <v>67</v>
      </c>
    </row>
    <row r="3261" spans="1:4">
      <c r="A3261" t="s">
        <v>194</v>
      </c>
      <c r="B3261" t="s">
        <v>258</v>
      </c>
      <c r="C3261">
        <v>2016</v>
      </c>
      <c r="D3261">
        <v>23</v>
      </c>
    </row>
    <row r="3262" spans="1:4">
      <c r="A3262" t="s">
        <v>124</v>
      </c>
      <c r="B3262" t="s">
        <v>258</v>
      </c>
      <c r="C3262">
        <v>2016</v>
      </c>
      <c r="D3262">
        <v>22</v>
      </c>
    </row>
    <row r="3263" spans="1:4">
      <c r="A3263" t="s">
        <v>179</v>
      </c>
      <c r="B3263" t="s">
        <v>258</v>
      </c>
      <c r="C3263">
        <v>2016</v>
      </c>
      <c r="D3263">
        <v>0.02</v>
      </c>
    </row>
    <row r="3264" spans="1:4">
      <c r="A3264" t="s">
        <v>129</v>
      </c>
      <c r="B3264" t="s">
        <v>258</v>
      </c>
      <c r="C3264">
        <v>2017</v>
      </c>
      <c r="D3264">
        <v>62</v>
      </c>
    </row>
    <row r="3265" spans="1:4">
      <c r="A3265" t="s">
        <v>74</v>
      </c>
      <c r="B3265" t="s">
        <v>258</v>
      </c>
      <c r="C3265">
        <v>2017</v>
      </c>
      <c r="D3265">
        <v>2</v>
      </c>
    </row>
    <row r="3266" spans="1:4">
      <c r="A3266" t="s">
        <v>134</v>
      </c>
      <c r="B3266" t="s">
        <v>258</v>
      </c>
      <c r="C3266">
        <v>2017</v>
      </c>
      <c r="D3266">
        <v>6</v>
      </c>
    </row>
    <row r="3267" spans="1:4">
      <c r="A3267" t="s">
        <v>209</v>
      </c>
      <c r="B3267" t="s">
        <v>258</v>
      </c>
      <c r="C3267">
        <v>2017</v>
      </c>
      <c r="D3267">
        <v>73</v>
      </c>
    </row>
    <row r="3268" spans="1:4">
      <c r="A3268" t="s">
        <v>164</v>
      </c>
      <c r="B3268" t="s">
        <v>258</v>
      </c>
      <c r="C3268">
        <v>2017</v>
      </c>
      <c r="D3268">
        <v>20</v>
      </c>
    </row>
    <row r="3269" spans="1:4">
      <c r="A3269" t="s">
        <v>169</v>
      </c>
      <c r="B3269" t="s">
        <v>258</v>
      </c>
      <c r="C3269">
        <v>2017</v>
      </c>
      <c r="D3269">
        <v>4</v>
      </c>
    </row>
    <row r="3270" spans="1:4">
      <c r="A3270" t="s">
        <v>189</v>
      </c>
      <c r="B3270" t="s">
        <v>258</v>
      </c>
      <c r="C3270">
        <v>2017</v>
      </c>
      <c r="D3270">
        <v>6</v>
      </c>
    </row>
    <row r="3271" spans="1:4">
      <c r="A3271" t="s">
        <v>174</v>
      </c>
      <c r="B3271" t="s">
        <v>258</v>
      </c>
      <c r="C3271">
        <v>2017</v>
      </c>
      <c r="D3271">
        <v>3</v>
      </c>
    </row>
    <row r="3272" spans="1:4">
      <c r="A3272" t="s">
        <v>84</v>
      </c>
      <c r="B3272" t="s">
        <v>258</v>
      </c>
      <c r="C3272">
        <v>2017</v>
      </c>
      <c r="D3272">
        <v>77</v>
      </c>
    </row>
    <row r="3273" spans="1:4">
      <c r="A3273" t="s">
        <v>149</v>
      </c>
      <c r="B3273" t="s">
        <v>258</v>
      </c>
      <c r="C3273">
        <v>2017</v>
      </c>
      <c r="D3273">
        <v>44</v>
      </c>
    </row>
    <row r="3274" spans="1:4">
      <c r="A3274" t="s">
        <v>109</v>
      </c>
      <c r="B3274" t="s">
        <v>258</v>
      </c>
      <c r="C3274">
        <v>2017</v>
      </c>
      <c r="D3274">
        <v>6</v>
      </c>
    </row>
    <row r="3275" spans="1:4">
      <c r="A3275" t="s">
        <v>154</v>
      </c>
      <c r="B3275" t="s">
        <v>258</v>
      </c>
      <c r="C3275">
        <v>2017</v>
      </c>
      <c r="D3275">
        <v>28</v>
      </c>
    </row>
    <row r="3276" spans="1:4">
      <c r="A3276" t="s">
        <v>159</v>
      </c>
      <c r="B3276" t="s">
        <v>258</v>
      </c>
      <c r="C3276">
        <v>2017</v>
      </c>
      <c r="D3276">
        <v>6</v>
      </c>
    </row>
    <row r="3277" spans="1:4">
      <c r="A3277" t="s">
        <v>104</v>
      </c>
      <c r="B3277" t="s">
        <v>258</v>
      </c>
      <c r="C3277">
        <v>2017</v>
      </c>
      <c r="D3277">
        <v>13</v>
      </c>
    </row>
    <row r="3278" spans="1:4">
      <c r="A3278" t="s">
        <v>119</v>
      </c>
      <c r="B3278" t="s">
        <v>258</v>
      </c>
      <c r="C3278">
        <v>2017</v>
      </c>
      <c r="D3278">
        <v>81</v>
      </c>
    </row>
    <row r="3279" spans="1:4">
      <c r="A3279" t="s">
        <v>139</v>
      </c>
      <c r="B3279" t="s">
        <v>258</v>
      </c>
      <c r="C3279">
        <v>2017</v>
      </c>
      <c r="D3279">
        <v>30</v>
      </c>
    </row>
    <row r="3280" spans="1:4">
      <c r="A3280" t="s">
        <v>99</v>
      </c>
      <c r="B3280" t="s">
        <v>258</v>
      </c>
      <c r="C3280">
        <v>2017</v>
      </c>
      <c r="D3280">
        <v>12</v>
      </c>
    </row>
    <row r="3281" spans="1:4">
      <c r="A3281" t="s">
        <v>94</v>
      </c>
      <c r="B3281" t="s">
        <v>258</v>
      </c>
      <c r="C3281">
        <v>2017</v>
      </c>
      <c r="D3281">
        <v>113</v>
      </c>
    </row>
    <row r="3282" spans="1:4">
      <c r="A3282" t="s">
        <v>219</v>
      </c>
      <c r="B3282" t="s">
        <v>258</v>
      </c>
      <c r="C3282">
        <v>2017</v>
      </c>
      <c r="D3282">
        <v>76</v>
      </c>
    </row>
    <row r="3283" spans="1:4">
      <c r="A3283" t="s">
        <v>214</v>
      </c>
      <c r="B3283" t="s">
        <v>258</v>
      </c>
      <c r="C3283">
        <v>2017</v>
      </c>
      <c r="D3283">
        <v>113</v>
      </c>
    </row>
    <row r="3284" spans="1:4">
      <c r="A3284" t="s">
        <v>70</v>
      </c>
      <c r="B3284" t="s">
        <v>258</v>
      </c>
      <c r="C3284">
        <v>2017</v>
      </c>
      <c r="D3284">
        <v>1166</v>
      </c>
    </row>
    <row r="3285" spans="1:4">
      <c r="A3285" t="s">
        <v>144</v>
      </c>
      <c r="B3285" t="s">
        <v>258</v>
      </c>
      <c r="C3285">
        <v>2017</v>
      </c>
      <c r="D3285">
        <v>73</v>
      </c>
    </row>
    <row r="3286" spans="1:4">
      <c r="A3286" t="s">
        <v>89</v>
      </c>
      <c r="B3286" t="s">
        <v>258</v>
      </c>
      <c r="C3286">
        <v>2017</v>
      </c>
      <c r="D3286">
        <v>56</v>
      </c>
    </row>
    <row r="3287" spans="1:4">
      <c r="A3287" t="s">
        <v>204</v>
      </c>
      <c r="B3287" t="s">
        <v>258</v>
      </c>
      <c r="C3287">
        <v>2017</v>
      </c>
      <c r="D3287">
        <v>41</v>
      </c>
    </row>
    <row r="3288" spans="1:4">
      <c r="A3288" t="s">
        <v>114</v>
      </c>
      <c r="B3288" t="s">
        <v>258</v>
      </c>
      <c r="C3288">
        <v>2017</v>
      </c>
      <c r="D3288">
        <v>3</v>
      </c>
    </row>
    <row r="3289" spans="1:4">
      <c r="A3289" t="s">
        <v>184</v>
      </c>
      <c r="B3289" t="s">
        <v>258</v>
      </c>
      <c r="C3289">
        <v>2017</v>
      </c>
      <c r="D3289">
        <v>16</v>
      </c>
    </row>
    <row r="3290" spans="1:4">
      <c r="A3290" t="s">
        <v>79</v>
      </c>
      <c r="B3290" t="s">
        <v>258</v>
      </c>
      <c r="C3290">
        <v>2017</v>
      </c>
      <c r="D3290">
        <v>6</v>
      </c>
    </row>
    <row r="3291" spans="1:4">
      <c r="A3291" t="s">
        <v>199</v>
      </c>
      <c r="B3291" t="s">
        <v>258</v>
      </c>
      <c r="C3291">
        <v>2017</v>
      </c>
      <c r="D3291">
        <v>6</v>
      </c>
    </row>
    <row r="3292" spans="1:4">
      <c r="A3292" t="s">
        <v>224</v>
      </c>
      <c r="B3292" t="s">
        <v>258</v>
      </c>
      <c r="C3292">
        <v>2017</v>
      </c>
      <c r="D3292">
        <v>107</v>
      </c>
    </row>
    <row r="3293" spans="1:4">
      <c r="A3293" t="s">
        <v>194</v>
      </c>
      <c r="B3293" t="s">
        <v>258</v>
      </c>
      <c r="C3293">
        <v>2017</v>
      </c>
      <c r="D3293">
        <v>28</v>
      </c>
    </row>
    <row r="3294" spans="1:4">
      <c r="A3294" t="s">
        <v>124</v>
      </c>
      <c r="B3294" t="s">
        <v>258</v>
      </c>
      <c r="C3294">
        <v>2017</v>
      </c>
      <c r="D3294">
        <v>56</v>
      </c>
    </row>
    <row r="3295" spans="1:4">
      <c r="A3295" t="s">
        <v>179</v>
      </c>
      <c r="B3295" t="s">
        <v>258</v>
      </c>
      <c r="C3295">
        <v>2017</v>
      </c>
      <c r="D3295">
        <v>0.2</v>
      </c>
    </row>
    <row r="3296" spans="1:4">
      <c r="A3296" t="s">
        <v>129</v>
      </c>
      <c r="B3296" t="s">
        <v>258</v>
      </c>
      <c r="C3296">
        <v>2018</v>
      </c>
      <c r="D3296">
        <v>104</v>
      </c>
    </row>
    <row r="3297" spans="1:4">
      <c r="A3297" t="s">
        <v>74</v>
      </c>
      <c r="B3297" t="s">
        <v>258</v>
      </c>
      <c r="C3297">
        <v>2018</v>
      </c>
      <c r="D3297">
        <v>3</v>
      </c>
    </row>
    <row r="3298" spans="1:4">
      <c r="A3298" t="s">
        <v>134</v>
      </c>
      <c r="B3298" t="s">
        <v>258</v>
      </c>
      <c r="C3298">
        <v>2018</v>
      </c>
      <c r="D3298">
        <v>14</v>
      </c>
    </row>
    <row r="3299" spans="1:4">
      <c r="A3299" t="s">
        <v>209</v>
      </c>
      <c r="B3299" t="s">
        <v>258</v>
      </c>
      <c r="C3299">
        <v>2018</v>
      </c>
      <c r="D3299">
        <v>95</v>
      </c>
    </row>
    <row r="3300" spans="1:4">
      <c r="A3300" t="s">
        <v>164</v>
      </c>
      <c r="B3300" t="s">
        <v>258</v>
      </c>
      <c r="C3300">
        <v>2018</v>
      </c>
      <c r="D3300">
        <v>38</v>
      </c>
    </row>
    <row r="3301" spans="1:4">
      <c r="A3301" t="s">
        <v>169</v>
      </c>
      <c r="B3301" t="s">
        <v>258</v>
      </c>
      <c r="C3301">
        <v>2018</v>
      </c>
      <c r="D3301">
        <v>9</v>
      </c>
    </row>
    <row r="3302" spans="1:4">
      <c r="A3302" t="s">
        <v>189</v>
      </c>
      <c r="B3302" t="s">
        <v>258</v>
      </c>
      <c r="C3302">
        <v>2018</v>
      </c>
      <c r="D3302">
        <v>16</v>
      </c>
    </row>
    <row r="3303" spans="1:4">
      <c r="A3303" t="s">
        <v>174</v>
      </c>
      <c r="B3303" t="s">
        <v>258</v>
      </c>
      <c r="C3303">
        <v>2018</v>
      </c>
      <c r="D3303">
        <v>6</v>
      </c>
    </row>
    <row r="3304" spans="1:4">
      <c r="A3304" t="s">
        <v>84</v>
      </c>
      <c r="B3304" t="s">
        <v>258</v>
      </c>
      <c r="C3304">
        <v>2018</v>
      </c>
      <c r="D3304">
        <v>126</v>
      </c>
    </row>
    <row r="3305" spans="1:4">
      <c r="A3305" t="s">
        <v>149</v>
      </c>
      <c r="B3305" t="s">
        <v>258</v>
      </c>
      <c r="C3305">
        <v>2018</v>
      </c>
      <c r="D3305">
        <v>84</v>
      </c>
    </row>
    <row r="3306" spans="1:4">
      <c r="A3306" t="s">
        <v>109</v>
      </c>
      <c r="B3306" t="s">
        <v>258</v>
      </c>
      <c r="C3306">
        <v>2018</v>
      </c>
      <c r="D3306">
        <v>20</v>
      </c>
    </row>
    <row r="3307" spans="1:4">
      <c r="A3307" t="s">
        <v>154</v>
      </c>
      <c r="B3307" t="s">
        <v>258</v>
      </c>
      <c r="C3307">
        <v>2018</v>
      </c>
      <c r="D3307">
        <v>49</v>
      </c>
    </row>
    <row r="3308" spans="1:4">
      <c r="A3308" t="s">
        <v>159</v>
      </c>
      <c r="B3308" t="s">
        <v>258</v>
      </c>
      <c r="C3308">
        <v>2018</v>
      </c>
      <c r="D3308">
        <v>20</v>
      </c>
    </row>
    <row r="3309" spans="1:4">
      <c r="A3309" t="s">
        <v>104</v>
      </c>
      <c r="B3309" t="s">
        <v>258</v>
      </c>
      <c r="C3309">
        <v>2018</v>
      </c>
      <c r="D3309">
        <v>24</v>
      </c>
    </row>
    <row r="3310" spans="1:4">
      <c r="A3310" t="s">
        <v>119</v>
      </c>
      <c r="B3310" t="s">
        <v>258</v>
      </c>
      <c r="C3310">
        <v>2018</v>
      </c>
      <c r="D3310">
        <v>120</v>
      </c>
    </row>
    <row r="3311" spans="1:4">
      <c r="A3311" t="s">
        <v>139</v>
      </c>
      <c r="B3311" t="s">
        <v>258</v>
      </c>
      <c r="C3311">
        <v>2018</v>
      </c>
      <c r="D3311">
        <v>52</v>
      </c>
    </row>
    <row r="3312" spans="1:4">
      <c r="A3312" t="s">
        <v>99</v>
      </c>
      <c r="B3312" t="s">
        <v>258</v>
      </c>
      <c r="C3312">
        <v>2018</v>
      </c>
      <c r="D3312">
        <v>32</v>
      </c>
    </row>
    <row r="3313" spans="1:4">
      <c r="A3313" t="s">
        <v>94</v>
      </c>
      <c r="B3313" t="s">
        <v>258</v>
      </c>
      <c r="C3313">
        <v>2018</v>
      </c>
      <c r="D3313">
        <v>130</v>
      </c>
    </row>
    <row r="3314" spans="1:4">
      <c r="A3314" t="s">
        <v>219</v>
      </c>
      <c r="B3314" t="s">
        <v>258</v>
      </c>
      <c r="C3314">
        <v>2018</v>
      </c>
      <c r="D3314">
        <v>97</v>
      </c>
    </row>
    <row r="3315" spans="1:4">
      <c r="A3315" t="s">
        <v>214</v>
      </c>
      <c r="B3315" t="s">
        <v>258</v>
      </c>
      <c r="C3315">
        <v>2018</v>
      </c>
      <c r="D3315">
        <v>131</v>
      </c>
    </row>
    <row r="3316" spans="1:4">
      <c r="A3316" t="s">
        <v>70</v>
      </c>
      <c r="B3316" t="s">
        <v>258</v>
      </c>
      <c r="C3316">
        <v>2018</v>
      </c>
      <c r="D3316">
        <v>1769</v>
      </c>
    </row>
    <row r="3317" spans="1:4">
      <c r="A3317" t="s">
        <v>144</v>
      </c>
      <c r="B3317" t="s">
        <v>258</v>
      </c>
      <c r="C3317">
        <v>2018</v>
      </c>
      <c r="D3317">
        <v>137</v>
      </c>
    </row>
    <row r="3318" spans="1:4">
      <c r="A3318" t="s">
        <v>89</v>
      </c>
      <c r="B3318" t="s">
        <v>258</v>
      </c>
      <c r="C3318">
        <v>2018</v>
      </c>
      <c r="D3318">
        <v>94</v>
      </c>
    </row>
    <row r="3319" spans="1:4">
      <c r="A3319" t="s">
        <v>204</v>
      </c>
      <c r="B3319" t="s">
        <v>258</v>
      </c>
      <c r="C3319">
        <v>2018</v>
      </c>
      <c r="D3319">
        <v>71</v>
      </c>
    </row>
    <row r="3320" spans="1:4">
      <c r="A3320" t="s">
        <v>114</v>
      </c>
      <c r="B3320" t="s">
        <v>258</v>
      </c>
      <c r="C3320">
        <v>2018</v>
      </c>
      <c r="D3320">
        <v>6</v>
      </c>
    </row>
    <row r="3321" spans="1:4">
      <c r="A3321" t="s">
        <v>184</v>
      </c>
      <c r="B3321" t="s">
        <v>258</v>
      </c>
      <c r="C3321">
        <v>2018</v>
      </c>
      <c r="D3321">
        <v>22</v>
      </c>
    </row>
    <row r="3322" spans="1:4">
      <c r="A3322" t="s">
        <v>79</v>
      </c>
      <c r="B3322" t="s">
        <v>258</v>
      </c>
      <c r="C3322">
        <v>2018</v>
      </c>
      <c r="D3322">
        <v>8</v>
      </c>
    </row>
    <row r="3323" spans="1:4">
      <c r="A3323" t="s">
        <v>199</v>
      </c>
      <c r="B3323" t="s">
        <v>258</v>
      </c>
      <c r="C3323">
        <v>2018</v>
      </c>
      <c r="D3323">
        <v>8</v>
      </c>
    </row>
    <row r="3324" spans="1:4">
      <c r="A3324" t="s">
        <v>224</v>
      </c>
      <c r="B3324" t="s">
        <v>258</v>
      </c>
      <c r="C3324">
        <v>2018</v>
      </c>
      <c r="D3324">
        <v>116</v>
      </c>
    </row>
    <row r="3325" spans="1:4">
      <c r="A3325" t="s">
        <v>194</v>
      </c>
      <c r="B3325" t="s">
        <v>258</v>
      </c>
      <c r="C3325">
        <v>2018</v>
      </c>
      <c r="D3325">
        <v>34</v>
      </c>
    </row>
    <row r="3326" spans="1:4">
      <c r="A3326" t="s">
        <v>124</v>
      </c>
      <c r="B3326" t="s">
        <v>258</v>
      </c>
      <c r="C3326">
        <v>2018</v>
      </c>
      <c r="D3326">
        <v>100</v>
      </c>
    </row>
    <row r="3327" spans="1:4">
      <c r="A3327" t="s">
        <v>179</v>
      </c>
      <c r="B3327" t="s">
        <v>258</v>
      </c>
      <c r="C3327">
        <v>2018</v>
      </c>
      <c r="D3327">
        <v>2</v>
      </c>
    </row>
    <row r="3328" spans="1:4">
      <c r="A3328" t="s">
        <v>129</v>
      </c>
      <c r="B3328" t="s">
        <v>258</v>
      </c>
      <c r="C3328">
        <v>2019</v>
      </c>
      <c r="D3328">
        <v>125</v>
      </c>
    </row>
    <row r="3329" spans="1:4">
      <c r="A3329" t="s">
        <v>74</v>
      </c>
      <c r="B3329" t="s">
        <v>258</v>
      </c>
      <c r="C3329">
        <v>2019</v>
      </c>
      <c r="D3329">
        <v>5</v>
      </c>
    </row>
    <row r="3330" spans="1:4">
      <c r="A3330" t="s">
        <v>134</v>
      </c>
      <c r="B3330" t="s">
        <v>258</v>
      </c>
      <c r="C3330">
        <v>2019</v>
      </c>
      <c r="D3330">
        <v>16</v>
      </c>
    </row>
    <row r="3331" spans="1:4">
      <c r="A3331" t="s">
        <v>209</v>
      </c>
      <c r="B3331" t="s">
        <v>258</v>
      </c>
      <c r="C3331">
        <v>2019</v>
      </c>
      <c r="D3331">
        <v>118</v>
      </c>
    </row>
    <row r="3332" spans="1:4">
      <c r="A3332" t="s">
        <v>164</v>
      </c>
      <c r="B3332" t="s">
        <v>258</v>
      </c>
      <c r="C3332">
        <v>2019</v>
      </c>
      <c r="D3332">
        <v>53</v>
      </c>
    </row>
    <row r="3333" spans="1:4">
      <c r="A3333" t="s">
        <v>169</v>
      </c>
      <c r="B3333" t="s">
        <v>258</v>
      </c>
      <c r="C3333">
        <v>2019</v>
      </c>
      <c r="D3333">
        <v>14</v>
      </c>
    </row>
    <row r="3334" spans="1:4">
      <c r="A3334" t="s">
        <v>189</v>
      </c>
      <c r="B3334" t="s">
        <v>258</v>
      </c>
      <c r="C3334">
        <v>2019</v>
      </c>
      <c r="D3334">
        <v>20</v>
      </c>
    </row>
    <row r="3335" spans="1:4">
      <c r="A3335" t="s">
        <v>174</v>
      </c>
      <c r="B3335" t="s">
        <v>258</v>
      </c>
      <c r="C3335">
        <v>2019</v>
      </c>
      <c r="D3335">
        <v>13</v>
      </c>
    </row>
    <row r="3336" spans="1:4">
      <c r="A3336" t="s">
        <v>84</v>
      </c>
      <c r="B3336" t="s">
        <v>258</v>
      </c>
      <c r="C3336">
        <v>2019</v>
      </c>
      <c r="D3336">
        <v>176</v>
      </c>
    </row>
    <row r="3337" spans="1:4">
      <c r="A3337" t="s">
        <v>149</v>
      </c>
      <c r="B3337" t="s">
        <v>258</v>
      </c>
      <c r="C3337">
        <v>2019</v>
      </c>
      <c r="D3337">
        <v>102</v>
      </c>
    </row>
    <row r="3338" spans="1:4">
      <c r="A3338" t="s">
        <v>109</v>
      </c>
      <c r="B3338" t="s">
        <v>258</v>
      </c>
      <c r="C3338">
        <v>2019</v>
      </c>
      <c r="D3338">
        <v>32</v>
      </c>
    </row>
    <row r="3339" spans="1:4">
      <c r="A3339" t="s">
        <v>154</v>
      </c>
      <c r="B3339" t="s">
        <v>258</v>
      </c>
      <c r="C3339">
        <v>2019</v>
      </c>
      <c r="D3339">
        <v>57</v>
      </c>
    </row>
    <row r="3340" spans="1:4">
      <c r="A3340" t="s">
        <v>159</v>
      </c>
      <c r="B3340" t="s">
        <v>258</v>
      </c>
      <c r="C3340">
        <v>2019</v>
      </c>
      <c r="D3340">
        <v>26</v>
      </c>
    </row>
    <row r="3341" spans="1:4">
      <c r="A3341" t="s">
        <v>104</v>
      </c>
      <c r="B3341" t="s">
        <v>258</v>
      </c>
      <c r="C3341">
        <v>2019</v>
      </c>
      <c r="D3341">
        <v>40</v>
      </c>
    </row>
    <row r="3342" spans="1:4">
      <c r="A3342" t="s">
        <v>119</v>
      </c>
      <c r="B3342" t="s">
        <v>258</v>
      </c>
      <c r="C3342">
        <v>2019</v>
      </c>
      <c r="D3342">
        <v>154</v>
      </c>
    </row>
    <row r="3343" spans="1:4">
      <c r="A3343" t="s">
        <v>139</v>
      </c>
      <c r="B3343" t="s">
        <v>258</v>
      </c>
      <c r="C3343">
        <v>2019</v>
      </c>
      <c r="D3343">
        <v>56</v>
      </c>
    </row>
    <row r="3344" spans="1:4">
      <c r="A3344" t="s">
        <v>99</v>
      </c>
      <c r="B3344" t="s">
        <v>258</v>
      </c>
      <c r="C3344">
        <v>2019</v>
      </c>
      <c r="D3344">
        <v>42</v>
      </c>
    </row>
    <row r="3345" spans="1:4">
      <c r="A3345" t="s">
        <v>94</v>
      </c>
      <c r="B3345" t="s">
        <v>258</v>
      </c>
      <c r="C3345">
        <v>2019</v>
      </c>
      <c r="D3345">
        <v>163</v>
      </c>
    </row>
    <row r="3346" spans="1:4">
      <c r="A3346" t="s">
        <v>219</v>
      </c>
      <c r="B3346" t="s">
        <v>258</v>
      </c>
      <c r="C3346">
        <v>2019</v>
      </c>
      <c r="D3346">
        <v>115</v>
      </c>
    </row>
    <row r="3347" spans="1:4">
      <c r="A3347" t="s">
        <v>214</v>
      </c>
      <c r="B3347" t="s">
        <v>258</v>
      </c>
      <c r="C3347">
        <v>2019</v>
      </c>
      <c r="D3347">
        <v>158</v>
      </c>
    </row>
    <row r="3348" spans="1:4">
      <c r="A3348" t="s">
        <v>70</v>
      </c>
      <c r="B3348" t="s">
        <v>258</v>
      </c>
      <c r="C3348">
        <v>2019</v>
      </c>
      <c r="D3348">
        <v>2240</v>
      </c>
    </row>
    <row r="3349" spans="1:4">
      <c r="A3349" t="s">
        <v>144</v>
      </c>
      <c r="B3349" t="s">
        <v>258</v>
      </c>
      <c r="C3349">
        <v>2019</v>
      </c>
      <c r="D3349">
        <v>167</v>
      </c>
    </row>
    <row r="3350" spans="1:4">
      <c r="A3350" t="s">
        <v>89</v>
      </c>
      <c r="B3350" t="s">
        <v>258</v>
      </c>
      <c r="C3350">
        <v>2019</v>
      </c>
      <c r="D3350">
        <v>128</v>
      </c>
    </row>
    <row r="3351" spans="1:4">
      <c r="A3351" t="s">
        <v>204</v>
      </c>
      <c r="B3351" t="s">
        <v>258</v>
      </c>
      <c r="C3351">
        <v>2019</v>
      </c>
      <c r="D3351">
        <v>94</v>
      </c>
    </row>
    <row r="3352" spans="1:4">
      <c r="A3352" t="s">
        <v>114</v>
      </c>
      <c r="B3352" t="s">
        <v>258</v>
      </c>
      <c r="C3352">
        <v>2019</v>
      </c>
      <c r="D3352">
        <v>8</v>
      </c>
    </row>
    <row r="3353" spans="1:4">
      <c r="A3353" t="s">
        <v>184</v>
      </c>
      <c r="B3353" t="s">
        <v>258</v>
      </c>
      <c r="C3353">
        <v>2019</v>
      </c>
      <c r="D3353">
        <v>28</v>
      </c>
    </row>
    <row r="3354" spans="1:4">
      <c r="A3354" t="s">
        <v>79</v>
      </c>
      <c r="B3354" t="s">
        <v>258</v>
      </c>
      <c r="C3354">
        <v>2019</v>
      </c>
      <c r="D3354">
        <v>15</v>
      </c>
    </row>
    <row r="3355" spans="1:4">
      <c r="A3355" t="s">
        <v>199</v>
      </c>
      <c r="B3355" t="s">
        <v>258</v>
      </c>
      <c r="C3355">
        <v>2019</v>
      </c>
      <c r="D3355">
        <v>13</v>
      </c>
    </row>
    <row r="3356" spans="1:4">
      <c r="A3356" t="s">
        <v>224</v>
      </c>
      <c r="B3356" t="s">
        <v>258</v>
      </c>
      <c r="C3356">
        <v>2019</v>
      </c>
      <c r="D3356">
        <v>132</v>
      </c>
    </row>
    <row r="3357" spans="1:4">
      <c r="A3357" t="s">
        <v>194</v>
      </c>
      <c r="B3357" t="s">
        <v>258</v>
      </c>
      <c r="C3357">
        <v>2019</v>
      </c>
      <c r="D3357">
        <v>48</v>
      </c>
    </row>
    <row r="3358" spans="1:4">
      <c r="A3358" t="s">
        <v>124</v>
      </c>
      <c r="B3358" t="s">
        <v>258</v>
      </c>
      <c r="C3358">
        <v>2019</v>
      </c>
      <c r="D3358">
        <v>119</v>
      </c>
    </row>
    <row r="3359" spans="1:4">
      <c r="A3359" t="s">
        <v>179</v>
      </c>
      <c r="B3359" t="s">
        <v>258</v>
      </c>
      <c r="C3359">
        <v>2019</v>
      </c>
      <c r="D3359">
        <v>3</v>
      </c>
    </row>
    <row r="3360" spans="1:4">
      <c r="A3360" t="s">
        <v>129</v>
      </c>
      <c r="B3360" t="s">
        <v>258</v>
      </c>
      <c r="C3360">
        <v>2020</v>
      </c>
      <c r="D3360">
        <v>130</v>
      </c>
    </row>
    <row r="3361" spans="1:4">
      <c r="A3361" t="s">
        <v>74</v>
      </c>
      <c r="B3361" t="s">
        <v>258</v>
      </c>
      <c r="C3361">
        <v>2020</v>
      </c>
      <c r="D3361">
        <v>6</v>
      </c>
    </row>
    <row r="3362" spans="1:4">
      <c r="A3362" t="s">
        <v>134</v>
      </c>
      <c r="B3362" t="s">
        <v>258</v>
      </c>
      <c r="C3362">
        <v>2020</v>
      </c>
      <c r="D3362">
        <v>19</v>
      </c>
    </row>
    <row r="3363" spans="1:4">
      <c r="A3363" t="s">
        <v>209</v>
      </c>
      <c r="B3363" t="s">
        <v>258</v>
      </c>
      <c r="C3363">
        <v>2020</v>
      </c>
      <c r="D3363">
        <v>133</v>
      </c>
    </row>
    <row r="3364" spans="1:4">
      <c r="A3364" t="s">
        <v>164</v>
      </c>
      <c r="B3364" t="s">
        <v>258</v>
      </c>
      <c r="C3364">
        <v>2020</v>
      </c>
      <c r="D3364">
        <v>74</v>
      </c>
    </row>
    <row r="3365" spans="1:4">
      <c r="A3365" t="s">
        <v>169</v>
      </c>
      <c r="B3365" t="s">
        <v>258</v>
      </c>
      <c r="C3365">
        <v>2020</v>
      </c>
      <c r="D3365">
        <v>19</v>
      </c>
    </row>
    <row r="3366" spans="1:4">
      <c r="A3366" t="s">
        <v>189</v>
      </c>
      <c r="B3366" t="s">
        <v>258</v>
      </c>
      <c r="C3366">
        <v>2020</v>
      </c>
      <c r="D3366">
        <v>45</v>
      </c>
    </row>
    <row r="3367" spans="1:4">
      <c r="A3367" t="s">
        <v>174</v>
      </c>
      <c r="B3367" t="s">
        <v>258</v>
      </c>
      <c r="C3367">
        <v>2020</v>
      </c>
      <c r="D3367">
        <v>15</v>
      </c>
    </row>
    <row r="3368" spans="1:4">
      <c r="A3368" t="s">
        <v>84</v>
      </c>
      <c r="B3368" t="s">
        <v>258</v>
      </c>
      <c r="C3368">
        <v>2020</v>
      </c>
      <c r="D3368">
        <v>211</v>
      </c>
    </row>
    <row r="3369" spans="1:4">
      <c r="A3369" t="s">
        <v>149</v>
      </c>
      <c r="B3369" t="s">
        <v>258</v>
      </c>
      <c r="C3369">
        <v>2020</v>
      </c>
      <c r="D3369">
        <v>112</v>
      </c>
    </row>
    <row r="3370" spans="1:4">
      <c r="A3370" t="s">
        <v>109</v>
      </c>
      <c r="B3370" t="s">
        <v>258</v>
      </c>
      <c r="C3370">
        <v>2020</v>
      </c>
      <c r="D3370">
        <v>43</v>
      </c>
    </row>
    <row r="3371" spans="1:4">
      <c r="A3371" t="s">
        <v>154</v>
      </c>
      <c r="B3371" t="s">
        <v>258</v>
      </c>
      <c r="C3371">
        <v>2020</v>
      </c>
      <c r="D3371">
        <v>65</v>
      </c>
    </row>
    <row r="3372" spans="1:4">
      <c r="A3372" t="s">
        <v>159</v>
      </c>
      <c r="B3372" t="s">
        <v>258</v>
      </c>
      <c r="C3372">
        <v>2020</v>
      </c>
      <c r="D3372">
        <v>30</v>
      </c>
    </row>
    <row r="3373" spans="1:4">
      <c r="A3373" t="s">
        <v>104</v>
      </c>
      <c r="B3373" t="s">
        <v>258</v>
      </c>
      <c r="C3373">
        <v>2020</v>
      </c>
      <c r="D3373">
        <v>45</v>
      </c>
    </row>
    <row r="3374" spans="1:4">
      <c r="A3374" t="s">
        <v>119</v>
      </c>
      <c r="B3374" t="s">
        <v>258</v>
      </c>
      <c r="C3374">
        <v>2020</v>
      </c>
      <c r="D3374">
        <v>167</v>
      </c>
    </row>
    <row r="3375" spans="1:4">
      <c r="A3375" t="s">
        <v>139</v>
      </c>
      <c r="B3375" t="s">
        <v>258</v>
      </c>
      <c r="C3375">
        <v>2020</v>
      </c>
      <c r="D3375">
        <v>62</v>
      </c>
    </row>
    <row r="3376" spans="1:4">
      <c r="A3376" t="s">
        <v>99</v>
      </c>
      <c r="B3376" t="s">
        <v>258</v>
      </c>
      <c r="C3376">
        <v>2020</v>
      </c>
      <c r="D3376">
        <v>51</v>
      </c>
    </row>
    <row r="3377" spans="1:4">
      <c r="A3377" t="s">
        <v>94</v>
      </c>
      <c r="B3377" t="s">
        <v>258</v>
      </c>
      <c r="C3377">
        <v>2020</v>
      </c>
      <c r="D3377">
        <v>188</v>
      </c>
    </row>
    <row r="3378" spans="1:4">
      <c r="A3378" t="s">
        <v>219</v>
      </c>
      <c r="B3378" t="s">
        <v>258</v>
      </c>
      <c r="C3378">
        <v>2020</v>
      </c>
      <c r="D3378">
        <v>136</v>
      </c>
    </row>
    <row r="3379" spans="1:4">
      <c r="A3379" t="s">
        <v>214</v>
      </c>
      <c r="B3379" t="s">
        <v>258</v>
      </c>
      <c r="C3379">
        <v>2020</v>
      </c>
      <c r="D3379">
        <v>167</v>
      </c>
    </row>
    <row r="3380" spans="1:4">
      <c r="A3380" t="s">
        <v>70</v>
      </c>
      <c r="B3380" t="s">
        <v>258</v>
      </c>
      <c r="C3380">
        <v>2020</v>
      </c>
      <c r="D3380">
        <v>2611</v>
      </c>
    </row>
    <row r="3381" spans="1:4">
      <c r="A3381" t="s">
        <v>144</v>
      </c>
      <c r="B3381" t="s">
        <v>258</v>
      </c>
      <c r="C3381">
        <v>2020</v>
      </c>
      <c r="D3381">
        <v>206</v>
      </c>
    </row>
    <row r="3382" spans="1:4">
      <c r="A3382" t="s">
        <v>89</v>
      </c>
      <c r="B3382" t="s">
        <v>258</v>
      </c>
      <c r="C3382">
        <v>2020</v>
      </c>
      <c r="D3382">
        <v>159</v>
      </c>
    </row>
    <row r="3383" spans="1:4">
      <c r="A3383" t="s">
        <v>204</v>
      </c>
      <c r="B3383" t="s">
        <v>258</v>
      </c>
      <c r="C3383">
        <v>2020</v>
      </c>
      <c r="D3383">
        <v>119</v>
      </c>
    </row>
    <row r="3384" spans="1:4">
      <c r="A3384" t="s">
        <v>114</v>
      </c>
      <c r="B3384" t="s">
        <v>258</v>
      </c>
      <c r="C3384">
        <v>2020</v>
      </c>
      <c r="D3384">
        <v>10</v>
      </c>
    </row>
    <row r="3385" spans="1:4">
      <c r="A3385" t="s">
        <v>184</v>
      </c>
      <c r="B3385" t="s">
        <v>258</v>
      </c>
      <c r="C3385">
        <v>2020</v>
      </c>
      <c r="D3385">
        <v>27</v>
      </c>
    </row>
    <row r="3386" spans="1:4">
      <c r="A3386" t="s">
        <v>79</v>
      </c>
      <c r="B3386" t="s">
        <v>258</v>
      </c>
      <c r="C3386">
        <v>2020</v>
      </c>
      <c r="D3386">
        <v>19</v>
      </c>
    </row>
    <row r="3387" spans="1:4">
      <c r="A3387" t="s">
        <v>199</v>
      </c>
      <c r="B3387" t="s">
        <v>258</v>
      </c>
      <c r="C3387">
        <v>2020</v>
      </c>
      <c r="D3387">
        <v>14</v>
      </c>
    </row>
    <row r="3388" spans="1:4">
      <c r="A3388" t="s">
        <v>224</v>
      </c>
      <c r="B3388" t="s">
        <v>258</v>
      </c>
      <c r="C3388">
        <v>2020</v>
      </c>
      <c r="D3388">
        <v>157</v>
      </c>
    </row>
    <row r="3389" spans="1:4">
      <c r="A3389" t="s">
        <v>194</v>
      </c>
      <c r="B3389" t="s">
        <v>258</v>
      </c>
      <c r="C3389">
        <v>2020</v>
      </c>
      <c r="D3389">
        <v>50</v>
      </c>
    </row>
    <row r="3390" spans="1:4">
      <c r="A3390" t="s">
        <v>124</v>
      </c>
      <c r="B3390" t="s">
        <v>258</v>
      </c>
      <c r="C3390">
        <v>2020</v>
      </c>
      <c r="D3390">
        <v>131</v>
      </c>
    </row>
    <row r="3391" spans="1:4">
      <c r="A3391" t="s">
        <v>179</v>
      </c>
      <c r="B3391" t="s">
        <v>258</v>
      </c>
      <c r="C3391">
        <v>2020</v>
      </c>
      <c r="D3391">
        <v>4</v>
      </c>
    </row>
    <row r="3392" spans="1:4">
      <c r="A3392" t="s">
        <v>129</v>
      </c>
      <c r="B3392" t="s">
        <v>258</v>
      </c>
      <c r="C3392">
        <v>2021</v>
      </c>
      <c r="D3392">
        <v>155</v>
      </c>
    </row>
    <row r="3393" spans="1:4">
      <c r="A3393" t="s">
        <v>74</v>
      </c>
      <c r="B3393" t="s">
        <v>258</v>
      </c>
      <c r="C3393">
        <v>2021</v>
      </c>
      <c r="D3393">
        <v>6</v>
      </c>
    </row>
    <row r="3394" spans="1:4">
      <c r="A3394" t="s">
        <v>134</v>
      </c>
      <c r="B3394" t="s">
        <v>258</v>
      </c>
      <c r="C3394">
        <v>2021</v>
      </c>
      <c r="D3394">
        <v>25</v>
      </c>
    </row>
    <row r="3395" spans="1:4">
      <c r="A3395" t="s">
        <v>209</v>
      </c>
      <c r="B3395" t="s">
        <v>258</v>
      </c>
      <c r="C3395">
        <v>2021</v>
      </c>
      <c r="D3395">
        <v>150</v>
      </c>
    </row>
    <row r="3396" spans="1:4">
      <c r="A3396" t="s">
        <v>164</v>
      </c>
      <c r="B3396" t="s">
        <v>258</v>
      </c>
      <c r="C3396">
        <v>2021</v>
      </c>
      <c r="D3396">
        <v>103</v>
      </c>
    </row>
    <row r="3397" spans="1:4">
      <c r="A3397" t="s">
        <v>169</v>
      </c>
      <c r="B3397" t="s">
        <v>258</v>
      </c>
      <c r="C3397">
        <v>2021</v>
      </c>
      <c r="D3397">
        <v>29</v>
      </c>
    </row>
    <row r="3398" spans="1:4">
      <c r="A3398" t="s">
        <v>189</v>
      </c>
      <c r="B3398" t="s">
        <v>258</v>
      </c>
      <c r="C3398">
        <v>2021</v>
      </c>
      <c r="D3398">
        <v>83</v>
      </c>
    </row>
    <row r="3399" spans="1:4">
      <c r="A3399" t="s">
        <v>174</v>
      </c>
      <c r="B3399" t="s">
        <v>258</v>
      </c>
      <c r="C3399">
        <v>2021</v>
      </c>
      <c r="D3399">
        <v>16</v>
      </c>
    </row>
    <row r="3400" spans="1:4">
      <c r="A3400" t="s">
        <v>84</v>
      </c>
      <c r="B3400" t="s">
        <v>258</v>
      </c>
      <c r="C3400">
        <v>2021</v>
      </c>
      <c r="D3400">
        <v>279</v>
      </c>
    </row>
    <row r="3401" spans="1:4">
      <c r="A3401" t="s">
        <v>149</v>
      </c>
      <c r="B3401" t="s">
        <v>258</v>
      </c>
      <c r="C3401">
        <v>2021</v>
      </c>
      <c r="D3401">
        <v>136</v>
      </c>
    </row>
    <row r="3402" spans="1:4">
      <c r="A3402" t="s">
        <v>109</v>
      </c>
      <c r="B3402" t="s">
        <v>258</v>
      </c>
      <c r="C3402">
        <v>2021</v>
      </c>
      <c r="D3402">
        <v>51</v>
      </c>
    </row>
    <row r="3403" spans="1:4">
      <c r="A3403" t="s">
        <v>154</v>
      </c>
      <c r="B3403" t="s">
        <v>258</v>
      </c>
      <c r="C3403">
        <v>2021</v>
      </c>
      <c r="D3403">
        <v>83</v>
      </c>
    </row>
    <row r="3404" spans="1:4">
      <c r="A3404" t="s">
        <v>159</v>
      </c>
      <c r="B3404" t="s">
        <v>258</v>
      </c>
      <c r="C3404">
        <v>2021</v>
      </c>
      <c r="D3404">
        <v>38</v>
      </c>
    </row>
    <row r="3405" spans="1:4">
      <c r="A3405" t="s">
        <v>104</v>
      </c>
      <c r="B3405" t="s">
        <v>258</v>
      </c>
      <c r="C3405">
        <v>2021</v>
      </c>
      <c r="D3405">
        <v>52</v>
      </c>
    </row>
    <row r="3406" spans="1:4">
      <c r="A3406" t="s">
        <v>119</v>
      </c>
      <c r="B3406" t="s">
        <v>258</v>
      </c>
      <c r="C3406">
        <v>2021</v>
      </c>
      <c r="D3406">
        <v>195</v>
      </c>
    </row>
    <row r="3407" spans="1:4">
      <c r="A3407" t="s">
        <v>139</v>
      </c>
      <c r="B3407" t="s">
        <v>258</v>
      </c>
      <c r="C3407">
        <v>2021</v>
      </c>
      <c r="D3407">
        <v>80</v>
      </c>
    </row>
    <row r="3408" spans="1:4">
      <c r="A3408" t="s">
        <v>99</v>
      </c>
      <c r="B3408" t="s">
        <v>258</v>
      </c>
      <c r="C3408">
        <v>2021</v>
      </c>
      <c r="D3408">
        <v>55</v>
      </c>
    </row>
    <row r="3409" spans="1:4">
      <c r="A3409" t="s">
        <v>94</v>
      </c>
      <c r="B3409" t="s">
        <v>258</v>
      </c>
      <c r="C3409">
        <v>2021</v>
      </c>
      <c r="D3409">
        <v>212</v>
      </c>
    </row>
    <row r="3410" spans="1:4">
      <c r="A3410" t="s">
        <v>219</v>
      </c>
      <c r="B3410" t="s">
        <v>258</v>
      </c>
      <c r="C3410">
        <v>2021</v>
      </c>
      <c r="D3410">
        <v>183</v>
      </c>
    </row>
    <row r="3411" spans="1:4">
      <c r="A3411" t="s">
        <v>214</v>
      </c>
      <c r="B3411" t="s">
        <v>258</v>
      </c>
      <c r="C3411">
        <v>2021</v>
      </c>
      <c r="D3411">
        <v>211</v>
      </c>
    </row>
    <row r="3412" spans="1:4">
      <c r="A3412" t="s">
        <v>70</v>
      </c>
      <c r="B3412" t="s">
        <v>258</v>
      </c>
      <c r="C3412">
        <v>2021</v>
      </c>
      <c r="D3412">
        <v>3270</v>
      </c>
    </row>
    <row r="3413" spans="1:4">
      <c r="A3413" t="s">
        <v>144</v>
      </c>
      <c r="B3413" t="s">
        <v>258</v>
      </c>
      <c r="C3413">
        <v>2021</v>
      </c>
      <c r="D3413">
        <v>310</v>
      </c>
    </row>
    <row r="3414" spans="1:4">
      <c r="A3414" t="s">
        <v>89</v>
      </c>
      <c r="B3414" t="s">
        <v>258</v>
      </c>
      <c r="C3414">
        <v>2021</v>
      </c>
      <c r="D3414">
        <v>189</v>
      </c>
    </row>
    <row r="3415" spans="1:4">
      <c r="A3415" t="s">
        <v>204</v>
      </c>
      <c r="B3415" t="s">
        <v>258</v>
      </c>
      <c r="C3415">
        <v>2021</v>
      </c>
      <c r="D3415">
        <v>141</v>
      </c>
    </row>
    <row r="3416" spans="1:4">
      <c r="A3416" t="s">
        <v>114</v>
      </c>
      <c r="B3416" t="s">
        <v>258</v>
      </c>
      <c r="C3416">
        <v>2021</v>
      </c>
      <c r="D3416">
        <v>15</v>
      </c>
    </row>
    <row r="3417" spans="1:4">
      <c r="A3417" t="s">
        <v>184</v>
      </c>
      <c r="B3417" t="s">
        <v>258</v>
      </c>
      <c r="C3417">
        <v>2021</v>
      </c>
      <c r="D3417">
        <v>30</v>
      </c>
    </row>
    <row r="3418" spans="1:4">
      <c r="A3418" t="s">
        <v>79</v>
      </c>
      <c r="B3418" t="s">
        <v>258</v>
      </c>
      <c r="C3418">
        <v>2021</v>
      </c>
      <c r="D3418">
        <v>20</v>
      </c>
    </row>
    <row r="3419" spans="1:4">
      <c r="A3419" t="s">
        <v>199</v>
      </c>
      <c r="B3419" t="s">
        <v>258</v>
      </c>
      <c r="C3419">
        <v>2021</v>
      </c>
      <c r="D3419">
        <v>17</v>
      </c>
    </row>
    <row r="3420" spans="1:4">
      <c r="A3420" t="s">
        <v>224</v>
      </c>
      <c r="B3420" t="s">
        <v>258</v>
      </c>
      <c r="C3420">
        <v>2021</v>
      </c>
      <c r="D3420">
        <v>196</v>
      </c>
    </row>
    <row r="3421" spans="1:4">
      <c r="A3421" t="s">
        <v>194</v>
      </c>
      <c r="B3421" t="s">
        <v>258</v>
      </c>
      <c r="C3421">
        <v>2021</v>
      </c>
      <c r="D3421">
        <v>51</v>
      </c>
    </row>
    <row r="3422" spans="1:4">
      <c r="A3422" t="s">
        <v>124</v>
      </c>
      <c r="B3422" t="s">
        <v>258</v>
      </c>
      <c r="C3422">
        <v>2021</v>
      </c>
      <c r="D3422">
        <v>155</v>
      </c>
    </row>
    <row r="3423" spans="1:4">
      <c r="A3423" t="s">
        <v>179</v>
      </c>
      <c r="B3423" t="s">
        <v>258</v>
      </c>
      <c r="C3423">
        <v>2021</v>
      </c>
      <c r="D3423">
        <v>5</v>
      </c>
    </row>
    <row r="3424" spans="1:4">
      <c r="A3424" t="s">
        <v>70</v>
      </c>
      <c r="B3424" t="s">
        <v>258</v>
      </c>
      <c r="C3424">
        <v>2022</v>
      </c>
      <c r="D3424" s="97">
        <v>4276</v>
      </c>
    </row>
    <row r="3425" spans="1:4">
      <c r="A3425" t="s">
        <v>74</v>
      </c>
      <c r="B3425" t="s">
        <v>258</v>
      </c>
      <c r="C3425">
        <v>2022</v>
      </c>
      <c r="D3425" s="97">
        <v>9</v>
      </c>
    </row>
    <row r="3426" spans="1:4">
      <c r="A3426" t="s">
        <v>79</v>
      </c>
      <c r="B3426" t="s">
        <v>258</v>
      </c>
      <c r="C3426">
        <v>2022</v>
      </c>
      <c r="D3426" s="97">
        <v>24</v>
      </c>
    </row>
    <row r="3427" spans="1:4">
      <c r="A3427" t="s">
        <v>84</v>
      </c>
      <c r="B3427" t="s">
        <v>258</v>
      </c>
      <c r="C3427">
        <v>2022</v>
      </c>
      <c r="D3427" s="97">
        <v>443</v>
      </c>
    </row>
    <row r="3428" spans="1:4">
      <c r="A3428" t="s">
        <v>89</v>
      </c>
      <c r="B3428" t="s">
        <v>258</v>
      </c>
      <c r="C3428">
        <v>2022</v>
      </c>
      <c r="D3428" s="97">
        <v>219</v>
      </c>
    </row>
    <row r="3429" spans="1:4">
      <c r="A3429" t="s">
        <v>94</v>
      </c>
      <c r="B3429" t="s">
        <v>258</v>
      </c>
      <c r="C3429">
        <v>2022</v>
      </c>
      <c r="D3429" s="97">
        <v>245</v>
      </c>
    </row>
    <row r="3430" spans="1:4">
      <c r="A3430" t="s">
        <v>99</v>
      </c>
      <c r="B3430" t="s">
        <v>258</v>
      </c>
      <c r="C3430">
        <v>2022</v>
      </c>
      <c r="D3430" s="97">
        <v>76</v>
      </c>
    </row>
    <row r="3431" spans="1:4">
      <c r="A3431" t="s">
        <v>104</v>
      </c>
      <c r="B3431" t="s">
        <v>258</v>
      </c>
      <c r="C3431">
        <v>2022</v>
      </c>
      <c r="D3431" s="97">
        <v>59</v>
      </c>
    </row>
    <row r="3432" spans="1:4">
      <c r="A3432" t="s">
        <v>109</v>
      </c>
      <c r="B3432" t="s">
        <v>258</v>
      </c>
      <c r="C3432">
        <v>2022</v>
      </c>
      <c r="D3432" s="97">
        <v>71</v>
      </c>
    </row>
    <row r="3433" spans="1:4">
      <c r="A3433" t="s">
        <v>114</v>
      </c>
      <c r="B3433" t="s">
        <v>258</v>
      </c>
      <c r="C3433">
        <v>2022</v>
      </c>
      <c r="D3433" s="97">
        <v>18</v>
      </c>
    </row>
    <row r="3434" spans="1:4">
      <c r="A3434" t="s">
        <v>119</v>
      </c>
      <c r="B3434" t="s">
        <v>258</v>
      </c>
      <c r="C3434">
        <v>2022</v>
      </c>
      <c r="D3434" s="97">
        <v>255</v>
      </c>
    </row>
    <row r="3435" spans="1:4">
      <c r="A3435" t="s">
        <v>124</v>
      </c>
      <c r="B3435" t="s">
        <v>258</v>
      </c>
      <c r="C3435">
        <v>2022</v>
      </c>
      <c r="D3435" s="97">
        <v>216</v>
      </c>
    </row>
    <row r="3436" spans="1:4">
      <c r="A3436" t="s">
        <v>129</v>
      </c>
      <c r="B3436" t="s">
        <v>258</v>
      </c>
      <c r="C3436">
        <v>2022</v>
      </c>
      <c r="D3436" s="97">
        <v>206</v>
      </c>
    </row>
    <row r="3437" spans="1:4">
      <c r="A3437" t="s">
        <v>134</v>
      </c>
      <c r="B3437" t="s">
        <v>258</v>
      </c>
      <c r="C3437">
        <v>2022</v>
      </c>
      <c r="D3437" s="97">
        <v>38</v>
      </c>
    </row>
    <row r="3438" spans="1:4">
      <c r="A3438" t="s">
        <v>139</v>
      </c>
      <c r="B3438" t="s">
        <v>258</v>
      </c>
      <c r="C3438">
        <v>2022</v>
      </c>
      <c r="D3438" s="97">
        <v>103</v>
      </c>
    </row>
    <row r="3439" spans="1:4">
      <c r="A3439" t="s">
        <v>144</v>
      </c>
      <c r="B3439" t="s">
        <v>258</v>
      </c>
      <c r="C3439">
        <v>2022</v>
      </c>
      <c r="D3439" s="97">
        <v>462</v>
      </c>
    </row>
    <row r="3440" spans="1:4">
      <c r="A3440" t="s">
        <v>149</v>
      </c>
      <c r="B3440" t="s">
        <v>258</v>
      </c>
      <c r="C3440">
        <v>2022</v>
      </c>
      <c r="D3440" s="97">
        <v>206</v>
      </c>
    </row>
    <row r="3441" spans="1:4">
      <c r="A3441" t="s">
        <v>154</v>
      </c>
      <c r="B3441" t="s">
        <v>258</v>
      </c>
      <c r="C3441">
        <v>2022</v>
      </c>
      <c r="D3441" s="97">
        <v>129</v>
      </c>
    </row>
    <row r="3442" spans="1:4">
      <c r="A3442" t="s">
        <v>159</v>
      </c>
      <c r="B3442" t="s">
        <v>258</v>
      </c>
      <c r="C3442">
        <v>2022</v>
      </c>
      <c r="D3442" s="97">
        <v>53</v>
      </c>
    </row>
    <row r="3443" spans="1:4">
      <c r="A3443" t="s">
        <v>164</v>
      </c>
      <c r="B3443" t="s">
        <v>258</v>
      </c>
      <c r="C3443">
        <v>2022</v>
      </c>
      <c r="D3443" s="97">
        <v>135</v>
      </c>
    </row>
    <row r="3444" spans="1:4">
      <c r="A3444" t="s">
        <v>169</v>
      </c>
      <c r="B3444" t="s">
        <v>258</v>
      </c>
      <c r="C3444">
        <v>2022</v>
      </c>
      <c r="D3444" s="97">
        <v>43</v>
      </c>
    </row>
    <row r="3445" spans="1:4">
      <c r="A3445" t="s">
        <v>174</v>
      </c>
      <c r="B3445" t="s">
        <v>258</v>
      </c>
      <c r="C3445">
        <v>2022</v>
      </c>
      <c r="D3445" s="97">
        <v>22</v>
      </c>
    </row>
    <row r="3446" spans="1:4">
      <c r="A3446" t="s">
        <v>179</v>
      </c>
      <c r="B3446" t="s">
        <v>258</v>
      </c>
      <c r="C3446">
        <v>2022</v>
      </c>
      <c r="D3446" s="97">
        <v>6</v>
      </c>
    </row>
    <row r="3447" spans="1:4">
      <c r="A3447" t="s">
        <v>184</v>
      </c>
      <c r="B3447" t="s">
        <v>258</v>
      </c>
      <c r="C3447">
        <v>2022</v>
      </c>
      <c r="D3447" s="97">
        <v>30</v>
      </c>
    </row>
    <row r="3448" spans="1:4">
      <c r="A3448" t="s">
        <v>189</v>
      </c>
      <c r="B3448" t="s">
        <v>258</v>
      </c>
      <c r="C3448">
        <v>2022</v>
      </c>
      <c r="D3448" s="97">
        <v>110</v>
      </c>
    </row>
    <row r="3449" spans="1:4">
      <c r="A3449" t="s">
        <v>194</v>
      </c>
      <c r="B3449" t="s">
        <v>258</v>
      </c>
      <c r="C3449">
        <v>2022</v>
      </c>
      <c r="D3449" s="97">
        <v>55</v>
      </c>
    </row>
    <row r="3450" spans="1:4">
      <c r="A3450" t="s">
        <v>199</v>
      </c>
      <c r="B3450" t="s">
        <v>258</v>
      </c>
      <c r="C3450">
        <v>2022</v>
      </c>
      <c r="D3450" s="97">
        <v>19</v>
      </c>
    </row>
    <row r="3451" spans="1:4">
      <c r="A3451" t="s">
        <v>204</v>
      </c>
      <c r="B3451" t="s">
        <v>258</v>
      </c>
      <c r="C3451">
        <v>2022</v>
      </c>
      <c r="D3451" s="97">
        <v>169</v>
      </c>
    </row>
    <row r="3452" spans="1:4">
      <c r="A3452" t="s">
        <v>209</v>
      </c>
      <c r="B3452" t="s">
        <v>258</v>
      </c>
      <c r="C3452">
        <v>2022</v>
      </c>
      <c r="D3452" s="97">
        <v>180</v>
      </c>
    </row>
    <row r="3453" spans="1:4">
      <c r="A3453" t="s">
        <v>214</v>
      </c>
      <c r="B3453" t="s">
        <v>258</v>
      </c>
      <c r="C3453">
        <v>2022</v>
      </c>
      <c r="D3453" s="97">
        <v>256</v>
      </c>
    </row>
    <row r="3454" spans="1:4">
      <c r="A3454" t="s">
        <v>219</v>
      </c>
      <c r="B3454" t="s">
        <v>258</v>
      </c>
      <c r="C3454">
        <v>2022</v>
      </c>
      <c r="D3454" s="97">
        <v>221</v>
      </c>
    </row>
    <row r="3455" spans="1:4">
      <c r="A3455" t="s">
        <v>224</v>
      </c>
      <c r="B3455" t="s">
        <v>258</v>
      </c>
      <c r="C3455">
        <v>2022</v>
      </c>
      <c r="D3455" s="97">
        <v>200</v>
      </c>
    </row>
    <row r="3456" spans="1:4">
      <c r="A3456" t="s">
        <v>129</v>
      </c>
      <c r="B3456" t="s">
        <v>259</v>
      </c>
      <c r="C3456">
        <v>2015</v>
      </c>
    </row>
    <row r="3457" spans="1:3">
      <c r="A3457" t="s">
        <v>74</v>
      </c>
      <c r="B3457" t="s">
        <v>259</v>
      </c>
      <c r="C3457">
        <v>2015</v>
      </c>
    </row>
    <row r="3458" spans="1:3">
      <c r="A3458" t="s">
        <v>134</v>
      </c>
      <c r="B3458" t="s">
        <v>259</v>
      </c>
      <c r="C3458">
        <v>2015</v>
      </c>
    </row>
    <row r="3459" spans="1:3">
      <c r="A3459" t="s">
        <v>209</v>
      </c>
      <c r="B3459" t="s">
        <v>259</v>
      </c>
      <c r="C3459">
        <v>2015</v>
      </c>
    </row>
    <row r="3460" spans="1:3">
      <c r="A3460" t="s">
        <v>164</v>
      </c>
      <c r="B3460" t="s">
        <v>259</v>
      </c>
      <c r="C3460">
        <v>2015</v>
      </c>
    </row>
    <row r="3461" spans="1:3">
      <c r="A3461" t="s">
        <v>169</v>
      </c>
      <c r="B3461" t="s">
        <v>259</v>
      </c>
      <c r="C3461">
        <v>2015</v>
      </c>
    </row>
    <row r="3462" spans="1:3">
      <c r="A3462" t="s">
        <v>189</v>
      </c>
      <c r="B3462" t="s">
        <v>259</v>
      </c>
      <c r="C3462">
        <v>2015</v>
      </c>
    </row>
    <row r="3463" spans="1:3">
      <c r="A3463" t="s">
        <v>174</v>
      </c>
      <c r="B3463" t="s">
        <v>259</v>
      </c>
      <c r="C3463">
        <v>2015</v>
      </c>
    </row>
    <row r="3464" spans="1:3">
      <c r="A3464" t="s">
        <v>84</v>
      </c>
      <c r="B3464" t="s">
        <v>259</v>
      </c>
      <c r="C3464">
        <v>2015</v>
      </c>
    </row>
    <row r="3465" spans="1:3">
      <c r="A3465" t="s">
        <v>149</v>
      </c>
      <c r="B3465" t="s">
        <v>259</v>
      </c>
      <c r="C3465">
        <v>2015</v>
      </c>
    </row>
    <row r="3466" spans="1:3">
      <c r="A3466" t="s">
        <v>109</v>
      </c>
      <c r="B3466" t="s">
        <v>259</v>
      </c>
      <c r="C3466">
        <v>2015</v>
      </c>
    </row>
    <row r="3467" spans="1:3">
      <c r="A3467" t="s">
        <v>154</v>
      </c>
      <c r="B3467" t="s">
        <v>259</v>
      </c>
      <c r="C3467">
        <v>2015</v>
      </c>
    </row>
    <row r="3468" spans="1:3">
      <c r="A3468" t="s">
        <v>159</v>
      </c>
      <c r="B3468" t="s">
        <v>259</v>
      </c>
      <c r="C3468">
        <v>2015</v>
      </c>
    </row>
    <row r="3469" spans="1:3">
      <c r="A3469" t="s">
        <v>104</v>
      </c>
      <c r="B3469" t="s">
        <v>259</v>
      </c>
      <c r="C3469">
        <v>2015</v>
      </c>
    </row>
    <row r="3470" spans="1:3">
      <c r="A3470" t="s">
        <v>119</v>
      </c>
      <c r="B3470" t="s">
        <v>259</v>
      </c>
      <c r="C3470">
        <v>2015</v>
      </c>
    </row>
    <row r="3471" spans="1:3">
      <c r="A3471" t="s">
        <v>139</v>
      </c>
      <c r="B3471" t="s">
        <v>259</v>
      </c>
      <c r="C3471">
        <v>2015</v>
      </c>
    </row>
    <row r="3472" spans="1:3">
      <c r="A3472" t="s">
        <v>99</v>
      </c>
      <c r="B3472" t="s">
        <v>259</v>
      </c>
      <c r="C3472">
        <v>2015</v>
      </c>
    </row>
    <row r="3473" spans="1:4">
      <c r="A3473" t="s">
        <v>94</v>
      </c>
      <c r="B3473" t="s">
        <v>259</v>
      </c>
      <c r="C3473">
        <v>2015</v>
      </c>
    </row>
    <row r="3474" spans="1:4">
      <c r="A3474" t="s">
        <v>219</v>
      </c>
      <c r="B3474" t="s">
        <v>259</v>
      </c>
      <c r="C3474">
        <v>2015</v>
      </c>
    </row>
    <row r="3475" spans="1:4">
      <c r="A3475" t="s">
        <v>214</v>
      </c>
      <c r="B3475" t="s">
        <v>259</v>
      </c>
      <c r="C3475">
        <v>2015</v>
      </c>
    </row>
    <row r="3476" spans="1:4">
      <c r="A3476" t="s">
        <v>70</v>
      </c>
      <c r="B3476" t="s">
        <v>259</v>
      </c>
      <c r="C3476">
        <v>2015</v>
      </c>
    </row>
    <row r="3477" spans="1:4">
      <c r="A3477" t="s">
        <v>144</v>
      </c>
      <c r="B3477" t="s">
        <v>259</v>
      </c>
      <c r="C3477">
        <v>2015</v>
      </c>
    </row>
    <row r="3478" spans="1:4">
      <c r="A3478" t="s">
        <v>89</v>
      </c>
      <c r="B3478" t="s">
        <v>259</v>
      </c>
      <c r="C3478">
        <v>2015</v>
      </c>
    </row>
    <row r="3479" spans="1:4">
      <c r="A3479" t="s">
        <v>204</v>
      </c>
      <c r="B3479" t="s">
        <v>259</v>
      </c>
      <c r="C3479">
        <v>2015</v>
      </c>
    </row>
    <row r="3480" spans="1:4">
      <c r="A3480" t="s">
        <v>114</v>
      </c>
      <c r="B3480" t="s">
        <v>259</v>
      </c>
      <c r="C3480">
        <v>2015</v>
      </c>
    </row>
    <row r="3481" spans="1:4">
      <c r="A3481" t="s">
        <v>184</v>
      </c>
      <c r="B3481" t="s">
        <v>259</v>
      </c>
      <c r="C3481">
        <v>2015</v>
      </c>
    </row>
    <row r="3482" spans="1:4">
      <c r="A3482" t="s">
        <v>79</v>
      </c>
      <c r="B3482" t="s">
        <v>259</v>
      </c>
      <c r="C3482">
        <v>2015</v>
      </c>
    </row>
    <row r="3483" spans="1:4">
      <c r="A3483" t="s">
        <v>199</v>
      </c>
      <c r="B3483" t="s">
        <v>259</v>
      </c>
      <c r="C3483">
        <v>2015</v>
      </c>
    </row>
    <row r="3484" spans="1:4">
      <c r="A3484" t="s">
        <v>224</v>
      </c>
      <c r="B3484" t="s">
        <v>259</v>
      </c>
      <c r="C3484">
        <v>2015</v>
      </c>
    </row>
    <row r="3485" spans="1:4">
      <c r="A3485" t="s">
        <v>194</v>
      </c>
      <c r="B3485" t="s">
        <v>259</v>
      </c>
      <c r="C3485">
        <v>2015</v>
      </c>
    </row>
    <row r="3486" spans="1:4">
      <c r="A3486" t="s">
        <v>124</v>
      </c>
      <c r="B3486" t="s">
        <v>259</v>
      </c>
      <c r="C3486">
        <v>2015</v>
      </c>
    </row>
    <row r="3487" spans="1:4">
      <c r="A3487" t="s">
        <v>179</v>
      </c>
      <c r="B3487" t="s">
        <v>259</v>
      </c>
      <c r="C3487">
        <v>2015</v>
      </c>
    </row>
    <row r="3488" spans="1:4">
      <c r="A3488" t="s">
        <v>129</v>
      </c>
      <c r="B3488" t="s">
        <v>259</v>
      </c>
      <c r="C3488">
        <v>2016</v>
      </c>
      <c r="D3488">
        <v>0</v>
      </c>
    </row>
    <row r="3489" spans="1:4">
      <c r="A3489" t="s">
        <v>74</v>
      </c>
      <c r="B3489" t="s">
        <v>259</v>
      </c>
      <c r="C3489">
        <v>2016</v>
      </c>
      <c r="D3489">
        <v>1</v>
      </c>
    </row>
    <row r="3490" spans="1:4">
      <c r="A3490" t="s">
        <v>134</v>
      </c>
      <c r="B3490" t="s">
        <v>259</v>
      </c>
      <c r="C3490">
        <v>2016</v>
      </c>
      <c r="D3490">
        <v>0</v>
      </c>
    </row>
    <row r="3491" spans="1:4">
      <c r="A3491" t="s">
        <v>209</v>
      </c>
      <c r="B3491" t="s">
        <v>259</v>
      </c>
      <c r="C3491">
        <v>2016</v>
      </c>
    </row>
    <row r="3492" spans="1:4">
      <c r="A3492" t="s">
        <v>164</v>
      </c>
      <c r="B3492" t="s">
        <v>259</v>
      </c>
      <c r="C3492">
        <v>2016</v>
      </c>
      <c r="D3492">
        <v>2</v>
      </c>
    </row>
    <row r="3493" spans="1:4">
      <c r="A3493" t="s">
        <v>169</v>
      </c>
      <c r="B3493" t="s">
        <v>259</v>
      </c>
      <c r="C3493">
        <v>2016</v>
      </c>
    </row>
    <row r="3494" spans="1:4">
      <c r="A3494" t="s">
        <v>189</v>
      </c>
      <c r="B3494" t="s">
        <v>259</v>
      </c>
      <c r="C3494">
        <v>2016</v>
      </c>
    </row>
    <row r="3495" spans="1:4">
      <c r="A3495" t="s">
        <v>174</v>
      </c>
      <c r="B3495" t="s">
        <v>259</v>
      </c>
      <c r="C3495">
        <v>2016</v>
      </c>
      <c r="D3495">
        <v>0</v>
      </c>
    </row>
    <row r="3496" spans="1:4">
      <c r="A3496" t="s">
        <v>84</v>
      </c>
      <c r="B3496" t="s">
        <v>259</v>
      </c>
      <c r="C3496">
        <v>2016</v>
      </c>
      <c r="D3496">
        <v>0</v>
      </c>
    </row>
    <row r="3497" spans="1:4">
      <c r="A3497" t="s">
        <v>149</v>
      </c>
      <c r="B3497" t="s">
        <v>259</v>
      </c>
      <c r="C3497">
        <v>2016</v>
      </c>
    </row>
    <row r="3498" spans="1:4">
      <c r="A3498" t="s">
        <v>109</v>
      </c>
      <c r="B3498" t="s">
        <v>259</v>
      </c>
      <c r="C3498">
        <v>2016</v>
      </c>
      <c r="D3498">
        <v>0</v>
      </c>
    </row>
    <row r="3499" spans="1:4">
      <c r="A3499" t="s">
        <v>154</v>
      </c>
      <c r="B3499" t="s">
        <v>259</v>
      </c>
      <c r="C3499">
        <v>2016</v>
      </c>
      <c r="D3499">
        <v>0</v>
      </c>
    </row>
    <row r="3500" spans="1:4">
      <c r="A3500" t="s">
        <v>159</v>
      </c>
      <c r="B3500" t="s">
        <v>259</v>
      </c>
      <c r="C3500">
        <v>2016</v>
      </c>
      <c r="D3500">
        <v>6</v>
      </c>
    </row>
    <row r="3501" spans="1:4">
      <c r="A3501" t="s">
        <v>104</v>
      </c>
      <c r="B3501" t="s">
        <v>259</v>
      </c>
      <c r="C3501">
        <v>2016</v>
      </c>
      <c r="D3501">
        <v>0</v>
      </c>
    </row>
    <row r="3502" spans="1:4">
      <c r="A3502" t="s">
        <v>119</v>
      </c>
      <c r="B3502" t="s">
        <v>259</v>
      </c>
      <c r="C3502">
        <v>2016</v>
      </c>
      <c r="D3502">
        <v>1</v>
      </c>
    </row>
    <row r="3503" spans="1:4">
      <c r="A3503" t="s">
        <v>139</v>
      </c>
      <c r="B3503" t="s">
        <v>259</v>
      </c>
      <c r="C3503">
        <v>2016</v>
      </c>
      <c r="D3503">
        <v>0</v>
      </c>
    </row>
    <row r="3504" spans="1:4">
      <c r="A3504" t="s">
        <v>99</v>
      </c>
      <c r="B3504" t="s">
        <v>259</v>
      </c>
      <c r="C3504">
        <v>2016</v>
      </c>
    </row>
    <row r="3505" spans="1:4">
      <c r="A3505" t="s">
        <v>94</v>
      </c>
      <c r="B3505" t="s">
        <v>259</v>
      </c>
      <c r="C3505">
        <v>2016</v>
      </c>
    </row>
    <row r="3506" spans="1:4">
      <c r="A3506" t="s">
        <v>219</v>
      </c>
      <c r="B3506" t="s">
        <v>259</v>
      </c>
      <c r="C3506">
        <v>2016</v>
      </c>
    </row>
    <row r="3507" spans="1:4">
      <c r="A3507" t="s">
        <v>214</v>
      </c>
      <c r="B3507" t="s">
        <v>259</v>
      </c>
      <c r="C3507">
        <v>2016</v>
      </c>
    </row>
    <row r="3508" spans="1:4">
      <c r="A3508" t="s">
        <v>70</v>
      </c>
      <c r="B3508" t="s">
        <v>259</v>
      </c>
      <c r="C3508">
        <v>2016</v>
      </c>
      <c r="D3508">
        <v>21</v>
      </c>
    </row>
    <row r="3509" spans="1:4">
      <c r="A3509" t="s">
        <v>144</v>
      </c>
      <c r="B3509" t="s">
        <v>259</v>
      </c>
      <c r="C3509">
        <v>2016</v>
      </c>
      <c r="D3509">
        <v>3</v>
      </c>
    </row>
    <row r="3510" spans="1:4">
      <c r="A3510" t="s">
        <v>89</v>
      </c>
      <c r="B3510" t="s">
        <v>259</v>
      </c>
      <c r="C3510">
        <v>2016</v>
      </c>
      <c r="D3510">
        <v>5</v>
      </c>
    </row>
    <row r="3511" spans="1:4">
      <c r="A3511" t="s">
        <v>204</v>
      </c>
      <c r="B3511" t="s">
        <v>259</v>
      </c>
      <c r="C3511">
        <v>2016</v>
      </c>
    </row>
    <row r="3512" spans="1:4">
      <c r="A3512" t="s">
        <v>114</v>
      </c>
      <c r="B3512" t="s">
        <v>259</v>
      </c>
      <c r="C3512">
        <v>2016</v>
      </c>
      <c r="D3512">
        <v>1</v>
      </c>
    </row>
    <row r="3513" spans="1:4">
      <c r="A3513" t="s">
        <v>184</v>
      </c>
      <c r="B3513" t="s">
        <v>259</v>
      </c>
      <c r="C3513">
        <v>2016</v>
      </c>
    </row>
    <row r="3514" spans="1:4">
      <c r="A3514" t="s">
        <v>79</v>
      </c>
      <c r="B3514" t="s">
        <v>259</v>
      </c>
      <c r="C3514">
        <v>2016</v>
      </c>
    </row>
    <row r="3515" spans="1:4">
      <c r="A3515" t="s">
        <v>199</v>
      </c>
      <c r="B3515" t="s">
        <v>259</v>
      </c>
      <c r="C3515">
        <v>2016</v>
      </c>
    </row>
    <row r="3516" spans="1:4">
      <c r="A3516" t="s">
        <v>224</v>
      </c>
      <c r="B3516" t="s">
        <v>259</v>
      </c>
      <c r="C3516">
        <v>2016</v>
      </c>
    </row>
    <row r="3517" spans="1:4">
      <c r="A3517" t="s">
        <v>194</v>
      </c>
      <c r="B3517" t="s">
        <v>259</v>
      </c>
      <c r="C3517">
        <v>2016</v>
      </c>
    </row>
    <row r="3518" spans="1:4">
      <c r="A3518" t="s">
        <v>124</v>
      </c>
      <c r="B3518" t="s">
        <v>259</v>
      </c>
      <c r="C3518">
        <v>2016</v>
      </c>
      <c r="D3518">
        <v>1</v>
      </c>
    </row>
    <row r="3519" spans="1:4">
      <c r="A3519" t="s">
        <v>179</v>
      </c>
      <c r="B3519" t="s">
        <v>259</v>
      </c>
      <c r="C3519">
        <v>2016</v>
      </c>
      <c r="D3519">
        <v>0</v>
      </c>
    </row>
    <row r="3520" spans="1:4">
      <c r="A3520" t="s">
        <v>129</v>
      </c>
      <c r="B3520" t="s">
        <v>259</v>
      </c>
      <c r="C3520">
        <v>2017</v>
      </c>
      <c r="D3520">
        <v>1</v>
      </c>
    </row>
    <row r="3521" spans="1:4">
      <c r="A3521" t="s">
        <v>74</v>
      </c>
      <c r="B3521" t="s">
        <v>259</v>
      </c>
      <c r="C3521">
        <v>2017</v>
      </c>
      <c r="D3521">
        <v>1</v>
      </c>
    </row>
    <row r="3522" spans="1:4">
      <c r="A3522" t="s">
        <v>134</v>
      </c>
      <c r="B3522" t="s">
        <v>259</v>
      </c>
      <c r="C3522">
        <v>2017</v>
      </c>
      <c r="D3522">
        <v>0.2</v>
      </c>
    </row>
    <row r="3523" spans="1:4">
      <c r="A3523" t="s">
        <v>209</v>
      </c>
      <c r="B3523" t="s">
        <v>259</v>
      </c>
      <c r="C3523">
        <v>2017</v>
      </c>
    </row>
    <row r="3524" spans="1:4">
      <c r="A3524" t="s">
        <v>164</v>
      </c>
      <c r="B3524" t="s">
        <v>259</v>
      </c>
      <c r="C3524">
        <v>2017</v>
      </c>
      <c r="D3524">
        <v>5</v>
      </c>
    </row>
    <row r="3525" spans="1:4">
      <c r="A3525" t="s">
        <v>169</v>
      </c>
      <c r="B3525" t="s">
        <v>259</v>
      </c>
      <c r="C3525">
        <v>2017</v>
      </c>
      <c r="D3525">
        <v>1</v>
      </c>
    </row>
    <row r="3526" spans="1:4">
      <c r="A3526" t="s">
        <v>189</v>
      </c>
      <c r="B3526" t="s">
        <v>259</v>
      </c>
      <c r="C3526">
        <v>2017</v>
      </c>
    </row>
    <row r="3527" spans="1:4">
      <c r="A3527" t="s">
        <v>174</v>
      </c>
      <c r="B3527" t="s">
        <v>259</v>
      </c>
      <c r="C3527">
        <v>2017</v>
      </c>
      <c r="D3527">
        <v>0.2</v>
      </c>
    </row>
    <row r="3528" spans="1:4">
      <c r="A3528" t="s">
        <v>84</v>
      </c>
      <c r="B3528" t="s">
        <v>259</v>
      </c>
      <c r="C3528">
        <v>2017</v>
      </c>
      <c r="D3528">
        <v>0.2</v>
      </c>
    </row>
    <row r="3529" spans="1:4">
      <c r="A3529" t="s">
        <v>149</v>
      </c>
      <c r="B3529" t="s">
        <v>259</v>
      </c>
      <c r="C3529">
        <v>2017</v>
      </c>
      <c r="D3529">
        <v>0.2</v>
      </c>
    </row>
    <row r="3530" spans="1:4">
      <c r="A3530" t="s">
        <v>109</v>
      </c>
      <c r="B3530" t="s">
        <v>259</v>
      </c>
      <c r="C3530">
        <v>2017</v>
      </c>
      <c r="D3530">
        <v>0.07</v>
      </c>
    </row>
    <row r="3531" spans="1:4">
      <c r="A3531" t="s">
        <v>154</v>
      </c>
      <c r="B3531" t="s">
        <v>259</v>
      </c>
      <c r="C3531">
        <v>2017</v>
      </c>
      <c r="D3531">
        <v>0.3</v>
      </c>
    </row>
    <row r="3532" spans="1:4">
      <c r="A3532" t="s">
        <v>159</v>
      </c>
      <c r="B3532" t="s">
        <v>259</v>
      </c>
      <c r="C3532">
        <v>2017</v>
      </c>
      <c r="D3532">
        <v>1</v>
      </c>
    </row>
    <row r="3533" spans="1:4">
      <c r="A3533" t="s">
        <v>104</v>
      </c>
      <c r="B3533" t="s">
        <v>259</v>
      </c>
      <c r="C3533">
        <v>2017</v>
      </c>
      <c r="D3533">
        <v>0.04</v>
      </c>
    </row>
    <row r="3534" spans="1:4">
      <c r="A3534" t="s">
        <v>119</v>
      </c>
      <c r="B3534" t="s">
        <v>259</v>
      </c>
      <c r="C3534">
        <v>2017</v>
      </c>
      <c r="D3534">
        <v>1</v>
      </c>
    </row>
    <row r="3535" spans="1:4">
      <c r="A3535" t="s">
        <v>139</v>
      </c>
      <c r="B3535" t="s">
        <v>259</v>
      </c>
      <c r="C3535">
        <v>2017</v>
      </c>
      <c r="D3535">
        <v>0.2</v>
      </c>
    </row>
    <row r="3536" spans="1:4">
      <c r="A3536" t="s">
        <v>99</v>
      </c>
      <c r="B3536" t="s">
        <v>259</v>
      </c>
      <c r="C3536">
        <v>2017</v>
      </c>
    </row>
    <row r="3537" spans="1:4">
      <c r="A3537" t="s">
        <v>94</v>
      </c>
      <c r="B3537" t="s">
        <v>259</v>
      </c>
      <c r="C3537">
        <v>2017</v>
      </c>
      <c r="D3537">
        <v>0.05</v>
      </c>
    </row>
    <row r="3538" spans="1:4">
      <c r="A3538" t="s">
        <v>219</v>
      </c>
      <c r="B3538" t="s">
        <v>259</v>
      </c>
      <c r="C3538">
        <v>2017</v>
      </c>
    </row>
    <row r="3539" spans="1:4">
      <c r="A3539" t="s">
        <v>214</v>
      </c>
      <c r="B3539" t="s">
        <v>259</v>
      </c>
      <c r="C3539">
        <v>2017</v>
      </c>
    </row>
    <row r="3540" spans="1:4">
      <c r="A3540" t="s">
        <v>70</v>
      </c>
      <c r="B3540" t="s">
        <v>259</v>
      </c>
      <c r="C3540">
        <v>2017</v>
      </c>
      <c r="D3540">
        <v>18</v>
      </c>
    </row>
    <row r="3541" spans="1:4">
      <c r="A3541" t="s">
        <v>144</v>
      </c>
      <c r="B3541" t="s">
        <v>259</v>
      </c>
      <c r="C3541">
        <v>2017</v>
      </c>
      <c r="D3541">
        <v>1</v>
      </c>
    </row>
    <row r="3542" spans="1:4">
      <c r="A3542" t="s">
        <v>89</v>
      </c>
      <c r="B3542" t="s">
        <v>259</v>
      </c>
      <c r="C3542">
        <v>2017</v>
      </c>
      <c r="D3542">
        <v>2</v>
      </c>
    </row>
    <row r="3543" spans="1:4">
      <c r="A3543" t="s">
        <v>204</v>
      </c>
      <c r="B3543" t="s">
        <v>259</v>
      </c>
      <c r="C3543">
        <v>2017</v>
      </c>
    </row>
    <row r="3544" spans="1:4">
      <c r="A3544" t="s">
        <v>114</v>
      </c>
      <c r="B3544" t="s">
        <v>259</v>
      </c>
      <c r="C3544">
        <v>2017</v>
      </c>
      <c r="D3544">
        <v>1</v>
      </c>
    </row>
    <row r="3545" spans="1:4">
      <c r="A3545" t="s">
        <v>184</v>
      </c>
      <c r="B3545" t="s">
        <v>259</v>
      </c>
      <c r="C3545">
        <v>2017</v>
      </c>
      <c r="D3545">
        <v>1</v>
      </c>
    </row>
    <row r="3546" spans="1:4">
      <c r="A3546" t="s">
        <v>79</v>
      </c>
      <c r="B3546" t="s">
        <v>259</v>
      </c>
      <c r="C3546">
        <v>2017</v>
      </c>
    </row>
    <row r="3547" spans="1:4">
      <c r="A3547" t="s">
        <v>199</v>
      </c>
      <c r="B3547" t="s">
        <v>259</v>
      </c>
      <c r="C3547">
        <v>2017</v>
      </c>
    </row>
    <row r="3548" spans="1:4">
      <c r="A3548" t="s">
        <v>224</v>
      </c>
      <c r="B3548" t="s">
        <v>259</v>
      </c>
      <c r="C3548">
        <v>2017</v>
      </c>
      <c r="D3548">
        <v>0</v>
      </c>
    </row>
    <row r="3549" spans="1:4">
      <c r="A3549" t="s">
        <v>194</v>
      </c>
      <c r="B3549" t="s">
        <v>259</v>
      </c>
      <c r="C3549">
        <v>2017</v>
      </c>
    </row>
    <row r="3550" spans="1:4">
      <c r="A3550" t="s">
        <v>124</v>
      </c>
      <c r="B3550" t="s">
        <v>259</v>
      </c>
      <c r="C3550">
        <v>2017</v>
      </c>
      <c r="D3550">
        <v>2</v>
      </c>
    </row>
    <row r="3551" spans="1:4">
      <c r="A3551" t="s">
        <v>179</v>
      </c>
      <c r="B3551" t="s">
        <v>259</v>
      </c>
      <c r="C3551">
        <v>2017</v>
      </c>
      <c r="D3551">
        <v>1</v>
      </c>
    </row>
    <row r="3552" spans="1:4">
      <c r="A3552" t="s">
        <v>129</v>
      </c>
      <c r="B3552" t="s">
        <v>259</v>
      </c>
      <c r="C3552">
        <v>2018</v>
      </c>
      <c r="D3552">
        <v>1</v>
      </c>
    </row>
    <row r="3553" spans="1:4">
      <c r="A3553" t="s">
        <v>74</v>
      </c>
      <c r="B3553" t="s">
        <v>259</v>
      </c>
      <c r="C3553">
        <v>2018</v>
      </c>
    </row>
    <row r="3554" spans="1:4">
      <c r="A3554" t="s">
        <v>134</v>
      </c>
      <c r="B3554" t="s">
        <v>259</v>
      </c>
      <c r="C3554">
        <v>2018</v>
      </c>
      <c r="D3554">
        <v>0.2</v>
      </c>
    </row>
    <row r="3555" spans="1:4">
      <c r="A3555" t="s">
        <v>209</v>
      </c>
      <c r="B3555" t="s">
        <v>259</v>
      </c>
      <c r="C3555">
        <v>2018</v>
      </c>
    </row>
    <row r="3556" spans="1:4">
      <c r="A3556" t="s">
        <v>164</v>
      </c>
      <c r="B3556" t="s">
        <v>259</v>
      </c>
      <c r="C3556">
        <v>2018</v>
      </c>
      <c r="D3556">
        <v>5</v>
      </c>
    </row>
    <row r="3557" spans="1:4">
      <c r="A3557" t="s">
        <v>169</v>
      </c>
      <c r="B3557" t="s">
        <v>259</v>
      </c>
      <c r="C3557">
        <v>2018</v>
      </c>
      <c r="D3557">
        <v>1</v>
      </c>
    </row>
    <row r="3558" spans="1:4">
      <c r="A3558" t="s">
        <v>189</v>
      </c>
      <c r="B3558" t="s">
        <v>259</v>
      </c>
      <c r="C3558">
        <v>2018</v>
      </c>
    </row>
    <row r="3559" spans="1:4">
      <c r="A3559" t="s">
        <v>174</v>
      </c>
      <c r="B3559" t="s">
        <v>259</v>
      </c>
      <c r="C3559">
        <v>2018</v>
      </c>
      <c r="D3559">
        <v>0.2</v>
      </c>
    </row>
    <row r="3560" spans="1:4">
      <c r="A3560" t="s">
        <v>84</v>
      </c>
      <c r="B3560" t="s">
        <v>259</v>
      </c>
      <c r="C3560">
        <v>2018</v>
      </c>
      <c r="D3560">
        <v>0.3</v>
      </c>
    </row>
    <row r="3561" spans="1:4">
      <c r="A3561" t="s">
        <v>149</v>
      </c>
      <c r="B3561" t="s">
        <v>259</v>
      </c>
      <c r="C3561">
        <v>2018</v>
      </c>
    </row>
    <row r="3562" spans="1:4">
      <c r="A3562" t="s">
        <v>109</v>
      </c>
      <c r="B3562" t="s">
        <v>259</v>
      </c>
      <c r="C3562">
        <v>2018</v>
      </c>
      <c r="D3562">
        <v>0.1</v>
      </c>
    </row>
    <row r="3563" spans="1:4">
      <c r="A3563" t="s">
        <v>154</v>
      </c>
      <c r="B3563" t="s">
        <v>259</v>
      </c>
      <c r="C3563">
        <v>2018</v>
      </c>
      <c r="D3563">
        <v>0.6</v>
      </c>
    </row>
    <row r="3564" spans="1:4">
      <c r="A3564" t="s">
        <v>159</v>
      </c>
      <c r="B3564" t="s">
        <v>259</v>
      </c>
      <c r="C3564">
        <v>2018</v>
      </c>
      <c r="D3564">
        <v>1</v>
      </c>
    </row>
    <row r="3565" spans="1:4">
      <c r="A3565" t="s">
        <v>104</v>
      </c>
      <c r="B3565" t="s">
        <v>259</v>
      </c>
      <c r="C3565">
        <v>2018</v>
      </c>
    </row>
    <row r="3566" spans="1:4">
      <c r="A3566" t="s">
        <v>119</v>
      </c>
      <c r="B3566" t="s">
        <v>259</v>
      </c>
      <c r="C3566">
        <v>2018</v>
      </c>
      <c r="D3566">
        <v>2</v>
      </c>
    </row>
    <row r="3567" spans="1:4">
      <c r="A3567" t="s">
        <v>139</v>
      </c>
      <c r="B3567" t="s">
        <v>259</v>
      </c>
      <c r="C3567">
        <v>2018</v>
      </c>
      <c r="D3567">
        <v>0.4</v>
      </c>
    </row>
    <row r="3568" spans="1:4">
      <c r="A3568" t="s">
        <v>99</v>
      </c>
      <c r="B3568" t="s">
        <v>259</v>
      </c>
      <c r="C3568">
        <v>2018</v>
      </c>
    </row>
    <row r="3569" spans="1:4">
      <c r="A3569" t="s">
        <v>94</v>
      </c>
      <c r="B3569" t="s">
        <v>259</v>
      </c>
      <c r="C3569">
        <v>2018</v>
      </c>
      <c r="D3569">
        <v>0.03</v>
      </c>
    </row>
    <row r="3570" spans="1:4">
      <c r="A3570" t="s">
        <v>219</v>
      </c>
      <c r="B3570" t="s">
        <v>259</v>
      </c>
      <c r="C3570">
        <v>2018</v>
      </c>
    </row>
    <row r="3571" spans="1:4">
      <c r="A3571" t="s">
        <v>214</v>
      </c>
      <c r="B3571" t="s">
        <v>259</v>
      </c>
      <c r="C3571">
        <v>2018</v>
      </c>
      <c r="D3571">
        <v>0.2</v>
      </c>
    </row>
    <row r="3572" spans="1:4">
      <c r="A3572" t="s">
        <v>70</v>
      </c>
      <c r="B3572" t="s">
        <v>259</v>
      </c>
      <c r="C3572">
        <v>2018</v>
      </c>
      <c r="D3572">
        <v>22</v>
      </c>
    </row>
    <row r="3573" spans="1:4">
      <c r="A3573" t="s">
        <v>144</v>
      </c>
      <c r="B3573" t="s">
        <v>259</v>
      </c>
      <c r="C3573">
        <v>2018</v>
      </c>
      <c r="D3573">
        <v>2</v>
      </c>
    </row>
    <row r="3574" spans="1:4">
      <c r="A3574" t="s">
        <v>89</v>
      </c>
      <c r="B3574" t="s">
        <v>259</v>
      </c>
      <c r="C3574">
        <v>2018</v>
      </c>
      <c r="D3574">
        <v>2</v>
      </c>
    </row>
    <row r="3575" spans="1:4">
      <c r="A3575" t="s">
        <v>204</v>
      </c>
      <c r="B3575" t="s">
        <v>259</v>
      </c>
      <c r="C3575">
        <v>2018</v>
      </c>
    </row>
    <row r="3576" spans="1:4">
      <c r="A3576" t="s">
        <v>114</v>
      </c>
      <c r="B3576" t="s">
        <v>259</v>
      </c>
      <c r="C3576">
        <v>2018</v>
      </c>
      <c r="D3576">
        <v>1</v>
      </c>
    </row>
    <row r="3577" spans="1:4">
      <c r="A3577" t="s">
        <v>184</v>
      </c>
      <c r="B3577" t="s">
        <v>259</v>
      </c>
      <c r="C3577">
        <v>2018</v>
      </c>
      <c r="D3577">
        <v>2</v>
      </c>
    </row>
    <row r="3578" spans="1:4">
      <c r="A3578" t="s">
        <v>79</v>
      </c>
      <c r="B3578" t="s">
        <v>259</v>
      </c>
      <c r="C3578">
        <v>2018</v>
      </c>
    </row>
    <row r="3579" spans="1:4">
      <c r="A3579" t="s">
        <v>199</v>
      </c>
      <c r="B3579" t="s">
        <v>259</v>
      </c>
      <c r="C3579">
        <v>2018</v>
      </c>
    </row>
    <row r="3580" spans="1:4">
      <c r="A3580" t="s">
        <v>224</v>
      </c>
      <c r="B3580" t="s">
        <v>259</v>
      </c>
      <c r="C3580">
        <v>2018</v>
      </c>
    </row>
    <row r="3581" spans="1:4">
      <c r="A3581" t="s">
        <v>194</v>
      </c>
      <c r="B3581" t="s">
        <v>259</v>
      </c>
      <c r="C3581">
        <v>2018</v>
      </c>
    </row>
    <row r="3582" spans="1:4">
      <c r="A3582" t="s">
        <v>124</v>
      </c>
      <c r="B3582" t="s">
        <v>259</v>
      </c>
      <c r="C3582">
        <v>2018</v>
      </c>
      <c r="D3582">
        <v>3</v>
      </c>
    </row>
    <row r="3583" spans="1:4">
      <c r="A3583" t="s">
        <v>179</v>
      </c>
      <c r="B3583" t="s">
        <v>259</v>
      </c>
      <c r="C3583">
        <v>2018</v>
      </c>
      <c r="D3583">
        <v>0.5</v>
      </c>
    </row>
    <row r="3584" spans="1:4">
      <c r="A3584" t="s">
        <v>129</v>
      </c>
      <c r="B3584" t="s">
        <v>259</v>
      </c>
      <c r="C3584">
        <v>2019</v>
      </c>
      <c r="D3584">
        <v>0.5</v>
      </c>
    </row>
    <row r="3585" spans="1:4">
      <c r="A3585" t="s">
        <v>74</v>
      </c>
      <c r="B3585" t="s">
        <v>259</v>
      </c>
      <c r="C3585">
        <v>2019</v>
      </c>
    </row>
    <row r="3586" spans="1:4">
      <c r="A3586" t="s">
        <v>134</v>
      </c>
      <c r="B3586" t="s">
        <v>259</v>
      </c>
      <c r="C3586">
        <v>2019</v>
      </c>
      <c r="D3586">
        <v>0.5</v>
      </c>
    </row>
    <row r="3587" spans="1:4">
      <c r="A3587" t="s">
        <v>209</v>
      </c>
      <c r="B3587" t="s">
        <v>259</v>
      </c>
      <c r="C3587">
        <v>2019</v>
      </c>
    </row>
    <row r="3588" spans="1:4">
      <c r="A3588" t="s">
        <v>164</v>
      </c>
      <c r="B3588" t="s">
        <v>259</v>
      </c>
      <c r="C3588">
        <v>2019</v>
      </c>
      <c r="D3588">
        <v>8.2</v>
      </c>
    </row>
    <row r="3589" spans="1:4">
      <c r="A3589" t="s">
        <v>169</v>
      </c>
      <c r="B3589" t="s">
        <v>259</v>
      </c>
      <c r="C3589">
        <v>2019</v>
      </c>
      <c r="D3589">
        <v>1.1</v>
      </c>
    </row>
    <row r="3590" spans="1:4">
      <c r="A3590" t="s">
        <v>189</v>
      </c>
      <c r="B3590" t="s">
        <v>259</v>
      </c>
      <c r="C3590">
        <v>2019</v>
      </c>
    </row>
    <row r="3591" spans="1:4">
      <c r="A3591" t="s">
        <v>174</v>
      </c>
      <c r="B3591" t="s">
        <v>259</v>
      </c>
      <c r="C3591">
        <v>2019</v>
      </c>
      <c r="D3591">
        <v>0.3</v>
      </c>
    </row>
    <row r="3592" spans="1:4">
      <c r="A3592" t="s">
        <v>84</v>
      </c>
      <c r="B3592" t="s">
        <v>259</v>
      </c>
      <c r="C3592">
        <v>2019</v>
      </c>
      <c r="D3592">
        <v>0.3</v>
      </c>
    </row>
    <row r="3593" spans="1:4">
      <c r="A3593" t="s">
        <v>149</v>
      </c>
      <c r="B3593" t="s">
        <v>259</v>
      </c>
      <c r="C3593">
        <v>2019</v>
      </c>
    </row>
    <row r="3594" spans="1:4">
      <c r="A3594" t="s">
        <v>109</v>
      </c>
      <c r="B3594" t="s">
        <v>259</v>
      </c>
      <c r="C3594">
        <v>2019</v>
      </c>
      <c r="D3594">
        <v>0.1</v>
      </c>
    </row>
    <row r="3595" spans="1:4">
      <c r="A3595" t="s">
        <v>154</v>
      </c>
      <c r="B3595" t="s">
        <v>259</v>
      </c>
      <c r="C3595">
        <v>2019</v>
      </c>
      <c r="D3595">
        <v>1.1</v>
      </c>
    </row>
    <row r="3596" spans="1:4">
      <c r="A3596" t="s">
        <v>159</v>
      </c>
      <c r="B3596" t="s">
        <v>259</v>
      </c>
      <c r="C3596">
        <v>2019</v>
      </c>
      <c r="D3596">
        <v>1.1</v>
      </c>
    </row>
    <row r="3597" spans="1:4">
      <c r="A3597" t="s">
        <v>104</v>
      </c>
      <c r="B3597" t="s">
        <v>259</v>
      </c>
      <c r="C3597">
        <v>2019</v>
      </c>
    </row>
    <row r="3598" spans="1:4">
      <c r="A3598" t="s">
        <v>119</v>
      </c>
      <c r="B3598" t="s">
        <v>259</v>
      </c>
      <c r="C3598">
        <v>2019</v>
      </c>
      <c r="D3598">
        <v>2</v>
      </c>
    </row>
    <row r="3599" spans="1:4">
      <c r="A3599" t="s">
        <v>139</v>
      </c>
      <c r="B3599" t="s">
        <v>259</v>
      </c>
      <c r="C3599">
        <v>2019</v>
      </c>
      <c r="D3599">
        <v>1.6</v>
      </c>
    </row>
    <row r="3600" spans="1:4">
      <c r="A3600" t="s">
        <v>99</v>
      </c>
      <c r="B3600" t="s">
        <v>259</v>
      </c>
      <c r="C3600">
        <v>2019</v>
      </c>
    </row>
    <row r="3601" spans="1:4">
      <c r="A3601" t="s">
        <v>94</v>
      </c>
      <c r="B3601" t="s">
        <v>259</v>
      </c>
      <c r="C3601">
        <v>2019</v>
      </c>
      <c r="D3601">
        <v>0.01</v>
      </c>
    </row>
    <row r="3602" spans="1:4">
      <c r="A3602" t="s">
        <v>219</v>
      </c>
      <c r="B3602" t="s">
        <v>259</v>
      </c>
      <c r="C3602">
        <v>2019</v>
      </c>
    </row>
    <row r="3603" spans="1:4">
      <c r="A3603" t="s">
        <v>214</v>
      </c>
      <c r="B3603" t="s">
        <v>259</v>
      </c>
      <c r="C3603">
        <v>2019</v>
      </c>
      <c r="D3603">
        <v>0.1</v>
      </c>
    </row>
    <row r="3604" spans="1:4">
      <c r="A3604" t="s">
        <v>70</v>
      </c>
      <c r="B3604" t="s">
        <v>259</v>
      </c>
      <c r="C3604">
        <v>2019</v>
      </c>
      <c r="D3604">
        <v>30.3</v>
      </c>
    </row>
    <row r="3605" spans="1:4">
      <c r="A3605" t="s">
        <v>144</v>
      </c>
      <c r="B3605" t="s">
        <v>259</v>
      </c>
      <c r="C3605">
        <v>2019</v>
      </c>
      <c r="D3605">
        <v>2.2</v>
      </c>
    </row>
    <row r="3606" spans="1:4">
      <c r="A3606" t="s">
        <v>89</v>
      </c>
      <c r="B3606" t="s">
        <v>259</v>
      </c>
      <c r="C3606">
        <v>2019</v>
      </c>
      <c r="D3606">
        <v>3</v>
      </c>
    </row>
    <row r="3607" spans="1:4">
      <c r="A3607" t="s">
        <v>204</v>
      </c>
      <c r="B3607" t="s">
        <v>259</v>
      </c>
      <c r="C3607">
        <v>2019</v>
      </c>
      <c r="D3607">
        <v>1.3</v>
      </c>
    </row>
    <row r="3608" spans="1:4">
      <c r="A3608" t="s">
        <v>114</v>
      </c>
      <c r="B3608" t="s">
        <v>259</v>
      </c>
      <c r="C3608">
        <v>2019</v>
      </c>
      <c r="D3608">
        <v>1.3</v>
      </c>
    </row>
    <row r="3609" spans="1:4">
      <c r="A3609" t="s">
        <v>184</v>
      </c>
      <c r="B3609" t="s">
        <v>259</v>
      </c>
      <c r="C3609">
        <v>2019</v>
      </c>
      <c r="D3609">
        <v>2.5</v>
      </c>
    </row>
    <row r="3610" spans="1:4">
      <c r="A3610" t="s">
        <v>79</v>
      </c>
      <c r="B3610" t="s">
        <v>259</v>
      </c>
      <c r="C3610">
        <v>2019</v>
      </c>
    </row>
    <row r="3611" spans="1:4">
      <c r="A3611" t="s">
        <v>199</v>
      </c>
      <c r="B3611" t="s">
        <v>259</v>
      </c>
      <c r="C3611">
        <v>2019</v>
      </c>
    </row>
    <row r="3612" spans="1:4">
      <c r="A3612" t="s">
        <v>224</v>
      </c>
      <c r="B3612" t="s">
        <v>259</v>
      </c>
      <c r="C3612">
        <v>2019</v>
      </c>
      <c r="D3612">
        <v>0.1</v>
      </c>
    </row>
    <row r="3613" spans="1:4">
      <c r="A3613" t="s">
        <v>194</v>
      </c>
      <c r="B3613" t="s">
        <v>259</v>
      </c>
      <c r="C3613">
        <v>2019</v>
      </c>
    </row>
    <row r="3614" spans="1:4">
      <c r="A3614" t="s">
        <v>124</v>
      </c>
      <c r="B3614" t="s">
        <v>259</v>
      </c>
      <c r="C3614">
        <v>2019</v>
      </c>
      <c r="D3614">
        <v>2.8</v>
      </c>
    </row>
    <row r="3615" spans="1:4">
      <c r="A3615" t="s">
        <v>179</v>
      </c>
      <c r="B3615" t="s">
        <v>259</v>
      </c>
      <c r="C3615">
        <v>2019</v>
      </c>
      <c r="D3615">
        <v>0.1</v>
      </c>
    </row>
    <row r="3616" spans="1:4">
      <c r="A3616" t="s">
        <v>129</v>
      </c>
      <c r="B3616" t="s">
        <v>259</v>
      </c>
      <c r="C3616">
        <v>2020</v>
      </c>
      <c r="D3616">
        <v>0.4</v>
      </c>
    </row>
    <row r="3617" spans="1:4">
      <c r="A3617" t="s">
        <v>74</v>
      </c>
      <c r="B3617" t="s">
        <v>259</v>
      </c>
      <c r="C3617">
        <v>2020</v>
      </c>
      <c r="D3617">
        <v>1</v>
      </c>
    </row>
    <row r="3618" spans="1:4">
      <c r="A3618" t="s">
        <v>134</v>
      </c>
      <c r="B3618" t="s">
        <v>259</v>
      </c>
      <c r="C3618">
        <v>2020</v>
      </c>
      <c r="D3618">
        <v>1</v>
      </c>
    </row>
    <row r="3619" spans="1:4">
      <c r="A3619" t="s">
        <v>209</v>
      </c>
      <c r="B3619" t="s">
        <v>259</v>
      </c>
      <c r="C3619">
        <v>2020</v>
      </c>
    </row>
    <row r="3620" spans="1:4">
      <c r="A3620" t="s">
        <v>164</v>
      </c>
      <c r="B3620" t="s">
        <v>259</v>
      </c>
      <c r="C3620">
        <v>2020</v>
      </c>
      <c r="D3620">
        <v>10</v>
      </c>
    </row>
    <row r="3621" spans="1:4">
      <c r="A3621" t="s">
        <v>169</v>
      </c>
      <c r="B3621" t="s">
        <v>259</v>
      </c>
      <c r="C3621">
        <v>2020</v>
      </c>
      <c r="D3621">
        <v>1</v>
      </c>
    </row>
    <row r="3622" spans="1:4">
      <c r="A3622" t="s">
        <v>189</v>
      </c>
      <c r="B3622" t="s">
        <v>259</v>
      </c>
      <c r="C3622">
        <v>2020</v>
      </c>
    </row>
    <row r="3623" spans="1:4">
      <c r="A3623" t="s">
        <v>174</v>
      </c>
      <c r="B3623" t="s">
        <v>259</v>
      </c>
      <c r="C3623">
        <v>2020</v>
      </c>
      <c r="D3623">
        <v>0.4</v>
      </c>
    </row>
    <row r="3624" spans="1:4">
      <c r="A3624" t="s">
        <v>84</v>
      </c>
      <c r="B3624" t="s">
        <v>259</v>
      </c>
      <c r="C3624">
        <v>2020</v>
      </c>
    </row>
    <row r="3625" spans="1:4">
      <c r="A3625" t="s">
        <v>149</v>
      </c>
      <c r="B3625" t="s">
        <v>259</v>
      </c>
      <c r="C3625">
        <v>2020</v>
      </c>
      <c r="D3625">
        <v>2</v>
      </c>
    </row>
    <row r="3626" spans="1:4">
      <c r="A3626" t="s">
        <v>109</v>
      </c>
      <c r="B3626" t="s">
        <v>259</v>
      </c>
      <c r="C3626">
        <v>2020</v>
      </c>
      <c r="D3626">
        <v>0.3</v>
      </c>
    </row>
    <row r="3627" spans="1:4">
      <c r="A3627" t="s">
        <v>154</v>
      </c>
      <c r="B3627" t="s">
        <v>259</v>
      </c>
      <c r="C3627">
        <v>2020</v>
      </c>
      <c r="D3627">
        <v>2</v>
      </c>
    </row>
    <row r="3628" spans="1:4">
      <c r="A3628" t="s">
        <v>159</v>
      </c>
      <c r="B3628" t="s">
        <v>259</v>
      </c>
      <c r="C3628">
        <v>2020</v>
      </c>
      <c r="D3628">
        <v>2</v>
      </c>
    </row>
    <row r="3629" spans="1:4">
      <c r="A3629" t="s">
        <v>104</v>
      </c>
      <c r="B3629" t="s">
        <v>259</v>
      </c>
      <c r="C3629">
        <v>2020</v>
      </c>
      <c r="D3629">
        <v>0.03</v>
      </c>
    </row>
    <row r="3630" spans="1:4">
      <c r="A3630" t="s">
        <v>119</v>
      </c>
      <c r="B3630" t="s">
        <v>259</v>
      </c>
      <c r="C3630">
        <v>2020</v>
      </c>
      <c r="D3630">
        <v>2</v>
      </c>
    </row>
    <row r="3631" spans="1:4">
      <c r="A3631" t="s">
        <v>139</v>
      </c>
      <c r="B3631" t="s">
        <v>259</v>
      </c>
      <c r="C3631">
        <v>2020</v>
      </c>
      <c r="D3631">
        <v>2</v>
      </c>
    </row>
    <row r="3632" spans="1:4">
      <c r="A3632" t="s">
        <v>99</v>
      </c>
      <c r="B3632" t="s">
        <v>259</v>
      </c>
      <c r="C3632">
        <v>2020</v>
      </c>
      <c r="D3632">
        <v>1</v>
      </c>
    </row>
    <row r="3633" spans="1:4">
      <c r="A3633" t="s">
        <v>94</v>
      </c>
      <c r="B3633" t="s">
        <v>259</v>
      </c>
      <c r="C3633">
        <v>2020</v>
      </c>
      <c r="D3633">
        <v>0.1</v>
      </c>
    </row>
    <row r="3634" spans="1:4">
      <c r="A3634" t="s">
        <v>219</v>
      </c>
      <c r="B3634" t="s">
        <v>259</v>
      </c>
      <c r="C3634">
        <v>2020</v>
      </c>
    </row>
    <row r="3635" spans="1:4">
      <c r="A3635" t="s">
        <v>214</v>
      </c>
      <c r="B3635" t="s">
        <v>259</v>
      </c>
      <c r="C3635">
        <v>2020</v>
      </c>
      <c r="D3635">
        <v>0.1</v>
      </c>
    </row>
    <row r="3636" spans="1:4">
      <c r="A3636" t="s">
        <v>70</v>
      </c>
      <c r="B3636" t="s">
        <v>259</v>
      </c>
      <c r="C3636">
        <v>2020</v>
      </c>
      <c r="D3636">
        <v>38</v>
      </c>
    </row>
    <row r="3637" spans="1:4">
      <c r="A3637" t="s">
        <v>144</v>
      </c>
      <c r="B3637" t="s">
        <v>259</v>
      </c>
      <c r="C3637">
        <v>2020</v>
      </c>
      <c r="D3637">
        <v>3</v>
      </c>
    </row>
    <row r="3638" spans="1:4">
      <c r="A3638" t="s">
        <v>89</v>
      </c>
      <c r="B3638" t="s">
        <v>259</v>
      </c>
      <c r="C3638">
        <v>2020</v>
      </c>
      <c r="D3638">
        <v>0.2</v>
      </c>
    </row>
    <row r="3639" spans="1:4">
      <c r="A3639" t="s">
        <v>204</v>
      </c>
      <c r="B3639" t="s">
        <v>259</v>
      </c>
      <c r="C3639">
        <v>2020</v>
      </c>
      <c r="D3639">
        <v>1</v>
      </c>
    </row>
    <row r="3640" spans="1:4">
      <c r="A3640" t="s">
        <v>114</v>
      </c>
      <c r="B3640" t="s">
        <v>259</v>
      </c>
      <c r="C3640">
        <v>2020</v>
      </c>
      <c r="D3640">
        <v>1</v>
      </c>
    </row>
    <row r="3641" spans="1:4">
      <c r="A3641" t="s">
        <v>184</v>
      </c>
      <c r="B3641" t="s">
        <v>259</v>
      </c>
      <c r="C3641">
        <v>2020</v>
      </c>
      <c r="D3641">
        <v>3</v>
      </c>
    </row>
    <row r="3642" spans="1:4">
      <c r="A3642" t="s">
        <v>79</v>
      </c>
      <c r="B3642" t="s">
        <v>259</v>
      </c>
      <c r="C3642">
        <v>2020</v>
      </c>
    </row>
    <row r="3643" spans="1:4">
      <c r="A3643" t="s">
        <v>199</v>
      </c>
      <c r="B3643" t="s">
        <v>259</v>
      </c>
      <c r="C3643">
        <v>2020</v>
      </c>
    </row>
    <row r="3644" spans="1:4">
      <c r="A3644" t="s">
        <v>224</v>
      </c>
      <c r="B3644" t="s">
        <v>259</v>
      </c>
      <c r="C3644">
        <v>2020</v>
      </c>
      <c r="D3644">
        <v>0.1</v>
      </c>
    </row>
    <row r="3645" spans="1:4">
      <c r="A3645" t="s">
        <v>194</v>
      </c>
      <c r="B3645" t="s">
        <v>259</v>
      </c>
      <c r="C3645">
        <v>2020</v>
      </c>
      <c r="D3645">
        <v>0.1</v>
      </c>
    </row>
    <row r="3646" spans="1:4">
      <c r="A3646" t="s">
        <v>124</v>
      </c>
      <c r="B3646" t="s">
        <v>259</v>
      </c>
      <c r="C3646">
        <v>2020</v>
      </c>
      <c r="D3646">
        <v>3</v>
      </c>
    </row>
    <row r="3647" spans="1:4">
      <c r="A3647" t="s">
        <v>179</v>
      </c>
      <c r="B3647" t="s">
        <v>259</v>
      </c>
      <c r="C3647">
        <v>2020</v>
      </c>
      <c r="D3647">
        <v>0.1</v>
      </c>
    </row>
    <row r="3648" spans="1:4">
      <c r="A3648" t="s">
        <v>129</v>
      </c>
      <c r="B3648" t="s">
        <v>259</v>
      </c>
      <c r="C3648">
        <v>2021</v>
      </c>
      <c r="D3648">
        <v>0.4</v>
      </c>
    </row>
    <row r="3649" spans="1:4">
      <c r="A3649" t="s">
        <v>74</v>
      </c>
      <c r="B3649" t="s">
        <v>259</v>
      </c>
      <c r="C3649">
        <v>2021</v>
      </c>
      <c r="D3649">
        <v>1</v>
      </c>
    </row>
    <row r="3650" spans="1:4">
      <c r="A3650" t="s">
        <v>134</v>
      </c>
      <c r="B3650" t="s">
        <v>259</v>
      </c>
      <c r="C3650">
        <v>2021</v>
      </c>
      <c r="D3650">
        <v>1</v>
      </c>
    </row>
    <row r="3651" spans="1:4">
      <c r="A3651" t="s">
        <v>209</v>
      </c>
      <c r="B3651" t="s">
        <v>259</v>
      </c>
      <c r="C3651">
        <v>2021</v>
      </c>
      <c r="D3651">
        <v>0</v>
      </c>
    </row>
    <row r="3652" spans="1:4">
      <c r="A3652" t="s">
        <v>164</v>
      </c>
      <c r="B3652" t="s">
        <v>259</v>
      </c>
      <c r="C3652">
        <v>2021</v>
      </c>
      <c r="D3652">
        <v>9</v>
      </c>
    </row>
    <row r="3653" spans="1:4">
      <c r="A3653" t="s">
        <v>169</v>
      </c>
      <c r="B3653" t="s">
        <v>259</v>
      </c>
      <c r="C3653">
        <v>2021</v>
      </c>
      <c r="D3653">
        <v>1</v>
      </c>
    </row>
    <row r="3654" spans="1:4">
      <c r="A3654" t="s">
        <v>189</v>
      </c>
      <c r="B3654" t="s">
        <v>259</v>
      </c>
      <c r="C3654">
        <v>2021</v>
      </c>
      <c r="D3654">
        <v>0</v>
      </c>
    </row>
    <row r="3655" spans="1:4">
      <c r="A3655" t="s">
        <v>174</v>
      </c>
      <c r="B3655" t="s">
        <v>259</v>
      </c>
      <c r="C3655">
        <v>2021</v>
      </c>
      <c r="D3655">
        <v>0.3</v>
      </c>
    </row>
    <row r="3656" spans="1:4">
      <c r="A3656" t="s">
        <v>84</v>
      </c>
      <c r="B3656" t="s">
        <v>259</v>
      </c>
      <c r="C3656">
        <v>2021</v>
      </c>
      <c r="D3656">
        <v>1</v>
      </c>
    </row>
    <row r="3657" spans="1:4">
      <c r="A3657" t="s">
        <v>149</v>
      </c>
      <c r="B3657" t="s">
        <v>259</v>
      </c>
      <c r="C3657">
        <v>2021</v>
      </c>
      <c r="D3657">
        <v>2</v>
      </c>
    </row>
    <row r="3658" spans="1:4">
      <c r="A3658" t="s">
        <v>109</v>
      </c>
      <c r="B3658" t="s">
        <v>259</v>
      </c>
      <c r="C3658">
        <v>2021</v>
      </c>
      <c r="D3658">
        <v>0.4</v>
      </c>
    </row>
    <row r="3659" spans="1:4">
      <c r="A3659" t="s">
        <v>154</v>
      </c>
      <c r="B3659" t="s">
        <v>259</v>
      </c>
      <c r="C3659">
        <v>2021</v>
      </c>
      <c r="D3659">
        <v>2</v>
      </c>
    </row>
    <row r="3660" spans="1:4">
      <c r="A3660" t="s">
        <v>159</v>
      </c>
      <c r="B3660" t="s">
        <v>259</v>
      </c>
      <c r="C3660">
        <v>2021</v>
      </c>
      <c r="D3660">
        <v>2</v>
      </c>
    </row>
    <row r="3661" spans="1:4">
      <c r="A3661" t="s">
        <v>104</v>
      </c>
      <c r="B3661" t="s">
        <v>259</v>
      </c>
      <c r="C3661">
        <v>2021</v>
      </c>
      <c r="D3661">
        <v>0.2</v>
      </c>
    </row>
    <row r="3662" spans="1:4">
      <c r="A3662" t="s">
        <v>119</v>
      </c>
      <c r="B3662" t="s">
        <v>259</v>
      </c>
      <c r="C3662">
        <v>2021</v>
      </c>
      <c r="D3662">
        <v>2</v>
      </c>
    </row>
    <row r="3663" spans="1:4">
      <c r="A3663" t="s">
        <v>139</v>
      </c>
      <c r="B3663" t="s">
        <v>259</v>
      </c>
      <c r="C3663">
        <v>2021</v>
      </c>
      <c r="D3663">
        <v>1</v>
      </c>
    </row>
    <row r="3664" spans="1:4">
      <c r="A3664" t="s">
        <v>99</v>
      </c>
      <c r="B3664" t="s">
        <v>259</v>
      </c>
      <c r="C3664">
        <v>2021</v>
      </c>
      <c r="D3664">
        <v>1</v>
      </c>
    </row>
    <row r="3665" spans="1:4">
      <c r="A3665" t="s">
        <v>94</v>
      </c>
      <c r="B3665" t="s">
        <v>259</v>
      </c>
      <c r="C3665">
        <v>2021</v>
      </c>
      <c r="D3665">
        <v>0.1</v>
      </c>
    </row>
    <row r="3666" spans="1:4">
      <c r="A3666" t="s">
        <v>219</v>
      </c>
      <c r="B3666" t="s">
        <v>259</v>
      </c>
      <c r="C3666">
        <v>2021</v>
      </c>
      <c r="D3666">
        <v>0</v>
      </c>
    </row>
    <row r="3667" spans="1:4">
      <c r="A3667" t="s">
        <v>214</v>
      </c>
      <c r="B3667" t="s">
        <v>259</v>
      </c>
      <c r="C3667">
        <v>2021</v>
      </c>
      <c r="D3667">
        <v>0.2</v>
      </c>
    </row>
    <row r="3668" spans="1:4">
      <c r="A3668" t="s">
        <v>70</v>
      </c>
      <c r="B3668" t="s">
        <v>259</v>
      </c>
      <c r="C3668">
        <v>2021</v>
      </c>
      <c r="D3668">
        <v>37</v>
      </c>
    </row>
    <row r="3669" spans="1:4">
      <c r="A3669" t="s">
        <v>144</v>
      </c>
      <c r="B3669" t="s">
        <v>259</v>
      </c>
      <c r="C3669">
        <v>2021</v>
      </c>
      <c r="D3669">
        <v>3</v>
      </c>
    </row>
    <row r="3670" spans="1:4">
      <c r="A3670" t="s">
        <v>89</v>
      </c>
      <c r="B3670" t="s">
        <v>259</v>
      </c>
      <c r="C3670">
        <v>2021</v>
      </c>
      <c r="D3670">
        <v>1.2</v>
      </c>
    </row>
    <row r="3671" spans="1:4">
      <c r="A3671" t="s">
        <v>204</v>
      </c>
      <c r="B3671" t="s">
        <v>259</v>
      </c>
      <c r="C3671">
        <v>2021</v>
      </c>
      <c r="D3671">
        <v>0</v>
      </c>
    </row>
    <row r="3672" spans="1:4">
      <c r="A3672" t="s">
        <v>114</v>
      </c>
      <c r="B3672" t="s">
        <v>259</v>
      </c>
      <c r="C3672">
        <v>2021</v>
      </c>
      <c r="D3672">
        <v>1</v>
      </c>
    </row>
    <row r="3673" spans="1:4">
      <c r="A3673" t="s">
        <v>184</v>
      </c>
      <c r="B3673" t="s">
        <v>259</v>
      </c>
      <c r="C3673">
        <v>2021</v>
      </c>
      <c r="D3673">
        <v>3</v>
      </c>
    </row>
    <row r="3674" spans="1:4">
      <c r="A3674" t="s">
        <v>79</v>
      </c>
      <c r="B3674" t="s">
        <v>259</v>
      </c>
      <c r="C3674">
        <v>2021</v>
      </c>
      <c r="D3674">
        <v>0</v>
      </c>
    </row>
    <row r="3675" spans="1:4">
      <c r="A3675" t="s">
        <v>199</v>
      </c>
      <c r="B3675" t="s">
        <v>259</v>
      </c>
      <c r="C3675">
        <v>2021</v>
      </c>
      <c r="D3675">
        <v>0</v>
      </c>
    </row>
    <row r="3676" spans="1:4">
      <c r="A3676" t="s">
        <v>224</v>
      </c>
      <c r="B3676" t="s">
        <v>259</v>
      </c>
      <c r="C3676">
        <v>2021</v>
      </c>
      <c r="D3676">
        <v>0</v>
      </c>
    </row>
    <row r="3677" spans="1:4">
      <c r="A3677" t="s">
        <v>194</v>
      </c>
      <c r="B3677" t="s">
        <v>259</v>
      </c>
      <c r="C3677">
        <v>2021</v>
      </c>
      <c r="D3677">
        <v>0.1</v>
      </c>
    </row>
    <row r="3678" spans="1:4">
      <c r="A3678" t="s">
        <v>124</v>
      </c>
      <c r="B3678" t="s">
        <v>259</v>
      </c>
      <c r="C3678">
        <v>2021</v>
      </c>
      <c r="D3678">
        <v>3</v>
      </c>
    </row>
    <row r="3679" spans="1:4">
      <c r="A3679" t="s">
        <v>179</v>
      </c>
      <c r="B3679" t="s">
        <v>259</v>
      </c>
      <c r="C3679">
        <v>2021</v>
      </c>
      <c r="D3679">
        <v>0.001</v>
      </c>
    </row>
    <row r="3680" spans="1:4">
      <c r="A3680" t="s">
        <v>70</v>
      </c>
      <c r="B3680" t="s">
        <v>259</v>
      </c>
      <c r="C3680">
        <v>2022</v>
      </c>
      <c r="D3680">
        <v>40</v>
      </c>
    </row>
    <row r="3681" spans="1:4">
      <c r="A3681" t="s">
        <v>74</v>
      </c>
      <c r="B3681" t="s">
        <v>259</v>
      </c>
      <c r="C3681">
        <v>2022</v>
      </c>
      <c r="D3681">
        <v>1</v>
      </c>
    </row>
    <row r="3682" spans="1:4">
      <c r="A3682" t="s">
        <v>79</v>
      </c>
      <c r="B3682" t="s">
        <v>259</v>
      </c>
      <c r="C3682">
        <v>2022</v>
      </c>
      <c r="D3682">
        <v>0.04</v>
      </c>
    </row>
    <row r="3683" spans="1:4">
      <c r="A3683" t="s">
        <v>84</v>
      </c>
      <c r="B3683" t="s">
        <v>259</v>
      </c>
      <c r="C3683">
        <v>2022</v>
      </c>
      <c r="D3683">
        <v>1</v>
      </c>
    </row>
    <row r="3684" spans="1:4">
      <c r="A3684" t="s">
        <v>89</v>
      </c>
      <c r="B3684" t="s">
        <v>259</v>
      </c>
      <c r="C3684">
        <v>2022</v>
      </c>
      <c r="D3684">
        <v>0.1</v>
      </c>
    </row>
    <row r="3685" spans="1:4">
      <c r="A3685" t="s">
        <v>94</v>
      </c>
      <c r="B3685" t="s">
        <v>259</v>
      </c>
      <c r="C3685">
        <v>2022</v>
      </c>
      <c r="D3685">
        <v>0.1</v>
      </c>
    </row>
    <row r="3686" spans="1:4">
      <c r="A3686" t="s">
        <v>99</v>
      </c>
      <c r="B3686" t="s">
        <v>259</v>
      </c>
      <c r="C3686">
        <v>2022</v>
      </c>
      <c r="D3686">
        <v>1</v>
      </c>
    </row>
    <row r="3687" spans="1:4">
      <c r="A3687" t="s">
        <v>104</v>
      </c>
      <c r="B3687" t="s">
        <v>259</v>
      </c>
      <c r="C3687">
        <v>2022</v>
      </c>
      <c r="D3687">
        <v>0.4</v>
      </c>
    </row>
    <row r="3688" spans="1:4">
      <c r="A3688" t="s">
        <v>109</v>
      </c>
      <c r="B3688" t="s">
        <v>259</v>
      </c>
      <c r="C3688">
        <v>2022</v>
      </c>
      <c r="D3688">
        <v>0.3</v>
      </c>
    </row>
    <row r="3689" spans="1:4">
      <c r="A3689" t="s">
        <v>114</v>
      </c>
      <c r="B3689" t="s">
        <v>259</v>
      </c>
      <c r="C3689">
        <v>2022</v>
      </c>
      <c r="D3689">
        <v>1</v>
      </c>
    </row>
    <row r="3690" spans="1:4">
      <c r="A3690" t="s">
        <v>119</v>
      </c>
      <c r="B3690" t="s">
        <v>259</v>
      </c>
      <c r="C3690">
        <v>2022</v>
      </c>
      <c r="D3690">
        <v>2</v>
      </c>
    </row>
    <row r="3691" spans="1:4">
      <c r="A3691" t="s">
        <v>124</v>
      </c>
      <c r="B3691" t="s">
        <v>259</v>
      </c>
      <c r="C3691">
        <v>2022</v>
      </c>
      <c r="D3691">
        <v>2</v>
      </c>
    </row>
    <row r="3692" spans="1:4">
      <c r="A3692" t="s">
        <v>129</v>
      </c>
      <c r="B3692" t="s">
        <v>259</v>
      </c>
      <c r="C3692">
        <v>2022</v>
      </c>
      <c r="D3692">
        <v>0.4</v>
      </c>
    </row>
    <row r="3693" spans="1:4">
      <c r="A3693" t="s">
        <v>134</v>
      </c>
      <c r="B3693" t="s">
        <v>259</v>
      </c>
      <c r="C3693">
        <v>2022</v>
      </c>
      <c r="D3693">
        <v>1</v>
      </c>
    </row>
    <row r="3694" spans="1:4">
      <c r="A3694" t="s">
        <v>139</v>
      </c>
      <c r="B3694" t="s">
        <v>259</v>
      </c>
      <c r="C3694">
        <v>2022</v>
      </c>
      <c r="D3694">
        <v>1</v>
      </c>
    </row>
    <row r="3695" spans="1:4">
      <c r="A3695" t="s">
        <v>144</v>
      </c>
      <c r="B3695" t="s">
        <v>259</v>
      </c>
      <c r="C3695">
        <v>2022</v>
      </c>
      <c r="D3695">
        <v>4</v>
      </c>
    </row>
    <row r="3696" spans="1:4">
      <c r="A3696" t="s">
        <v>149</v>
      </c>
      <c r="B3696" t="s">
        <v>259</v>
      </c>
      <c r="C3696">
        <v>2022</v>
      </c>
      <c r="D3696">
        <v>2</v>
      </c>
    </row>
    <row r="3697" spans="1:4">
      <c r="A3697" t="s">
        <v>154</v>
      </c>
      <c r="B3697" t="s">
        <v>259</v>
      </c>
      <c r="C3697">
        <v>2022</v>
      </c>
      <c r="D3697">
        <v>2</v>
      </c>
    </row>
    <row r="3698" spans="1:4">
      <c r="A3698" t="s">
        <v>159</v>
      </c>
      <c r="B3698" t="s">
        <v>259</v>
      </c>
      <c r="C3698">
        <v>2022</v>
      </c>
      <c r="D3698">
        <v>3</v>
      </c>
    </row>
    <row r="3699" spans="1:4">
      <c r="A3699" t="s">
        <v>164</v>
      </c>
      <c r="B3699" t="s">
        <v>259</v>
      </c>
      <c r="C3699">
        <v>2022</v>
      </c>
      <c r="D3699">
        <v>12</v>
      </c>
    </row>
    <row r="3700" spans="1:4">
      <c r="A3700" t="s">
        <v>169</v>
      </c>
      <c r="B3700" t="s">
        <v>259</v>
      </c>
      <c r="C3700">
        <v>2022</v>
      </c>
      <c r="D3700">
        <v>1</v>
      </c>
    </row>
    <row r="3701" spans="1:4">
      <c r="A3701" t="s">
        <v>174</v>
      </c>
      <c r="B3701" t="s">
        <v>259</v>
      </c>
      <c r="C3701">
        <v>2022</v>
      </c>
      <c r="D3701">
        <v>0.1</v>
      </c>
    </row>
    <row r="3702" spans="1:4">
      <c r="A3702" t="s">
        <v>179</v>
      </c>
      <c r="B3702" t="s">
        <v>259</v>
      </c>
      <c r="C3702">
        <v>2022</v>
      </c>
    </row>
    <row r="3703" spans="1:4">
      <c r="A3703" t="s">
        <v>184</v>
      </c>
      <c r="B3703" t="s">
        <v>259</v>
      </c>
      <c r="C3703">
        <v>2022</v>
      </c>
      <c r="D3703">
        <v>3</v>
      </c>
    </row>
    <row r="3704" spans="1:4">
      <c r="A3704" t="s">
        <v>189</v>
      </c>
      <c r="B3704" t="s">
        <v>259</v>
      </c>
      <c r="C3704">
        <v>2022</v>
      </c>
    </row>
    <row r="3705" spans="1:4">
      <c r="A3705" t="s">
        <v>194</v>
      </c>
      <c r="B3705" t="s">
        <v>259</v>
      </c>
      <c r="C3705">
        <v>2022</v>
      </c>
      <c r="D3705">
        <v>0.1</v>
      </c>
    </row>
    <row r="3706" spans="1:4">
      <c r="A3706" t="s">
        <v>199</v>
      </c>
      <c r="B3706" t="s">
        <v>259</v>
      </c>
      <c r="C3706">
        <v>2022</v>
      </c>
    </row>
    <row r="3707" spans="1:4">
      <c r="A3707" t="s">
        <v>204</v>
      </c>
      <c r="B3707" t="s">
        <v>259</v>
      </c>
      <c r="C3707">
        <v>2022</v>
      </c>
      <c r="D3707">
        <v>1</v>
      </c>
    </row>
    <row r="3708" spans="1:4">
      <c r="A3708" t="s">
        <v>209</v>
      </c>
      <c r="B3708" t="s">
        <v>259</v>
      </c>
      <c r="C3708">
        <v>2022</v>
      </c>
    </row>
    <row r="3709" spans="1:4">
      <c r="A3709" t="s">
        <v>214</v>
      </c>
      <c r="B3709" t="s">
        <v>259</v>
      </c>
      <c r="C3709">
        <v>2022</v>
      </c>
      <c r="D3709">
        <v>0.3</v>
      </c>
    </row>
    <row r="3710" spans="1:4">
      <c r="A3710" t="s">
        <v>219</v>
      </c>
      <c r="B3710" t="s">
        <v>259</v>
      </c>
      <c r="C3710">
        <v>2022</v>
      </c>
    </row>
    <row r="3711" spans="1:4">
      <c r="A3711" t="s">
        <v>224</v>
      </c>
      <c r="B3711" t="s">
        <v>259</v>
      </c>
      <c r="C3711">
        <v>2022</v>
      </c>
    </row>
    <row r="3712" spans="1:4">
      <c r="A3712" t="s">
        <v>129</v>
      </c>
      <c r="B3712" t="s">
        <v>260</v>
      </c>
      <c r="C3712">
        <v>2015</v>
      </c>
      <c r="D3712">
        <v>2062</v>
      </c>
    </row>
    <row r="3713" spans="1:4">
      <c r="A3713" t="s">
        <v>74</v>
      </c>
      <c r="B3713" t="s">
        <v>260</v>
      </c>
      <c r="C3713">
        <v>2015</v>
      </c>
      <c r="D3713">
        <v>421</v>
      </c>
    </row>
    <row r="3714" spans="1:4">
      <c r="A3714" t="s">
        <v>134</v>
      </c>
      <c r="B3714" t="s">
        <v>260</v>
      </c>
      <c r="C3714">
        <v>2015</v>
      </c>
      <c r="D3714">
        <v>1883</v>
      </c>
    </row>
    <row r="3715" spans="1:4">
      <c r="A3715" t="s">
        <v>209</v>
      </c>
      <c r="B3715" t="s">
        <v>260</v>
      </c>
      <c r="C3715">
        <v>2015</v>
      </c>
      <c r="D3715">
        <v>1228</v>
      </c>
    </row>
    <row r="3716" spans="1:4">
      <c r="A3716" t="s">
        <v>164</v>
      </c>
      <c r="B3716" t="s">
        <v>260</v>
      </c>
      <c r="C3716">
        <v>2015</v>
      </c>
      <c r="D3716">
        <v>3789</v>
      </c>
    </row>
    <row r="3717" spans="1:4">
      <c r="A3717" t="s">
        <v>169</v>
      </c>
      <c r="B3717" t="s">
        <v>260</v>
      </c>
      <c r="C3717">
        <v>2015</v>
      </c>
      <c r="D3717">
        <v>1319</v>
      </c>
    </row>
    <row r="3718" spans="1:4">
      <c r="A3718" t="s">
        <v>189</v>
      </c>
      <c r="B3718" t="s">
        <v>260</v>
      </c>
      <c r="C3718">
        <v>2015</v>
      </c>
      <c r="D3718">
        <v>1931</v>
      </c>
    </row>
    <row r="3719" spans="1:4">
      <c r="A3719" t="s">
        <v>174</v>
      </c>
      <c r="B3719" t="s">
        <v>260</v>
      </c>
      <c r="C3719">
        <v>2015</v>
      </c>
      <c r="D3719">
        <v>256</v>
      </c>
    </row>
    <row r="3720" spans="1:4">
      <c r="A3720" t="s">
        <v>84</v>
      </c>
      <c r="B3720" t="s">
        <v>260</v>
      </c>
      <c r="C3720">
        <v>2015</v>
      </c>
      <c r="D3720">
        <v>2301</v>
      </c>
    </row>
    <row r="3721" spans="1:4">
      <c r="A3721" t="s">
        <v>149</v>
      </c>
      <c r="B3721" t="s">
        <v>260</v>
      </c>
      <c r="C3721">
        <v>2015</v>
      </c>
      <c r="D3721">
        <v>2559</v>
      </c>
    </row>
    <row r="3722" spans="1:4">
      <c r="A3722" t="s">
        <v>109</v>
      </c>
      <c r="B3722" t="s">
        <v>260</v>
      </c>
      <c r="C3722">
        <v>2015</v>
      </c>
      <c r="D3722">
        <v>895</v>
      </c>
    </row>
    <row r="3723" spans="1:4">
      <c r="A3723" t="s">
        <v>154</v>
      </c>
      <c r="B3723" t="s">
        <v>260</v>
      </c>
      <c r="C3723">
        <v>2015</v>
      </c>
      <c r="D3723">
        <v>2356</v>
      </c>
    </row>
    <row r="3724" spans="1:4">
      <c r="A3724" t="s">
        <v>159</v>
      </c>
      <c r="B3724" t="s">
        <v>260</v>
      </c>
      <c r="C3724">
        <v>2015</v>
      </c>
      <c r="D3724">
        <v>1253</v>
      </c>
    </row>
    <row r="3725" spans="1:4">
      <c r="A3725" t="s">
        <v>104</v>
      </c>
      <c r="B3725" t="s">
        <v>260</v>
      </c>
      <c r="C3725">
        <v>2015</v>
      </c>
      <c r="D3725">
        <v>704</v>
      </c>
    </row>
    <row r="3726" spans="1:4">
      <c r="A3726" t="s">
        <v>119</v>
      </c>
      <c r="B3726" t="s">
        <v>260</v>
      </c>
      <c r="C3726">
        <v>2015</v>
      </c>
      <c r="D3726">
        <v>4426</v>
      </c>
    </row>
    <row r="3727" spans="1:4">
      <c r="A3727" t="s">
        <v>139</v>
      </c>
      <c r="B3727" t="s">
        <v>260</v>
      </c>
      <c r="C3727">
        <v>2015</v>
      </c>
      <c r="D3727">
        <v>982</v>
      </c>
    </row>
    <row r="3728" spans="1:4">
      <c r="A3728" t="s">
        <v>99</v>
      </c>
      <c r="B3728" t="s">
        <v>260</v>
      </c>
      <c r="C3728">
        <v>2015</v>
      </c>
      <c r="D3728">
        <v>1619</v>
      </c>
    </row>
    <row r="3729" spans="1:4">
      <c r="A3729" t="s">
        <v>94</v>
      </c>
      <c r="B3729" t="s">
        <v>260</v>
      </c>
      <c r="C3729">
        <v>2015</v>
      </c>
      <c r="D3729">
        <v>3923</v>
      </c>
    </row>
    <row r="3730" spans="1:4">
      <c r="A3730" t="s">
        <v>219</v>
      </c>
      <c r="B3730" t="s">
        <v>260</v>
      </c>
      <c r="C3730">
        <v>2015</v>
      </c>
      <c r="D3730">
        <v>1166</v>
      </c>
    </row>
    <row r="3731" spans="1:4">
      <c r="A3731" t="s">
        <v>214</v>
      </c>
      <c r="B3731" t="s">
        <v>260</v>
      </c>
      <c r="C3731">
        <v>2015</v>
      </c>
      <c r="D3731">
        <v>573</v>
      </c>
    </row>
    <row r="3732" spans="1:4">
      <c r="A3732" t="s">
        <v>70</v>
      </c>
      <c r="B3732" t="s">
        <v>260</v>
      </c>
      <c r="C3732">
        <v>2015</v>
      </c>
      <c r="D3732">
        <v>57400</v>
      </c>
    </row>
    <row r="3733" spans="1:4">
      <c r="A3733" t="s">
        <v>144</v>
      </c>
      <c r="B3733" t="s">
        <v>260</v>
      </c>
      <c r="C3733">
        <v>2015</v>
      </c>
      <c r="D3733">
        <v>4619</v>
      </c>
    </row>
    <row r="3734" spans="1:4">
      <c r="A3734" t="s">
        <v>89</v>
      </c>
      <c r="B3734" t="s">
        <v>260</v>
      </c>
      <c r="C3734">
        <v>2015</v>
      </c>
      <c r="D3734">
        <v>2457</v>
      </c>
    </row>
    <row r="3735" spans="1:4">
      <c r="A3735" t="s">
        <v>204</v>
      </c>
      <c r="B3735" t="s">
        <v>260</v>
      </c>
      <c r="C3735">
        <v>2015</v>
      </c>
      <c r="D3735">
        <v>1321</v>
      </c>
    </row>
    <row r="3736" spans="1:4">
      <c r="A3736" t="s">
        <v>114</v>
      </c>
      <c r="B3736" t="s">
        <v>260</v>
      </c>
      <c r="C3736">
        <v>2015</v>
      </c>
      <c r="D3736">
        <v>821</v>
      </c>
    </row>
    <row r="3737" spans="1:4">
      <c r="A3737" t="s">
        <v>184</v>
      </c>
      <c r="B3737" t="s">
        <v>260</v>
      </c>
      <c r="C3737">
        <v>2015</v>
      </c>
      <c r="D3737">
        <v>3209</v>
      </c>
    </row>
    <row r="3738" spans="1:4">
      <c r="A3738" t="s">
        <v>79</v>
      </c>
      <c r="B3738" t="s">
        <v>260</v>
      </c>
      <c r="C3738">
        <v>2015</v>
      </c>
      <c r="D3738">
        <v>601</v>
      </c>
    </row>
    <row r="3739" spans="1:4">
      <c r="A3739" t="s">
        <v>199</v>
      </c>
      <c r="B3739" t="s">
        <v>260</v>
      </c>
      <c r="C3739">
        <v>2015</v>
      </c>
      <c r="D3739">
        <v>38</v>
      </c>
    </row>
    <row r="3740" spans="1:4">
      <c r="A3740" t="s">
        <v>224</v>
      </c>
      <c r="B3740" t="s">
        <v>260</v>
      </c>
      <c r="C3740">
        <v>2015</v>
      </c>
      <c r="D3740">
        <v>2479</v>
      </c>
    </row>
    <row r="3741" spans="1:4">
      <c r="A3741" t="s">
        <v>194</v>
      </c>
      <c r="B3741" t="s">
        <v>260</v>
      </c>
      <c r="C3741">
        <v>2015</v>
      </c>
      <c r="D3741">
        <v>2553</v>
      </c>
    </row>
    <row r="3742" spans="1:4">
      <c r="A3742" t="s">
        <v>124</v>
      </c>
      <c r="B3742" t="s">
        <v>260</v>
      </c>
      <c r="C3742">
        <v>2015</v>
      </c>
      <c r="D3742">
        <v>2972</v>
      </c>
    </row>
    <row r="3743" spans="1:4">
      <c r="A3743" t="s">
        <v>179</v>
      </c>
      <c r="B3743" t="s">
        <v>260</v>
      </c>
      <c r="C3743">
        <v>2015</v>
      </c>
      <c r="D3743">
        <v>683</v>
      </c>
    </row>
    <row r="3744" spans="1:4">
      <c r="A3744" t="s">
        <v>129</v>
      </c>
      <c r="B3744" t="s">
        <v>260</v>
      </c>
      <c r="C3744">
        <v>2016</v>
      </c>
      <c r="D3744">
        <v>2253</v>
      </c>
    </row>
    <row r="3745" spans="1:4">
      <c r="A3745" t="s">
        <v>74</v>
      </c>
      <c r="B3745" t="s">
        <v>260</v>
      </c>
      <c r="C3745">
        <v>2016</v>
      </c>
      <c r="D3745">
        <v>436</v>
      </c>
    </row>
    <row r="3746" spans="1:4">
      <c r="A3746" t="s">
        <v>134</v>
      </c>
      <c r="B3746" t="s">
        <v>260</v>
      </c>
      <c r="C3746">
        <v>2016</v>
      </c>
      <c r="D3746">
        <v>2005</v>
      </c>
    </row>
    <row r="3747" spans="1:4">
      <c r="A3747" t="s">
        <v>209</v>
      </c>
      <c r="B3747" t="s">
        <v>260</v>
      </c>
      <c r="C3747">
        <v>2016</v>
      </c>
      <c r="D3747">
        <v>1209</v>
      </c>
    </row>
    <row r="3748" spans="1:4">
      <c r="A3748" t="s">
        <v>164</v>
      </c>
      <c r="B3748" t="s">
        <v>260</v>
      </c>
      <c r="C3748">
        <v>2016</v>
      </c>
      <c r="D3748">
        <v>4036</v>
      </c>
    </row>
    <row r="3749" spans="1:4">
      <c r="A3749" t="s">
        <v>169</v>
      </c>
      <c r="B3749" t="s">
        <v>260</v>
      </c>
      <c r="C3749">
        <v>2016</v>
      </c>
      <c r="D3749">
        <v>1276</v>
      </c>
    </row>
    <row r="3750" spans="1:4">
      <c r="A3750" t="s">
        <v>189</v>
      </c>
      <c r="B3750" t="s">
        <v>260</v>
      </c>
      <c r="C3750">
        <v>2016</v>
      </c>
      <c r="D3750">
        <v>1955</v>
      </c>
    </row>
    <row r="3751" spans="1:4">
      <c r="A3751" t="s">
        <v>174</v>
      </c>
      <c r="B3751" t="s">
        <v>260</v>
      </c>
      <c r="C3751">
        <v>2016</v>
      </c>
      <c r="D3751">
        <v>288</v>
      </c>
    </row>
    <row r="3752" spans="1:4">
      <c r="A3752" t="s">
        <v>84</v>
      </c>
      <c r="B3752" t="s">
        <v>260</v>
      </c>
      <c r="C3752">
        <v>2016</v>
      </c>
      <c r="D3752">
        <v>2476</v>
      </c>
    </row>
    <row r="3753" spans="1:4">
      <c r="A3753" t="s">
        <v>149</v>
      </c>
      <c r="B3753" t="s">
        <v>260</v>
      </c>
      <c r="C3753">
        <v>2016</v>
      </c>
      <c r="D3753">
        <v>2596</v>
      </c>
    </row>
    <row r="3754" spans="1:4">
      <c r="A3754" t="s">
        <v>109</v>
      </c>
      <c r="B3754" t="s">
        <v>260</v>
      </c>
      <c r="C3754">
        <v>2016</v>
      </c>
      <c r="D3754">
        <v>919</v>
      </c>
    </row>
    <row r="3755" spans="1:4">
      <c r="A3755" t="s">
        <v>154</v>
      </c>
      <c r="B3755" t="s">
        <v>260</v>
      </c>
      <c r="C3755">
        <v>2016</v>
      </c>
      <c r="D3755">
        <v>2494</v>
      </c>
    </row>
    <row r="3756" spans="1:4">
      <c r="A3756" t="s">
        <v>159</v>
      </c>
      <c r="B3756" t="s">
        <v>260</v>
      </c>
      <c r="C3756">
        <v>2016</v>
      </c>
      <c r="D3756">
        <v>1334</v>
      </c>
    </row>
    <row r="3757" spans="1:4">
      <c r="A3757" t="s">
        <v>104</v>
      </c>
      <c r="B3757" t="s">
        <v>260</v>
      </c>
      <c r="C3757">
        <v>2016</v>
      </c>
      <c r="D3757">
        <v>743</v>
      </c>
    </row>
    <row r="3758" spans="1:4">
      <c r="A3758" t="s">
        <v>119</v>
      </c>
      <c r="B3758" t="s">
        <v>260</v>
      </c>
      <c r="C3758">
        <v>2016</v>
      </c>
      <c r="D3758">
        <v>4754</v>
      </c>
    </row>
    <row r="3759" spans="1:4">
      <c r="A3759" t="s">
        <v>139</v>
      </c>
      <c r="B3759" t="s">
        <v>260</v>
      </c>
      <c r="C3759">
        <v>2016</v>
      </c>
      <c r="D3759">
        <v>1085</v>
      </c>
    </row>
    <row r="3760" spans="1:4">
      <c r="A3760" t="s">
        <v>99</v>
      </c>
      <c r="B3760" t="s">
        <v>260</v>
      </c>
      <c r="C3760">
        <v>2016</v>
      </c>
      <c r="D3760">
        <v>1733</v>
      </c>
    </row>
    <row r="3761" spans="1:4">
      <c r="A3761" t="s">
        <v>94</v>
      </c>
      <c r="B3761" t="s">
        <v>260</v>
      </c>
      <c r="C3761">
        <v>2016</v>
      </c>
      <c r="D3761">
        <v>3950</v>
      </c>
    </row>
    <row r="3762" spans="1:4">
      <c r="A3762" t="s">
        <v>219</v>
      </c>
      <c r="B3762" t="s">
        <v>260</v>
      </c>
      <c r="C3762">
        <v>2016</v>
      </c>
      <c r="D3762">
        <v>1187</v>
      </c>
    </row>
    <row r="3763" spans="1:4">
      <c r="A3763" t="s">
        <v>214</v>
      </c>
      <c r="B3763" t="s">
        <v>260</v>
      </c>
      <c r="C3763">
        <v>2016</v>
      </c>
      <c r="D3763">
        <v>553</v>
      </c>
    </row>
    <row r="3764" spans="1:4">
      <c r="A3764" t="s">
        <v>70</v>
      </c>
      <c r="B3764" t="s">
        <v>260</v>
      </c>
      <c r="C3764">
        <v>2016</v>
      </c>
      <c r="D3764">
        <v>60228</v>
      </c>
    </row>
    <row r="3765" spans="1:4">
      <c r="A3765" t="s">
        <v>144</v>
      </c>
      <c r="B3765" t="s">
        <v>260</v>
      </c>
      <c r="C3765">
        <v>2016</v>
      </c>
      <c r="D3765">
        <v>4863</v>
      </c>
    </row>
    <row r="3766" spans="1:4">
      <c r="A3766" t="s">
        <v>89</v>
      </c>
      <c r="B3766" t="s">
        <v>260</v>
      </c>
      <c r="C3766">
        <v>2016</v>
      </c>
      <c r="D3766">
        <v>2511</v>
      </c>
    </row>
    <row r="3767" spans="1:4">
      <c r="A3767" t="s">
        <v>204</v>
      </c>
      <c r="B3767" t="s">
        <v>260</v>
      </c>
      <c r="C3767">
        <v>2016</v>
      </c>
      <c r="D3767">
        <v>1464</v>
      </c>
    </row>
    <row r="3768" spans="1:4">
      <c r="A3768" t="s">
        <v>114</v>
      </c>
      <c r="B3768" t="s">
        <v>260</v>
      </c>
      <c r="C3768">
        <v>2016</v>
      </c>
      <c r="D3768">
        <v>832</v>
      </c>
    </row>
    <row r="3769" spans="1:4">
      <c r="A3769" t="s">
        <v>184</v>
      </c>
      <c r="B3769" t="s">
        <v>260</v>
      </c>
      <c r="C3769">
        <v>2016</v>
      </c>
      <c r="D3769">
        <v>3370</v>
      </c>
    </row>
    <row r="3770" spans="1:4">
      <c r="A3770" t="s">
        <v>79</v>
      </c>
      <c r="B3770" t="s">
        <v>260</v>
      </c>
      <c r="C3770">
        <v>2016</v>
      </c>
      <c r="D3770">
        <v>600</v>
      </c>
    </row>
    <row r="3771" spans="1:4">
      <c r="A3771" t="s">
        <v>199</v>
      </c>
      <c r="B3771" t="s">
        <v>260</v>
      </c>
      <c r="C3771">
        <v>2016</v>
      </c>
      <c r="D3771">
        <v>51</v>
      </c>
    </row>
    <row r="3772" spans="1:4">
      <c r="A3772" t="s">
        <v>224</v>
      </c>
      <c r="B3772" t="s">
        <v>260</v>
      </c>
      <c r="C3772">
        <v>2016</v>
      </c>
      <c r="D3772">
        <v>2693</v>
      </c>
    </row>
    <row r="3773" spans="1:4">
      <c r="A3773" t="s">
        <v>194</v>
      </c>
      <c r="B3773" t="s">
        <v>260</v>
      </c>
      <c r="C3773">
        <v>2016</v>
      </c>
      <c r="D3773">
        <v>2693</v>
      </c>
    </row>
    <row r="3774" spans="1:4">
      <c r="A3774" t="s">
        <v>124</v>
      </c>
      <c r="B3774" t="s">
        <v>260</v>
      </c>
      <c r="C3774">
        <v>2016</v>
      </c>
      <c r="D3774">
        <v>3190</v>
      </c>
    </row>
    <row r="3775" spans="1:4">
      <c r="A3775" t="s">
        <v>179</v>
      </c>
      <c r="B3775" t="s">
        <v>260</v>
      </c>
      <c r="C3775">
        <v>2016</v>
      </c>
      <c r="D3775">
        <v>683</v>
      </c>
    </row>
    <row r="3776" spans="1:4">
      <c r="A3776" t="s">
        <v>129</v>
      </c>
      <c r="B3776" t="s">
        <v>260</v>
      </c>
      <c r="C3776">
        <v>2017</v>
      </c>
      <c r="D3776">
        <v>2470</v>
      </c>
    </row>
    <row r="3777" spans="1:4">
      <c r="A3777" t="s">
        <v>74</v>
      </c>
      <c r="B3777" t="s">
        <v>260</v>
      </c>
      <c r="C3777">
        <v>2017</v>
      </c>
      <c r="D3777">
        <v>394</v>
      </c>
    </row>
    <row r="3778" spans="1:4">
      <c r="A3778" t="s">
        <v>134</v>
      </c>
      <c r="B3778" t="s">
        <v>260</v>
      </c>
      <c r="C3778">
        <v>2017</v>
      </c>
      <c r="D3778">
        <v>2186</v>
      </c>
    </row>
    <row r="3779" spans="1:4">
      <c r="A3779" t="s">
        <v>209</v>
      </c>
      <c r="B3779" t="s">
        <v>260</v>
      </c>
      <c r="C3779">
        <v>2017</v>
      </c>
      <c r="D3779">
        <v>1342</v>
      </c>
    </row>
    <row r="3780" spans="1:4">
      <c r="A3780" t="s">
        <v>164</v>
      </c>
      <c r="B3780" t="s">
        <v>260</v>
      </c>
      <c r="C3780">
        <v>2017</v>
      </c>
      <c r="D3780">
        <v>4348</v>
      </c>
    </row>
    <row r="3781" spans="1:4">
      <c r="A3781" t="s">
        <v>169</v>
      </c>
      <c r="B3781" t="s">
        <v>260</v>
      </c>
      <c r="C3781">
        <v>2017</v>
      </c>
      <c r="D3781">
        <v>1345</v>
      </c>
    </row>
    <row r="3782" spans="1:4">
      <c r="A3782" t="s">
        <v>189</v>
      </c>
      <c r="B3782" t="s">
        <v>260</v>
      </c>
      <c r="C3782">
        <v>2017</v>
      </c>
      <c r="D3782">
        <v>2012</v>
      </c>
    </row>
    <row r="3783" spans="1:4">
      <c r="A3783" t="s">
        <v>174</v>
      </c>
      <c r="B3783" t="s">
        <v>260</v>
      </c>
      <c r="C3783">
        <v>2017</v>
      </c>
      <c r="D3783">
        <v>305</v>
      </c>
    </row>
    <row r="3784" spans="1:4">
      <c r="A3784" t="s">
        <v>84</v>
      </c>
      <c r="B3784" t="s">
        <v>260</v>
      </c>
      <c r="C3784">
        <v>2017</v>
      </c>
      <c r="D3784">
        <v>2657</v>
      </c>
    </row>
    <row r="3785" spans="1:4">
      <c r="A3785" t="s">
        <v>149</v>
      </c>
      <c r="B3785" t="s">
        <v>260</v>
      </c>
      <c r="C3785">
        <v>2017</v>
      </c>
      <c r="D3785">
        <v>2703</v>
      </c>
    </row>
    <row r="3786" spans="1:4">
      <c r="A3786" t="s">
        <v>109</v>
      </c>
      <c r="B3786" t="s">
        <v>260</v>
      </c>
      <c r="C3786">
        <v>2017</v>
      </c>
      <c r="D3786">
        <v>954</v>
      </c>
    </row>
    <row r="3787" spans="1:4">
      <c r="A3787" t="s">
        <v>154</v>
      </c>
      <c r="B3787" t="s">
        <v>260</v>
      </c>
      <c r="C3787">
        <v>2017</v>
      </c>
      <c r="D3787">
        <v>2646</v>
      </c>
    </row>
    <row r="3788" spans="1:4">
      <c r="A3788" t="s">
        <v>159</v>
      </c>
      <c r="B3788" t="s">
        <v>260</v>
      </c>
      <c r="C3788">
        <v>2017</v>
      </c>
      <c r="D3788">
        <v>1340</v>
      </c>
    </row>
    <row r="3789" spans="1:4">
      <c r="A3789" t="s">
        <v>104</v>
      </c>
      <c r="B3789" t="s">
        <v>260</v>
      </c>
      <c r="C3789">
        <v>2017</v>
      </c>
      <c r="D3789">
        <v>783</v>
      </c>
    </row>
    <row r="3790" spans="1:4">
      <c r="A3790" t="s">
        <v>119</v>
      </c>
      <c r="B3790" t="s">
        <v>260</v>
      </c>
      <c r="C3790">
        <v>2017</v>
      </c>
      <c r="D3790">
        <v>4885</v>
      </c>
    </row>
    <row r="3791" spans="1:4">
      <c r="A3791" t="s">
        <v>139</v>
      </c>
      <c r="B3791" t="s">
        <v>260</v>
      </c>
      <c r="C3791">
        <v>2017</v>
      </c>
      <c r="D3791">
        <v>1186</v>
      </c>
    </row>
    <row r="3792" spans="1:4">
      <c r="A3792" t="s">
        <v>99</v>
      </c>
      <c r="B3792" t="s">
        <v>260</v>
      </c>
      <c r="C3792">
        <v>2017</v>
      </c>
      <c r="D3792">
        <v>1791</v>
      </c>
    </row>
    <row r="3793" spans="1:4">
      <c r="A3793" t="s">
        <v>94</v>
      </c>
      <c r="B3793" t="s">
        <v>260</v>
      </c>
      <c r="C3793">
        <v>2017</v>
      </c>
      <c r="D3793">
        <v>4424</v>
      </c>
    </row>
    <row r="3794" spans="1:4">
      <c r="A3794" t="s">
        <v>219</v>
      </c>
      <c r="B3794" t="s">
        <v>260</v>
      </c>
      <c r="C3794">
        <v>2017</v>
      </c>
      <c r="D3794">
        <v>1404</v>
      </c>
    </row>
    <row r="3795" spans="1:4">
      <c r="A3795" t="s">
        <v>214</v>
      </c>
      <c r="B3795" t="s">
        <v>260</v>
      </c>
      <c r="C3795">
        <v>2017</v>
      </c>
      <c r="D3795">
        <v>616</v>
      </c>
    </row>
    <row r="3796" spans="1:4">
      <c r="A3796" t="s">
        <v>70</v>
      </c>
      <c r="B3796" t="s">
        <v>260</v>
      </c>
      <c r="C3796">
        <v>2017</v>
      </c>
      <c r="D3796">
        <v>64171</v>
      </c>
    </row>
    <row r="3797" spans="1:4">
      <c r="A3797" t="s">
        <v>144</v>
      </c>
      <c r="B3797" t="s">
        <v>260</v>
      </c>
      <c r="C3797">
        <v>2017</v>
      </c>
      <c r="D3797">
        <v>4860</v>
      </c>
    </row>
    <row r="3798" spans="1:4">
      <c r="A3798" t="s">
        <v>89</v>
      </c>
      <c r="B3798" t="s">
        <v>260</v>
      </c>
      <c r="C3798">
        <v>2017</v>
      </c>
      <c r="D3798">
        <v>2766</v>
      </c>
    </row>
    <row r="3799" spans="1:4">
      <c r="A3799" t="s">
        <v>204</v>
      </c>
      <c r="B3799" t="s">
        <v>260</v>
      </c>
      <c r="C3799">
        <v>2017</v>
      </c>
      <c r="D3799">
        <v>1604</v>
      </c>
    </row>
    <row r="3800" spans="1:4">
      <c r="A3800" t="s">
        <v>114</v>
      </c>
      <c r="B3800" t="s">
        <v>260</v>
      </c>
      <c r="C3800">
        <v>2017</v>
      </c>
      <c r="D3800">
        <v>866</v>
      </c>
    </row>
    <row r="3801" spans="1:4">
      <c r="A3801" t="s">
        <v>184</v>
      </c>
      <c r="B3801" t="s">
        <v>260</v>
      </c>
      <c r="C3801">
        <v>2017</v>
      </c>
      <c r="D3801">
        <v>3569</v>
      </c>
    </row>
    <row r="3802" spans="1:4">
      <c r="A3802" t="s">
        <v>79</v>
      </c>
      <c r="B3802" t="s">
        <v>260</v>
      </c>
      <c r="C3802">
        <v>2017</v>
      </c>
      <c r="D3802">
        <v>596</v>
      </c>
    </row>
    <row r="3803" spans="1:4">
      <c r="A3803" t="s">
        <v>199</v>
      </c>
      <c r="B3803" t="s">
        <v>260</v>
      </c>
      <c r="C3803">
        <v>2017</v>
      </c>
      <c r="D3803">
        <v>58</v>
      </c>
    </row>
    <row r="3804" spans="1:4">
      <c r="A3804" t="s">
        <v>224</v>
      </c>
      <c r="B3804" t="s">
        <v>260</v>
      </c>
      <c r="C3804">
        <v>2017</v>
      </c>
      <c r="D3804">
        <v>3030</v>
      </c>
    </row>
    <row r="3805" spans="1:4">
      <c r="A3805" t="s">
        <v>194</v>
      </c>
      <c r="B3805" t="s">
        <v>260</v>
      </c>
      <c r="C3805">
        <v>2017</v>
      </c>
      <c r="D3805">
        <v>2958</v>
      </c>
    </row>
    <row r="3806" spans="1:4">
      <c r="A3806" t="s">
        <v>124</v>
      </c>
      <c r="B3806" t="s">
        <v>260</v>
      </c>
      <c r="C3806">
        <v>2017</v>
      </c>
      <c r="D3806">
        <v>3348</v>
      </c>
    </row>
    <row r="3807" spans="1:4">
      <c r="A3807" t="s">
        <v>179</v>
      </c>
      <c r="B3807" t="s">
        <v>260</v>
      </c>
      <c r="C3807">
        <v>2017</v>
      </c>
      <c r="D3807">
        <v>727</v>
      </c>
    </row>
    <row r="3808" spans="1:4">
      <c r="A3808" t="s">
        <v>129</v>
      </c>
      <c r="B3808" t="s">
        <v>260</v>
      </c>
      <c r="C3808">
        <v>2018</v>
      </c>
      <c r="D3808">
        <v>2726</v>
      </c>
    </row>
    <row r="3809" spans="1:4">
      <c r="A3809" t="s">
        <v>74</v>
      </c>
      <c r="B3809" t="s">
        <v>260</v>
      </c>
      <c r="C3809">
        <v>2018</v>
      </c>
      <c r="D3809">
        <v>449</v>
      </c>
    </row>
    <row r="3810" spans="1:4">
      <c r="A3810" t="s">
        <v>134</v>
      </c>
      <c r="B3810" t="s">
        <v>260</v>
      </c>
      <c r="C3810">
        <v>2018</v>
      </c>
      <c r="D3810">
        <v>2462</v>
      </c>
    </row>
    <row r="3811" spans="1:4">
      <c r="A3811" t="s">
        <v>209</v>
      </c>
      <c r="B3811" t="s">
        <v>260</v>
      </c>
      <c r="C3811">
        <v>2018</v>
      </c>
      <c r="D3811">
        <v>1599</v>
      </c>
    </row>
    <row r="3812" spans="1:4">
      <c r="A3812" t="s">
        <v>164</v>
      </c>
      <c r="B3812" t="s">
        <v>260</v>
      </c>
      <c r="C3812">
        <v>2018</v>
      </c>
      <c r="D3812">
        <v>4572</v>
      </c>
    </row>
    <row r="3813" spans="1:4">
      <c r="A3813" t="s">
        <v>169</v>
      </c>
      <c r="B3813" t="s">
        <v>260</v>
      </c>
      <c r="C3813">
        <v>2018</v>
      </c>
      <c r="D3813">
        <v>1617</v>
      </c>
    </row>
    <row r="3814" spans="1:4">
      <c r="A3814" t="s">
        <v>189</v>
      </c>
      <c r="B3814" t="s">
        <v>260</v>
      </c>
      <c r="C3814">
        <v>2018</v>
      </c>
      <c r="D3814">
        <v>2117</v>
      </c>
    </row>
    <row r="3815" spans="1:4">
      <c r="A3815" t="s">
        <v>174</v>
      </c>
      <c r="B3815" t="s">
        <v>260</v>
      </c>
      <c r="C3815">
        <v>2018</v>
      </c>
      <c r="D3815">
        <v>327</v>
      </c>
    </row>
    <row r="3816" spans="1:4">
      <c r="A3816" t="s">
        <v>84</v>
      </c>
      <c r="B3816" t="s">
        <v>260</v>
      </c>
      <c r="C3816">
        <v>2018</v>
      </c>
      <c r="D3816">
        <v>2787</v>
      </c>
    </row>
    <row r="3817" spans="1:4">
      <c r="A3817" t="s">
        <v>149</v>
      </c>
      <c r="B3817" t="s">
        <v>260</v>
      </c>
      <c r="C3817">
        <v>2018</v>
      </c>
      <c r="D3817">
        <v>2974</v>
      </c>
    </row>
    <row r="3818" spans="1:4">
      <c r="A3818" t="s">
        <v>109</v>
      </c>
      <c r="B3818" t="s">
        <v>260</v>
      </c>
      <c r="C3818">
        <v>2018</v>
      </c>
      <c r="D3818">
        <v>1029</v>
      </c>
    </row>
    <row r="3819" spans="1:4">
      <c r="A3819" t="s">
        <v>154</v>
      </c>
      <c r="B3819" t="s">
        <v>260</v>
      </c>
      <c r="C3819">
        <v>2018</v>
      </c>
      <c r="D3819">
        <v>2851</v>
      </c>
    </row>
    <row r="3820" spans="1:4">
      <c r="A3820" t="s">
        <v>159</v>
      </c>
      <c r="B3820" t="s">
        <v>260</v>
      </c>
      <c r="C3820">
        <v>2018</v>
      </c>
      <c r="D3820">
        <v>1432</v>
      </c>
    </row>
    <row r="3821" spans="1:4">
      <c r="A3821" t="s">
        <v>104</v>
      </c>
      <c r="B3821" t="s">
        <v>260</v>
      </c>
      <c r="C3821">
        <v>2018</v>
      </c>
      <c r="D3821">
        <v>871</v>
      </c>
    </row>
    <row r="3822" spans="1:4">
      <c r="A3822" t="s">
        <v>119</v>
      </c>
      <c r="B3822" t="s">
        <v>260</v>
      </c>
      <c r="C3822">
        <v>2018</v>
      </c>
      <c r="D3822">
        <v>5031</v>
      </c>
    </row>
    <row r="3823" spans="1:4">
      <c r="A3823" t="s">
        <v>139</v>
      </c>
      <c r="B3823" t="s">
        <v>260</v>
      </c>
      <c r="C3823">
        <v>2018</v>
      </c>
      <c r="D3823">
        <v>1301</v>
      </c>
    </row>
    <row r="3824" spans="1:4">
      <c r="A3824" t="s">
        <v>99</v>
      </c>
      <c r="B3824" t="s">
        <v>260</v>
      </c>
      <c r="C3824">
        <v>2018</v>
      </c>
      <c r="D3824">
        <v>1926</v>
      </c>
    </row>
    <row r="3825" spans="1:4">
      <c r="A3825" t="s">
        <v>94</v>
      </c>
      <c r="B3825" t="s">
        <v>260</v>
      </c>
      <c r="C3825">
        <v>2018</v>
      </c>
      <c r="D3825">
        <v>5005</v>
      </c>
    </row>
    <row r="3826" spans="1:4">
      <c r="A3826" t="s">
        <v>219</v>
      </c>
      <c r="B3826" t="s">
        <v>260</v>
      </c>
      <c r="C3826">
        <v>2018</v>
      </c>
      <c r="D3826">
        <v>1614</v>
      </c>
    </row>
    <row r="3827" spans="1:4">
      <c r="A3827" t="s">
        <v>214</v>
      </c>
      <c r="B3827" t="s">
        <v>260</v>
      </c>
      <c r="C3827">
        <v>2018</v>
      </c>
      <c r="D3827">
        <v>805</v>
      </c>
    </row>
    <row r="3828" spans="1:4">
      <c r="A3828" t="s">
        <v>70</v>
      </c>
      <c r="B3828" t="s">
        <v>260</v>
      </c>
      <c r="C3828">
        <v>2018</v>
      </c>
      <c r="D3828">
        <v>69947</v>
      </c>
    </row>
    <row r="3829" spans="1:4">
      <c r="A3829" t="s">
        <v>144</v>
      </c>
      <c r="B3829" t="s">
        <v>260</v>
      </c>
      <c r="C3829">
        <v>2018</v>
      </c>
      <c r="D3829">
        <v>5218</v>
      </c>
    </row>
    <row r="3830" spans="1:4">
      <c r="A3830" t="s">
        <v>89</v>
      </c>
      <c r="B3830" t="s">
        <v>260</v>
      </c>
      <c r="C3830">
        <v>2018</v>
      </c>
      <c r="D3830">
        <v>3088</v>
      </c>
    </row>
    <row r="3831" spans="1:4">
      <c r="A3831" t="s">
        <v>204</v>
      </c>
      <c r="B3831" t="s">
        <v>260</v>
      </c>
      <c r="C3831">
        <v>2018</v>
      </c>
      <c r="D3831">
        <v>2005</v>
      </c>
    </row>
    <row r="3832" spans="1:4">
      <c r="A3832" t="s">
        <v>114</v>
      </c>
      <c r="B3832" t="s">
        <v>260</v>
      </c>
      <c r="C3832">
        <v>2018</v>
      </c>
      <c r="D3832">
        <v>857</v>
      </c>
    </row>
    <row r="3833" spans="1:4">
      <c r="A3833" t="s">
        <v>184</v>
      </c>
      <c r="B3833" t="s">
        <v>260</v>
      </c>
      <c r="C3833">
        <v>2018</v>
      </c>
      <c r="D3833">
        <v>3761</v>
      </c>
    </row>
    <row r="3834" spans="1:4">
      <c r="A3834" t="s">
        <v>79</v>
      </c>
      <c r="B3834" t="s">
        <v>260</v>
      </c>
      <c r="C3834">
        <v>2018</v>
      </c>
      <c r="D3834">
        <v>670</v>
      </c>
    </row>
    <row r="3835" spans="1:4">
      <c r="A3835" t="s">
        <v>199</v>
      </c>
      <c r="B3835" t="s">
        <v>260</v>
      </c>
      <c r="C3835">
        <v>2018</v>
      </c>
      <c r="D3835">
        <v>67</v>
      </c>
    </row>
    <row r="3836" spans="1:4">
      <c r="A3836" t="s">
        <v>224</v>
      </c>
      <c r="B3836" t="s">
        <v>260</v>
      </c>
      <c r="C3836">
        <v>2018</v>
      </c>
      <c r="D3836">
        <v>3235</v>
      </c>
    </row>
    <row r="3837" spans="1:4">
      <c r="A3837" t="s">
        <v>194</v>
      </c>
      <c r="B3837" t="s">
        <v>260</v>
      </c>
      <c r="C3837">
        <v>2018</v>
      </c>
      <c r="D3837">
        <v>3244</v>
      </c>
    </row>
    <row r="3838" spans="1:4">
      <c r="A3838" t="s">
        <v>124</v>
      </c>
      <c r="B3838" t="s">
        <v>260</v>
      </c>
      <c r="C3838">
        <v>2018</v>
      </c>
      <c r="D3838">
        <v>3508</v>
      </c>
    </row>
    <row r="3839" spans="1:4">
      <c r="A3839" t="s">
        <v>179</v>
      </c>
      <c r="B3839" t="s">
        <v>260</v>
      </c>
      <c r="C3839">
        <v>2018</v>
      </c>
      <c r="D3839">
        <v>799</v>
      </c>
    </row>
    <row r="3840" spans="1:4">
      <c r="A3840" t="s">
        <v>129</v>
      </c>
      <c r="B3840" t="s">
        <v>260</v>
      </c>
      <c r="C3840">
        <v>2019</v>
      </c>
      <c r="D3840">
        <v>2880</v>
      </c>
    </row>
    <row r="3841" spans="1:4">
      <c r="A3841" t="s">
        <v>74</v>
      </c>
      <c r="B3841" t="s">
        <v>260</v>
      </c>
      <c r="C3841">
        <v>2019</v>
      </c>
      <c r="D3841">
        <v>461</v>
      </c>
    </row>
    <row r="3842" spans="1:4">
      <c r="A3842" t="s">
        <v>134</v>
      </c>
      <c r="B3842" t="s">
        <v>260</v>
      </c>
      <c r="C3842">
        <v>2019</v>
      </c>
      <c r="D3842">
        <v>2573</v>
      </c>
    </row>
    <row r="3843" spans="1:4">
      <c r="A3843" t="s">
        <v>209</v>
      </c>
      <c r="B3843" t="s">
        <v>260</v>
      </c>
      <c r="C3843">
        <v>2019</v>
      </c>
      <c r="D3843">
        <v>1659</v>
      </c>
    </row>
    <row r="3844" spans="1:4">
      <c r="A3844" t="s">
        <v>164</v>
      </c>
      <c r="B3844" t="s">
        <v>260</v>
      </c>
      <c r="C3844">
        <v>2019</v>
      </c>
      <c r="D3844">
        <v>4852</v>
      </c>
    </row>
    <row r="3845" spans="1:4">
      <c r="A3845" t="s">
        <v>169</v>
      </c>
      <c r="B3845" t="s">
        <v>260</v>
      </c>
      <c r="C3845">
        <v>2019</v>
      </c>
      <c r="D3845">
        <v>1827</v>
      </c>
    </row>
    <row r="3846" spans="1:4">
      <c r="A3846" t="s">
        <v>189</v>
      </c>
      <c r="B3846" t="s">
        <v>260</v>
      </c>
      <c r="C3846">
        <v>2019</v>
      </c>
      <c r="D3846">
        <v>2257</v>
      </c>
    </row>
    <row r="3847" spans="1:4">
      <c r="A3847" t="s">
        <v>174</v>
      </c>
      <c r="B3847" t="s">
        <v>260</v>
      </c>
      <c r="C3847">
        <v>2019</v>
      </c>
      <c r="D3847">
        <v>345</v>
      </c>
    </row>
    <row r="3848" spans="1:4">
      <c r="A3848" t="s">
        <v>84</v>
      </c>
      <c r="B3848" t="s">
        <v>260</v>
      </c>
      <c r="C3848">
        <v>2019</v>
      </c>
      <c r="D3848">
        <v>2887</v>
      </c>
    </row>
    <row r="3849" spans="1:4">
      <c r="A3849" t="s">
        <v>149</v>
      </c>
      <c r="B3849" t="s">
        <v>260</v>
      </c>
      <c r="C3849">
        <v>2019</v>
      </c>
      <c r="D3849">
        <v>2816</v>
      </c>
    </row>
    <row r="3850" spans="1:4">
      <c r="A3850" t="s">
        <v>109</v>
      </c>
      <c r="B3850" t="s">
        <v>260</v>
      </c>
      <c r="C3850">
        <v>2019</v>
      </c>
      <c r="D3850">
        <v>1088</v>
      </c>
    </row>
    <row r="3851" spans="1:4">
      <c r="A3851" t="s">
        <v>154</v>
      </c>
      <c r="B3851" t="s">
        <v>260</v>
      </c>
      <c r="C3851">
        <v>2019</v>
      </c>
      <c r="D3851">
        <v>2973</v>
      </c>
    </row>
    <row r="3852" spans="1:4">
      <c r="A3852" t="s">
        <v>159</v>
      </c>
      <c r="B3852" t="s">
        <v>260</v>
      </c>
      <c r="C3852">
        <v>2019</v>
      </c>
      <c r="D3852">
        <v>1551</v>
      </c>
    </row>
    <row r="3853" spans="1:4">
      <c r="A3853" t="s">
        <v>104</v>
      </c>
      <c r="B3853" t="s">
        <v>260</v>
      </c>
      <c r="C3853">
        <v>2019</v>
      </c>
      <c r="D3853">
        <v>926</v>
      </c>
    </row>
    <row r="3854" spans="1:4">
      <c r="A3854" t="s">
        <v>119</v>
      </c>
      <c r="B3854" t="s">
        <v>260</v>
      </c>
      <c r="C3854">
        <v>2019</v>
      </c>
      <c r="D3854">
        <v>5062</v>
      </c>
    </row>
    <row r="3855" spans="1:4">
      <c r="A3855" t="s">
        <v>139</v>
      </c>
      <c r="B3855" t="s">
        <v>260</v>
      </c>
      <c r="C3855">
        <v>2019</v>
      </c>
      <c r="D3855">
        <v>1403</v>
      </c>
    </row>
    <row r="3856" spans="1:4">
      <c r="A3856" t="s">
        <v>99</v>
      </c>
      <c r="B3856" t="s">
        <v>260</v>
      </c>
      <c r="C3856">
        <v>2019</v>
      </c>
      <c r="D3856">
        <v>1992</v>
      </c>
    </row>
    <row r="3857" spans="1:4">
      <c r="A3857" t="s">
        <v>94</v>
      </c>
      <c r="B3857" t="s">
        <v>260</v>
      </c>
      <c r="C3857">
        <v>2019</v>
      </c>
      <c r="D3857">
        <v>5451</v>
      </c>
    </row>
    <row r="3858" spans="1:4">
      <c r="A3858" t="s">
        <v>219</v>
      </c>
      <c r="B3858" t="s">
        <v>260</v>
      </c>
      <c r="C3858">
        <v>2019</v>
      </c>
      <c r="D3858">
        <v>1703</v>
      </c>
    </row>
    <row r="3859" spans="1:4">
      <c r="A3859" t="s">
        <v>214</v>
      </c>
      <c r="B3859" t="s">
        <v>260</v>
      </c>
      <c r="C3859">
        <v>2019</v>
      </c>
      <c r="D3859">
        <v>883</v>
      </c>
    </row>
    <row r="3860" spans="1:4">
      <c r="A3860" t="s">
        <v>70</v>
      </c>
      <c r="B3860" t="s">
        <v>260</v>
      </c>
      <c r="C3860">
        <v>2019</v>
      </c>
      <c r="D3860">
        <v>73269</v>
      </c>
    </row>
    <row r="3861" spans="1:4">
      <c r="A3861" t="s">
        <v>144</v>
      </c>
      <c r="B3861" t="s">
        <v>260</v>
      </c>
      <c r="C3861">
        <v>2019</v>
      </c>
      <c r="D3861">
        <v>5285</v>
      </c>
    </row>
    <row r="3862" spans="1:4">
      <c r="A3862" t="s">
        <v>89</v>
      </c>
      <c r="B3862" t="s">
        <v>260</v>
      </c>
      <c r="C3862">
        <v>2019</v>
      </c>
      <c r="D3862">
        <v>3253</v>
      </c>
    </row>
    <row r="3863" spans="1:4">
      <c r="A3863" t="s">
        <v>204</v>
      </c>
      <c r="B3863" t="s">
        <v>260</v>
      </c>
      <c r="C3863">
        <v>2019</v>
      </c>
      <c r="D3863">
        <v>2223</v>
      </c>
    </row>
    <row r="3864" spans="1:4">
      <c r="A3864" t="s">
        <v>114</v>
      </c>
      <c r="B3864" t="s">
        <v>260</v>
      </c>
      <c r="C3864">
        <v>2019</v>
      </c>
      <c r="D3864">
        <v>837</v>
      </c>
    </row>
    <row r="3865" spans="1:4">
      <c r="A3865" t="s">
        <v>184</v>
      </c>
      <c r="B3865" t="s">
        <v>260</v>
      </c>
      <c r="C3865">
        <v>2019</v>
      </c>
      <c r="D3865">
        <v>3903</v>
      </c>
    </row>
    <row r="3866" spans="1:4">
      <c r="A3866" t="s">
        <v>79</v>
      </c>
      <c r="B3866" t="s">
        <v>260</v>
      </c>
      <c r="C3866">
        <v>2019</v>
      </c>
      <c r="D3866">
        <v>673</v>
      </c>
    </row>
    <row r="3867" spans="1:4">
      <c r="A3867" t="s">
        <v>199</v>
      </c>
      <c r="B3867" t="s">
        <v>260</v>
      </c>
      <c r="C3867">
        <v>2019</v>
      </c>
      <c r="D3867">
        <v>84</v>
      </c>
    </row>
    <row r="3868" spans="1:4">
      <c r="A3868" t="s">
        <v>224</v>
      </c>
      <c r="B3868" t="s">
        <v>260</v>
      </c>
      <c r="C3868">
        <v>2019</v>
      </c>
      <c r="D3868">
        <v>3606</v>
      </c>
    </row>
    <row r="3869" spans="1:4">
      <c r="A3869" t="s">
        <v>194</v>
      </c>
      <c r="B3869" t="s">
        <v>260</v>
      </c>
      <c r="C3869">
        <v>2019</v>
      </c>
      <c r="D3869">
        <v>3462</v>
      </c>
    </row>
    <row r="3870" spans="1:4">
      <c r="A3870" t="s">
        <v>124</v>
      </c>
      <c r="B3870" t="s">
        <v>260</v>
      </c>
      <c r="C3870">
        <v>2019</v>
      </c>
      <c r="D3870">
        <v>3544</v>
      </c>
    </row>
    <row r="3871" spans="1:4">
      <c r="A3871" t="s">
        <v>179</v>
      </c>
      <c r="B3871" t="s">
        <v>260</v>
      </c>
      <c r="C3871">
        <v>2019</v>
      </c>
      <c r="D3871">
        <v>812</v>
      </c>
    </row>
    <row r="3872" spans="1:4">
      <c r="A3872" t="s">
        <v>129</v>
      </c>
      <c r="B3872" t="s">
        <v>260</v>
      </c>
      <c r="C3872">
        <v>2020</v>
      </c>
      <c r="D3872">
        <v>2785</v>
      </c>
    </row>
    <row r="3873" spans="1:4">
      <c r="A3873" t="s">
        <v>74</v>
      </c>
      <c r="B3873" t="s">
        <v>260</v>
      </c>
      <c r="C3873">
        <v>2020</v>
      </c>
      <c r="D3873">
        <v>456</v>
      </c>
    </row>
    <row r="3874" spans="1:4">
      <c r="A3874" t="s">
        <v>134</v>
      </c>
      <c r="B3874" t="s">
        <v>260</v>
      </c>
      <c r="C3874">
        <v>2020</v>
      </c>
      <c r="D3874">
        <v>2636</v>
      </c>
    </row>
    <row r="3875" spans="1:4">
      <c r="A3875" t="s">
        <v>209</v>
      </c>
      <c r="B3875" t="s">
        <v>260</v>
      </c>
      <c r="C3875">
        <v>2020</v>
      </c>
      <c r="D3875">
        <v>1787</v>
      </c>
    </row>
    <row r="3876" spans="1:4">
      <c r="A3876" t="s">
        <v>164</v>
      </c>
      <c r="B3876" t="s">
        <v>260</v>
      </c>
      <c r="C3876">
        <v>2020</v>
      </c>
      <c r="D3876">
        <v>5048</v>
      </c>
    </row>
    <row r="3877" spans="1:4">
      <c r="A3877" t="s">
        <v>169</v>
      </c>
      <c r="B3877" t="s">
        <v>260</v>
      </c>
      <c r="C3877">
        <v>2020</v>
      </c>
      <c r="D3877">
        <v>1939</v>
      </c>
    </row>
    <row r="3878" spans="1:4">
      <c r="A3878" t="s">
        <v>189</v>
      </c>
      <c r="B3878" t="s">
        <v>260</v>
      </c>
      <c r="C3878">
        <v>2020</v>
      </c>
      <c r="D3878">
        <v>2327</v>
      </c>
    </row>
    <row r="3879" spans="1:4">
      <c r="A3879" t="s">
        <v>174</v>
      </c>
      <c r="B3879" t="s">
        <v>260</v>
      </c>
      <c r="C3879">
        <v>2020</v>
      </c>
      <c r="D3879">
        <v>348</v>
      </c>
    </row>
    <row r="3880" spans="1:4">
      <c r="A3880" t="s">
        <v>84</v>
      </c>
      <c r="B3880" t="s">
        <v>260</v>
      </c>
      <c r="C3880">
        <v>2020</v>
      </c>
      <c r="D3880">
        <v>2945</v>
      </c>
    </row>
    <row r="3881" spans="1:4">
      <c r="A3881" t="s">
        <v>149</v>
      </c>
      <c r="B3881" t="s">
        <v>260</v>
      </c>
      <c r="C3881">
        <v>2020</v>
      </c>
      <c r="D3881">
        <v>2791</v>
      </c>
    </row>
    <row r="3882" spans="1:4">
      <c r="A3882" t="s">
        <v>109</v>
      </c>
      <c r="B3882" t="s">
        <v>260</v>
      </c>
      <c r="C3882">
        <v>2020</v>
      </c>
      <c r="D3882">
        <v>1111</v>
      </c>
    </row>
    <row r="3883" spans="1:4">
      <c r="A3883" t="s">
        <v>154</v>
      </c>
      <c r="B3883" t="s">
        <v>260</v>
      </c>
      <c r="C3883">
        <v>2020</v>
      </c>
      <c r="D3883">
        <v>3037</v>
      </c>
    </row>
    <row r="3884" spans="1:4">
      <c r="A3884" t="s">
        <v>159</v>
      </c>
      <c r="B3884" t="s">
        <v>260</v>
      </c>
      <c r="C3884">
        <v>2020</v>
      </c>
      <c r="D3884">
        <v>1552</v>
      </c>
    </row>
    <row r="3885" spans="1:4">
      <c r="A3885" t="s">
        <v>104</v>
      </c>
      <c r="B3885" t="s">
        <v>260</v>
      </c>
      <c r="C3885">
        <v>2020</v>
      </c>
      <c r="D3885">
        <v>990</v>
      </c>
    </row>
    <row r="3886" spans="1:4">
      <c r="A3886" t="s">
        <v>119</v>
      </c>
      <c r="B3886" t="s">
        <v>260</v>
      </c>
      <c r="C3886">
        <v>2020</v>
      </c>
      <c r="D3886">
        <v>5074</v>
      </c>
    </row>
    <row r="3887" spans="1:4">
      <c r="A3887" t="s">
        <v>139</v>
      </c>
      <c r="B3887" t="s">
        <v>260</v>
      </c>
      <c r="C3887">
        <v>2020</v>
      </c>
      <c r="D3887">
        <v>1477</v>
      </c>
    </row>
    <row r="3888" spans="1:4">
      <c r="A3888" t="s">
        <v>99</v>
      </c>
      <c r="B3888" t="s">
        <v>260</v>
      </c>
      <c r="C3888">
        <v>2020</v>
      </c>
      <c r="D3888">
        <v>2039</v>
      </c>
    </row>
    <row r="3889" spans="1:4">
      <c r="A3889" t="s">
        <v>94</v>
      </c>
      <c r="B3889" t="s">
        <v>260</v>
      </c>
      <c r="C3889">
        <v>2020</v>
      </c>
      <c r="D3889">
        <v>5703</v>
      </c>
    </row>
    <row r="3890" spans="1:4">
      <c r="A3890" t="s">
        <v>219</v>
      </c>
      <c r="B3890" t="s">
        <v>260</v>
      </c>
      <c r="C3890">
        <v>2020</v>
      </c>
      <c r="D3890">
        <v>1768</v>
      </c>
    </row>
    <row r="3891" spans="1:4">
      <c r="A3891" t="s">
        <v>214</v>
      </c>
      <c r="B3891" t="s">
        <v>260</v>
      </c>
      <c r="C3891">
        <v>2020</v>
      </c>
      <c r="D3891">
        <v>948</v>
      </c>
    </row>
    <row r="3892" spans="1:4">
      <c r="A3892" t="s">
        <v>70</v>
      </c>
      <c r="B3892" t="s">
        <v>260</v>
      </c>
      <c r="C3892">
        <v>2020</v>
      </c>
      <c r="D3892">
        <v>76264</v>
      </c>
    </row>
    <row r="3893" spans="1:4">
      <c r="A3893" t="s">
        <v>144</v>
      </c>
      <c r="B3893" t="s">
        <v>260</v>
      </c>
      <c r="C3893">
        <v>2020</v>
      </c>
      <c r="D3893">
        <v>5781</v>
      </c>
    </row>
    <row r="3894" spans="1:4">
      <c r="A3894" t="s">
        <v>89</v>
      </c>
      <c r="B3894" t="s">
        <v>260</v>
      </c>
      <c r="C3894">
        <v>2020</v>
      </c>
      <c r="D3894">
        <v>3395</v>
      </c>
    </row>
    <row r="3895" spans="1:4">
      <c r="A3895" t="s">
        <v>204</v>
      </c>
      <c r="B3895" t="s">
        <v>260</v>
      </c>
      <c r="C3895">
        <v>2020</v>
      </c>
      <c r="D3895">
        <v>2426</v>
      </c>
    </row>
    <row r="3896" spans="1:4">
      <c r="A3896" t="s">
        <v>114</v>
      </c>
      <c r="B3896" t="s">
        <v>260</v>
      </c>
      <c r="C3896">
        <v>2020</v>
      </c>
      <c r="D3896">
        <v>864</v>
      </c>
    </row>
    <row r="3897" spans="1:4">
      <c r="A3897" t="s">
        <v>184</v>
      </c>
      <c r="B3897" t="s">
        <v>260</v>
      </c>
      <c r="C3897">
        <v>2020</v>
      </c>
      <c r="D3897">
        <v>4167</v>
      </c>
    </row>
    <row r="3898" spans="1:4">
      <c r="A3898" t="s">
        <v>79</v>
      </c>
      <c r="B3898" t="s">
        <v>260</v>
      </c>
      <c r="C3898">
        <v>2020</v>
      </c>
      <c r="D3898">
        <v>699</v>
      </c>
    </row>
    <row r="3899" spans="1:4">
      <c r="A3899" t="s">
        <v>199</v>
      </c>
      <c r="B3899" t="s">
        <v>260</v>
      </c>
      <c r="C3899">
        <v>2020</v>
      </c>
      <c r="D3899">
        <v>87</v>
      </c>
    </row>
    <row r="3900" spans="1:4">
      <c r="A3900" t="s">
        <v>224</v>
      </c>
      <c r="B3900" t="s">
        <v>260</v>
      </c>
      <c r="C3900">
        <v>2020</v>
      </c>
      <c r="D3900">
        <v>4052</v>
      </c>
    </row>
    <row r="3901" spans="1:4">
      <c r="A3901" t="s">
        <v>194</v>
      </c>
      <c r="B3901" t="s">
        <v>260</v>
      </c>
      <c r="C3901">
        <v>2020</v>
      </c>
      <c r="D3901">
        <v>3674</v>
      </c>
    </row>
    <row r="3902" spans="1:4">
      <c r="A3902" t="s">
        <v>124</v>
      </c>
      <c r="B3902" t="s">
        <v>260</v>
      </c>
      <c r="C3902">
        <v>2020</v>
      </c>
      <c r="D3902">
        <v>3521</v>
      </c>
    </row>
    <row r="3903" spans="1:4">
      <c r="A3903" t="s">
        <v>179</v>
      </c>
      <c r="B3903" t="s">
        <v>260</v>
      </c>
      <c r="C3903">
        <v>2020</v>
      </c>
      <c r="D3903">
        <v>837</v>
      </c>
    </row>
    <row r="3904" spans="1:4">
      <c r="A3904" t="s">
        <v>129</v>
      </c>
      <c r="B3904" t="s">
        <v>260</v>
      </c>
      <c r="C3904">
        <v>2021</v>
      </c>
      <c r="D3904">
        <v>3045</v>
      </c>
    </row>
    <row r="3905" spans="1:4">
      <c r="A3905" t="s">
        <v>74</v>
      </c>
      <c r="B3905" t="s">
        <v>260</v>
      </c>
      <c r="C3905">
        <v>2021</v>
      </c>
      <c r="D3905">
        <v>471</v>
      </c>
    </row>
    <row r="3906" spans="1:4">
      <c r="A3906" t="s">
        <v>134</v>
      </c>
      <c r="B3906" t="s">
        <v>260</v>
      </c>
      <c r="C3906">
        <v>2021</v>
      </c>
      <c r="D3906">
        <v>2931</v>
      </c>
    </row>
    <row r="3907" spans="1:4">
      <c r="A3907" t="s">
        <v>209</v>
      </c>
      <c r="B3907" t="s">
        <v>260</v>
      </c>
      <c r="C3907">
        <v>2021</v>
      </c>
      <c r="D3907">
        <v>1932</v>
      </c>
    </row>
    <row r="3908" spans="1:4">
      <c r="A3908" t="s">
        <v>164</v>
      </c>
      <c r="B3908" t="s">
        <v>260</v>
      </c>
      <c r="C3908">
        <v>2021</v>
      </c>
      <c r="D3908">
        <v>6154</v>
      </c>
    </row>
    <row r="3909" spans="1:4">
      <c r="A3909" t="s">
        <v>169</v>
      </c>
      <c r="B3909" t="s">
        <v>260</v>
      </c>
      <c r="C3909">
        <v>2021</v>
      </c>
      <c r="D3909">
        <v>2008</v>
      </c>
    </row>
    <row r="3910" spans="1:4">
      <c r="A3910" t="s">
        <v>189</v>
      </c>
      <c r="B3910" t="s">
        <v>260</v>
      </c>
      <c r="C3910">
        <v>2021</v>
      </c>
      <c r="D3910">
        <v>2407</v>
      </c>
    </row>
    <row r="3911" spans="1:4">
      <c r="A3911" t="s">
        <v>174</v>
      </c>
      <c r="B3911" t="s">
        <v>260</v>
      </c>
      <c r="C3911">
        <v>2021</v>
      </c>
      <c r="D3911">
        <v>391</v>
      </c>
    </row>
    <row r="3912" spans="1:4">
      <c r="A3912" t="s">
        <v>84</v>
      </c>
      <c r="B3912" t="s">
        <v>260</v>
      </c>
      <c r="C3912">
        <v>2021</v>
      </c>
      <c r="D3912">
        <v>3074</v>
      </c>
    </row>
    <row r="3913" spans="1:4">
      <c r="A3913" t="s">
        <v>149</v>
      </c>
      <c r="B3913" t="s">
        <v>260</v>
      </c>
      <c r="C3913">
        <v>2021</v>
      </c>
      <c r="D3913">
        <v>2931</v>
      </c>
    </row>
    <row r="3914" spans="1:4">
      <c r="A3914" t="s">
        <v>109</v>
      </c>
      <c r="B3914" t="s">
        <v>260</v>
      </c>
      <c r="C3914">
        <v>2021</v>
      </c>
      <c r="D3914">
        <v>1145</v>
      </c>
    </row>
    <row r="3915" spans="1:4">
      <c r="A3915" t="s">
        <v>154</v>
      </c>
      <c r="B3915" t="s">
        <v>260</v>
      </c>
      <c r="C3915">
        <v>2021</v>
      </c>
      <c r="D3915">
        <v>3291</v>
      </c>
    </row>
    <row r="3916" spans="1:4">
      <c r="A3916" t="s">
        <v>159</v>
      </c>
      <c r="B3916" t="s">
        <v>260</v>
      </c>
      <c r="C3916">
        <v>2021</v>
      </c>
      <c r="D3916">
        <v>1749</v>
      </c>
    </row>
    <row r="3917" spans="1:4">
      <c r="A3917" t="s">
        <v>104</v>
      </c>
      <c r="B3917" t="s">
        <v>260</v>
      </c>
      <c r="C3917">
        <v>2021</v>
      </c>
      <c r="D3917">
        <v>984</v>
      </c>
    </row>
    <row r="3918" spans="1:4">
      <c r="A3918" t="s">
        <v>119</v>
      </c>
      <c r="B3918" t="s">
        <v>260</v>
      </c>
      <c r="C3918">
        <v>2021</v>
      </c>
      <c r="D3918">
        <v>5867</v>
      </c>
    </row>
    <row r="3919" spans="1:4">
      <c r="A3919" t="s">
        <v>139</v>
      </c>
      <c r="B3919" t="s">
        <v>260</v>
      </c>
      <c r="C3919">
        <v>2021</v>
      </c>
      <c r="D3919">
        <v>1625</v>
      </c>
    </row>
    <row r="3920" spans="1:4">
      <c r="A3920" t="s">
        <v>99</v>
      </c>
      <c r="B3920" t="s">
        <v>260</v>
      </c>
      <c r="C3920">
        <v>2021</v>
      </c>
      <c r="D3920">
        <v>2159</v>
      </c>
    </row>
    <row r="3921" spans="1:4">
      <c r="A3921" t="s">
        <v>94</v>
      </c>
      <c r="B3921" t="s">
        <v>260</v>
      </c>
      <c r="C3921">
        <v>2021</v>
      </c>
      <c r="D3921">
        <v>6010</v>
      </c>
    </row>
    <row r="3922" spans="1:4">
      <c r="A3922" t="s">
        <v>219</v>
      </c>
      <c r="B3922" t="s">
        <v>260</v>
      </c>
      <c r="C3922">
        <v>2021</v>
      </c>
      <c r="D3922">
        <v>1992</v>
      </c>
    </row>
    <row r="3923" spans="1:4">
      <c r="A3923" t="s">
        <v>214</v>
      </c>
      <c r="B3923" t="s">
        <v>260</v>
      </c>
      <c r="C3923">
        <v>2021</v>
      </c>
      <c r="D3923">
        <v>989</v>
      </c>
    </row>
    <row r="3924" spans="1:4">
      <c r="A3924" t="s">
        <v>70</v>
      </c>
      <c r="B3924" t="s">
        <v>260</v>
      </c>
      <c r="C3924">
        <v>2021</v>
      </c>
      <c r="D3924">
        <v>83959</v>
      </c>
    </row>
    <row r="3925" spans="1:4">
      <c r="A3925" t="s">
        <v>144</v>
      </c>
      <c r="B3925" t="s">
        <v>260</v>
      </c>
      <c r="C3925">
        <v>2021</v>
      </c>
      <c r="D3925">
        <v>6196</v>
      </c>
    </row>
    <row r="3926" spans="1:4">
      <c r="A3926" t="s">
        <v>89</v>
      </c>
      <c r="B3926" t="s">
        <v>260</v>
      </c>
      <c r="C3926">
        <v>2021</v>
      </c>
      <c r="D3926">
        <v>3843</v>
      </c>
    </row>
    <row r="3927" spans="1:4">
      <c r="A3927" t="s">
        <v>204</v>
      </c>
      <c r="B3927" t="s">
        <v>260</v>
      </c>
      <c r="C3927">
        <v>2021</v>
      </c>
      <c r="D3927">
        <v>2768</v>
      </c>
    </row>
    <row r="3928" spans="1:4">
      <c r="A3928" t="s">
        <v>114</v>
      </c>
      <c r="B3928" t="s">
        <v>260</v>
      </c>
      <c r="C3928">
        <v>2021</v>
      </c>
      <c r="D3928">
        <v>1007</v>
      </c>
    </row>
    <row r="3929" spans="1:4">
      <c r="A3929" t="s">
        <v>184</v>
      </c>
      <c r="B3929" t="s">
        <v>260</v>
      </c>
      <c r="C3929">
        <v>2021</v>
      </c>
      <c r="D3929">
        <v>4519</v>
      </c>
    </row>
    <row r="3930" spans="1:4">
      <c r="A3930" t="s">
        <v>79</v>
      </c>
      <c r="B3930" t="s">
        <v>260</v>
      </c>
      <c r="C3930">
        <v>2021</v>
      </c>
      <c r="D3930">
        <v>776</v>
      </c>
    </row>
    <row r="3931" spans="1:4">
      <c r="A3931" t="s">
        <v>199</v>
      </c>
      <c r="B3931" t="s">
        <v>260</v>
      </c>
      <c r="C3931">
        <v>2021</v>
      </c>
      <c r="D3931">
        <v>113</v>
      </c>
    </row>
    <row r="3932" spans="1:4">
      <c r="A3932" t="s">
        <v>224</v>
      </c>
      <c r="B3932" t="s">
        <v>260</v>
      </c>
      <c r="C3932">
        <v>2021</v>
      </c>
      <c r="D3932">
        <v>4613</v>
      </c>
    </row>
    <row r="3933" spans="1:4">
      <c r="A3933" t="s">
        <v>194</v>
      </c>
      <c r="B3933" t="s">
        <v>260</v>
      </c>
      <c r="C3933">
        <v>2021</v>
      </c>
      <c r="D3933">
        <v>3765</v>
      </c>
    </row>
    <row r="3934" spans="1:4">
      <c r="A3934" t="s">
        <v>124</v>
      </c>
      <c r="B3934" t="s">
        <v>260</v>
      </c>
      <c r="C3934">
        <v>2021</v>
      </c>
      <c r="D3934">
        <v>4227</v>
      </c>
    </row>
    <row r="3935" spans="1:4">
      <c r="A3935" t="s">
        <v>179</v>
      </c>
      <c r="B3935" t="s">
        <v>260</v>
      </c>
      <c r="C3935">
        <v>2021</v>
      </c>
      <c r="D3935">
        <v>978</v>
      </c>
    </row>
    <row r="3936" spans="1:4">
      <c r="A3936" t="s">
        <v>70</v>
      </c>
      <c r="B3936" t="s">
        <v>260</v>
      </c>
      <c r="C3936">
        <v>2022</v>
      </c>
      <c r="D3936" s="97">
        <v>86945</v>
      </c>
    </row>
    <row r="3937" spans="1:4">
      <c r="A3937" t="s">
        <v>74</v>
      </c>
      <c r="B3937" t="s">
        <v>260</v>
      </c>
      <c r="C3937">
        <v>2022</v>
      </c>
      <c r="D3937" s="97">
        <v>465</v>
      </c>
    </row>
    <row r="3938" spans="1:4">
      <c r="A3938" t="s">
        <v>79</v>
      </c>
      <c r="B3938" t="s">
        <v>260</v>
      </c>
      <c r="C3938">
        <v>2022</v>
      </c>
      <c r="D3938" s="97">
        <v>749</v>
      </c>
    </row>
    <row r="3939" spans="1:4">
      <c r="A3939" t="s">
        <v>84</v>
      </c>
      <c r="B3939" t="s">
        <v>260</v>
      </c>
      <c r="C3939">
        <v>2022</v>
      </c>
      <c r="D3939" s="97">
        <v>3336</v>
      </c>
    </row>
    <row r="3940" spans="1:4">
      <c r="A3940" t="s">
        <v>89</v>
      </c>
      <c r="B3940" t="s">
        <v>260</v>
      </c>
      <c r="C3940">
        <v>2022</v>
      </c>
      <c r="D3940" s="97">
        <v>4184</v>
      </c>
    </row>
    <row r="3941" spans="1:4">
      <c r="A3941" t="s">
        <v>94</v>
      </c>
      <c r="B3941" t="s">
        <v>260</v>
      </c>
      <c r="C3941">
        <v>2022</v>
      </c>
      <c r="D3941" s="97">
        <v>6479</v>
      </c>
    </row>
    <row r="3942" spans="1:4">
      <c r="A3942" t="s">
        <v>99</v>
      </c>
      <c r="B3942" t="s">
        <v>260</v>
      </c>
      <c r="C3942">
        <v>2022</v>
      </c>
      <c r="D3942" s="97">
        <v>2148</v>
      </c>
    </row>
    <row r="3943" spans="1:4">
      <c r="A3943" t="s">
        <v>104</v>
      </c>
      <c r="B3943" t="s">
        <v>260</v>
      </c>
      <c r="C3943">
        <v>2022</v>
      </c>
      <c r="D3943" s="97">
        <v>1017</v>
      </c>
    </row>
    <row r="3944" spans="1:4">
      <c r="A3944" t="s">
        <v>109</v>
      </c>
      <c r="B3944" t="s">
        <v>260</v>
      </c>
      <c r="C3944">
        <v>2022</v>
      </c>
      <c r="D3944" s="97">
        <v>1174</v>
      </c>
    </row>
    <row r="3945" spans="1:4">
      <c r="A3945" t="s">
        <v>114</v>
      </c>
      <c r="B3945" t="s">
        <v>260</v>
      </c>
      <c r="C3945">
        <v>2022</v>
      </c>
      <c r="D3945" s="97">
        <v>963</v>
      </c>
    </row>
    <row r="3946" spans="1:4">
      <c r="A3946" t="s">
        <v>119</v>
      </c>
      <c r="B3946" t="s">
        <v>260</v>
      </c>
      <c r="C3946">
        <v>2022</v>
      </c>
      <c r="D3946" s="97">
        <v>5949</v>
      </c>
    </row>
    <row r="3947" spans="1:4">
      <c r="A3947" t="s">
        <v>124</v>
      </c>
      <c r="B3947" t="s">
        <v>260</v>
      </c>
      <c r="C3947">
        <v>2022</v>
      </c>
      <c r="D3947" s="97">
        <v>4346</v>
      </c>
    </row>
    <row r="3948" spans="1:4">
      <c r="A3948" t="s">
        <v>129</v>
      </c>
      <c r="B3948" t="s">
        <v>260</v>
      </c>
      <c r="C3948">
        <v>2022</v>
      </c>
      <c r="D3948" s="97">
        <v>3271</v>
      </c>
    </row>
    <row r="3949" spans="1:4">
      <c r="A3949" t="s">
        <v>134</v>
      </c>
      <c r="B3949" t="s">
        <v>260</v>
      </c>
      <c r="C3949">
        <v>2022</v>
      </c>
      <c r="D3949" s="97">
        <v>3074</v>
      </c>
    </row>
    <row r="3950" spans="1:4">
      <c r="A3950" t="s">
        <v>139</v>
      </c>
      <c r="B3950" t="s">
        <v>260</v>
      </c>
      <c r="C3950">
        <v>2022</v>
      </c>
      <c r="D3950" s="97">
        <v>1783</v>
      </c>
    </row>
    <row r="3951" spans="1:4">
      <c r="A3951" t="s">
        <v>144</v>
      </c>
      <c r="B3951" t="s">
        <v>260</v>
      </c>
      <c r="C3951">
        <v>2022</v>
      </c>
      <c r="D3951" s="97">
        <v>6241</v>
      </c>
    </row>
    <row r="3952" spans="1:4">
      <c r="A3952" t="s">
        <v>149</v>
      </c>
      <c r="B3952" t="s">
        <v>260</v>
      </c>
      <c r="C3952">
        <v>2022</v>
      </c>
      <c r="D3952" s="97">
        <v>3329</v>
      </c>
    </row>
    <row r="3953" spans="1:4">
      <c r="A3953" t="s">
        <v>154</v>
      </c>
      <c r="B3953" t="s">
        <v>260</v>
      </c>
      <c r="C3953">
        <v>2022</v>
      </c>
      <c r="D3953" s="97">
        <v>3106</v>
      </c>
    </row>
    <row r="3954" spans="1:4">
      <c r="A3954" t="s">
        <v>159</v>
      </c>
      <c r="B3954" t="s">
        <v>260</v>
      </c>
      <c r="C3954">
        <v>2022</v>
      </c>
      <c r="D3954" s="97">
        <v>1783</v>
      </c>
    </row>
    <row r="3955" spans="1:4">
      <c r="A3955" t="s">
        <v>164</v>
      </c>
      <c r="B3955" t="s">
        <v>260</v>
      </c>
      <c r="C3955">
        <v>2022</v>
      </c>
      <c r="D3955" s="97">
        <v>6229</v>
      </c>
    </row>
    <row r="3956" spans="1:4">
      <c r="A3956" t="s">
        <v>169</v>
      </c>
      <c r="B3956" t="s">
        <v>260</v>
      </c>
      <c r="C3956">
        <v>2022</v>
      </c>
      <c r="D3956" s="97">
        <v>2030</v>
      </c>
    </row>
    <row r="3957" spans="1:4">
      <c r="A3957" t="s">
        <v>174</v>
      </c>
      <c r="B3957" t="s">
        <v>260</v>
      </c>
      <c r="C3957">
        <v>2022</v>
      </c>
      <c r="D3957" s="97">
        <v>408</v>
      </c>
    </row>
    <row r="3958" spans="1:4">
      <c r="A3958" t="s">
        <v>179</v>
      </c>
      <c r="B3958" t="s">
        <v>260</v>
      </c>
      <c r="C3958">
        <v>2022</v>
      </c>
      <c r="D3958" s="97">
        <v>990</v>
      </c>
    </row>
    <row r="3959" spans="1:4">
      <c r="A3959" t="s">
        <v>184</v>
      </c>
      <c r="B3959" t="s">
        <v>260</v>
      </c>
      <c r="C3959">
        <v>2022</v>
      </c>
      <c r="D3959" s="97">
        <v>4822</v>
      </c>
    </row>
    <row r="3960" spans="1:4">
      <c r="A3960" t="s">
        <v>189</v>
      </c>
      <c r="B3960" t="s">
        <v>260</v>
      </c>
      <c r="C3960">
        <v>2022</v>
      </c>
      <c r="D3960" s="97">
        <v>2335</v>
      </c>
    </row>
    <row r="3961" spans="1:4">
      <c r="A3961" t="s">
        <v>194</v>
      </c>
      <c r="B3961" t="s">
        <v>260</v>
      </c>
      <c r="C3961">
        <v>2022</v>
      </c>
      <c r="D3961" s="97">
        <v>4009</v>
      </c>
    </row>
    <row r="3962" spans="1:4">
      <c r="A3962" t="s">
        <v>199</v>
      </c>
      <c r="B3962" t="s">
        <v>260</v>
      </c>
      <c r="C3962">
        <v>2022</v>
      </c>
      <c r="D3962" s="97">
        <v>127</v>
      </c>
    </row>
    <row r="3963" spans="1:4">
      <c r="A3963" t="s">
        <v>204</v>
      </c>
      <c r="B3963" t="s">
        <v>260</v>
      </c>
      <c r="C3963">
        <v>2022</v>
      </c>
      <c r="D3963" s="97">
        <v>2845</v>
      </c>
    </row>
    <row r="3964" spans="1:4">
      <c r="A3964" t="s">
        <v>209</v>
      </c>
      <c r="B3964" t="s">
        <v>260</v>
      </c>
      <c r="C3964">
        <v>2022</v>
      </c>
      <c r="D3964" s="97">
        <v>1970</v>
      </c>
    </row>
    <row r="3965" spans="1:4">
      <c r="A3965" t="s">
        <v>214</v>
      </c>
      <c r="B3965" t="s">
        <v>260</v>
      </c>
      <c r="C3965">
        <v>2022</v>
      </c>
      <c r="D3965" s="97">
        <v>993</v>
      </c>
    </row>
    <row r="3966" spans="1:4">
      <c r="A3966" t="s">
        <v>219</v>
      </c>
      <c r="B3966" t="s">
        <v>260</v>
      </c>
      <c r="C3966">
        <v>2022</v>
      </c>
      <c r="D3966" s="97">
        <v>2124</v>
      </c>
    </row>
    <row r="3967" spans="1:4">
      <c r="A3967" t="s">
        <v>224</v>
      </c>
      <c r="B3967" t="s">
        <v>260</v>
      </c>
      <c r="C3967">
        <v>2022</v>
      </c>
      <c r="D3967" s="97">
        <v>4665</v>
      </c>
    </row>
  </sheetData>
  <autoFilter xmlns:etc="http://www.wps.cn/officeDocument/2017/etCustomData" ref="A1:D3967" etc:filterBottomFollowUsedRange="0">
    <extLst/>
  </autoFilter>
  <conditionalFormatting sqref="B3169">
    <cfRule type="containsText" dxfId="1" priority="124" operator="between" text="容量">
      <formula>NOT(ISERROR(SEARCH("容量",B3169)))</formula>
    </cfRule>
  </conditionalFormatting>
  <conditionalFormatting sqref="B3170">
    <cfRule type="containsText" dxfId="1" priority="123" operator="between" text="容量">
      <formula>NOT(ISERROR(SEARCH("容量",B3170)))</formula>
    </cfRule>
  </conditionalFormatting>
  <conditionalFormatting sqref="B3171">
    <cfRule type="containsText" dxfId="1" priority="122" operator="between" text="容量">
      <formula>NOT(ISERROR(SEARCH("容量",B3171)))</formula>
    </cfRule>
  </conditionalFormatting>
  <conditionalFormatting sqref="B3172">
    <cfRule type="containsText" dxfId="1" priority="121" operator="between" text="容量">
      <formula>NOT(ISERROR(SEARCH("容量",B3172)))</formula>
    </cfRule>
  </conditionalFormatting>
  <conditionalFormatting sqref="B3173">
    <cfRule type="containsText" dxfId="1" priority="120" operator="between" text="容量">
      <formula>NOT(ISERROR(SEARCH("容量",B3173)))</formula>
    </cfRule>
  </conditionalFormatting>
  <conditionalFormatting sqref="B3174">
    <cfRule type="containsText" dxfId="1" priority="119" operator="between" text="容量">
      <formula>NOT(ISERROR(SEARCH("容量",B3174)))</formula>
    </cfRule>
  </conditionalFormatting>
  <conditionalFormatting sqref="B3175">
    <cfRule type="containsText" dxfId="1" priority="118" operator="between" text="容量">
      <formula>NOT(ISERROR(SEARCH("容量",B3175)))</formula>
    </cfRule>
  </conditionalFormatting>
  <conditionalFormatting sqref="B3176">
    <cfRule type="containsText" dxfId="1" priority="117" operator="between" text="容量">
      <formula>NOT(ISERROR(SEARCH("容量",B3176)))</formula>
    </cfRule>
  </conditionalFormatting>
  <conditionalFormatting sqref="B3177">
    <cfRule type="containsText" dxfId="1" priority="116" operator="between" text="容量">
      <formula>NOT(ISERROR(SEARCH("容量",B3177)))</formula>
    </cfRule>
  </conditionalFormatting>
  <conditionalFormatting sqref="B3178">
    <cfRule type="containsText" dxfId="1" priority="115" operator="between" text="容量">
      <formula>NOT(ISERROR(SEARCH("容量",B3178)))</formula>
    </cfRule>
  </conditionalFormatting>
  <conditionalFormatting sqref="B3179">
    <cfRule type="containsText" dxfId="1" priority="114" operator="between" text="容量">
      <formula>NOT(ISERROR(SEARCH("容量",B3179)))</formula>
    </cfRule>
  </conditionalFormatting>
  <conditionalFormatting sqref="B3180">
    <cfRule type="containsText" dxfId="1" priority="113" operator="between" text="容量">
      <formula>NOT(ISERROR(SEARCH("容量",B3180)))</formula>
    </cfRule>
  </conditionalFormatting>
  <conditionalFormatting sqref="B3181">
    <cfRule type="containsText" dxfId="1" priority="112" operator="between" text="容量">
      <formula>NOT(ISERROR(SEARCH("容量",B3181)))</formula>
    </cfRule>
  </conditionalFormatting>
  <conditionalFormatting sqref="B3182">
    <cfRule type="containsText" dxfId="1" priority="111" operator="between" text="容量">
      <formula>NOT(ISERROR(SEARCH("容量",B3182)))</formula>
    </cfRule>
  </conditionalFormatting>
  <conditionalFormatting sqref="B3183">
    <cfRule type="containsText" dxfId="1" priority="110" operator="between" text="容量">
      <formula>NOT(ISERROR(SEARCH("容量",B3183)))</formula>
    </cfRule>
  </conditionalFormatting>
  <conditionalFormatting sqref="B3184">
    <cfRule type="containsText" dxfId="1" priority="109" operator="between" text="容量">
      <formula>NOT(ISERROR(SEARCH("容量",B3184)))</formula>
    </cfRule>
  </conditionalFormatting>
  <conditionalFormatting sqref="B3185">
    <cfRule type="containsText" dxfId="1" priority="108" operator="between" text="容量">
      <formula>NOT(ISERROR(SEARCH("容量",B3185)))</formula>
    </cfRule>
  </conditionalFormatting>
  <conditionalFormatting sqref="B3186">
    <cfRule type="containsText" dxfId="1" priority="107" operator="between" text="容量">
      <formula>NOT(ISERROR(SEARCH("容量",B3186)))</formula>
    </cfRule>
  </conditionalFormatting>
  <conditionalFormatting sqref="B3187">
    <cfRule type="containsText" dxfId="1" priority="106" operator="between" text="容量">
      <formula>NOT(ISERROR(SEARCH("容量",B3187)))</formula>
    </cfRule>
  </conditionalFormatting>
  <conditionalFormatting sqref="B3188">
    <cfRule type="containsText" dxfId="1" priority="105" operator="between" text="容量">
      <formula>NOT(ISERROR(SEARCH("容量",B3188)))</formula>
    </cfRule>
  </conditionalFormatting>
  <conditionalFormatting sqref="B3189">
    <cfRule type="containsText" dxfId="1" priority="104" operator="between" text="容量">
      <formula>NOT(ISERROR(SEARCH("容量",B3189)))</formula>
    </cfRule>
  </conditionalFormatting>
  <conditionalFormatting sqref="B3190">
    <cfRule type="containsText" dxfId="1" priority="103" operator="between" text="容量">
      <formula>NOT(ISERROR(SEARCH("容量",B3190)))</formula>
    </cfRule>
  </conditionalFormatting>
  <conditionalFormatting sqref="B3191">
    <cfRule type="containsText" dxfId="1" priority="102" operator="between" text="容量">
      <formula>NOT(ISERROR(SEARCH("容量",B3191)))</formula>
    </cfRule>
  </conditionalFormatting>
  <conditionalFormatting sqref="B3192">
    <cfRule type="containsText" dxfId="1" priority="101" operator="between" text="容量">
      <formula>NOT(ISERROR(SEARCH("容量",B3192)))</formula>
    </cfRule>
  </conditionalFormatting>
  <conditionalFormatting sqref="B3193">
    <cfRule type="containsText" dxfId="1" priority="100" operator="between" text="容量">
      <formula>NOT(ISERROR(SEARCH("容量",B3193)))</formula>
    </cfRule>
  </conditionalFormatting>
  <conditionalFormatting sqref="B3194">
    <cfRule type="containsText" dxfId="1" priority="99" operator="between" text="容量">
      <formula>NOT(ISERROR(SEARCH("容量",B3194)))</formula>
    </cfRule>
  </conditionalFormatting>
  <conditionalFormatting sqref="B3195">
    <cfRule type="containsText" dxfId="1" priority="98" operator="between" text="容量">
      <formula>NOT(ISERROR(SEARCH("容量",B3195)))</formula>
    </cfRule>
  </conditionalFormatting>
  <conditionalFormatting sqref="B3196">
    <cfRule type="containsText" dxfId="1" priority="97" operator="between" text="容量">
      <formula>NOT(ISERROR(SEARCH("容量",B3196)))</formula>
    </cfRule>
  </conditionalFormatting>
  <conditionalFormatting sqref="B3197">
    <cfRule type="containsText" dxfId="1" priority="96" operator="between" text="容量">
      <formula>NOT(ISERROR(SEARCH("容量",B3197)))</formula>
    </cfRule>
  </conditionalFormatting>
  <conditionalFormatting sqref="B3198">
    <cfRule type="containsText" dxfId="1" priority="95" operator="between" text="容量">
      <formula>NOT(ISERROR(SEARCH("容量",B3198)))</formula>
    </cfRule>
  </conditionalFormatting>
  <conditionalFormatting sqref="B3199">
    <cfRule type="containsText" dxfId="1" priority="94" operator="between" text="容量">
      <formula>NOT(ISERROR(SEARCH("容量",B3199)))</formula>
    </cfRule>
  </conditionalFormatting>
  <conditionalFormatting sqref="B3425">
    <cfRule type="containsText" dxfId="1" priority="93" operator="between" text="容量">
      <formula>NOT(ISERROR(SEARCH("容量",B3425)))</formula>
    </cfRule>
  </conditionalFormatting>
  <conditionalFormatting sqref="B3426">
    <cfRule type="containsText" dxfId="1" priority="92" operator="between" text="容量">
      <formula>NOT(ISERROR(SEARCH("容量",B3426)))</formula>
    </cfRule>
  </conditionalFormatting>
  <conditionalFormatting sqref="B3427">
    <cfRule type="containsText" dxfId="1" priority="91" operator="between" text="容量">
      <formula>NOT(ISERROR(SEARCH("容量",B3427)))</formula>
    </cfRule>
  </conditionalFormatting>
  <conditionalFormatting sqref="B3428">
    <cfRule type="containsText" dxfId="1" priority="90" operator="between" text="容量">
      <formula>NOT(ISERROR(SEARCH("容量",B3428)))</formula>
    </cfRule>
  </conditionalFormatting>
  <conditionalFormatting sqref="B3429">
    <cfRule type="containsText" dxfId="1" priority="89" operator="between" text="容量">
      <formula>NOT(ISERROR(SEARCH("容量",B3429)))</formula>
    </cfRule>
  </conditionalFormatting>
  <conditionalFormatting sqref="B3430">
    <cfRule type="containsText" dxfId="1" priority="88" operator="between" text="容量">
      <formula>NOT(ISERROR(SEARCH("容量",B3430)))</formula>
    </cfRule>
  </conditionalFormatting>
  <conditionalFormatting sqref="B3431">
    <cfRule type="containsText" dxfId="1" priority="87" operator="between" text="容量">
      <formula>NOT(ISERROR(SEARCH("容量",B3431)))</formula>
    </cfRule>
  </conditionalFormatting>
  <conditionalFormatting sqref="B3432">
    <cfRule type="containsText" dxfId="1" priority="86" operator="between" text="容量">
      <formula>NOT(ISERROR(SEARCH("容量",B3432)))</formula>
    </cfRule>
  </conditionalFormatting>
  <conditionalFormatting sqref="B3433">
    <cfRule type="containsText" dxfId="1" priority="85" operator="between" text="容量">
      <formula>NOT(ISERROR(SEARCH("容量",B3433)))</formula>
    </cfRule>
  </conditionalFormatting>
  <conditionalFormatting sqref="B3434">
    <cfRule type="containsText" dxfId="1" priority="84" operator="between" text="容量">
      <formula>NOT(ISERROR(SEARCH("容量",B3434)))</formula>
    </cfRule>
  </conditionalFormatting>
  <conditionalFormatting sqref="B3435">
    <cfRule type="containsText" dxfId="1" priority="83" operator="between" text="容量">
      <formula>NOT(ISERROR(SEARCH("容量",B3435)))</formula>
    </cfRule>
  </conditionalFormatting>
  <conditionalFormatting sqref="B3436">
    <cfRule type="containsText" dxfId="1" priority="82" operator="between" text="容量">
      <formula>NOT(ISERROR(SEARCH("容量",B3436)))</formula>
    </cfRule>
  </conditionalFormatting>
  <conditionalFormatting sqref="B3437">
    <cfRule type="containsText" dxfId="1" priority="81" operator="between" text="容量">
      <formula>NOT(ISERROR(SEARCH("容量",B3437)))</formula>
    </cfRule>
  </conditionalFormatting>
  <conditionalFormatting sqref="B3438">
    <cfRule type="containsText" dxfId="1" priority="80" operator="between" text="容量">
      <formula>NOT(ISERROR(SEARCH("容量",B3438)))</formula>
    </cfRule>
  </conditionalFormatting>
  <conditionalFormatting sqref="B3439">
    <cfRule type="containsText" dxfId="1" priority="79" operator="between" text="容量">
      <formula>NOT(ISERROR(SEARCH("容量",B3439)))</formula>
    </cfRule>
  </conditionalFormatting>
  <conditionalFormatting sqref="B3440">
    <cfRule type="containsText" dxfId="1" priority="78" operator="between" text="容量">
      <formula>NOT(ISERROR(SEARCH("容量",B3440)))</formula>
    </cfRule>
  </conditionalFormatting>
  <conditionalFormatting sqref="B3441">
    <cfRule type="containsText" dxfId="1" priority="77" operator="between" text="容量">
      <formula>NOT(ISERROR(SEARCH("容量",B3441)))</formula>
    </cfRule>
  </conditionalFormatting>
  <conditionalFormatting sqref="B3442">
    <cfRule type="containsText" dxfId="1" priority="76" operator="between" text="容量">
      <formula>NOT(ISERROR(SEARCH("容量",B3442)))</formula>
    </cfRule>
  </conditionalFormatting>
  <conditionalFormatting sqref="B3443">
    <cfRule type="containsText" dxfId="1" priority="75" operator="between" text="容量">
      <formula>NOT(ISERROR(SEARCH("容量",B3443)))</formula>
    </cfRule>
  </conditionalFormatting>
  <conditionalFormatting sqref="B3444">
    <cfRule type="containsText" dxfId="1" priority="74" operator="between" text="容量">
      <formula>NOT(ISERROR(SEARCH("容量",B3444)))</formula>
    </cfRule>
  </conditionalFormatting>
  <conditionalFormatting sqref="B3445">
    <cfRule type="containsText" dxfId="1" priority="73" operator="between" text="容量">
      <formula>NOT(ISERROR(SEARCH("容量",B3445)))</formula>
    </cfRule>
  </conditionalFormatting>
  <conditionalFormatting sqref="B3446">
    <cfRule type="containsText" dxfId="1" priority="72" operator="between" text="容量">
      <formula>NOT(ISERROR(SEARCH("容量",B3446)))</formula>
    </cfRule>
  </conditionalFormatting>
  <conditionalFormatting sqref="B3447">
    <cfRule type="containsText" dxfId="1" priority="71" operator="between" text="容量">
      <formula>NOT(ISERROR(SEARCH("容量",B3447)))</formula>
    </cfRule>
  </conditionalFormatting>
  <conditionalFormatting sqref="B3448">
    <cfRule type="containsText" dxfId="1" priority="70" operator="between" text="容量">
      <formula>NOT(ISERROR(SEARCH("容量",B3448)))</formula>
    </cfRule>
  </conditionalFormatting>
  <conditionalFormatting sqref="B3449">
    <cfRule type="containsText" dxfId="1" priority="69" operator="between" text="容量">
      <formula>NOT(ISERROR(SEARCH("容量",B3449)))</formula>
    </cfRule>
  </conditionalFormatting>
  <conditionalFormatting sqref="B3450">
    <cfRule type="containsText" dxfId="1" priority="68" operator="between" text="容量">
      <formula>NOT(ISERROR(SEARCH("容量",B3450)))</formula>
    </cfRule>
  </conditionalFormatting>
  <conditionalFormatting sqref="B3451">
    <cfRule type="containsText" dxfId="1" priority="67" operator="between" text="容量">
      <formula>NOT(ISERROR(SEARCH("容量",B3451)))</formula>
    </cfRule>
  </conditionalFormatting>
  <conditionalFormatting sqref="B3452">
    <cfRule type="containsText" dxfId="1" priority="66" operator="between" text="容量">
      <formula>NOT(ISERROR(SEARCH("容量",B3452)))</formula>
    </cfRule>
  </conditionalFormatting>
  <conditionalFormatting sqref="B3453">
    <cfRule type="containsText" dxfId="1" priority="65" operator="between" text="容量">
      <formula>NOT(ISERROR(SEARCH("容量",B3453)))</formula>
    </cfRule>
  </conditionalFormatting>
  <conditionalFormatting sqref="B3454">
    <cfRule type="containsText" dxfId="1" priority="64" operator="between" text="容量">
      <formula>NOT(ISERROR(SEARCH("容量",B3454)))</formula>
    </cfRule>
  </conditionalFormatting>
  <conditionalFormatting sqref="B3455">
    <cfRule type="containsText" dxfId="1" priority="63" operator="between" text="容量">
      <formula>NOT(ISERROR(SEARCH("容量",B3455)))</formula>
    </cfRule>
  </conditionalFormatting>
  <conditionalFormatting sqref="B3681">
    <cfRule type="containsText" dxfId="1" priority="62" operator="between" text="容量">
      <formula>NOT(ISERROR(SEARCH("容量",B3681)))</formula>
    </cfRule>
  </conditionalFormatting>
  <conditionalFormatting sqref="B3682">
    <cfRule type="containsText" dxfId="1" priority="61" operator="between" text="容量">
      <formula>NOT(ISERROR(SEARCH("容量",B3682)))</formula>
    </cfRule>
  </conditionalFormatting>
  <conditionalFormatting sqref="B3683">
    <cfRule type="containsText" dxfId="1" priority="60" operator="between" text="容量">
      <formula>NOT(ISERROR(SEARCH("容量",B3683)))</formula>
    </cfRule>
  </conditionalFormatting>
  <conditionalFormatting sqref="B3684">
    <cfRule type="containsText" dxfId="1" priority="59" operator="between" text="容量">
      <formula>NOT(ISERROR(SEARCH("容量",B3684)))</formula>
    </cfRule>
  </conditionalFormatting>
  <conditionalFormatting sqref="B3685">
    <cfRule type="containsText" dxfId="1" priority="58" operator="between" text="容量">
      <formula>NOT(ISERROR(SEARCH("容量",B3685)))</formula>
    </cfRule>
  </conditionalFormatting>
  <conditionalFormatting sqref="B3686">
    <cfRule type="containsText" dxfId="1" priority="57" operator="between" text="容量">
      <formula>NOT(ISERROR(SEARCH("容量",B3686)))</formula>
    </cfRule>
  </conditionalFormatting>
  <conditionalFormatting sqref="B3687">
    <cfRule type="containsText" dxfId="1" priority="56" operator="between" text="容量">
      <formula>NOT(ISERROR(SEARCH("容量",B3687)))</formula>
    </cfRule>
  </conditionalFormatting>
  <conditionalFormatting sqref="B3688">
    <cfRule type="containsText" dxfId="1" priority="55" operator="between" text="容量">
      <formula>NOT(ISERROR(SEARCH("容量",B3688)))</formula>
    </cfRule>
  </conditionalFormatting>
  <conditionalFormatting sqref="B3689">
    <cfRule type="containsText" dxfId="1" priority="54" operator="between" text="容量">
      <formula>NOT(ISERROR(SEARCH("容量",B3689)))</formula>
    </cfRule>
  </conditionalFormatting>
  <conditionalFormatting sqref="B3690">
    <cfRule type="containsText" dxfId="1" priority="53" operator="between" text="容量">
      <formula>NOT(ISERROR(SEARCH("容量",B3690)))</formula>
    </cfRule>
  </conditionalFormatting>
  <conditionalFormatting sqref="B3691">
    <cfRule type="containsText" dxfId="1" priority="52" operator="between" text="容量">
      <formula>NOT(ISERROR(SEARCH("容量",B3691)))</formula>
    </cfRule>
  </conditionalFormatting>
  <conditionalFormatting sqref="B3692">
    <cfRule type="containsText" dxfId="1" priority="51" operator="between" text="容量">
      <formula>NOT(ISERROR(SEARCH("容量",B3692)))</formula>
    </cfRule>
  </conditionalFormatting>
  <conditionalFormatting sqref="B3693">
    <cfRule type="containsText" dxfId="1" priority="50" operator="between" text="容量">
      <formula>NOT(ISERROR(SEARCH("容量",B3693)))</formula>
    </cfRule>
  </conditionalFormatting>
  <conditionalFormatting sqref="B3694">
    <cfRule type="containsText" dxfId="1" priority="49" operator="between" text="容量">
      <formula>NOT(ISERROR(SEARCH("容量",B3694)))</formula>
    </cfRule>
  </conditionalFormatting>
  <conditionalFormatting sqref="B3695">
    <cfRule type="containsText" dxfId="1" priority="48" operator="between" text="容量">
      <formula>NOT(ISERROR(SEARCH("容量",B3695)))</formula>
    </cfRule>
  </conditionalFormatting>
  <conditionalFormatting sqref="B3696">
    <cfRule type="containsText" dxfId="1" priority="47" operator="between" text="容量">
      <formula>NOT(ISERROR(SEARCH("容量",B3696)))</formula>
    </cfRule>
  </conditionalFormatting>
  <conditionalFormatting sqref="B3697">
    <cfRule type="containsText" dxfId="1" priority="46" operator="between" text="容量">
      <formula>NOT(ISERROR(SEARCH("容量",B3697)))</formula>
    </cfRule>
  </conditionalFormatting>
  <conditionalFormatting sqref="B3698">
    <cfRule type="containsText" dxfId="1" priority="45" operator="between" text="容量">
      <formula>NOT(ISERROR(SEARCH("容量",B3698)))</formula>
    </cfRule>
  </conditionalFormatting>
  <conditionalFormatting sqref="B3699">
    <cfRule type="containsText" dxfId="1" priority="44" operator="between" text="容量">
      <formula>NOT(ISERROR(SEARCH("容量",B3699)))</formula>
    </cfRule>
  </conditionalFormatting>
  <conditionalFormatting sqref="B3700">
    <cfRule type="containsText" dxfId="1" priority="43" operator="between" text="容量">
      <formula>NOT(ISERROR(SEARCH("容量",B3700)))</formula>
    </cfRule>
  </conditionalFormatting>
  <conditionalFormatting sqref="B3701">
    <cfRule type="containsText" dxfId="1" priority="42" operator="between" text="容量">
      <formula>NOT(ISERROR(SEARCH("容量",B3701)))</formula>
    </cfRule>
  </conditionalFormatting>
  <conditionalFormatting sqref="B3702">
    <cfRule type="containsText" dxfId="1" priority="41" operator="between" text="容量">
      <formula>NOT(ISERROR(SEARCH("容量",B3702)))</formula>
    </cfRule>
  </conditionalFormatting>
  <conditionalFormatting sqref="B3703">
    <cfRule type="containsText" dxfId="1" priority="40" operator="between" text="容量">
      <formula>NOT(ISERROR(SEARCH("容量",B3703)))</formula>
    </cfRule>
  </conditionalFormatting>
  <conditionalFormatting sqref="B3704">
    <cfRule type="containsText" dxfId="1" priority="39" operator="between" text="容量">
      <formula>NOT(ISERROR(SEARCH("容量",B3704)))</formula>
    </cfRule>
  </conditionalFormatting>
  <conditionalFormatting sqref="B3705">
    <cfRule type="containsText" dxfId="1" priority="38" operator="between" text="容量">
      <formula>NOT(ISERROR(SEARCH("容量",B3705)))</formula>
    </cfRule>
  </conditionalFormatting>
  <conditionalFormatting sqref="B3706">
    <cfRule type="containsText" dxfId="1" priority="37" operator="between" text="容量">
      <formula>NOT(ISERROR(SEARCH("容量",B3706)))</formula>
    </cfRule>
  </conditionalFormatting>
  <conditionalFormatting sqref="B3707">
    <cfRule type="containsText" dxfId="1" priority="36" operator="between" text="容量">
      <formula>NOT(ISERROR(SEARCH("容量",B3707)))</formula>
    </cfRule>
  </conditionalFormatting>
  <conditionalFormatting sqref="B3708">
    <cfRule type="containsText" dxfId="1" priority="35" operator="between" text="容量">
      <formula>NOT(ISERROR(SEARCH("容量",B3708)))</formula>
    </cfRule>
  </conditionalFormatting>
  <conditionalFormatting sqref="B3709">
    <cfRule type="containsText" dxfId="1" priority="34" operator="between" text="容量">
      <formula>NOT(ISERROR(SEARCH("容量",B3709)))</formula>
    </cfRule>
  </conditionalFormatting>
  <conditionalFormatting sqref="B3710">
    <cfRule type="containsText" dxfId="1" priority="33" operator="between" text="容量">
      <formula>NOT(ISERROR(SEARCH("容量",B3710)))</formula>
    </cfRule>
  </conditionalFormatting>
  <conditionalFormatting sqref="B3711">
    <cfRule type="containsText" dxfId="1" priority="32" operator="between" text="容量">
      <formula>NOT(ISERROR(SEARCH("容量",B3711)))</formula>
    </cfRule>
  </conditionalFormatting>
  <conditionalFormatting sqref="B3937">
    <cfRule type="containsText" dxfId="1" priority="31" operator="between" text="容量">
      <formula>NOT(ISERROR(SEARCH("容量",B3937)))</formula>
    </cfRule>
  </conditionalFormatting>
  <conditionalFormatting sqref="B3938">
    <cfRule type="containsText" dxfId="1" priority="30" operator="between" text="容量">
      <formula>NOT(ISERROR(SEARCH("容量",B3938)))</formula>
    </cfRule>
  </conditionalFormatting>
  <conditionalFormatting sqref="B3939">
    <cfRule type="containsText" dxfId="1" priority="29" operator="between" text="容量">
      <formula>NOT(ISERROR(SEARCH("容量",B3939)))</formula>
    </cfRule>
  </conditionalFormatting>
  <conditionalFormatting sqref="B3940">
    <cfRule type="containsText" dxfId="1" priority="28" operator="between" text="容量">
      <formula>NOT(ISERROR(SEARCH("容量",B3940)))</formula>
    </cfRule>
  </conditionalFormatting>
  <conditionalFormatting sqref="B3941">
    <cfRule type="containsText" dxfId="1" priority="27" operator="between" text="容量">
      <formula>NOT(ISERROR(SEARCH("容量",B3941)))</formula>
    </cfRule>
  </conditionalFormatting>
  <conditionalFormatting sqref="B3942">
    <cfRule type="containsText" dxfId="1" priority="26" operator="between" text="容量">
      <formula>NOT(ISERROR(SEARCH("容量",B3942)))</formula>
    </cfRule>
  </conditionalFormatting>
  <conditionalFormatting sqref="B3943">
    <cfRule type="containsText" dxfId="1" priority="25" operator="between" text="容量">
      <formula>NOT(ISERROR(SEARCH("容量",B3943)))</formula>
    </cfRule>
  </conditionalFormatting>
  <conditionalFormatting sqref="B3944">
    <cfRule type="containsText" dxfId="1" priority="24" operator="between" text="容量">
      <formula>NOT(ISERROR(SEARCH("容量",B3944)))</formula>
    </cfRule>
  </conditionalFormatting>
  <conditionalFormatting sqref="B3945">
    <cfRule type="containsText" dxfId="1" priority="23" operator="between" text="容量">
      <formula>NOT(ISERROR(SEARCH("容量",B3945)))</formula>
    </cfRule>
  </conditionalFormatting>
  <conditionalFormatting sqref="B3946">
    <cfRule type="containsText" dxfId="1" priority="22" operator="between" text="容量">
      <formula>NOT(ISERROR(SEARCH("容量",B3946)))</formula>
    </cfRule>
  </conditionalFormatting>
  <conditionalFormatting sqref="B3947">
    <cfRule type="containsText" dxfId="1" priority="21" operator="between" text="容量">
      <formula>NOT(ISERROR(SEARCH("容量",B3947)))</formula>
    </cfRule>
  </conditionalFormatting>
  <conditionalFormatting sqref="B3948">
    <cfRule type="containsText" dxfId="1" priority="20" operator="between" text="容量">
      <formula>NOT(ISERROR(SEARCH("容量",B3948)))</formula>
    </cfRule>
  </conditionalFormatting>
  <conditionalFormatting sqref="B3949">
    <cfRule type="containsText" dxfId="1" priority="19" operator="between" text="容量">
      <formula>NOT(ISERROR(SEARCH("容量",B3949)))</formula>
    </cfRule>
  </conditionalFormatting>
  <conditionalFormatting sqref="B3950">
    <cfRule type="containsText" dxfId="1" priority="18" operator="between" text="容量">
      <formula>NOT(ISERROR(SEARCH("容量",B3950)))</formula>
    </cfRule>
  </conditionalFormatting>
  <conditionalFormatting sqref="B3951">
    <cfRule type="containsText" dxfId="1" priority="17" operator="between" text="容量">
      <formula>NOT(ISERROR(SEARCH("容量",B3951)))</formula>
    </cfRule>
  </conditionalFormatting>
  <conditionalFormatting sqref="B3952">
    <cfRule type="containsText" dxfId="1" priority="16" operator="between" text="容量">
      <formula>NOT(ISERROR(SEARCH("容量",B3952)))</formula>
    </cfRule>
  </conditionalFormatting>
  <conditionalFormatting sqref="B3953">
    <cfRule type="containsText" dxfId="1" priority="15" operator="between" text="容量">
      <formula>NOT(ISERROR(SEARCH("容量",B3953)))</formula>
    </cfRule>
  </conditionalFormatting>
  <conditionalFormatting sqref="B3954">
    <cfRule type="containsText" dxfId="1" priority="14" operator="between" text="容量">
      <formula>NOT(ISERROR(SEARCH("容量",B3954)))</formula>
    </cfRule>
  </conditionalFormatting>
  <conditionalFormatting sqref="B3955">
    <cfRule type="containsText" dxfId="1" priority="13" operator="between" text="容量">
      <formula>NOT(ISERROR(SEARCH("容量",B3955)))</formula>
    </cfRule>
  </conditionalFormatting>
  <conditionalFormatting sqref="B3956">
    <cfRule type="containsText" dxfId="1" priority="12" operator="between" text="容量">
      <formula>NOT(ISERROR(SEARCH("容量",B3956)))</formula>
    </cfRule>
  </conditionalFormatting>
  <conditionalFormatting sqref="B3957">
    <cfRule type="containsText" dxfId="1" priority="11" operator="between" text="容量">
      <formula>NOT(ISERROR(SEARCH("容量",B3957)))</formula>
    </cfRule>
  </conditionalFormatting>
  <conditionalFormatting sqref="B3958">
    <cfRule type="containsText" dxfId="1" priority="10" operator="between" text="容量">
      <formula>NOT(ISERROR(SEARCH("容量",B3958)))</formula>
    </cfRule>
  </conditionalFormatting>
  <conditionalFormatting sqref="B3959">
    <cfRule type="containsText" dxfId="1" priority="9" operator="between" text="容量">
      <formula>NOT(ISERROR(SEARCH("容量",B3959)))</formula>
    </cfRule>
  </conditionalFormatting>
  <conditionalFormatting sqref="B3960">
    <cfRule type="containsText" dxfId="1" priority="8" operator="between" text="容量">
      <formula>NOT(ISERROR(SEARCH("容量",B3960)))</formula>
    </cfRule>
  </conditionalFormatting>
  <conditionalFormatting sqref="B3961">
    <cfRule type="containsText" dxfId="1" priority="7" operator="between" text="容量">
      <formula>NOT(ISERROR(SEARCH("容量",B3961)))</formula>
    </cfRule>
  </conditionalFormatting>
  <conditionalFormatting sqref="B3962">
    <cfRule type="containsText" dxfId="1" priority="6" operator="between" text="容量">
      <formula>NOT(ISERROR(SEARCH("容量",B3962)))</formula>
    </cfRule>
  </conditionalFormatting>
  <conditionalFormatting sqref="B3963">
    <cfRule type="containsText" dxfId="1" priority="5" operator="between" text="容量">
      <formula>NOT(ISERROR(SEARCH("容量",B3963)))</formula>
    </cfRule>
  </conditionalFormatting>
  <conditionalFormatting sqref="B3964">
    <cfRule type="containsText" dxfId="1" priority="4" operator="between" text="容量">
      <formula>NOT(ISERROR(SEARCH("容量",B3964)))</formula>
    </cfRule>
  </conditionalFormatting>
  <conditionalFormatting sqref="B3965">
    <cfRule type="containsText" dxfId="1" priority="3" operator="between" text="容量">
      <formula>NOT(ISERROR(SEARCH("容量",B3965)))</formula>
    </cfRule>
  </conditionalFormatting>
  <conditionalFormatting sqref="B3966">
    <cfRule type="containsText" dxfId="1" priority="2" operator="between" text="容量">
      <formula>NOT(ISERROR(SEARCH("容量",B3966)))</formula>
    </cfRule>
  </conditionalFormatting>
  <conditionalFormatting sqref="B3967">
    <cfRule type="containsText" dxfId="1" priority="1" operator="between" text="容量">
      <formula>NOT(ISERROR(SEARCH("容量",B3967)))</formula>
    </cfRule>
  </conditionalFormatting>
  <conditionalFormatting sqref="B226:B257">
    <cfRule type="containsText" dxfId="1" priority="131" operator="between" text="容量">
      <formula>NOT(ISERROR(SEARCH("容量",B226)))</formula>
    </cfRule>
  </conditionalFormatting>
  <conditionalFormatting sqref="B482:B513">
    <cfRule type="containsText" dxfId="1" priority="130" operator="between" text="容量">
      <formula>NOT(ISERROR(SEARCH("容量",B482)))</formula>
    </cfRule>
  </conditionalFormatting>
  <conditionalFormatting sqref="B738:B769">
    <cfRule type="containsText" dxfId="1" priority="129" operator="between" text="容量">
      <formula>NOT(ISERROR(SEARCH("容量",B738)))</formula>
    </cfRule>
  </conditionalFormatting>
  <conditionalFormatting sqref="B1204:B1235">
    <cfRule type="containsText" dxfId="1" priority="128" operator="between" text="容量">
      <formula>NOT(ISERROR(SEARCH("容量",B1204)))</formula>
    </cfRule>
  </conditionalFormatting>
  <conditionalFormatting sqref="B1460:B1491">
    <cfRule type="containsText" dxfId="1" priority="127" operator="between" text="容量">
      <formula>NOT(ISERROR(SEARCH("容量",B1460)))</formula>
    </cfRule>
  </conditionalFormatting>
  <conditionalFormatting sqref="B1716:B1747">
    <cfRule type="containsText" dxfId="1" priority="126" operator="between" text="容量">
      <formula>NOT(ISERROR(SEARCH("容量",B1716)))</formula>
    </cfRule>
  </conditionalFormatting>
  <conditionalFormatting sqref="B1972:B2003">
    <cfRule type="containsText" dxfId="1" priority="125" operator="between" text="容量">
      <formula>NOT(ISERROR(SEARCH("容量",B1972)))</formula>
    </cfRule>
  </conditionalFormatting>
  <conditionalFormatting sqref="H3936:H1048576">
    <cfRule type="containsText" dxfId="1" priority="133" operator="between" text="容量">
      <formula>NOT(ISERROR(SEARCH("容量",H3936)))</formula>
    </cfRule>
  </conditionalFormatting>
  <conditionalFormatting sqref="B1:B225 B258:B481 B514:B737 B770:B1203 B1236:B1459 B1492:B1715 B1748:B1971 B2004:B3168 B3200:B3424 B3456:B3680 B3712:B3936 B3968:B1048576">
    <cfRule type="containsText" dxfId="1" priority="134" operator="between" text="容量">
      <formula>NOT(ISERROR(SEARCH("容量",B1)))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38"/>
  <sheetViews>
    <sheetView topLeftCell="A1207" workbookViewId="0">
      <selection activeCell="F1227" sqref="F1227"/>
    </sheetView>
  </sheetViews>
  <sheetFormatPr defaultColWidth="9" defaultRowHeight="13.85"/>
  <cols>
    <col min="1" max="1" width="7.50442477876106" customWidth="1"/>
    <col min="2" max="2" width="17.2477876106195" customWidth="1"/>
    <col min="3" max="3" width="5.50442477876106" customWidth="1"/>
    <col min="4" max="4" width="24.1238938053097" customWidth="1"/>
    <col min="5" max="5" width="16.2477876106195" customWidth="1"/>
    <col min="6" max="6" width="11" customWidth="1"/>
    <col min="9" max="9" width="28.1238938053097" customWidth="1"/>
    <col min="10" max="18" width="8.87610619469027" customWidth="1"/>
  </cols>
  <sheetData>
    <row r="1" spans="1:18">
      <c r="A1" s="92" t="s">
        <v>261</v>
      </c>
      <c r="B1" s="92" t="s">
        <v>229</v>
      </c>
      <c r="C1" s="92" t="s">
        <v>239</v>
      </c>
      <c r="D1" s="92" t="s">
        <v>262</v>
      </c>
      <c r="E1" s="92" t="s">
        <v>263</v>
      </c>
      <c r="F1" s="92" t="s">
        <v>264</v>
      </c>
      <c r="I1" t="s">
        <v>265</v>
      </c>
      <c r="J1" t="s">
        <v>266</v>
      </c>
    </row>
    <row r="2" spans="1:18">
      <c r="A2" s="92">
        <v>50297</v>
      </c>
      <c r="B2" s="92" t="s">
        <v>70</v>
      </c>
      <c r="C2" s="92">
        <v>2015</v>
      </c>
      <c r="D2" s="92" t="s">
        <v>267</v>
      </c>
      <c r="E2" s="92" t="s">
        <v>268</v>
      </c>
      <c r="F2" s="92">
        <v>15303.85</v>
      </c>
      <c r="I2" t="s">
        <v>269</v>
      </c>
      <c r="J2">
        <v>2015</v>
      </c>
      <c r="K2">
        <v>2016</v>
      </c>
      <c r="L2">
        <v>2017</v>
      </c>
      <c r="M2">
        <v>2018</v>
      </c>
      <c r="N2">
        <v>2019</v>
      </c>
      <c r="O2">
        <v>2020</v>
      </c>
      <c r="P2">
        <v>2021</v>
      </c>
      <c r="Q2" t="s">
        <v>270</v>
      </c>
      <c r="R2" t="s">
        <v>271</v>
      </c>
    </row>
    <row r="3" spans="1:18">
      <c r="A3" s="92">
        <v>50298</v>
      </c>
      <c r="B3" s="92" t="s">
        <v>70</v>
      </c>
      <c r="C3" s="92">
        <v>2015</v>
      </c>
      <c r="D3" s="92" t="s">
        <v>272</v>
      </c>
      <c r="E3" s="92" t="s">
        <v>268</v>
      </c>
      <c r="F3" s="92"/>
      <c r="I3" s="93" t="s">
        <v>129</v>
      </c>
      <c r="J3" s="94">
        <v>-349.12</v>
      </c>
      <c r="K3" s="94">
        <v>-339.70335</v>
      </c>
      <c r="L3" s="94">
        <v>-389.16</v>
      </c>
      <c r="M3" s="94">
        <v>-398.63</v>
      </c>
      <c r="N3" s="94">
        <v>-363.29</v>
      </c>
      <c r="O3" s="94">
        <v>-128.35</v>
      </c>
      <c r="P3" s="94">
        <v>-25.62</v>
      </c>
      <c r="Q3" s="94"/>
      <c r="R3" s="94">
        <v>-1993.87335</v>
      </c>
    </row>
    <row r="4" spans="1:18">
      <c r="A4" s="92">
        <v>50299</v>
      </c>
      <c r="B4" s="92" t="s">
        <v>70</v>
      </c>
      <c r="C4" s="92">
        <v>2015</v>
      </c>
      <c r="D4" s="92" t="s">
        <v>273</v>
      </c>
      <c r="E4" s="92" t="s">
        <v>268</v>
      </c>
      <c r="F4" s="92">
        <v>62.1</v>
      </c>
      <c r="I4" s="95" t="s">
        <v>267</v>
      </c>
      <c r="J4" s="94">
        <v>72.98</v>
      </c>
      <c r="K4" s="94">
        <v>118.00735</v>
      </c>
      <c r="L4" s="94">
        <v>159.62</v>
      </c>
      <c r="M4" s="94">
        <v>207.52</v>
      </c>
      <c r="N4" s="94">
        <v>222.7</v>
      </c>
      <c r="O4" s="94">
        <v>253.13</v>
      </c>
      <c r="P4" s="94">
        <v>342.13</v>
      </c>
      <c r="Q4" s="94"/>
      <c r="R4" s="94">
        <v>1376.08735</v>
      </c>
    </row>
    <row r="5" spans="1:18">
      <c r="A5" s="92">
        <v>50301</v>
      </c>
      <c r="B5" s="92" t="s">
        <v>70</v>
      </c>
      <c r="C5" s="92">
        <v>2015</v>
      </c>
      <c r="D5" s="92" t="s">
        <v>274</v>
      </c>
      <c r="E5" s="92" t="s">
        <v>268</v>
      </c>
      <c r="F5" s="92"/>
      <c r="I5" s="95" t="s">
        <v>272</v>
      </c>
      <c r="J5" s="94">
        <v>4.51</v>
      </c>
      <c r="K5" s="94">
        <v>42.4222</v>
      </c>
      <c r="L5" s="94">
        <v>35.67</v>
      </c>
      <c r="M5" s="94">
        <v>83.71</v>
      </c>
      <c r="N5" s="94">
        <v>177.84</v>
      </c>
      <c r="O5" s="94">
        <v>425.1</v>
      </c>
      <c r="P5" s="94">
        <v>537.24</v>
      </c>
      <c r="Q5" s="94"/>
      <c r="R5" s="94">
        <v>1306.4922</v>
      </c>
    </row>
    <row r="6" spans="1:18">
      <c r="A6" s="92">
        <v>50302</v>
      </c>
      <c r="B6" s="92" t="s">
        <v>70</v>
      </c>
      <c r="C6" s="92">
        <v>2015</v>
      </c>
      <c r="D6" s="92" t="s">
        <v>275</v>
      </c>
      <c r="E6" s="92" t="s">
        <v>268</v>
      </c>
      <c r="F6" s="92">
        <v>-186.54</v>
      </c>
      <c r="I6" s="95" t="s">
        <v>273</v>
      </c>
      <c r="J6" s="94"/>
      <c r="K6" s="94"/>
      <c r="L6" s="94"/>
      <c r="M6" s="94"/>
      <c r="N6" s="94"/>
      <c r="O6" s="94"/>
      <c r="P6" s="94"/>
      <c r="Q6" s="94"/>
      <c r="R6" s="94"/>
    </row>
    <row r="7" spans="1:18">
      <c r="A7" s="92">
        <v>51527</v>
      </c>
      <c r="B7" s="92" t="s">
        <v>129</v>
      </c>
      <c r="C7" s="92">
        <v>2015</v>
      </c>
      <c r="D7" s="92" t="s">
        <v>274</v>
      </c>
      <c r="E7" s="92" t="s">
        <v>268</v>
      </c>
      <c r="F7" s="92">
        <v>-426.61</v>
      </c>
      <c r="I7" s="95" t="s">
        <v>274</v>
      </c>
      <c r="J7" s="94">
        <v>-426.61</v>
      </c>
      <c r="K7" s="94">
        <v>-500.1329</v>
      </c>
      <c r="L7" s="94">
        <v>-584.45</v>
      </c>
      <c r="M7" s="94">
        <v>-689.86</v>
      </c>
      <c r="N7" s="94">
        <v>-763.83</v>
      </c>
      <c r="O7" s="94">
        <v>-806.58</v>
      </c>
      <c r="P7" s="94">
        <v>-904.99</v>
      </c>
      <c r="Q7" s="94"/>
      <c r="R7" s="94">
        <v>-4676.4529</v>
      </c>
    </row>
    <row r="8" spans="1:18">
      <c r="A8" s="92">
        <v>51627</v>
      </c>
      <c r="B8" s="92" t="s">
        <v>129</v>
      </c>
      <c r="C8" s="92">
        <v>2015</v>
      </c>
      <c r="D8" s="92" t="s">
        <v>267</v>
      </c>
      <c r="E8" s="92" t="s">
        <v>268</v>
      </c>
      <c r="F8" s="92">
        <v>72.98</v>
      </c>
      <c r="I8" s="95" t="s">
        <v>275</v>
      </c>
      <c r="J8" s="94"/>
      <c r="K8" s="94"/>
      <c r="L8" s="94"/>
      <c r="M8" s="94"/>
      <c r="N8" s="94"/>
      <c r="O8" s="94"/>
      <c r="P8" s="94"/>
      <c r="Q8" s="94"/>
      <c r="R8" s="94"/>
    </row>
    <row r="9" spans="1:18">
      <c r="A9" s="92">
        <v>51628</v>
      </c>
      <c r="B9" s="92" t="s">
        <v>129</v>
      </c>
      <c r="C9" s="92">
        <v>2015</v>
      </c>
      <c r="D9" s="92" t="s">
        <v>272</v>
      </c>
      <c r="E9" s="92" t="s">
        <v>268</v>
      </c>
      <c r="F9" s="92">
        <v>4.51</v>
      </c>
      <c r="I9" s="93" t="s">
        <v>74</v>
      </c>
      <c r="J9" s="94">
        <v>541.44</v>
      </c>
      <c r="K9" s="94">
        <v>601.2465</v>
      </c>
      <c r="L9" s="94">
        <v>689.85</v>
      </c>
      <c r="M9" s="94">
        <v>709.91</v>
      </c>
      <c r="N9" s="94">
        <v>723.38</v>
      </c>
      <c r="O9" s="94">
        <v>705.65</v>
      </c>
      <c r="P9" s="94">
        <v>786.1</v>
      </c>
      <c r="Q9" s="94"/>
      <c r="R9" s="94">
        <v>4757.5765</v>
      </c>
    </row>
    <row r="10" spans="1:18">
      <c r="A10" s="92">
        <v>51629</v>
      </c>
      <c r="B10" s="92" t="s">
        <v>129</v>
      </c>
      <c r="C10" s="92">
        <v>2015</v>
      </c>
      <c r="D10" s="92" t="s">
        <v>273</v>
      </c>
      <c r="E10" s="92" t="s">
        <v>268</v>
      </c>
      <c r="F10" s="92"/>
      <c r="I10" s="95" t="s">
        <v>267</v>
      </c>
      <c r="J10" s="94">
        <v>9.72</v>
      </c>
      <c r="K10" s="94">
        <v>16.5978</v>
      </c>
      <c r="L10" s="94">
        <v>16.67</v>
      </c>
      <c r="M10" s="94">
        <v>16.46</v>
      </c>
      <c r="N10" s="94">
        <v>18.37</v>
      </c>
      <c r="O10" s="94">
        <v>21.38</v>
      </c>
      <c r="P10" s="94">
        <v>23.9</v>
      </c>
      <c r="Q10" s="94"/>
      <c r="R10" s="94">
        <v>123.0978</v>
      </c>
    </row>
    <row r="11" spans="1:18">
      <c r="A11" s="92">
        <v>51807</v>
      </c>
      <c r="B11" s="92" t="s">
        <v>74</v>
      </c>
      <c r="C11" s="92">
        <v>2015</v>
      </c>
      <c r="D11" s="92" t="s">
        <v>274</v>
      </c>
      <c r="E11" s="92" t="s">
        <v>268</v>
      </c>
      <c r="F11" s="92">
        <v>-5.26</v>
      </c>
      <c r="I11" s="95" t="s">
        <v>272</v>
      </c>
      <c r="J11" s="94">
        <v>536.98</v>
      </c>
      <c r="K11" s="94">
        <v>594.908</v>
      </c>
      <c r="L11" s="94">
        <v>678.53</v>
      </c>
      <c r="M11" s="94">
        <v>700.29</v>
      </c>
      <c r="N11" s="94">
        <v>708.87</v>
      </c>
      <c r="O11" s="94">
        <v>689.02</v>
      </c>
      <c r="P11" s="94">
        <v>764.84</v>
      </c>
      <c r="Q11" s="94"/>
      <c r="R11" s="94">
        <v>4673.438</v>
      </c>
    </row>
    <row r="12" spans="1:18">
      <c r="A12" s="92">
        <v>67697</v>
      </c>
      <c r="B12" s="92" t="s">
        <v>134</v>
      </c>
      <c r="C12" s="92">
        <v>2015</v>
      </c>
      <c r="D12" s="92" t="s">
        <v>274</v>
      </c>
      <c r="E12" s="92" t="s">
        <v>268</v>
      </c>
      <c r="F12" s="92">
        <v>-32.87</v>
      </c>
      <c r="I12" s="95" t="s">
        <v>273</v>
      </c>
      <c r="J12" s="94"/>
      <c r="K12" s="94"/>
      <c r="L12" s="94"/>
      <c r="M12" s="94"/>
      <c r="N12" s="94"/>
      <c r="O12" s="94"/>
      <c r="P12" s="94"/>
      <c r="Q12" s="94"/>
      <c r="R12" s="94"/>
    </row>
    <row r="13" spans="1:18">
      <c r="A13" s="92">
        <v>67797</v>
      </c>
      <c r="B13" s="92" t="s">
        <v>74</v>
      </c>
      <c r="C13" s="92">
        <v>2015</v>
      </c>
      <c r="D13" s="92" t="s">
        <v>267</v>
      </c>
      <c r="E13" s="92" t="s">
        <v>268</v>
      </c>
      <c r="F13" s="92">
        <v>9.72</v>
      </c>
      <c r="I13" s="95" t="s">
        <v>274</v>
      </c>
      <c r="J13" s="94">
        <v>-5.26</v>
      </c>
      <c r="K13" s="94">
        <v>-10.2593</v>
      </c>
      <c r="L13" s="94">
        <v>-5.35</v>
      </c>
      <c r="M13" s="94">
        <v>-6.84</v>
      </c>
      <c r="N13" s="94">
        <v>-3.86</v>
      </c>
      <c r="O13" s="94">
        <v>-4.75</v>
      </c>
      <c r="P13" s="94">
        <v>-2.64</v>
      </c>
      <c r="Q13" s="94"/>
      <c r="R13" s="94">
        <v>-38.9593</v>
      </c>
    </row>
    <row r="14" spans="1:18">
      <c r="A14" s="92">
        <v>67798</v>
      </c>
      <c r="B14" s="92" t="s">
        <v>74</v>
      </c>
      <c r="C14" s="92">
        <v>2015</v>
      </c>
      <c r="D14" s="92" t="s">
        <v>272</v>
      </c>
      <c r="E14" s="92" t="s">
        <v>268</v>
      </c>
      <c r="F14" s="92">
        <v>536.98</v>
      </c>
      <c r="I14" s="95" t="s">
        <v>275</v>
      </c>
      <c r="J14" s="94"/>
      <c r="K14" s="94"/>
      <c r="L14" s="94"/>
      <c r="M14" s="94"/>
      <c r="N14" s="94"/>
      <c r="O14" s="94"/>
      <c r="P14" s="94"/>
      <c r="Q14" s="94"/>
      <c r="R14" s="94"/>
    </row>
    <row r="15" spans="1:18">
      <c r="A15" s="92">
        <v>67799</v>
      </c>
      <c r="B15" s="92" t="s">
        <v>74</v>
      </c>
      <c r="C15" s="92">
        <v>2015</v>
      </c>
      <c r="D15" s="92" t="s">
        <v>273</v>
      </c>
      <c r="E15" s="92" t="s">
        <v>268</v>
      </c>
      <c r="F15" s="92"/>
      <c r="I15" s="93" t="s">
        <v>134</v>
      </c>
      <c r="J15" s="94">
        <v>769.91</v>
      </c>
      <c r="K15" s="94">
        <v>1081.92</v>
      </c>
      <c r="L15" s="94">
        <v>1012.22</v>
      </c>
      <c r="M15" s="94">
        <v>908.69</v>
      </c>
      <c r="N15" s="94">
        <v>996.21</v>
      </c>
      <c r="O15" s="94">
        <v>932.26</v>
      </c>
      <c r="P15" s="94">
        <v>1133.85</v>
      </c>
      <c r="Q15" s="94"/>
      <c r="R15" s="94">
        <v>6835.06</v>
      </c>
    </row>
    <row r="16" spans="1:18">
      <c r="A16" s="92">
        <v>67977</v>
      </c>
      <c r="B16" s="92" t="s">
        <v>209</v>
      </c>
      <c r="C16" s="92">
        <v>2015</v>
      </c>
      <c r="D16" s="92" t="s">
        <v>274</v>
      </c>
      <c r="E16" s="92" t="s">
        <v>268</v>
      </c>
      <c r="F16" s="92">
        <v>-244.06</v>
      </c>
      <c r="I16" s="95" t="s">
        <v>267</v>
      </c>
      <c r="J16" s="94">
        <v>800.85</v>
      </c>
      <c r="K16" s="94">
        <v>1117.95</v>
      </c>
      <c r="L16" s="94">
        <v>1085.07</v>
      </c>
      <c r="M16" s="94">
        <v>1056.75</v>
      </c>
      <c r="N16" s="94">
        <v>1166.82</v>
      </c>
      <c r="O16" s="94">
        <v>1085.74</v>
      </c>
      <c r="P16" s="94">
        <v>1228.39</v>
      </c>
      <c r="Q16" s="94"/>
      <c r="R16" s="94">
        <v>7541.57</v>
      </c>
    </row>
    <row r="17" spans="1:18">
      <c r="A17" s="92">
        <v>83967</v>
      </c>
      <c r="B17" s="92" t="s">
        <v>134</v>
      </c>
      <c r="C17" s="92">
        <v>2015</v>
      </c>
      <c r="D17" s="92" t="s">
        <v>267</v>
      </c>
      <c r="E17" s="92" t="s">
        <v>268</v>
      </c>
      <c r="F17" s="92">
        <v>800.85</v>
      </c>
      <c r="I17" s="95" t="s">
        <v>272</v>
      </c>
      <c r="J17" s="94">
        <v>1.93</v>
      </c>
      <c r="K17" s="94">
        <v>6.33</v>
      </c>
      <c r="L17" s="94">
        <v>2.49</v>
      </c>
      <c r="M17" s="94">
        <v>1.3</v>
      </c>
      <c r="N17" s="94">
        <v>1.25</v>
      </c>
      <c r="O17" s="94">
        <v>1.5</v>
      </c>
      <c r="P17" s="94">
        <v>6.15</v>
      </c>
      <c r="Q17" s="94"/>
      <c r="R17" s="94">
        <v>20.95</v>
      </c>
    </row>
    <row r="18" spans="1:18">
      <c r="A18" s="92">
        <v>83968</v>
      </c>
      <c r="B18" s="92" t="s">
        <v>134</v>
      </c>
      <c r="C18" s="92">
        <v>2015</v>
      </c>
      <c r="D18" s="92" t="s">
        <v>272</v>
      </c>
      <c r="E18" s="92" t="s">
        <v>268</v>
      </c>
      <c r="F18" s="92">
        <v>1.93</v>
      </c>
      <c r="I18" s="95" t="s">
        <v>273</v>
      </c>
      <c r="J18" s="94"/>
      <c r="K18" s="94"/>
      <c r="L18" s="94"/>
      <c r="M18" s="94"/>
      <c r="N18" s="94"/>
      <c r="O18" s="94"/>
      <c r="P18" s="94"/>
      <c r="Q18" s="94"/>
      <c r="R18" s="94"/>
    </row>
    <row r="19" spans="1:18">
      <c r="A19" s="92">
        <v>83969</v>
      </c>
      <c r="B19" s="92" t="s">
        <v>134</v>
      </c>
      <c r="C19" s="92">
        <v>2015</v>
      </c>
      <c r="D19" s="92" t="s">
        <v>273</v>
      </c>
      <c r="E19" s="92" t="s">
        <v>268</v>
      </c>
      <c r="F19" s="92"/>
      <c r="I19" s="95" t="s">
        <v>274</v>
      </c>
      <c r="J19" s="94">
        <v>-32.87</v>
      </c>
      <c r="K19" s="94">
        <v>-42.36</v>
      </c>
      <c r="L19" s="94">
        <v>-75.34</v>
      </c>
      <c r="M19" s="94">
        <v>-149.36</v>
      </c>
      <c r="N19" s="94">
        <v>-171.86</v>
      </c>
      <c r="O19" s="94">
        <v>-154.98</v>
      </c>
      <c r="P19" s="94">
        <v>-100.69</v>
      </c>
      <c r="Q19" s="94"/>
      <c r="R19" s="94">
        <v>-727.46</v>
      </c>
    </row>
    <row r="20" spans="1:18">
      <c r="A20" s="92">
        <v>83971</v>
      </c>
      <c r="B20" s="92" t="s">
        <v>164</v>
      </c>
      <c r="C20" s="92">
        <v>2015</v>
      </c>
      <c r="D20" s="92" t="s">
        <v>274</v>
      </c>
      <c r="E20" s="92" t="s">
        <v>268</v>
      </c>
      <c r="F20" s="92"/>
      <c r="I20" s="95" t="s">
        <v>275</v>
      </c>
      <c r="J20" s="94"/>
      <c r="K20" s="94"/>
      <c r="L20" s="94"/>
      <c r="M20" s="94"/>
      <c r="N20" s="94"/>
      <c r="O20" s="94"/>
      <c r="P20" s="94"/>
      <c r="Q20" s="94"/>
      <c r="R20" s="94"/>
    </row>
    <row r="21" spans="1:18">
      <c r="A21" s="92">
        <v>84147</v>
      </c>
      <c r="B21" s="92" t="s">
        <v>169</v>
      </c>
      <c r="C21" s="92">
        <v>2015</v>
      </c>
      <c r="D21" s="92" t="s">
        <v>274</v>
      </c>
      <c r="E21" s="92" t="s">
        <v>268</v>
      </c>
      <c r="F21" s="92">
        <v>-120.75</v>
      </c>
      <c r="I21" s="93" t="s">
        <v>209</v>
      </c>
      <c r="J21" s="94">
        <v>392.58</v>
      </c>
      <c r="K21" s="94">
        <v>366.89</v>
      </c>
      <c r="L21" s="94">
        <v>457.77</v>
      </c>
      <c r="M21" s="94">
        <v>459.91</v>
      </c>
      <c r="N21" s="94">
        <v>471.33</v>
      </c>
      <c r="O21" s="94">
        <v>474.67</v>
      </c>
      <c r="P21" s="94">
        <v>452.33</v>
      </c>
      <c r="Q21" s="94"/>
      <c r="R21" s="94">
        <v>3075.48</v>
      </c>
    </row>
    <row r="22" spans="1:18">
      <c r="A22" s="92">
        <v>100037</v>
      </c>
      <c r="B22" s="92" t="s">
        <v>189</v>
      </c>
      <c r="C22" s="92">
        <v>2015</v>
      </c>
      <c r="D22" s="92" t="s">
        <v>274</v>
      </c>
      <c r="E22" s="92" t="s">
        <v>268</v>
      </c>
      <c r="F22" s="92">
        <v>-756.41</v>
      </c>
      <c r="I22" s="95" t="s">
        <v>267</v>
      </c>
      <c r="J22" s="94">
        <v>521.79</v>
      </c>
      <c r="K22" s="94">
        <v>510.15</v>
      </c>
      <c r="L22" s="94">
        <v>635.23</v>
      </c>
      <c r="M22" s="94">
        <v>769.02</v>
      </c>
      <c r="N22" s="94">
        <v>842.66</v>
      </c>
      <c r="O22" s="94">
        <v>886.4</v>
      </c>
      <c r="P22" s="94">
        <v>890.04</v>
      </c>
      <c r="Q22" s="94"/>
      <c r="R22" s="94">
        <v>5055.29</v>
      </c>
    </row>
    <row r="23" spans="1:18">
      <c r="A23" s="92">
        <v>100137</v>
      </c>
      <c r="B23" s="92" t="s">
        <v>209</v>
      </c>
      <c r="C23" s="92">
        <v>2015</v>
      </c>
      <c r="D23" s="92" t="s">
        <v>267</v>
      </c>
      <c r="E23" s="92" t="s">
        <v>268</v>
      </c>
      <c r="F23" s="92">
        <v>521.79</v>
      </c>
      <c r="I23" s="95" t="s">
        <v>272</v>
      </c>
      <c r="J23" s="94">
        <v>114.85</v>
      </c>
      <c r="K23" s="94">
        <v>119.2</v>
      </c>
      <c r="L23" s="94">
        <v>186.77</v>
      </c>
      <c r="M23" s="94">
        <v>301.16</v>
      </c>
      <c r="N23" s="94">
        <v>367.93</v>
      </c>
      <c r="O23" s="94">
        <v>375.59</v>
      </c>
      <c r="P23" s="94">
        <v>354.96</v>
      </c>
      <c r="Q23" s="94"/>
      <c r="R23" s="94">
        <v>1820.46</v>
      </c>
    </row>
    <row r="24" spans="1:18">
      <c r="A24" s="92">
        <v>100138</v>
      </c>
      <c r="B24" s="92" t="s">
        <v>209</v>
      </c>
      <c r="C24" s="92">
        <v>2015</v>
      </c>
      <c r="D24" s="92" t="s">
        <v>272</v>
      </c>
      <c r="E24" s="92" t="s">
        <v>268</v>
      </c>
      <c r="F24" s="92">
        <v>114.85</v>
      </c>
      <c r="I24" s="95" t="s">
        <v>273</v>
      </c>
      <c r="J24" s="94"/>
      <c r="K24" s="94"/>
      <c r="L24" s="94"/>
      <c r="M24" s="94"/>
      <c r="N24" s="94"/>
      <c r="O24" s="94"/>
      <c r="P24" s="94"/>
      <c r="Q24" s="94"/>
      <c r="R24" s="94"/>
    </row>
    <row r="25" spans="1:18">
      <c r="A25" s="92">
        <v>100139</v>
      </c>
      <c r="B25" s="92" t="s">
        <v>209</v>
      </c>
      <c r="C25" s="92">
        <v>2015</v>
      </c>
      <c r="D25" s="92" t="s">
        <v>273</v>
      </c>
      <c r="E25" s="92" t="s">
        <v>268</v>
      </c>
      <c r="F25" s="92"/>
      <c r="I25" s="95" t="s">
        <v>274</v>
      </c>
      <c r="J25" s="94">
        <v>-244.06</v>
      </c>
      <c r="K25" s="94">
        <v>-262.46</v>
      </c>
      <c r="L25" s="94">
        <v>-364.23</v>
      </c>
      <c r="M25" s="94">
        <v>-610.27</v>
      </c>
      <c r="N25" s="94">
        <v>-739.26</v>
      </c>
      <c r="O25" s="94">
        <v>-787.32</v>
      </c>
      <c r="P25" s="94">
        <v>-792.67</v>
      </c>
      <c r="Q25" s="94"/>
      <c r="R25" s="94">
        <v>-3800.27</v>
      </c>
    </row>
    <row r="26" spans="1:18">
      <c r="A26" s="92">
        <v>100317</v>
      </c>
      <c r="B26" s="92" t="s">
        <v>174</v>
      </c>
      <c r="C26" s="92">
        <v>2015</v>
      </c>
      <c r="D26" s="92" t="s">
        <v>274</v>
      </c>
      <c r="E26" s="92" t="s">
        <v>268</v>
      </c>
      <c r="F26" s="92">
        <v>-0.42</v>
      </c>
      <c r="I26" s="95" t="s">
        <v>275</v>
      </c>
      <c r="J26" s="94"/>
      <c r="K26" s="94"/>
      <c r="L26" s="94"/>
      <c r="M26" s="94"/>
      <c r="N26" s="94"/>
      <c r="O26" s="94"/>
      <c r="P26" s="94"/>
      <c r="Q26" s="94"/>
      <c r="R26" s="94"/>
    </row>
    <row r="27" spans="1:18">
      <c r="A27" s="92">
        <v>116172</v>
      </c>
      <c r="B27" s="92" t="s">
        <v>164</v>
      </c>
      <c r="C27" s="92">
        <v>2015</v>
      </c>
      <c r="D27" s="92" t="s">
        <v>272</v>
      </c>
      <c r="E27" s="92" t="s">
        <v>268</v>
      </c>
      <c r="F27" s="92">
        <v>1426.27</v>
      </c>
      <c r="I27" s="93" t="s">
        <v>164</v>
      </c>
      <c r="J27" s="94">
        <v>2377.03</v>
      </c>
      <c r="K27" s="94">
        <v>2639.1</v>
      </c>
      <c r="L27" s="94">
        <v>2626.16</v>
      </c>
      <c r="M27" s="94">
        <v>2859.86</v>
      </c>
      <c r="N27" s="94">
        <v>3261.96</v>
      </c>
      <c r="O27" s="94">
        <v>3323</v>
      </c>
      <c r="P27" s="94">
        <v>3228.06</v>
      </c>
      <c r="Q27" s="94"/>
      <c r="R27" s="94">
        <v>20315.17</v>
      </c>
    </row>
    <row r="28" spans="1:18">
      <c r="A28" s="92">
        <v>116307</v>
      </c>
      <c r="B28" s="92" t="s">
        <v>164</v>
      </c>
      <c r="C28" s="92">
        <v>2015</v>
      </c>
      <c r="D28" s="92" t="s">
        <v>267</v>
      </c>
      <c r="E28" s="92" t="s">
        <v>268</v>
      </c>
      <c r="F28" s="92">
        <v>1101.12</v>
      </c>
      <c r="I28" s="95" t="s">
        <v>267</v>
      </c>
      <c r="J28" s="94">
        <v>1101.12</v>
      </c>
      <c r="K28" s="94">
        <v>1291.98</v>
      </c>
      <c r="L28" s="94">
        <v>1204</v>
      </c>
      <c r="M28" s="94">
        <v>1276.12</v>
      </c>
      <c r="N28" s="94">
        <v>1617.14</v>
      </c>
      <c r="O28" s="94">
        <v>1622.79</v>
      </c>
      <c r="P28" s="94">
        <v>1667.66</v>
      </c>
      <c r="Q28" s="94"/>
      <c r="R28" s="94">
        <v>9780.81</v>
      </c>
    </row>
    <row r="29" spans="1:18">
      <c r="A29" s="92">
        <v>116309</v>
      </c>
      <c r="B29" s="92" t="s">
        <v>164</v>
      </c>
      <c r="C29" s="92">
        <v>2015</v>
      </c>
      <c r="D29" s="92" t="s">
        <v>273</v>
      </c>
      <c r="E29" s="92" t="s">
        <v>268</v>
      </c>
      <c r="F29" s="92">
        <v>11.73</v>
      </c>
      <c r="I29" s="95" t="s">
        <v>272</v>
      </c>
      <c r="J29" s="94">
        <v>1426.27</v>
      </c>
      <c r="K29" s="94">
        <v>1493.69</v>
      </c>
      <c r="L29" s="94">
        <v>3060.44</v>
      </c>
      <c r="M29" s="94">
        <v>1748.47</v>
      </c>
      <c r="N29" s="94">
        <v>1822.08</v>
      </c>
      <c r="O29" s="94">
        <v>1880.19</v>
      </c>
      <c r="P29" s="94">
        <v>1741.26</v>
      </c>
      <c r="Q29" s="94"/>
      <c r="R29" s="94">
        <v>13172.4</v>
      </c>
    </row>
    <row r="30" spans="1:18">
      <c r="A30" s="92">
        <v>116378</v>
      </c>
      <c r="B30" s="92" t="s">
        <v>84</v>
      </c>
      <c r="C30" s="92">
        <v>2015</v>
      </c>
      <c r="D30" s="92" t="s">
        <v>274</v>
      </c>
      <c r="E30" s="92" t="s">
        <v>268</v>
      </c>
      <c r="F30" s="92"/>
      <c r="I30" s="95" t="s">
        <v>273</v>
      </c>
      <c r="J30" s="94">
        <v>11.73</v>
      </c>
      <c r="K30" s="94">
        <v>12.37</v>
      </c>
      <c r="L30" s="94"/>
      <c r="M30" s="94">
        <v>6.02</v>
      </c>
      <c r="N30" s="94"/>
      <c r="O30" s="94"/>
      <c r="P30" s="94"/>
      <c r="Q30" s="94"/>
      <c r="R30" s="94">
        <v>30.12</v>
      </c>
    </row>
    <row r="31" spans="1:18">
      <c r="A31" s="92">
        <v>116556</v>
      </c>
      <c r="B31" s="92" t="s">
        <v>149</v>
      </c>
      <c r="C31" s="92">
        <v>2015</v>
      </c>
      <c r="D31" s="92" t="s">
        <v>274</v>
      </c>
      <c r="E31" s="92" t="s">
        <v>268</v>
      </c>
      <c r="F31" s="92">
        <v>-57.74</v>
      </c>
      <c r="I31" s="95" t="s">
        <v>274</v>
      </c>
      <c r="J31" s="94"/>
      <c r="K31" s="94"/>
      <c r="L31" s="94">
        <v>-1638.28</v>
      </c>
      <c r="M31" s="94"/>
      <c r="N31" s="94">
        <v>-0.29</v>
      </c>
      <c r="O31" s="94">
        <v>-0.67</v>
      </c>
      <c r="P31" s="94">
        <v>-180.86</v>
      </c>
      <c r="Q31" s="94"/>
      <c r="R31" s="94">
        <v>-1820.1</v>
      </c>
    </row>
    <row r="32" spans="1:18">
      <c r="A32" s="92">
        <v>132377</v>
      </c>
      <c r="B32" s="92" t="s">
        <v>109</v>
      </c>
      <c r="C32" s="92">
        <v>2015</v>
      </c>
      <c r="D32" s="92" t="s">
        <v>274</v>
      </c>
      <c r="E32" s="92" t="s">
        <v>268</v>
      </c>
      <c r="F32" s="92">
        <v>-139.78</v>
      </c>
      <c r="I32" s="95" t="s">
        <v>275</v>
      </c>
      <c r="J32" s="94">
        <v>-162.09</v>
      </c>
      <c r="K32" s="94">
        <v>-158.94</v>
      </c>
      <c r="L32" s="94"/>
      <c r="M32" s="94">
        <v>-170.75</v>
      </c>
      <c r="N32" s="94">
        <v>-176.97</v>
      </c>
      <c r="O32" s="94">
        <v>-179.31</v>
      </c>
      <c r="P32" s="94"/>
      <c r="Q32" s="94"/>
      <c r="R32" s="94">
        <v>-848.06</v>
      </c>
    </row>
    <row r="33" spans="1:18">
      <c r="A33" s="92">
        <v>132477</v>
      </c>
      <c r="B33" s="92" t="s">
        <v>169</v>
      </c>
      <c r="C33" s="92">
        <v>2015</v>
      </c>
      <c r="D33" s="92" t="s">
        <v>267</v>
      </c>
      <c r="E33" s="92" t="s">
        <v>268</v>
      </c>
      <c r="F33" s="92">
        <v>774.74</v>
      </c>
      <c r="I33" s="93" t="s">
        <v>169</v>
      </c>
      <c r="J33" s="94">
        <v>790.07</v>
      </c>
      <c r="K33" s="94">
        <v>785.14</v>
      </c>
      <c r="L33" s="94">
        <v>825</v>
      </c>
      <c r="M33" s="94">
        <v>916.55</v>
      </c>
      <c r="N33" s="94">
        <v>900.66</v>
      </c>
      <c r="O33" s="94">
        <v>960.36</v>
      </c>
      <c r="P33" s="94">
        <v>1114.49</v>
      </c>
      <c r="Q33" s="94"/>
      <c r="R33" s="94">
        <v>6292.27</v>
      </c>
    </row>
    <row r="34" spans="1:18">
      <c r="A34" s="92">
        <v>132478</v>
      </c>
      <c r="B34" s="92" t="s">
        <v>169</v>
      </c>
      <c r="C34" s="92">
        <v>2015</v>
      </c>
      <c r="D34" s="92" t="s">
        <v>272</v>
      </c>
      <c r="E34" s="92" t="s">
        <v>268</v>
      </c>
      <c r="F34" s="92">
        <v>136.08</v>
      </c>
      <c r="I34" s="95" t="s">
        <v>267</v>
      </c>
      <c r="J34" s="94">
        <v>774.74</v>
      </c>
      <c r="K34" s="94">
        <v>772</v>
      </c>
      <c r="L34" s="94">
        <v>783.76</v>
      </c>
      <c r="M34" s="94">
        <v>920.87</v>
      </c>
      <c r="N34" s="94">
        <v>839.76</v>
      </c>
      <c r="O34" s="94">
        <v>905.99</v>
      </c>
      <c r="P34" s="94">
        <v>887.32</v>
      </c>
      <c r="Q34" s="94"/>
      <c r="R34" s="94">
        <v>5884.44</v>
      </c>
    </row>
    <row r="35" spans="1:18">
      <c r="A35" s="92">
        <v>132479</v>
      </c>
      <c r="B35" s="92" t="s">
        <v>169</v>
      </c>
      <c r="C35" s="92">
        <v>2015</v>
      </c>
      <c r="D35" s="92" t="s">
        <v>273</v>
      </c>
      <c r="E35" s="92" t="s">
        <v>268</v>
      </c>
      <c r="F35" s="92"/>
      <c r="I35" s="95" t="s">
        <v>272</v>
      </c>
      <c r="J35" s="94">
        <v>136.08</v>
      </c>
      <c r="K35" s="94">
        <v>103.13</v>
      </c>
      <c r="L35" s="94">
        <v>144.14</v>
      </c>
      <c r="M35" s="94">
        <v>205.99</v>
      </c>
      <c r="N35" s="94">
        <v>171.5</v>
      </c>
      <c r="O35" s="94">
        <v>204.24</v>
      </c>
      <c r="P35" s="94">
        <v>321.77</v>
      </c>
      <c r="Q35" s="94"/>
      <c r="R35" s="94">
        <v>1286.85</v>
      </c>
    </row>
    <row r="36" spans="1:18">
      <c r="A36" s="92">
        <v>132657</v>
      </c>
      <c r="B36" s="92" t="s">
        <v>154</v>
      </c>
      <c r="C36" s="92">
        <v>2015</v>
      </c>
      <c r="D36" s="92" t="s">
        <v>274</v>
      </c>
      <c r="E36" s="92" t="s">
        <v>268</v>
      </c>
      <c r="F36" s="92">
        <v>-775.03</v>
      </c>
      <c r="I36" s="95" t="s">
        <v>273</v>
      </c>
      <c r="J36" s="94"/>
      <c r="K36" s="94"/>
      <c r="L36" s="94"/>
      <c r="M36" s="94"/>
      <c r="N36" s="94"/>
      <c r="O36" s="94"/>
      <c r="P36" s="94"/>
      <c r="Q36" s="94"/>
      <c r="R36" s="94"/>
    </row>
    <row r="37" spans="1:18">
      <c r="A37" s="92">
        <v>148547</v>
      </c>
      <c r="B37" s="92" t="s">
        <v>159</v>
      </c>
      <c r="C37" s="92">
        <v>2015</v>
      </c>
      <c r="D37" s="92" t="s">
        <v>274</v>
      </c>
      <c r="E37" s="92" t="s">
        <v>268</v>
      </c>
      <c r="F37" s="92">
        <v>-87.12</v>
      </c>
      <c r="I37" s="95" t="s">
        <v>274</v>
      </c>
      <c r="J37" s="94">
        <v>-120.75</v>
      </c>
      <c r="K37" s="94">
        <v>-89.99</v>
      </c>
      <c r="L37" s="94">
        <v>-102.9</v>
      </c>
      <c r="M37" s="94">
        <v>-210.31</v>
      </c>
      <c r="N37" s="94">
        <v>-110.6</v>
      </c>
      <c r="O37" s="94">
        <v>-149.87</v>
      </c>
      <c r="P37" s="94">
        <v>-94.6</v>
      </c>
      <c r="Q37" s="94"/>
      <c r="R37" s="94">
        <v>-879.02</v>
      </c>
    </row>
    <row r="38" spans="1:18">
      <c r="A38" s="92">
        <v>148647</v>
      </c>
      <c r="B38" s="92" t="s">
        <v>189</v>
      </c>
      <c r="C38" s="92">
        <v>2015</v>
      </c>
      <c r="D38" s="92" t="s">
        <v>267</v>
      </c>
      <c r="E38" s="92" t="s">
        <v>268</v>
      </c>
      <c r="F38" s="92">
        <v>859.47</v>
      </c>
      <c r="I38" s="95" t="s">
        <v>275</v>
      </c>
      <c r="J38" s="94"/>
      <c r="K38" s="94"/>
      <c r="L38" s="94"/>
      <c r="M38" s="94"/>
      <c r="N38" s="94"/>
      <c r="O38" s="94"/>
      <c r="P38" s="94"/>
      <c r="Q38" s="94"/>
      <c r="R38" s="94"/>
    </row>
    <row r="39" spans="1:18">
      <c r="A39" s="92">
        <v>148648</v>
      </c>
      <c r="B39" s="92" t="s">
        <v>189</v>
      </c>
      <c r="C39" s="92">
        <v>2015</v>
      </c>
      <c r="D39" s="92" t="s">
        <v>272</v>
      </c>
      <c r="E39" s="92" t="s">
        <v>268</v>
      </c>
      <c r="F39" s="92"/>
      <c r="I39" s="93" t="s">
        <v>189</v>
      </c>
      <c r="J39" s="94">
        <v>103.06</v>
      </c>
      <c r="K39" s="94">
        <v>76.5136</v>
      </c>
      <c r="L39" s="94">
        <v>175.18</v>
      </c>
      <c r="M39" s="94">
        <v>219.39</v>
      </c>
      <c r="N39" s="94">
        <v>151.06</v>
      </c>
      <c r="O39" s="94">
        <v>253.96</v>
      </c>
      <c r="P39" s="94">
        <v>296.17</v>
      </c>
      <c r="Q39" s="94"/>
      <c r="R39" s="94">
        <v>1275.3336</v>
      </c>
    </row>
    <row r="40" spans="1:18">
      <c r="A40" s="92">
        <v>148649</v>
      </c>
      <c r="B40" s="92" t="s">
        <v>189</v>
      </c>
      <c r="C40" s="92">
        <v>2015</v>
      </c>
      <c r="D40" s="92" t="s">
        <v>273</v>
      </c>
      <c r="E40" s="92" t="s">
        <v>268</v>
      </c>
      <c r="F40" s="92"/>
      <c r="I40" s="95" t="s">
        <v>267</v>
      </c>
      <c r="J40" s="94">
        <v>859.47</v>
      </c>
      <c r="K40" s="94">
        <v>789.8</v>
      </c>
      <c r="L40" s="94">
        <v>802.52</v>
      </c>
      <c r="M40" s="94">
        <v>854.31</v>
      </c>
      <c r="N40" s="94">
        <v>867</v>
      </c>
      <c r="O40" s="94">
        <v>973.34</v>
      </c>
      <c r="P40" s="94">
        <v>921.82</v>
      </c>
      <c r="Q40" s="94"/>
      <c r="R40" s="94">
        <v>6068.26</v>
      </c>
    </row>
    <row r="41" spans="1:18">
      <c r="A41" s="92">
        <v>148827</v>
      </c>
      <c r="B41" s="92" t="s">
        <v>104</v>
      </c>
      <c r="C41" s="92">
        <v>2015</v>
      </c>
      <c r="D41" s="92" t="s">
        <v>274</v>
      </c>
      <c r="E41" s="92" t="s">
        <v>268</v>
      </c>
      <c r="F41" s="92">
        <v>-200.24</v>
      </c>
      <c r="I41" s="95" t="s">
        <v>272</v>
      </c>
      <c r="J41" s="94"/>
      <c r="K41" s="94"/>
      <c r="L41" s="94"/>
      <c r="M41" s="94">
        <v>0.07</v>
      </c>
      <c r="N41" s="94">
        <v>1.81</v>
      </c>
      <c r="O41" s="94">
        <v>0.93</v>
      </c>
      <c r="P41" s="94">
        <v>0.1</v>
      </c>
      <c r="Q41" s="94"/>
      <c r="R41" s="94">
        <v>2.91</v>
      </c>
    </row>
    <row r="42" spans="1:18">
      <c r="A42" s="92">
        <v>164717</v>
      </c>
      <c r="B42" s="92" t="s">
        <v>119</v>
      </c>
      <c r="C42" s="92">
        <v>2015</v>
      </c>
      <c r="D42" s="92" t="s">
        <v>274</v>
      </c>
      <c r="E42" s="92" t="s">
        <v>268</v>
      </c>
      <c r="F42" s="92">
        <v>-117.09</v>
      </c>
      <c r="I42" s="95" t="s">
        <v>273</v>
      </c>
      <c r="J42" s="94"/>
      <c r="K42" s="94"/>
      <c r="L42" s="94"/>
      <c r="M42" s="94"/>
      <c r="N42" s="94"/>
      <c r="O42" s="94"/>
      <c r="P42" s="94"/>
      <c r="Q42" s="94"/>
      <c r="R42" s="94"/>
    </row>
    <row r="43" spans="1:18">
      <c r="A43" s="92">
        <v>164817</v>
      </c>
      <c r="B43" s="92" t="s">
        <v>174</v>
      </c>
      <c r="C43" s="92">
        <v>2015</v>
      </c>
      <c r="D43" s="92" t="s">
        <v>267</v>
      </c>
      <c r="E43" s="92" t="s">
        <v>268</v>
      </c>
      <c r="F43" s="92">
        <v>27.9</v>
      </c>
      <c r="I43" s="95" t="s">
        <v>274</v>
      </c>
      <c r="J43" s="94">
        <v>-756.41</v>
      </c>
      <c r="K43" s="94">
        <v>-713.2864</v>
      </c>
      <c r="L43" s="94">
        <v>-627.34</v>
      </c>
      <c r="M43" s="94">
        <v>-634.99</v>
      </c>
      <c r="N43" s="94">
        <v>-717.75</v>
      </c>
      <c r="O43" s="94">
        <v>-720.31</v>
      </c>
      <c r="P43" s="94">
        <v>-625.75</v>
      </c>
      <c r="Q43" s="94"/>
      <c r="R43" s="94">
        <v>-4795.8364</v>
      </c>
    </row>
    <row r="44" spans="1:18">
      <c r="A44" s="92">
        <v>164818</v>
      </c>
      <c r="B44" s="92" t="s">
        <v>174</v>
      </c>
      <c r="C44" s="92">
        <v>2015</v>
      </c>
      <c r="D44" s="92" t="s">
        <v>272</v>
      </c>
      <c r="E44" s="92" t="s">
        <v>268</v>
      </c>
      <c r="F44" s="92">
        <v>10.3</v>
      </c>
      <c r="I44" s="95" t="s">
        <v>275</v>
      </c>
      <c r="J44" s="94"/>
      <c r="K44" s="94"/>
      <c r="L44" s="94"/>
      <c r="M44" s="94"/>
      <c r="N44" s="94"/>
      <c r="O44" s="94"/>
      <c r="P44" s="94"/>
      <c r="Q44" s="94"/>
      <c r="R44" s="94"/>
    </row>
    <row r="45" spans="1:18">
      <c r="A45" s="92">
        <v>164819</v>
      </c>
      <c r="B45" s="92" t="s">
        <v>174</v>
      </c>
      <c r="C45" s="92">
        <v>2015</v>
      </c>
      <c r="D45" s="92" t="s">
        <v>273</v>
      </c>
      <c r="E45" s="92" t="s">
        <v>268</v>
      </c>
      <c r="F45" s="92"/>
      <c r="I45" s="93" t="s">
        <v>174</v>
      </c>
      <c r="J45" s="94">
        <v>37.78</v>
      </c>
      <c r="K45" s="94">
        <v>90.73</v>
      </c>
      <c r="L45" s="94">
        <v>109.53</v>
      </c>
      <c r="M45" s="94">
        <v>115.43</v>
      </c>
      <c r="N45" s="94">
        <v>142.98</v>
      </c>
      <c r="O45" s="94">
        <v>149.52</v>
      </c>
      <c r="P45" s="94">
        <v>151.08</v>
      </c>
      <c r="Q45" s="94"/>
      <c r="R45" s="94">
        <v>797.05</v>
      </c>
    </row>
    <row r="46" spans="1:18">
      <c r="A46" s="92">
        <v>164997</v>
      </c>
      <c r="B46" s="92" t="s">
        <v>139</v>
      </c>
      <c r="C46" s="92">
        <v>2015</v>
      </c>
      <c r="D46" s="92" t="s">
        <v>274</v>
      </c>
      <c r="E46" s="92" t="s">
        <v>268</v>
      </c>
      <c r="F46" s="92"/>
      <c r="I46" s="95" t="s">
        <v>267</v>
      </c>
      <c r="J46" s="94">
        <v>27.9</v>
      </c>
      <c r="K46" s="94">
        <v>91.19</v>
      </c>
      <c r="L46" s="94">
        <v>110.06</v>
      </c>
      <c r="M46" s="94">
        <v>114.13</v>
      </c>
      <c r="N46" s="94">
        <v>133.24</v>
      </c>
      <c r="O46" s="94">
        <v>132.48</v>
      </c>
      <c r="P46" s="94">
        <v>136.84</v>
      </c>
      <c r="Q46" s="94"/>
      <c r="R46" s="94">
        <v>745.84</v>
      </c>
    </row>
    <row r="47" spans="1:18">
      <c r="A47" s="92">
        <v>180887</v>
      </c>
      <c r="B47" s="92" t="s">
        <v>99</v>
      </c>
      <c r="C47" s="92">
        <v>2015</v>
      </c>
      <c r="D47" s="92" t="s">
        <v>274</v>
      </c>
      <c r="E47" s="92" t="s">
        <v>268</v>
      </c>
      <c r="F47" s="92">
        <v>-210.67</v>
      </c>
      <c r="I47" s="95" t="s">
        <v>272</v>
      </c>
      <c r="J47" s="94">
        <v>10.3</v>
      </c>
      <c r="K47" s="94">
        <v>0.48</v>
      </c>
      <c r="L47" s="94">
        <v>0.23</v>
      </c>
      <c r="M47" s="94">
        <v>2.19</v>
      </c>
      <c r="N47" s="94">
        <v>10.25</v>
      </c>
      <c r="O47" s="94">
        <v>17.04</v>
      </c>
      <c r="P47" s="94">
        <v>15.25</v>
      </c>
      <c r="Q47" s="94"/>
      <c r="R47" s="94">
        <v>55.74</v>
      </c>
    </row>
    <row r="48" spans="1:18">
      <c r="A48" s="92">
        <v>180987</v>
      </c>
      <c r="B48" s="92" t="s">
        <v>84</v>
      </c>
      <c r="C48" s="92">
        <v>2015</v>
      </c>
      <c r="D48" s="92" t="s">
        <v>267</v>
      </c>
      <c r="E48" s="92" t="s">
        <v>268</v>
      </c>
      <c r="F48" s="92">
        <v>205.63</v>
      </c>
      <c r="I48" s="95" t="s">
        <v>273</v>
      </c>
      <c r="J48" s="94"/>
      <c r="K48" s="94"/>
      <c r="L48" s="94"/>
      <c r="M48" s="94"/>
      <c r="N48" s="94"/>
      <c r="O48" s="94"/>
      <c r="P48" s="94"/>
      <c r="Q48" s="94"/>
      <c r="R48" s="94"/>
    </row>
    <row r="49" spans="1:18">
      <c r="A49" s="92">
        <v>180988</v>
      </c>
      <c r="B49" s="92" t="s">
        <v>84</v>
      </c>
      <c r="C49" s="92">
        <v>2015</v>
      </c>
      <c r="D49" s="92" t="s">
        <v>272</v>
      </c>
      <c r="E49" s="92" t="s">
        <v>268</v>
      </c>
      <c r="F49" s="92">
        <v>681.33</v>
      </c>
      <c r="I49" s="95" t="s">
        <v>274</v>
      </c>
      <c r="J49" s="94">
        <v>-0.42</v>
      </c>
      <c r="K49" s="94">
        <v>-0.94</v>
      </c>
      <c r="L49" s="94">
        <v>-0.76</v>
      </c>
      <c r="M49" s="94">
        <v>-0.89</v>
      </c>
      <c r="N49" s="94">
        <v>-0.51</v>
      </c>
      <c r="O49" s="94"/>
      <c r="P49" s="94">
        <v>-1.01</v>
      </c>
      <c r="Q49" s="94"/>
      <c r="R49" s="94">
        <v>-4.53</v>
      </c>
    </row>
    <row r="50" spans="1:18">
      <c r="A50" s="92">
        <v>180989</v>
      </c>
      <c r="B50" s="92" t="s">
        <v>84</v>
      </c>
      <c r="C50" s="92">
        <v>2015</v>
      </c>
      <c r="D50" s="92" t="s">
        <v>273</v>
      </c>
      <c r="E50" s="92" t="s">
        <v>268</v>
      </c>
      <c r="F50" s="92"/>
      <c r="I50" s="95" t="s">
        <v>275</v>
      </c>
      <c r="J50" s="94"/>
      <c r="K50" s="94"/>
      <c r="L50" s="94"/>
      <c r="M50" s="94"/>
      <c r="N50" s="94"/>
      <c r="O50" s="94"/>
      <c r="P50" s="94"/>
      <c r="Q50" s="94"/>
      <c r="R50" s="94"/>
    </row>
    <row r="51" spans="1:18">
      <c r="A51" s="92">
        <v>181167</v>
      </c>
      <c r="B51" s="92" t="s">
        <v>94</v>
      </c>
      <c r="C51" s="92">
        <v>2015</v>
      </c>
      <c r="D51" s="92" t="s">
        <v>274</v>
      </c>
      <c r="E51" s="92" t="s">
        <v>268</v>
      </c>
      <c r="F51" s="92">
        <v>-1385.06</v>
      </c>
      <c r="I51" s="93" t="s">
        <v>84</v>
      </c>
      <c r="J51" s="94">
        <v>886.96</v>
      </c>
      <c r="K51" s="94">
        <v>892.05</v>
      </c>
      <c r="L51" s="94">
        <v>1104.19</v>
      </c>
      <c r="M51" s="94">
        <v>1201.48</v>
      </c>
      <c r="N51" s="94">
        <v>1224.44</v>
      </c>
      <c r="O51" s="94">
        <v>1251.72</v>
      </c>
      <c r="P51" s="94">
        <v>1861</v>
      </c>
      <c r="Q51" s="94"/>
      <c r="R51" s="94">
        <v>8421.84</v>
      </c>
    </row>
    <row r="52" spans="1:18">
      <c r="A52" s="92">
        <v>197057</v>
      </c>
      <c r="B52" s="92" t="s">
        <v>219</v>
      </c>
      <c r="C52" s="92">
        <v>2015</v>
      </c>
      <c r="D52" s="92" t="s">
        <v>274</v>
      </c>
      <c r="E52" s="92" t="s">
        <v>268</v>
      </c>
      <c r="F52" s="92">
        <v>-334.35</v>
      </c>
      <c r="I52" s="95" t="s">
        <v>267</v>
      </c>
      <c r="J52" s="94">
        <v>205.63</v>
      </c>
      <c r="K52" s="94">
        <v>258.12</v>
      </c>
      <c r="L52" s="94">
        <v>332.59</v>
      </c>
      <c r="M52" s="94">
        <v>415.94</v>
      </c>
      <c r="N52" s="94">
        <v>510.41</v>
      </c>
      <c r="O52" s="94">
        <v>593.35</v>
      </c>
      <c r="P52" s="94">
        <v>814.68</v>
      </c>
      <c r="Q52" s="94"/>
      <c r="R52" s="94">
        <v>3130.72</v>
      </c>
    </row>
    <row r="53" spans="1:18">
      <c r="A53" s="92">
        <v>197157</v>
      </c>
      <c r="B53" s="92" t="s">
        <v>149</v>
      </c>
      <c r="C53" s="92">
        <v>2015</v>
      </c>
      <c r="D53" s="92" t="s">
        <v>267</v>
      </c>
      <c r="E53" s="92" t="s">
        <v>268</v>
      </c>
      <c r="F53" s="92">
        <v>143.33</v>
      </c>
      <c r="I53" s="95" t="s">
        <v>272</v>
      </c>
      <c r="J53" s="94">
        <v>681.33</v>
      </c>
      <c r="K53" s="94">
        <v>633.93</v>
      </c>
      <c r="L53" s="94">
        <v>1207.92</v>
      </c>
      <c r="M53" s="94">
        <v>785.54</v>
      </c>
      <c r="N53" s="94">
        <v>1201.76</v>
      </c>
      <c r="O53" s="94">
        <v>1215.01</v>
      </c>
      <c r="P53" s="94">
        <v>1219.96</v>
      </c>
      <c r="Q53" s="94"/>
      <c r="R53" s="94">
        <v>6945.45</v>
      </c>
    </row>
    <row r="54" spans="1:18">
      <c r="A54" s="92">
        <v>197158</v>
      </c>
      <c r="B54" s="92" t="s">
        <v>149</v>
      </c>
      <c r="C54" s="92">
        <v>2015</v>
      </c>
      <c r="D54" s="92" t="s">
        <v>272</v>
      </c>
      <c r="E54" s="92" t="s">
        <v>268</v>
      </c>
      <c r="F54" s="92">
        <v>597.56</v>
      </c>
      <c r="I54" s="95" t="s">
        <v>273</v>
      </c>
      <c r="J54" s="94"/>
      <c r="K54" s="94"/>
      <c r="L54" s="94"/>
      <c r="M54" s="94"/>
      <c r="N54" s="94"/>
      <c r="O54" s="94"/>
      <c r="P54" s="94"/>
      <c r="Q54" s="94"/>
      <c r="R54" s="94"/>
    </row>
    <row r="55" spans="1:18">
      <c r="A55" s="92">
        <v>197159</v>
      </c>
      <c r="B55" s="92" t="s">
        <v>149</v>
      </c>
      <c r="C55" s="92">
        <v>2015</v>
      </c>
      <c r="D55" s="92" t="s">
        <v>273</v>
      </c>
      <c r="E55" s="92" t="s">
        <v>268</v>
      </c>
      <c r="F55" s="92"/>
      <c r="I55" s="95" t="s">
        <v>274</v>
      </c>
      <c r="J55" s="94"/>
      <c r="K55" s="94"/>
      <c r="L55" s="94">
        <v>-436.32</v>
      </c>
      <c r="M55" s="94"/>
      <c r="N55" s="94">
        <v>-487.73</v>
      </c>
      <c r="O55" s="94">
        <v>-556.64</v>
      </c>
      <c r="P55" s="94">
        <v>-173.64</v>
      </c>
      <c r="Q55" s="94"/>
      <c r="R55" s="94">
        <v>-1654.33</v>
      </c>
    </row>
    <row r="56" spans="1:18">
      <c r="A56" s="92">
        <v>197337</v>
      </c>
      <c r="B56" s="92" t="s">
        <v>214</v>
      </c>
      <c r="C56" s="92">
        <v>2015</v>
      </c>
      <c r="D56" s="92" t="s">
        <v>274</v>
      </c>
      <c r="E56" s="92" t="s">
        <v>268</v>
      </c>
      <c r="F56" s="92">
        <v>-28.77</v>
      </c>
      <c r="I56" s="95" t="s">
        <v>275</v>
      </c>
      <c r="J56" s="94"/>
      <c r="K56" s="94"/>
      <c r="L56" s="94"/>
      <c r="M56" s="94"/>
      <c r="N56" s="94"/>
      <c r="O56" s="94"/>
      <c r="P56" s="94"/>
      <c r="Q56" s="94"/>
      <c r="R56" s="94"/>
    </row>
    <row r="57" spans="1:18">
      <c r="A57" s="92">
        <v>213227</v>
      </c>
      <c r="B57" s="92" t="s">
        <v>144</v>
      </c>
      <c r="C57" s="92">
        <v>2015</v>
      </c>
      <c r="D57" s="92" t="s">
        <v>274</v>
      </c>
      <c r="E57" s="92" t="s">
        <v>268</v>
      </c>
      <c r="F57" s="92"/>
      <c r="I57" s="93" t="s">
        <v>149</v>
      </c>
      <c r="J57" s="94">
        <v>683.15</v>
      </c>
      <c r="K57" s="94">
        <v>689.412</v>
      </c>
      <c r="L57" s="94">
        <v>697.18</v>
      </c>
      <c r="M57" s="94">
        <v>885.07</v>
      </c>
      <c r="N57" s="94">
        <v>1051.17</v>
      </c>
      <c r="O57" s="94">
        <v>1089.04</v>
      </c>
      <c r="P57" s="94">
        <v>1296.71</v>
      </c>
      <c r="Q57" s="94"/>
      <c r="R57" s="94">
        <v>6391.732</v>
      </c>
    </row>
    <row r="58" spans="1:18">
      <c r="A58" s="92">
        <v>213327</v>
      </c>
      <c r="B58" s="92" t="s">
        <v>109</v>
      </c>
      <c r="C58" s="92">
        <v>2015</v>
      </c>
      <c r="D58" s="92" t="s">
        <v>267</v>
      </c>
      <c r="E58" s="92" t="s">
        <v>268</v>
      </c>
      <c r="F58" s="92">
        <v>91.34</v>
      </c>
      <c r="I58" s="95" t="s">
        <v>267</v>
      </c>
      <c r="J58" s="94">
        <v>143.33</v>
      </c>
      <c r="K58" s="94">
        <v>126.612</v>
      </c>
      <c r="L58" s="94">
        <v>163.69</v>
      </c>
      <c r="M58" s="94">
        <v>284.61</v>
      </c>
      <c r="N58" s="94">
        <v>334.81</v>
      </c>
      <c r="O58" s="94">
        <v>390.98</v>
      </c>
      <c r="P58" s="94">
        <v>580.3</v>
      </c>
      <c r="Q58" s="94"/>
      <c r="R58" s="94">
        <v>2024.332</v>
      </c>
    </row>
    <row r="59" spans="1:18">
      <c r="A59" s="92">
        <v>213328</v>
      </c>
      <c r="B59" s="92" t="s">
        <v>109</v>
      </c>
      <c r="C59" s="92">
        <v>2015</v>
      </c>
      <c r="D59" s="92" t="s">
        <v>272</v>
      </c>
      <c r="E59" s="92" t="s">
        <v>268</v>
      </c>
      <c r="F59" s="92">
        <v>0.48</v>
      </c>
      <c r="I59" s="95" t="s">
        <v>272</v>
      </c>
      <c r="J59" s="94">
        <v>597.56</v>
      </c>
      <c r="K59" s="94">
        <v>577.39</v>
      </c>
      <c r="L59" s="94">
        <v>564.55</v>
      </c>
      <c r="M59" s="94">
        <v>633.42</v>
      </c>
      <c r="N59" s="94">
        <v>734.54</v>
      </c>
      <c r="O59" s="94">
        <v>836.56</v>
      </c>
      <c r="P59" s="94">
        <v>783.51</v>
      </c>
      <c r="Q59" s="94"/>
      <c r="R59" s="94">
        <v>4727.53</v>
      </c>
    </row>
    <row r="60" spans="1:18">
      <c r="A60" s="92">
        <v>213329</v>
      </c>
      <c r="B60" s="92" t="s">
        <v>109</v>
      </c>
      <c r="C60" s="92">
        <v>2015</v>
      </c>
      <c r="D60" s="92" t="s">
        <v>273</v>
      </c>
      <c r="E60" s="92" t="s">
        <v>268</v>
      </c>
      <c r="F60" s="92">
        <v>117.71</v>
      </c>
      <c r="I60" s="95" t="s">
        <v>273</v>
      </c>
      <c r="J60" s="94"/>
      <c r="K60" s="94"/>
      <c r="L60" s="94"/>
      <c r="M60" s="94"/>
      <c r="N60" s="94"/>
      <c r="O60" s="94"/>
      <c r="P60" s="94"/>
      <c r="Q60" s="94"/>
      <c r="R60" s="94"/>
    </row>
    <row r="61" spans="1:18">
      <c r="A61" s="92">
        <v>213507</v>
      </c>
      <c r="B61" s="92" t="s">
        <v>89</v>
      </c>
      <c r="C61" s="92">
        <v>2015</v>
      </c>
      <c r="D61" s="92" t="s">
        <v>274</v>
      </c>
      <c r="E61" s="92" t="s">
        <v>268</v>
      </c>
      <c r="F61" s="92">
        <v>-743.91</v>
      </c>
      <c r="I61" s="95" t="s">
        <v>274</v>
      </c>
      <c r="J61" s="94">
        <v>-57.74</v>
      </c>
      <c r="K61" s="94">
        <v>-14.59</v>
      </c>
      <c r="L61" s="94">
        <v>-31.06</v>
      </c>
      <c r="M61" s="94">
        <v>-32.96</v>
      </c>
      <c r="N61" s="94">
        <v>-18.18</v>
      </c>
      <c r="O61" s="94">
        <v>-138.5</v>
      </c>
      <c r="P61" s="94">
        <v>-67.1</v>
      </c>
      <c r="Q61" s="94"/>
      <c r="R61" s="94">
        <v>-360.13</v>
      </c>
    </row>
    <row r="62" spans="1:18">
      <c r="A62" s="92">
        <v>229397</v>
      </c>
      <c r="B62" s="92" t="s">
        <v>204</v>
      </c>
      <c r="C62" s="92">
        <v>2015</v>
      </c>
      <c r="D62" s="92" t="s">
        <v>274</v>
      </c>
      <c r="E62" s="92" t="s">
        <v>268</v>
      </c>
      <c r="F62" s="92">
        <v>-401.37</v>
      </c>
      <c r="I62" s="95" t="s">
        <v>275</v>
      </c>
      <c r="J62" s="94"/>
      <c r="K62" s="94"/>
      <c r="L62" s="94"/>
      <c r="M62" s="94"/>
      <c r="N62" s="94"/>
      <c r="O62" s="94"/>
      <c r="P62" s="94"/>
      <c r="Q62" s="94"/>
      <c r="R62" s="94"/>
    </row>
    <row r="63" spans="1:18">
      <c r="A63" s="92">
        <v>229497</v>
      </c>
      <c r="B63" s="92" t="s">
        <v>154</v>
      </c>
      <c r="C63" s="92">
        <v>2015</v>
      </c>
      <c r="D63" s="92" t="s">
        <v>267</v>
      </c>
      <c r="E63" s="92" t="s">
        <v>268</v>
      </c>
      <c r="F63" s="92">
        <v>1307.94</v>
      </c>
      <c r="I63" s="93" t="s">
        <v>109</v>
      </c>
      <c r="J63" s="94">
        <v>65.36</v>
      </c>
      <c r="K63" s="94">
        <v>88.89</v>
      </c>
      <c r="L63" s="94">
        <v>112.74</v>
      </c>
      <c r="M63" s="94">
        <v>115.29</v>
      </c>
      <c r="N63" s="94">
        <v>108.24</v>
      </c>
      <c r="O63" s="94">
        <v>113.91</v>
      </c>
      <c r="P63" s="94">
        <v>195.79</v>
      </c>
      <c r="Q63" s="94"/>
      <c r="R63" s="94">
        <v>800.22</v>
      </c>
    </row>
    <row r="64" spans="1:18">
      <c r="A64" s="92">
        <v>229498</v>
      </c>
      <c r="B64" s="92" t="s">
        <v>154</v>
      </c>
      <c r="C64" s="92">
        <v>2015</v>
      </c>
      <c r="D64" s="92" t="s">
        <v>272</v>
      </c>
      <c r="E64" s="92" t="s">
        <v>268</v>
      </c>
      <c r="F64" s="92">
        <v>335.55</v>
      </c>
      <c r="I64" s="95" t="s">
        <v>267</v>
      </c>
      <c r="J64" s="94">
        <v>91.34</v>
      </c>
      <c r="K64" s="94">
        <v>111.58</v>
      </c>
      <c r="L64" s="94">
        <v>138.5</v>
      </c>
      <c r="M64" s="94">
        <v>170.67</v>
      </c>
      <c r="N64" s="94">
        <v>200.1</v>
      </c>
      <c r="O64" s="94">
        <v>216.08</v>
      </c>
      <c r="P64" s="94">
        <v>251.88</v>
      </c>
      <c r="Q64" s="94"/>
      <c r="R64" s="94">
        <v>1180.15</v>
      </c>
    </row>
    <row r="65" spans="1:18">
      <c r="A65" s="92">
        <v>229499</v>
      </c>
      <c r="B65" s="92" t="s">
        <v>154</v>
      </c>
      <c r="C65" s="92">
        <v>2015</v>
      </c>
      <c r="D65" s="92" t="s">
        <v>273</v>
      </c>
      <c r="E65" s="92" t="s">
        <v>268</v>
      </c>
      <c r="F65" s="92"/>
      <c r="I65" s="95" t="s">
        <v>272</v>
      </c>
      <c r="J65" s="94">
        <v>0.48</v>
      </c>
      <c r="K65" s="94">
        <v>69.8</v>
      </c>
      <c r="L65" s="94">
        <v>73.95</v>
      </c>
      <c r="M65" s="94">
        <v>74.19</v>
      </c>
      <c r="N65" s="94">
        <v>116.6</v>
      </c>
      <c r="O65" s="94"/>
      <c r="P65" s="94">
        <v>104.93</v>
      </c>
      <c r="Q65" s="94"/>
      <c r="R65" s="94">
        <v>439.95</v>
      </c>
    </row>
    <row r="66" spans="1:18">
      <c r="A66" s="92">
        <v>229677</v>
      </c>
      <c r="B66" s="92" t="s">
        <v>114</v>
      </c>
      <c r="C66" s="92">
        <v>2015</v>
      </c>
      <c r="D66" s="92" t="s">
        <v>274</v>
      </c>
      <c r="E66" s="92" t="s">
        <v>268</v>
      </c>
      <c r="F66" s="92">
        <v>-62.94</v>
      </c>
      <c r="I66" s="95" t="s">
        <v>273</v>
      </c>
      <c r="J66" s="94">
        <v>117.71</v>
      </c>
      <c r="K66" s="94">
        <v>32.85</v>
      </c>
      <c r="L66" s="94">
        <v>32.83</v>
      </c>
      <c r="M66" s="94">
        <v>30.77</v>
      </c>
      <c r="N66" s="94"/>
      <c r="O66" s="94"/>
      <c r="P66" s="94">
        <v>39.32</v>
      </c>
      <c r="Q66" s="94"/>
      <c r="R66" s="94">
        <v>253.48</v>
      </c>
    </row>
    <row r="67" spans="1:18">
      <c r="A67" s="92">
        <v>245567</v>
      </c>
      <c r="B67" s="92" t="s">
        <v>184</v>
      </c>
      <c r="C67" s="92">
        <v>2015</v>
      </c>
      <c r="D67" s="92" t="s">
        <v>274</v>
      </c>
      <c r="E67" s="92" t="s">
        <v>268</v>
      </c>
      <c r="F67" s="92">
        <v>-1266.65</v>
      </c>
      <c r="I67" s="95" t="s">
        <v>274</v>
      </c>
      <c r="J67" s="94">
        <v>-139.78</v>
      </c>
      <c r="K67" s="94">
        <v>-125.34</v>
      </c>
      <c r="L67" s="94">
        <v>-132.54</v>
      </c>
      <c r="M67" s="94">
        <v>-160.34</v>
      </c>
      <c r="N67" s="94">
        <v>-208.46</v>
      </c>
      <c r="O67" s="94">
        <v>-102.17</v>
      </c>
      <c r="P67" s="94">
        <v>-200.34</v>
      </c>
      <c r="Q67" s="94"/>
      <c r="R67" s="94">
        <v>-1068.97</v>
      </c>
    </row>
    <row r="68" spans="1:18">
      <c r="A68" s="92">
        <v>245667</v>
      </c>
      <c r="B68" s="92" t="s">
        <v>159</v>
      </c>
      <c r="C68" s="92">
        <v>2015</v>
      </c>
      <c r="D68" s="92" t="s">
        <v>267</v>
      </c>
      <c r="E68" s="92" t="s">
        <v>268</v>
      </c>
      <c r="F68" s="92">
        <v>615.45</v>
      </c>
      <c r="I68" s="95" t="s">
        <v>275</v>
      </c>
      <c r="J68" s="94">
        <v>-4.39</v>
      </c>
      <c r="K68" s="94"/>
      <c r="L68" s="94"/>
      <c r="M68" s="94"/>
      <c r="N68" s="94"/>
      <c r="O68" s="94"/>
      <c r="P68" s="94"/>
      <c r="Q68" s="94"/>
      <c r="R68" s="94">
        <v>-4.39</v>
      </c>
    </row>
    <row r="69" spans="1:18">
      <c r="A69" s="92">
        <v>245668</v>
      </c>
      <c r="B69" s="92" t="s">
        <v>159</v>
      </c>
      <c r="C69" s="92">
        <v>2015</v>
      </c>
      <c r="D69" s="92" t="s">
        <v>272</v>
      </c>
      <c r="E69" s="92" t="s">
        <v>268</v>
      </c>
      <c r="F69" s="92">
        <v>293.7</v>
      </c>
      <c r="I69" s="93" t="s">
        <v>154</v>
      </c>
      <c r="J69" s="94">
        <v>868.46</v>
      </c>
      <c r="K69" s="94">
        <v>954.8792</v>
      </c>
      <c r="L69" s="94">
        <v>1000.28</v>
      </c>
      <c r="M69" s="94">
        <v>927.79</v>
      </c>
      <c r="N69" s="94">
        <v>853.37</v>
      </c>
      <c r="O69" s="94">
        <v>961.98</v>
      </c>
      <c r="P69" s="94">
        <v>995.53</v>
      </c>
      <c r="Q69" s="94"/>
      <c r="R69" s="94">
        <v>6562.2892</v>
      </c>
    </row>
    <row r="70" spans="1:18">
      <c r="A70" s="92">
        <v>245669</v>
      </c>
      <c r="B70" s="92" t="s">
        <v>159</v>
      </c>
      <c r="C70" s="92">
        <v>2015</v>
      </c>
      <c r="D70" s="92" t="s">
        <v>273</v>
      </c>
      <c r="E70" s="92" t="s">
        <v>268</v>
      </c>
      <c r="F70" s="92"/>
      <c r="I70" s="95" t="s">
        <v>267</v>
      </c>
      <c r="J70" s="94">
        <v>1307.94</v>
      </c>
      <c r="K70" s="94">
        <v>1462.5</v>
      </c>
      <c r="L70" s="94">
        <v>1563.11</v>
      </c>
      <c r="M70" s="94">
        <v>1591.43</v>
      </c>
      <c r="N70" s="94">
        <v>1487.56</v>
      </c>
      <c r="O70" s="94">
        <v>1793.61</v>
      </c>
      <c r="P70" s="94">
        <v>1816.37</v>
      </c>
      <c r="Q70" s="94"/>
      <c r="R70" s="94">
        <v>11022.52</v>
      </c>
    </row>
    <row r="71" spans="1:18">
      <c r="A71" s="92">
        <v>245847</v>
      </c>
      <c r="B71" s="92" t="s">
        <v>79</v>
      </c>
      <c r="C71" s="92">
        <v>2015</v>
      </c>
      <c r="D71" s="92" t="s">
        <v>274</v>
      </c>
      <c r="E71" s="92" t="s">
        <v>268</v>
      </c>
      <c r="F71" s="92">
        <v>-0.88</v>
      </c>
      <c r="I71" s="95" t="s">
        <v>272</v>
      </c>
      <c r="J71" s="94">
        <v>335.55</v>
      </c>
      <c r="K71" s="94">
        <v>307.79</v>
      </c>
      <c r="L71" s="94">
        <v>304.67</v>
      </c>
      <c r="M71" s="94">
        <v>203.7</v>
      </c>
      <c r="N71" s="94">
        <v>205.4</v>
      </c>
      <c r="O71" s="94">
        <v>142.56</v>
      </c>
      <c r="P71" s="94">
        <v>123.02</v>
      </c>
      <c r="Q71" s="94"/>
      <c r="R71" s="94">
        <v>1622.69</v>
      </c>
    </row>
    <row r="72" spans="1:18">
      <c r="A72" s="92">
        <v>261737</v>
      </c>
      <c r="B72" s="92" t="s">
        <v>224</v>
      </c>
      <c r="C72" s="92">
        <v>2015</v>
      </c>
      <c r="D72" s="92" t="s">
        <v>274</v>
      </c>
      <c r="E72" s="92" t="s">
        <v>268</v>
      </c>
      <c r="F72" s="92">
        <v>-287.83</v>
      </c>
      <c r="I72" s="95" t="s">
        <v>273</v>
      </c>
      <c r="J72" s="94"/>
      <c r="K72" s="94"/>
      <c r="L72" s="94"/>
      <c r="M72" s="94"/>
      <c r="N72" s="94"/>
      <c r="O72" s="94"/>
      <c r="P72" s="94"/>
      <c r="Q72" s="94"/>
      <c r="R72" s="94"/>
    </row>
    <row r="73" spans="1:18">
      <c r="A73" s="92">
        <v>261837</v>
      </c>
      <c r="B73" s="92" t="s">
        <v>104</v>
      </c>
      <c r="C73" s="92">
        <v>2015</v>
      </c>
      <c r="D73" s="92" t="s">
        <v>267</v>
      </c>
      <c r="E73" s="92" t="s">
        <v>268</v>
      </c>
      <c r="F73" s="92">
        <v>114.63</v>
      </c>
      <c r="I73" s="95" t="s">
        <v>274</v>
      </c>
      <c r="J73" s="94">
        <v>-775.03</v>
      </c>
      <c r="K73" s="94">
        <v>-815.4108</v>
      </c>
      <c r="L73" s="94">
        <v>-867.5</v>
      </c>
      <c r="M73" s="94">
        <v>-867.34</v>
      </c>
      <c r="N73" s="94">
        <v>-839.59</v>
      </c>
      <c r="O73" s="94">
        <v>-974.19</v>
      </c>
      <c r="P73" s="94">
        <v>-943.86</v>
      </c>
      <c r="Q73" s="94"/>
      <c r="R73" s="94">
        <v>-6082.9208</v>
      </c>
    </row>
    <row r="74" spans="1:18">
      <c r="A74" s="92">
        <v>261838</v>
      </c>
      <c r="B74" s="92" t="s">
        <v>104</v>
      </c>
      <c r="C74" s="92">
        <v>2015</v>
      </c>
      <c r="D74" s="92" t="s">
        <v>272</v>
      </c>
      <c r="E74" s="92" t="s">
        <v>268</v>
      </c>
      <c r="F74" s="92">
        <v>147.73</v>
      </c>
      <c r="I74" s="95" t="s">
        <v>275</v>
      </c>
      <c r="J74" s="94"/>
      <c r="K74" s="94"/>
      <c r="L74" s="94"/>
      <c r="M74" s="94"/>
      <c r="N74" s="94"/>
      <c r="O74" s="94"/>
      <c r="P74" s="94"/>
      <c r="Q74" s="94"/>
      <c r="R74" s="94"/>
    </row>
    <row r="75" spans="1:18">
      <c r="A75" s="92">
        <v>261839</v>
      </c>
      <c r="B75" s="92" t="s">
        <v>104</v>
      </c>
      <c r="C75" s="92">
        <v>2015</v>
      </c>
      <c r="D75" s="92" t="s">
        <v>273</v>
      </c>
      <c r="E75" s="92" t="s">
        <v>268</v>
      </c>
      <c r="F75" s="92"/>
      <c r="I75" s="93" t="s">
        <v>159</v>
      </c>
      <c r="J75" s="94">
        <v>822.03</v>
      </c>
      <c r="K75" s="94">
        <v>859.683364</v>
      </c>
      <c r="L75" s="94">
        <v>794.99</v>
      </c>
      <c r="M75" s="94">
        <v>821.85</v>
      </c>
      <c r="N75" s="94">
        <v>949.73</v>
      </c>
      <c r="O75" s="94">
        <v>1077.41</v>
      </c>
      <c r="P75" s="94">
        <v>1137.85</v>
      </c>
      <c r="Q75" s="94"/>
      <c r="R75" s="94">
        <v>6463.543364</v>
      </c>
    </row>
    <row r="76" spans="1:18">
      <c r="A76" s="92">
        <v>262017</v>
      </c>
      <c r="B76" s="92" t="s">
        <v>194</v>
      </c>
      <c r="C76" s="92">
        <v>2015</v>
      </c>
      <c r="D76" s="92" t="s">
        <v>274</v>
      </c>
      <c r="E76" s="92" t="s">
        <v>268</v>
      </c>
      <c r="F76" s="92">
        <v>-1109.17</v>
      </c>
      <c r="I76" s="95" t="s">
        <v>267</v>
      </c>
      <c r="J76" s="94">
        <v>615.45</v>
      </c>
      <c r="K76" s="94">
        <v>661.78</v>
      </c>
      <c r="L76" s="94">
        <v>648.15</v>
      </c>
      <c r="M76" s="94">
        <v>616.6</v>
      </c>
      <c r="N76" s="94">
        <v>644.82</v>
      </c>
      <c r="O76" s="94">
        <v>702.56</v>
      </c>
      <c r="P76" s="94">
        <v>725.16</v>
      </c>
      <c r="Q76" s="94"/>
      <c r="R76" s="94">
        <v>4614.52</v>
      </c>
    </row>
    <row r="77" spans="1:18">
      <c r="A77" s="92">
        <v>277907</v>
      </c>
      <c r="B77" s="92" t="s">
        <v>124</v>
      </c>
      <c r="C77" s="92">
        <v>2015</v>
      </c>
      <c r="D77" s="92" t="s">
        <v>274</v>
      </c>
      <c r="E77" s="92" t="s">
        <v>268</v>
      </c>
      <c r="F77" s="92">
        <v>-88.12</v>
      </c>
      <c r="I77" s="95" t="s">
        <v>272</v>
      </c>
      <c r="J77" s="94">
        <v>293.7</v>
      </c>
      <c r="K77" s="94">
        <v>290.433364</v>
      </c>
      <c r="L77" s="94">
        <v>223.52</v>
      </c>
      <c r="M77" s="94">
        <v>278.53</v>
      </c>
      <c r="N77" s="94">
        <v>399.59</v>
      </c>
      <c r="O77" s="94">
        <v>374.85</v>
      </c>
      <c r="P77" s="94">
        <v>530.93</v>
      </c>
      <c r="Q77" s="94"/>
      <c r="R77" s="94">
        <v>2391.553364</v>
      </c>
    </row>
    <row r="78" spans="1:18">
      <c r="A78" s="92">
        <v>278007</v>
      </c>
      <c r="B78" s="92" t="s">
        <v>119</v>
      </c>
      <c r="C78" s="92">
        <v>2015</v>
      </c>
      <c r="D78" s="92" t="s">
        <v>267</v>
      </c>
      <c r="E78" s="92" t="s">
        <v>268</v>
      </c>
      <c r="F78" s="92">
        <v>265.32</v>
      </c>
      <c r="I78" s="95" t="s">
        <v>273</v>
      </c>
      <c r="J78" s="94"/>
      <c r="K78" s="94"/>
      <c r="L78" s="94"/>
      <c r="M78" s="94"/>
      <c r="N78" s="94"/>
      <c r="O78" s="94"/>
      <c r="P78" s="94"/>
      <c r="Q78" s="94"/>
      <c r="R78" s="94"/>
    </row>
    <row r="79" spans="1:18">
      <c r="A79" s="92">
        <v>278008</v>
      </c>
      <c r="B79" s="92" t="s">
        <v>119</v>
      </c>
      <c r="C79" s="92">
        <v>2015</v>
      </c>
      <c r="D79" s="92" t="s">
        <v>272</v>
      </c>
      <c r="E79" s="92" t="s">
        <v>268</v>
      </c>
      <c r="F79" s="92">
        <v>805.84</v>
      </c>
      <c r="I79" s="95" t="s">
        <v>274</v>
      </c>
      <c r="J79" s="94">
        <v>-87.12</v>
      </c>
      <c r="K79" s="94">
        <v>-92.53</v>
      </c>
      <c r="L79" s="94">
        <v>-76.68</v>
      </c>
      <c r="M79" s="94">
        <v>-73.28</v>
      </c>
      <c r="N79" s="94">
        <v>-94.68</v>
      </c>
      <c r="O79" s="94"/>
      <c r="P79" s="94">
        <v>-118.24</v>
      </c>
      <c r="Q79" s="94"/>
      <c r="R79" s="94">
        <v>-542.53</v>
      </c>
    </row>
    <row r="80" spans="1:18">
      <c r="A80" s="92">
        <v>278009</v>
      </c>
      <c r="B80" s="92" t="s">
        <v>119</v>
      </c>
      <c r="C80" s="92">
        <v>2015</v>
      </c>
      <c r="D80" s="92" t="s">
        <v>273</v>
      </c>
      <c r="E80" s="92" t="s">
        <v>268</v>
      </c>
      <c r="F80" s="92"/>
      <c r="I80" s="95" t="s">
        <v>275</v>
      </c>
      <c r="J80" s="94"/>
      <c r="K80" s="94"/>
      <c r="L80" s="94"/>
      <c r="M80" s="94"/>
      <c r="N80" s="94"/>
      <c r="O80" s="94"/>
      <c r="P80" s="94"/>
      <c r="Q80" s="94"/>
      <c r="R80" s="94"/>
    </row>
    <row r="81" spans="1:18">
      <c r="A81" s="92">
        <v>278187</v>
      </c>
      <c r="B81" s="92" t="s">
        <v>179</v>
      </c>
      <c r="C81" s="92">
        <v>2015</v>
      </c>
      <c r="D81" s="92" t="s">
        <v>274</v>
      </c>
      <c r="E81" s="92" t="s">
        <v>268</v>
      </c>
      <c r="F81" s="92">
        <v>-29.03</v>
      </c>
      <c r="I81" s="93" t="s">
        <v>104</v>
      </c>
      <c r="J81" s="94">
        <v>62.12</v>
      </c>
      <c r="K81" s="94">
        <v>92.63</v>
      </c>
      <c r="L81" s="94">
        <v>60.12</v>
      </c>
      <c r="M81" s="94">
        <v>86.98</v>
      </c>
      <c r="N81" s="94">
        <v>75.32</v>
      </c>
      <c r="O81" s="94">
        <v>55.19</v>
      </c>
      <c r="P81" s="94">
        <v>112.49</v>
      </c>
      <c r="Q81" s="94"/>
      <c r="R81" s="94">
        <v>544.85</v>
      </c>
    </row>
    <row r="82" spans="1:18">
      <c r="A82" s="92">
        <v>294077</v>
      </c>
      <c r="B82" s="92" t="s">
        <v>129</v>
      </c>
      <c r="C82" s="92">
        <v>2015</v>
      </c>
      <c r="D82" s="92" t="s">
        <v>275</v>
      </c>
      <c r="E82" s="92" t="s">
        <v>268</v>
      </c>
      <c r="F82" s="92"/>
      <c r="I82" s="95" t="s">
        <v>267</v>
      </c>
      <c r="J82" s="94">
        <v>114.63</v>
      </c>
      <c r="K82" s="94">
        <v>168</v>
      </c>
      <c r="L82" s="94">
        <v>157.48</v>
      </c>
      <c r="M82" s="94">
        <v>207.8</v>
      </c>
      <c r="N82" s="94">
        <v>221.14</v>
      </c>
      <c r="O82" s="94">
        <v>268.62</v>
      </c>
      <c r="P82" s="94">
        <v>295.06</v>
      </c>
      <c r="Q82" s="94"/>
      <c r="R82" s="94">
        <v>1432.73</v>
      </c>
    </row>
    <row r="83" spans="1:18">
      <c r="A83" s="92">
        <v>294177</v>
      </c>
      <c r="B83" s="92" t="s">
        <v>139</v>
      </c>
      <c r="C83" s="92">
        <v>2015</v>
      </c>
      <c r="D83" s="92" t="s">
        <v>267</v>
      </c>
      <c r="E83" s="92" t="s">
        <v>268</v>
      </c>
      <c r="F83" s="92">
        <v>201.58</v>
      </c>
      <c r="I83" s="95" t="s">
        <v>272</v>
      </c>
      <c r="J83" s="94">
        <v>147.73</v>
      </c>
      <c r="K83" s="94">
        <v>129.13</v>
      </c>
      <c r="L83" s="94">
        <v>121.93</v>
      </c>
      <c r="M83" s="94">
        <v>159.21</v>
      </c>
      <c r="N83" s="94">
        <v>161.01</v>
      </c>
      <c r="O83" s="94">
        <v>140.51</v>
      </c>
      <c r="P83" s="94">
        <v>127</v>
      </c>
      <c r="Q83" s="94"/>
      <c r="R83" s="94">
        <v>986.52</v>
      </c>
    </row>
    <row r="84" spans="1:18">
      <c r="A84" s="92">
        <v>294178</v>
      </c>
      <c r="B84" s="92" t="s">
        <v>139</v>
      </c>
      <c r="C84" s="92">
        <v>2015</v>
      </c>
      <c r="D84" s="92" t="s">
        <v>272</v>
      </c>
      <c r="E84" s="92" t="s">
        <v>268</v>
      </c>
      <c r="F84" s="92">
        <v>105.2</v>
      </c>
      <c r="I84" s="95" t="s">
        <v>273</v>
      </c>
      <c r="J84" s="94"/>
      <c r="K84" s="94"/>
      <c r="L84" s="94"/>
      <c r="M84" s="94"/>
      <c r="N84" s="94"/>
      <c r="O84" s="94"/>
      <c r="P84" s="94"/>
      <c r="Q84" s="94"/>
      <c r="R84" s="94"/>
    </row>
    <row r="85" spans="1:18">
      <c r="A85" s="92">
        <v>294179</v>
      </c>
      <c r="B85" s="92" t="s">
        <v>139</v>
      </c>
      <c r="C85" s="92">
        <v>2015</v>
      </c>
      <c r="D85" s="92" t="s">
        <v>273</v>
      </c>
      <c r="E85" s="92" t="s">
        <v>268</v>
      </c>
      <c r="F85" s="92"/>
      <c r="I85" s="95" t="s">
        <v>274</v>
      </c>
      <c r="J85" s="94">
        <v>-200.24</v>
      </c>
      <c r="K85" s="94">
        <v>-204.5</v>
      </c>
      <c r="L85" s="94">
        <v>-219.29</v>
      </c>
      <c r="M85" s="94">
        <v>-280.03</v>
      </c>
      <c r="N85" s="94">
        <v>-306.83</v>
      </c>
      <c r="O85" s="94">
        <v>-353.94</v>
      </c>
      <c r="P85" s="94">
        <v>-309.57</v>
      </c>
      <c r="Q85" s="94"/>
      <c r="R85" s="94">
        <v>-1874.4</v>
      </c>
    </row>
    <row r="86" spans="1:18">
      <c r="A86" s="92">
        <v>294357</v>
      </c>
      <c r="B86" s="92" t="s">
        <v>74</v>
      </c>
      <c r="C86" s="92">
        <v>2015</v>
      </c>
      <c r="D86" s="92" t="s">
        <v>275</v>
      </c>
      <c r="E86" s="92" t="s">
        <v>268</v>
      </c>
      <c r="F86" s="92"/>
      <c r="I86" s="95" t="s">
        <v>275</v>
      </c>
      <c r="J86" s="94"/>
      <c r="K86" s="94"/>
      <c r="L86" s="94"/>
      <c r="M86" s="94"/>
      <c r="N86" s="94"/>
      <c r="O86" s="94"/>
      <c r="P86" s="94"/>
      <c r="Q86" s="94"/>
      <c r="R86" s="94"/>
    </row>
    <row r="87" spans="1:18">
      <c r="A87" s="92">
        <v>310247</v>
      </c>
      <c r="B87" s="92" t="s">
        <v>134</v>
      </c>
      <c r="C87" s="92">
        <v>2015</v>
      </c>
      <c r="D87" s="92" t="s">
        <v>275</v>
      </c>
      <c r="E87" s="92" t="s">
        <v>268</v>
      </c>
      <c r="F87" s="92"/>
      <c r="I87" s="93" t="s">
        <v>119</v>
      </c>
      <c r="J87" s="94">
        <v>954.07</v>
      </c>
      <c r="K87" s="94">
        <v>1055.93</v>
      </c>
      <c r="L87" s="94">
        <v>1296.79</v>
      </c>
      <c r="M87" s="94">
        <v>1596.54</v>
      </c>
      <c r="N87" s="94">
        <v>1795.55</v>
      </c>
      <c r="O87" s="94">
        <v>1939.79</v>
      </c>
      <c r="P87" s="94">
        <v>2259.85</v>
      </c>
      <c r="Q87" s="94"/>
      <c r="R87" s="94">
        <v>10898.52</v>
      </c>
    </row>
    <row r="88" spans="1:18">
      <c r="A88" s="92">
        <v>310347</v>
      </c>
      <c r="B88" s="92" t="s">
        <v>99</v>
      </c>
      <c r="C88" s="92">
        <v>2015</v>
      </c>
      <c r="D88" s="92" t="s">
        <v>267</v>
      </c>
      <c r="E88" s="92" t="s">
        <v>268</v>
      </c>
      <c r="F88" s="92">
        <v>290.16</v>
      </c>
      <c r="I88" s="95" t="s">
        <v>267</v>
      </c>
      <c r="J88" s="94">
        <v>265.32</v>
      </c>
      <c r="K88" s="94">
        <v>306.35</v>
      </c>
      <c r="L88" s="94">
        <v>403.64</v>
      </c>
      <c r="M88" s="94">
        <v>567.73</v>
      </c>
      <c r="N88" s="94">
        <v>697.65</v>
      </c>
      <c r="O88" s="94">
        <v>783.62</v>
      </c>
      <c r="P88" s="94">
        <v>1127.58</v>
      </c>
      <c r="Q88" s="94"/>
      <c r="R88" s="94">
        <v>4151.89</v>
      </c>
    </row>
    <row r="89" spans="1:18">
      <c r="A89" s="92">
        <v>310348</v>
      </c>
      <c r="B89" s="92" t="s">
        <v>99</v>
      </c>
      <c r="C89" s="92">
        <v>2015</v>
      </c>
      <c r="D89" s="92" t="s">
        <v>272</v>
      </c>
      <c r="E89" s="92" t="s">
        <v>268</v>
      </c>
      <c r="F89" s="92">
        <v>576.27</v>
      </c>
      <c r="I89" s="95" t="s">
        <v>272</v>
      </c>
      <c r="J89" s="94">
        <v>805.84</v>
      </c>
      <c r="K89" s="94">
        <v>877.41</v>
      </c>
      <c r="L89" s="94">
        <v>1023.9</v>
      </c>
      <c r="M89" s="94">
        <v>1170.5</v>
      </c>
      <c r="N89" s="94">
        <v>1274.09</v>
      </c>
      <c r="O89" s="94">
        <v>1297.73</v>
      </c>
      <c r="P89" s="94">
        <v>1322.46</v>
      </c>
      <c r="Q89" s="94"/>
      <c r="R89" s="94">
        <v>7771.93</v>
      </c>
    </row>
    <row r="90" spans="1:18">
      <c r="A90" s="92">
        <v>310349</v>
      </c>
      <c r="B90" s="92" t="s">
        <v>99</v>
      </c>
      <c r="C90" s="92">
        <v>2015</v>
      </c>
      <c r="D90" s="92" t="s">
        <v>273</v>
      </c>
      <c r="E90" s="92" t="s">
        <v>268</v>
      </c>
      <c r="F90" s="92"/>
      <c r="I90" s="95" t="s">
        <v>273</v>
      </c>
      <c r="J90" s="94"/>
      <c r="K90" s="94"/>
      <c r="L90" s="94"/>
      <c r="M90" s="94"/>
      <c r="N90" s="94"/>
      <c r="O90" s="94"/>
      <c r="P90" s="94"/>
      <c r="Q90" s="94"/>
      <c r="R90" s="94"/>
    </row>
    <row r="91" spans="1:18">
      <c r="A91" s="92">
        <v>310527</v>
      </c>
      <c r="B91" s="92" t="s">
        <v>209</v>
      </c>
      <c r="C91" s="92">
        <v>2015</v>
      </c>
      <c r="D91" s="92" t="s">
        <v>275</v>
      </c>
      <c r="E91" s="92" t="s">
        <v>268</v>
      </c>
      <c r="F91" s="92"/>
      <c r="I91" s="95" t="s">
        <v>274</v>
      </c>
      <c r="J91" s="94">
        <v>-117.09</v>
      </c>
      <c r="K91" s="94">
        <v>-127.83</v>
      </c>
      <c r="L91" s="94">
        <v>-130.75</v>
      </c>
      <c r="M91" s="94">
        <v>-141.69</v>
      </c>
      <c r="N91" s="94">
        <v>-176.19</v>
      </c>
      <c r="O91" s="94">
        <v>-141.56</v>
      </c>
      <c r="P91" s="94">
        <v>-190.19</v>
      </c>
      <c r="Q91" s="94"/>
      <c r="R91" s="94">
        <v>-1025.3</v>
      </c>
    </row>
    <row r="92" spans="1:18">
      <c r="A92" s="92">
        <v>326517</v>
      </c>
      <c r="B92" s="92" t="s">
        <v>94</v>
      </c>
      <c r="C92" s="92">
        <v>2015</v>
      </c>
      <c r="D92" s="92" t="s">
        <v>267</v>
      </c>
      <c r="E92" s="92" t="s">
        <v>268</v>
      </c>
      <c r="F92" s="92">
        <v>501.27</v>
      </c>
      <c r="I92" s="95" t="s">
        <v>275</v>
      </c>
      <c r="J92" s="94"/>
      <c r="K92" s="94"/>
      <c r="L92" s="94"/>
      <c r="M92" s="94"/>
      <c r="N92" s="94"/>
      <c r="O92" s="94"/>
      <c r="P92" s="94"/>
      <c r="Q92" s="94"/>
      <c r="R92" s="94"/>
    </row>
    <row r="93" spans="1:18">
      <c r="A93" s="92">
        <v>326518</v>
      </c>
      <c r="B93" s="92" t="s">
        <v>94</v>
      </c>
      <c r="C93" s="92">
        <v>2015</v>
      </c>
      <c r="D93" s="92" t="s">
        <v>272</v>
      </c>
      <c r="E93" s="92" t="s">
        <v>268</v>
      </c>
      <c r="F93" s="92">
        <v>15.72</v>
      </c>
      <c r="I93" s="93" t="s">
        <v>139</v>
      </c>
      <c r="J93" s="94">
        <v>306.78</v>
      </c>
      <c r="K93" s="94">
        <v>325.5</v>
      </c>
      <c r="L93" s="94">
        <v>354.56</v>
      </c>
      <c r="M93" s="94">
        <v>355.37</v>
      </c>
      <c r="N93" s="94">
        <v>434.74</v>
      </c>
      <c r="O93" s="94">
        <v>459.44</v>
      </c>
      <c r="P93" s="94">
        <v>618.7</v>
      </c>
      <c r="Q93" s="94"/>
      <c r="R93" s="94">
        <v>2855.09</v>
      </c>
    </row>
    <row r="94" spans="1:18">
      <c r="A94" s="92">
        <v>326519</v>
      </c>
      <c r="B94" s="92" t="s">
        <v>94</v>
      </c>
      <c r="C94" s="92">
        <v>2015</v>
      </c>
      <c r="D94" s="92" t="s">
        <v>273</v>
      </c>
      <c r="E94" s="92" t="s">
        <v>268</v>
      </c>
      <c r="F94" s="92"/>
      <c r="I94" s="95" t="s">
        <v>267</v>
      </c>
      <c r="J94" s="94">
        <v>201.58</v>
      </c>
      <c r="K94" s="94">
        <v>228.4</v>
      </c>
      <c r="L94" s="94">
        <v>218.41</v>
      </c>
      <c r="M94" s="94">
        <v>204.9</v>
      </c>
      <c r="N94" s="94">
        <v>274.94</v>
      </c>
      <c r="O94" s="94">
        <v>277.32</v>
      </c>
      <c r="P94" s="94">
        <v>319.45</v>
      </c>
      <c r="Q94" s="94"/>
      <c r="R94" s="94">
        <v>1725</v>
      </c>
    </row>
    <row r="95" spans="1:18">
      <c r="A95" s="92">
        <v>326521</v>
      </c>
      <c r="B95" s="92" t="s">
        <v>164</v>
      </c>
      <c r="C95" s="92">
        <v>2015</v>
      </c>
      <c r="D95" s="92" t="s">
        <v>275</v>
      </c>
      <c r="E95" s="92" t="s">
        <v>268</v>
      </c>
      <c r="F95" s="92">
        <v>-162.09</v>
      </c>
      <c r="I95" s="95" t="s">
        <v>272</v>
      </c>
      <c r="J95" s="94">
        <v>105.2</v>
      </c>
      <c r="K95" s="94">
        <v>97.1</v>
      </c>
      <c r="L95" s="94">
        <v>136.15</v>
      </c>
      <c r="M95" s="94">
        <v>150.47</v>
      </c>
      <c r="N95" s="94">
        <v>159.8</v>
      </c>
      <c r="O95" s="94">
        <v>182.12</v>
      </c>
      <c r="P95" s="94">
        <v>299.25</v>
      </c>
      <c r="Q95" s="94"/>
      <c r="R95" s="94">
        <v>1130.09</v>
      </c>
    </row>
    <row r="96" spans="1:18">
      <c r="A96" s="92">
        <v>326697</v>
      </c>
      <c r="B96" s="92" t="s">
        <v>169</v>
      </c>
      <c r="C96" s="92">
        <v>2015</v>
      </c>
      <c r="D96" s="92" t="s">
        <v>275</v>
      </c>
      <c r="E96" s="92" t="s">
        <v>268</v>
      </c>
      <c r="F96" s="92"/>
      <c r="I96" s="95" t="s">
        <v>273</v>
      </c>
      <c r="J96" s="94"/>
      <c r="K96" s="94"/>
      <c r="L96" s="94"/>
      <c r="M96" s="94"/>
      <c r="N96" s="94"/>
      <c r="O96" s="94"/>
      <c r="P96" s="94"/>
      <c r="Q96" s="94"/>
      <c r="R96" s="94"/>
    </row>
    <row r="97" spans="1:18">
      <c r="A97" s="92">
        <v>342587</v>
      </c>
      <c r="B97" s="92" t="s">
        <v>189</v>
      </c>
      <c r="C97" s="92">
        <v>2015</v>
      </c>
      <c r="D97" s="92" t="s">
        <v>275</v>
      </c>
      <c r="E97" s="92" t="s">
        <v>268</v>
      </c>
      <c r="F97" s="92"/>
      <c r="I97" s="95" t="s">
        <v>274</v>
      </c>
      <c r="J97" s="94"/>
      <c r="K97" s="94"/>
      <c r="L97" s="94"/>
      <c r="M97" s="94"/>
      <c r="N97" s="94"/>
      <c r="O97" s="94"/>
      <c r="P97" s="94"/>
      <c r="Q97" s="94"/>
      <c r="R97" s="94"/>
    </row>
    <row r="98" spans="1:18">
      <c r="A98" s="92">
        <v>342687</v>
      </c>
      <c r="B98" s="92" t="s">
        <v>219</v>
      </c>
      <c r="C98" s="92">
        <v>2015</v>
      </c>
      <c r="D98" s="92" t="s">
        <v>267</v>
      </c>
      <c r="E98" s="92" t="s">
        <v>268</v>
      </c>
      <c r="F98" s="92">
        <v>136.8</v>
      </c>
      <c r="I98" s="95" t="s">
        <v>275</v>
      </c>
      <c r="J98" s="94"/>
      <c r="K98" s="94"/>
      <c r="L98" s="94"/>
      <c r="M98" s="94"/>
      <c r="N98" s="94"/>
      <c r="O98" s="94"/>
      <c r="P98" s="94"/>
      <c r="Q98" s="94"/>
      <c r="R98" s="94"/>
    </row>
    <row r="99" spans="1:18">
      <c r="A99" s="92">
        <v>342688</v>
      </c>
      <c r="B99" s="92" t="s">
        <v>219</v>
      </c>
      <c r="C99" s="92">
        <v>2015</v>
      </c>
      <c r="D99" s="92" t="s">
        <v>272</v>
      </c>
      <c r="E99" s="92" t="s">
        <v>268</v>
      </c>
      <c r="F99" s="92">
        <v>46.66</v>
      </c>
      <c r="I99" s="93" t="s">
        <v>99</v>
      </c>
      <c r="J99" s="94">
        <v>655.76</v>
      </c>
      <c r="K99" s="94">
        <v>683.55</v>
      </c>
      <c r="L99" s="94">
        <v>764.45</v>
      </c>
      <c r="M99" s="94">
        <v>909.27</v>
      </c>
      <c r="N99" s="94">
        <v>1006.16</v>
      </c>
      <c r="O99" s="94">
        <v>1013.26</v>
      </c>
      <c r="P99" s="94">
        <v>1176.95</v>
      </c>
      <c r="Q99" s="94"/>
      <c r="R99" s="94">
        <v>6209.4</v>
      </c>
    </row>
    <row r="100" spans="1:18">
      <c r="A100" s="92">
        <v>342689</v>
      </c>
      <c r="B100" s="92" t="s">
        <v>219</v>
      </c>
      <c r="C100" s="92">
        <v>2015</v>
      </c>
      <c r="D100" s="92" t="s">
        <v>273</v>
      </c>
      <c r="E100" s="92" t="s">
        <v>268</v>
      </c>
      <c r="F100" s="92"/>
      <c r="I100" s="95" t="s">
        <v>267</v>
      </c>
      <c r="J100" s="94">
        <v>290.16</v>
      </c>
      <c r="K100" s="94">
        <v>379.2</v>
      </c>
      <c r="L100" s="94">
        <v>420.36</v>
      </c>
      <c r="M100" s="94">
        <v>534.78</v>
      </c>
      <c r="N100" s="94">
        <v>596.2</v>
      </c>
      <c r="O100" s="94">
        <v>628.42</v>
      </c>
      <c r="P100" s="94">
        <v>760.8</v>
      </c>
      <c r="Q100" s="94"/>
      <c r="R100" s="94">
        <v>3609.92</v>
      </c>
    </row>
    <row r="101" spans="1:18">
      <c r="A101" s="92">
        <v>342867</v>
      </c>
      <c r="B101" s="92" t="s">
        <v>174</v>
      </c>
      <c r="C101" s="92">
        <v>2015</v>
      </c>
      <c r="D101" s="92" t="s">
        <v>275</v>
      </c>
      <c r="E101" s="92" t="s">
        <v>268</v>
      </c>
      <c r="F101" s="92"/>
      <c r="I101" s="95" t="s">
        <v>272</v>
      </c>
      <c r="J101" s="94">
        <v>576.27</v>
      </c>
      <c r="K101" s="94">
        <v>592.08</v>
      </c>
      <c r="L101" s="94">
        <v>650.2</v>
      </c>
      <c r="M101" s="94">
        <v>677.32</v>
      </c>
      <c r="N101" s="94">
        <v>712.89</v>
      </c>
      <c r="O101" s="94">
        <v>630.36</v>
      </c>
      <c r="P101" s="94">
        <v>639.25</v>
      </c>
      <c r="Q101" s="94"/>
      <c r="R101" s="94">
        <v>4478.37</v>
      </c>
    </row>
    <row r="102" spans="1:18">
      <c r="A102" s="92">
        <v>358757</v>
      </c>
      <c r="B102" s="92" t="s">
        <v>84</v>
      </c>
      <c r="C102" s="92">
        <v>2015</v>
      </c>
      <c r="D102" s="92" t="s">
        <v>275</v>
      </c>
      <c r="E102" s="92" t="s">
        <v>268</v>
      </c>
      <c r="F102" s="92"/>
      <c r="I102" s="95" t="s">
        <v>273</v>
      </c>
      <c r="J102" s="94"/>
      <c r="K102" s="94"/>
      <c r="L102" s="94"/>
      <c r="M102" s="94"/>
      <c r="N102" s="94"/>
      <c r="O102" s="94"/>
      <c r="P102" s="94"/>
      <c r="Q102" s="94"/>
      <c r="R102" s="94"/>
    </row>
    <row r="103" spans="1:18">
      <c r="A103" s="92">
        <v>358857</v>
      </c>
      <c r="B103" s="92" t="s">
        <v>214</v>
      </c>
      <c r="C103" s="92">
        <v>2015</v>
      </c>
      <c r="D103" s="92" t="s">
        <v>267</v>
      </c>
      <c r="E103" s="92" t="s">
        <v>268</v>
      </c>
      <c r="F103" s="92">
        <v>454.17</v>
      </c>
      <c r="I103" s="95" t="s">
        <v>274</v>
      </c>
      <c r="J103" s="94">
        <v>-210.67</v>
      </c>
      <c r="K103" s="94">
        <v>-287.73</v>
      </c>
      <c r="L103" s="94">
        <v>-306.11</v>
      </c>
      <c r="M103" s="94">
        <v>-302.83</v>
      </c>
      <c r="N103" s="94">
        <v>-302.93</v>
      </c>
      <c r="O103" s="94">
        <v>-245.52</v>
      </c>
      <c r="P103" s="94">
        <v>-223.1</v>
      </c>
      <c r="Q103" s="94"/>
      <c r="R103" s="94">
        <v>-1878.89</v>
      </c>
    </row>
    <row r="104" spans="1:18">
      <c r="A104" s="92">
        <v>358858</v>
      </c>
      <c r="B104" s="92" t="s">
        <v>214</v>
      </c>
      <c r="C104" s="92">
        <v>2015</v>
      </c>
      <c r="D104" s="92" t="s">
        <v>272</v>
      </c>
      <c r="E104" s="92" t="s">
        <v>268</v>
      </c>
      <c r="F104" s="92">
        <v>110.6</v>
      </c>
      <c r="I104" s="95" t="s">
        <v>275</v>
      </c>
      <c r="J104" s="94"/>
      <c r="K104" s="94"/>
      <c r="L104" s="94"/>
      <c r="M104" s="94"/>
      <c r="N104" s="94"/>
      <c r="O104" s="94"/>
      <c r="P104" s="94"/>
      <c r="Q104" s="94"/>
      <c r="R104" s="94"/>
    </row>
    <row r="105" spans="1:18">
      <c r="A105" s="92">
        <v>358859</v>
      </c>
      <c r="B105" s="92" t="s">
        <v>214</v>
      </c>
      <c r="C105" s="92">
        <v>2015</v>
      </c>
      <c r="D105" s="92" t="s">
        <v>273</v>
      </c>
      <c r="E105" s="92" t="s">
        <v>268</v>
      </c>
      <c r="F105" s="92"/>
      <c r="I105" s="93" t="s">
        <v>94</v>
      </c>
      <c r="J105" s="94">
        <v>-879.07</v>
      </c>
      <c r="K105" s="94">
        <v>-769.75753903</v>
      </c>
      <c r="L105" s="94">
        <v>-858.46</v>
      </c>
      <c r="M105" s="94">
        <v>-811.04</v>
      </c>
      <c r="N105" s="94">
        <v>-955.4</v>
      </c>
      <c r="O105" s="94">
        <v>-841.97</v>
      </c>
      <c r="P105" s="94">
        <v>-824.15</v>
      </c>
      <c r="Q105" s="94"/>
      <c r="R105" s="94">
        <v>-5939.84753903</v>
      </c>
    </row>
    <row r="106" spans="1:18">
      <c r="A106" s="92">
        <v>359037</v>
      </c>
      <c r="B106" s="92" t="s">
        <v>149</v>
      </c>
      <c r="C106" s="92">
        <v>2015</v>
      </c>
      <c r="D106" s="92" t="s">
        <v>275</v>
      </c>
      <c r="E106" s="92" t="s">
        <v>268</v>
      </c>
      <c r="F106" s="92"/>
      <c r="I106" s="95" t="s">
        <v>267</v>
      </c>
      <c r="J106" s="94">
        <v>501.27</v>
      </c>
      <c r="K106" s="94">
        <v>574.9211</v>
      </c>
      <c r="L106" s="94">
        <v>685.61</v>
      </c>
      <c r="M106" s="94">
        <v>794.94</v>
      </c>
      <c r="N106" s="94">
        <v>886.67</v>
      </c>
      <c r="O106" s="94">
        <v>969.77</v>
      </c>
      <c r="P106" s="94">
        <v>1228.13</v>
      </c>
      <c r="Q106" s="94"/>
      <c r="R106" s="94">
        <v>5641.3111</v>
      </c>
    </row>
    <row r="107" spans="1:18">
      <c r="A107" s="92">
        <v>374927</v>
      </c>
      <c r="B107" s="92" t="s">
        <v>109</v>
      </c>
      <c r="C107" s="92">
        <v>2015</v>
      </c>
      <c r="D107" s="92" t="s">
        <v>275</v>
      </c>
      <c r="E107" s="92" t="s">
        <v>268</v>
      </c>
      <c r="F107" s="92">
        <v>-4.39</v>
      </c>
      <c r="I107" s="95" t="s">
        <v>272</v>
      </c>
      <c r="J107" s="94">
        <v>15.72</v>
      </c>
      <c r="K107" s="94">
        <v>12.6047</v>
      </c>
      <c r="L107" s="94">
        <v>14.54</v>
      </c>
      <c r="M107" s="94">
        <v>152.89</v>
      </c>
      <c r="N107" s="94">
        <v>296.91</v>
      </c>
      <c r="O107" s="94">
        <v>258.09</v>
      </c>
      <c r="P107" s="94">
        <v>414.74</v>
      </c>
      <c r="Q107" s="94"/>
      <c r="R107" s="94">
        <v>1165.4947</v>
      </c>
    </row>
    <row r="108" spans="1:18">
      <c r="A108" s="92">
        <v>375027</v>
      </c>
      <c r="B108" s="92" t="s">
        <v>144</v>
      </c>
      <c r="C108" s="92">
        <v>2015</v>
      </c>
      <c r="D108" s="92" t="s">
        <v>267</v>
      </c>
      <c r="E108" s="92" t="s">
        <v>268</v>
      </c>
      <c r="F108" s="92">
        <v>131.74</v>
      </c>
      <c r="I108" s="95" t="s">
        <v>273</v>
      </c>
      <c r="J108" s="94"/>
      <c r="K108" s="94"/>
      <c r="L108" s="94"/>
      <c r="M108" s="94"/>
      <c r="N108" s="94"/>
      <c r="O108" s="94"/>
      <c r="P108" s="94"/>
      <c r="Q108" s="94"/>
      <c r="R108" s="94"/>
    </row>
    <row r="109" spans="1:18">
      <c r="A109" s="92">
        <v>375028</v>
      </c>
      <c r="B109" s="92" t="s">
        <v>144</v>
      </c>
      <c r="C109" s="92">
        <v>2015</v>
      </c>
      <c r="D109" s="92" t="s">
        <v>272</v>
      </c>
      <c r="E109" s="92" t="s">
        <v>268</v>
      </c>
      <c r="F109" s="92">
        <v>497.61</v>
      </c>
      <c r="I109" s="95" t="s">
        <v>274</v>
      </c>
      <c r="J109" s="94">
        <v>-1385.06</v>
      </c>
      <c r="K109" s="94">
        <v>-1346.1965</v>
      </c>
      <c r="L109" s="94">
        <v>-1546.43</v>
      </c>
      <c r="M109" s="94">
        <v>-1746.27</v>
      </c>
      <c r="N109" s="94">
        <v>-2125.55</v>
      </c>
      <c r="O109" s="94">
        <v>-2055.94</v>
      </c>
      <c r="P109" s="94">
        <v>-2453.3</v>
      </c>
      <c r="Q109" s="94"/>
      <c r="R109" s="94">
        <v>-12658.7465</v>
      </c>
    </row>
    <row r="110" spans="1:18">
      <c r="A110" s="92">
        <v>375029</v>
      </c>
      <c r="B110" s="92" t="s">
        <v>144</v>
      </c>
      <c r="C110" s="92">
        <v>2015</v>
      </c>
      <c r="D110" s="92" t="s">
        <v>273</v>
      </c>
      <c r="E110" s="92" t="s">
        <v>268</v>
      </c>
      <c r="F110" s="92"/>
      <c r="I110" s="95" t="s">
        <v>275</v>
      </c>
      <c r="J110" s="94">
        <v>-11</v>
      </c>
      <c r="K110" s="94">
        <v>-11.08683903</v>
      </c>
      <c r="L110" s="94">
        <v>-12.18</v>
      </c>
      <c r="M110" s="94">
        <v>-12.6</v>
      </c>
      <c r="N110" s="94">
        <v>-13.43</v>
      </c>
      <c r="O110" s="94">
        <v>-13.89</v>
      </c>
      <c r="P110" s="94">
        <v>-13.72</v>
      </c>
      <c r="Q110" s="94"/>
      <c r="R110" s="94">
        <v>-87.90683903</v>
      </c>
    </row>
    <row r="111" spans="1:18">
      <c r="A111" s="92">
        <v>375207</v>
      </c>
      <c r="B111" s="92" t="s">
        <v>154</v>
      </c>
      <c r="C111" s="92">
        <v>2015</v>
      </c>
      <c r="D111" s="92" t="s">
        <v>275</v>
      </c>
      <c r="E111" s="92" t="s">
        <v>268</v>
      </c>
      <c r="F111" s="92"/>
      <c r="I111" s="93" t="s">
        <v>219</v>
      </c>
      <c r="J111" s="94">
        <v>-150.89</v>
      </c>
      <c r="K111" s="94">
        <v>-109.554292</v>
      </c>
      <c r="L111" s="94">
        <v>-189.46</v>
      </c>
      <c r="M111" s="94">
        <v>-245.7</v>
      </c>
      <c r="N111" s="94">
        <v>-297.07</v>
      </c>
      <c r="O111" s="94">
        <v>-376.98</v>
      </c>
      <c r="P111" s="94">
        <v>-348.26</v>
      </c>
      <c r="Q111" s="94"/>
      <c r="R111" s="94">
        <v>-1717.914292</v>
      </c>
    </row>
    <row r="112" spans="1:18">
      <c r="A112" s="92">
        <v>391097</v>
      </c>
      <c r="B112" s="92" t="s">
        <v>159</v>
      </c>
      <c r="C112" s="92">
        <v>2015</v>
      </c>
      <c r="D112" s="92" t="s">
        <v>275</v>
      </c>
      <c r="E112" s="92" t="s">
        <v>268</v>
      </c>
      <c r="F112" s="92"/>
      <c r="I112" s="95" t="s">
        <v>267</v>
      </c>
      <c r="J112" s="94">
        <v>136.8</v>
      </c>
      <c r="K112" s="94">
        <v>190.824408</v>
      </c>
      <c r="L112" s="94">
        <v>236.56</v>
      </c>
      <c r="M112" s="94">
        <v>303.9</v>
      </c>
      <c r="N112" s="94">
        <v>322.07</v>
      </c>
      <c r="O112" s="94">
        <v>352.37</v>
      </c>
      <c r="P112" s="94">
        <v>485.21</v>
      </c>
      <c r="Q112" s="94"/>
      <c r="R112" s="94">
        <v>2027.734408</v>
      </c>
    </row>
    <row r="113" spans="1:18">
      <c r="A113" s="92">
        <v>391197</v>
      </c>
      <c r="B113" s="92" t="s">
        <v>89</v>
      </c>
      <c r="C113" s="92">
        <v>2015</v>
      </c>
      <c r="D113" s="92" t="s">
        <v>267</v>
      </c>
      <c r="E113" s="92" t="s">
        <v>268</v>
      </c>
      <c r="F113" s="92">
        <v>138.85</v>
      </c>
      <c r="I113" s="95" t="s">
        <v>272</v>
      </c>
      <c r="J113" s="94">
        <v>46.66</v>
      </c>
      <c r="K113" s="94">
        <v>84.1881</v>
      </c>
      <c r="L113" s="94">
        <v>101.05</v>
      </c>
      <c r="M113" s="94">
        <v>180.82</v>
      </c>
      <c r="N113" s="94">
        <v>293.29</v>
      </c>
      <c r="O113" s="94">
        <v>357.76</v>
      </c>
      <c r="P113" s="94">
        <v>213.63</v>
      </c>
      <c r="Q113" s="94"/>
      <c r="R113" s="94">
        <v>1277.3981</v>
      </c>
    </row>
    <row r="114" spans="1:18">
      <c r="A114" s="92">
        <v>391198</v>
      </c>
      <c r="B114" s="92" t="s">
        <v>89</v>
      </c>
      <c r="C114" s="92">
        <v>2015</v>
      </c>
      <c r="D114" s="92" t="s">
        <v>272</v>
      </c>
      <c r="E114" s="92" t="s">
        <v>268</v>
      </c>
      <c r="F114" s="92">
        <v>23.67</v>
      </c>
      <c r="I114" s="95" t="s">
        <v>273</v>
      </c>
      <c r="J114" s="94"/>
      <c r="K114" s="94"/>
      <c r="L114" s="94"/>
      <c r="M114" s="94"/>
      <c r="N114" s="94"/>
      <c r="O114" s="94"/>
      <c r="P114" s="94"/>
      <c r="Q114" s="94"/>
      <c r="R114" s="94"/>
    </row>
    <row r="115" spans="1:18">
      <c r="A115" s="92">
        <v>391199</v>
      </c>
      <c r="B115" s="92" t="s">
        <v>89</v>
      </c>
      <c r="C115" s="92">
        <v>2015</v>
      </c>
      <c r="D115" s="92" t="s">
        <v>273</v>
      </c>
      <c r="E115" s="92" t="s">
        <v>268</v>
      </c>
      <c r="F115" s="92"/>
      <c r="I115" s="95" t="s">
        <v>274</v>
      </c>
      <c r="J115" s="94">
        <v>-334.35</v>
      </c>
      <c r="K115" s="94">
        <v>-384.5668</v>
      </c>
      <c r="L115" s="94">
        <v>-527.07</v>
      </c>
      <c r="M115" s="94">
        <v>-730.42</v>
      </c>
      <c r="N115" s="94">
        <v>-912.43</v>
      </c>
      <c r="O115" s="94">
        <v>-1087.11</v>
      </c>
      <c r="P115" s="94">
        <v>-1047.1</v>
      </c>
      <c r="Q115" s="94"/>
      <c r="R115" s="94">
        <v>-5023.0468</v>
      </c>
    </row>
    <row r="116" spans="1:18">
      <c r="A116" s="92">
        <v>391377</v>
      </c>
      <c r="B116" s="92" t="s">
        <v>104</v>
      </c>
      <c r="C116" s="92">
        <v>2015</v>
      </c>
      <c r="D116" s="92" t="s">
        <v>275</v>
      </c>
      <c r="E116" s="92" t="s">
        <v>268</v>
      </c>
      <c r="F116" s="92"/>
      <c r="I116" s="95" t="s">
        <v>275</v>
      </c>
      <c r="J116" s="94"/>
      <c r="K116" s="94"/>
      <c r="L116" s="94"/>
      <c r="M116" s="94"/>
      <c r="N116" s="94"/>
      <c r="O116" s="94"/>
      <c r="P116" s="94"/>
      <c r="Q116" s="94"/>
      <c r="R116" s="94"/>
    </row>
    <row r="117" spans="1:18">
      <c r="A117" s="92">
        <v>407267</v>
      </c>
      <c r="B117" s="92" t="s">
        <v>119</v>
      </c>
      <c r="C117" s="92">
        <v>2015</v>
      </c>
      <c r="D117" s="92" t="s">
        <v>275</v>
      </c>
      <c r="E117" s="92" t="s">
        <v>268</v>
      </c>
      <c r="F117" s="92"/>
      <c r="I117" s="93" t="s">
        <v>214</v>
      </c>
      <c r="J117" s="94">
        <v>536</v>
      </c>
      <c r="K117" s="94">
        <v>485.3254</v>
      </c>
      <c r="L117" s="94">
        <v>525.83</v>
      </c>
      <c r="M117" s="94">
        <v>618.66</v>
      </c>
      <c r="N117" s="94">
        <v>612.3</v>
      </c>
      <c r="O117" s="94">
        <v>640.97</v>
      </c>
      <c r="P117" s="94">
        <v>714.02</v>
      </c>
      <c r="Q117" s="94"/>
      <c r="R117" s="94">
        <v>4133.1054</v>
      </c>
    </row>
    <row r="118" spans="1:18">
      <c r="A118" s="92">
        <v>407367</v>
      </c>
      <c r="B118" s="92" t="s">
        <v>204</v>
      </c>
      <c r="C118" s="92">
        <v>2015</v>
      </c>
      <c r="D118" s="92" t="s">
        <v>267</v>
      </c>
      <c r="E118" s="92" t="s">
        <v>268</v>
      </c>
      <c r="F118" s="92">
        <v>170.72</v>
      </c>
      <c r="I118" s="95" t="s">
        <v>267</v>
      </c>
      <c r="J118" s="94">
        <v>454.17</v>
      </c>
      <c r="K118" s="94">
        <v>400.41</v>
      </c>
      <c r="L118" s="94">
        <v>465.4</v>
      </c>
      <c r="M118" s="94">
        <v>685.64</v>
      </c>
      <c r="N118" s="94">
        <v>778.78</v>
      </c>
      <c r="O118" s="94">
        <v>847.41</v>
      </c>
      <c r="P118" s="94">
        <v>845.7</v>
      </c>
      <c r="Q118" s="94"/>
      <c r="R118" s="94">
        <v>4477.51</v>
      </c>
    </row>
    <row r="119" spans="1:18">
      <c r="A119" s="92">
        <v>407368</v>
      </c>
      <c r="B119" s="92" t="s">
        <v>204</v>
      </c>
      <c r="C119" s="92">
        <v>2015</v>
      </c>
      <c r="D119" s="92" t="s">
        <v>272</v>
      </c>
      <c r="E119" s="92" t="s">
        <v>268</v>
      </c>
      <c r="F119" s="92"/>
      <c r="I119" s="95" t="s">
        <v>272</v>
      </c>
      <c r="J119" s="94">
        <v>110.6</v>
      </c>
      <c r="K119" s="94">
        <v>118.2498</v>
      </c>
      <c r="L119" s="94">
        <v>115.13</v>
      </c>
      <c r="M119" s="94">
        <v>90.19</v>
      </c>
      <c r="N119" s="94">
        <v>78.76</v>
      </c>
      <c r="O119" s="94">
        <v>66.45</v>
      </c>
      <c r="P119" s="94">
        <v>165.29</v>
      </c>
      <c r="Q119" s="94"/>
      <c r="R119" s="94">
        <v>744.6698</v>
      </c>
    </row>
    <row r="120" spans="1:18">
      <c r="A120" s="92">
        <v>407369</v>
      </c>
      <c r="B120" s="92" t="s">
        <v>204</v>
      </c>
      <c r="C120" s="92">
        <v>2015</v>
      </c>
      <c r="D120" s="92" t="s">
        <v>273</v>
      </c>
      <c r="E120" s="92" t="s">
        <v>268</v>
      </c>
      <c r="F120" s="92"/>
      <c r="I120" s="95" t="s">
        <v>273</v>
      </c>
      <c r="J120" s="94"/>
      <c r="K120" s="94"/>
      <c r="L120" s="94"/>
      <c r="M120" s="94"/>
      <c r="N120" s="94"/>
      <c r="O120" s="94"/>
      <c r="P120" s="94"/>
      <c r="Q120" s="94"/>
      <c r="R120" s="94"/>
    </row>
    <row r="121" spans="1:18">
      <c r="A121" s="92">
        <v>407547</v>
      </c>
      <c r="B121" s="92" t="s">
        <v>139</v>
      </c>
      <c r="C121" s="92">
        <v>2015</v>
      </c>
      <c r="D121" s="92" t="s">
        <v>275</v>
      </c>
      <c r="E121" s="92" t="s">
        <v>268</v>
      </c>
      <c r="F121" s="92"/>
      <c r="I121" s="95" t="s">
        <v>274</v>
      </c>
      <c r="J121" s="94">
        <v>-28.77</v>
      </c>
      <c r="K121" s="94">
        <v>-33.3344</v>
      </c>
      <c r="L121" s="94">
        <v>-54.7</v>
      </c>
      <c r="M121" s="94">
        <v>-157.17</v>
      </c>
      <c r="N121" s="94">
        <v>-245.24</v>
      </c>
      <c r="O121" s="94">
        <v>-272.89</v>
      </c>
      <c r="P121" s="94">
        <v>-296.97</v>
      </c>
      <c r="Q121" s="94"/>
      <c r="R121" s="94">
        <v>-1089.0744</v>
      </c>
    </row>
    <row r="122" spans="1:18">
      <c r="A122" s="92">
        <v>423437</v>
      </c>
      <c r="B122" s="92" t="s">
        <v>99</v>
      </c>
      <c r="C122" s="92">
        <v>2015</v>
      </c>
      <c r="D122" s="92" t="s">
        <v>275</v>
      </c>
      <c r="E122" s="92" t="s">
        <v>268</v>
      </c>
      <c r="F122" s="92"/>
      <c r="I122" s="95" t="s">
        <v>275</v>
      </c>
      <c r="J122" s="94"/>
      <c r="K122" s="94"/>
      <c r="L122" s="94"/>
      <c r="M122" s="94"/>
      <c r="N122" s="94"/>
      <c r="O122" s="94"/>
      <c r="P122" s="94"/>
      <c r="Q122" s="94"/>
      <c r="R122" s="94"/>
    </row>
    <row r="123" spans="1:18">
      <c r="A123" s="92">
        <v>423537</v>
      </c>
      <c r="B123" s="92" t="s">
        <v>114</v>
      </c>
      <c r="C123" s="92">
        <v>2015</v>
      </c>
      <c r="D123" s="92" t="s">
        <v>267</v>
      </c>
      <c r="E123" s="92" t="s">
        <v>268</v>
      </c>
      <c r="F123" s="92">
        <v>10.85</v>
      </c>
      <c r="I123" s="93" t="s">
        <v>70</v>
      </c>
      <c r="J123" s="94">
        <v>15179.41</v>
      </c>
      <c r="K123" s="94">
        <v>16833.7</v>
      </c>
      <c r="L123" s="94">
        <v>18368.05</v>
      </c>
      <c r="M123" s="94">
        <v>20545.97</v>
      </c>
      <c r="N123" s="94">
        <v>22664.83</v>
      </c>
      <c r="O123" s="94">
        <v>24317.7</v>
      </c>
      <c r="P123" s="94">
        <v>27141.42</v>
      </c>
      <c r="Q123" s="94"/>
      <c r="R123" s="94">
        <v>145051.08</v>
      </c>
    </row>
    <row r="124" spans="1:18">
      <c r="A124" s="92">
        <v>423538</v>
      </c>
      <c r="B124" s="92" t="s">
        <v>114</v>
      </c>
      <c r="C124" s="92">
        <v>2015</v>
      </c>
      <c r="D124" s="92" t="s">
        <v>272</v>
      </c>
      <c r="E124" s="92" t="s">
        <v>268</v>
      </c>
      <c r="F124" s="92">
        <v>647.3</v>
      </c>
      <c r="I124" s="95" t="s">
        <v>267</v>
      </c>
      <c r="J124" s="94">
        <v>15303.85</v>
      </c>
      <c r="K124" s="94">
        <v>16960.92</v>
      </c>
      <c r="L124" s="94">
        <v>18498.52</v>
      </c>
      <c r="M124" s="94">
        <v>20698.15</v>
      </c>
      <c r="N124" s="94">
        <v>22832.8</v>
      </c>
      <c r="O124" s="94">
        <v>24488.12</v>
      </c>
      <c r="P124" s="94">
        <v>27283.8</v>
      </c>
      <c r="Q124" s="94"/>
      <c r="R124" s="94">
        <v>146066.16</v>
      </c>
    </row>
    <row r="125" spans="1:18">
      <c r="A125" s="92">
        <v>423539</v>
      </c>
      <c r="B125" s="92" t="s">
        <v>114</v>
      </c>
      <c r="C125" s="92">
        <v>2015</v>
      </c>
      <c r="D125" s="92" t="s">
        <v>273</v>
      </c>
      <c r="E125" s="92" t="s">
        <v>268</v>
      </c>
      <c r="F125" s="92"/>
      <c r="I125" s="95" t="s">
        <v>272</v>
      </c>
      <c r="J125" s="94"/>
      <c r="K125" s="94"/>
      <c r="L125" s="94"/>
      <c r="M125" s="94"/>
      <c r="N125" s="94"/>
      <c r="O125" s="94"/>
      <c r="P125" s="94"/>
      <c r="Q125" s="94"/>
      <c r="R125" s="94"/>
    </row>
    <row r="126" spans="1:18">
      <c r="A126" s="92">
        <v>423717</v>
      </c>
      <c r="B126" s="92" t="s">
        <v>94</v>
      </c>
      <c r="C126" s="92">
        <v>2015</v>
      </c>
      <c r="D126" s="92" t="s">
        <v>275</v>
      </c>
      <c r="E126" s="92" t="s">
        <v>268</v>
      </c>
      <c r="F126" s="92">
        <v>-11</v>
      </c>
      <c r="I126" s="95" t="s">
        <v>273</v>
      </c>
      <c r="J126" s="94">
        <v>62.1</v>
      </c>
      <c r="K126" s="94">
        <v>61.85</v>
      </c>
      <c r="L126" s="94">
        <v>64.23</v>
      </c>
      <c r="M126" s="94">
        <v>56.88</v>
      </c>
      <c r="N126" s="94">
        <v>48.58</v>
      </c>
      <c r="O126" s="94">
        <v>47.51</v>
      </c>
      <c r="P126" s="94">
        <v>59.38</v>
      </c>
      <c r="Q126" s="94"/>
      <c r="R126" s="94">
        <v>400.53</v>
      </c>
    </row>
    <row r="127" spans="1:18">
      <c r="A127" s="92">
        <v>439607</v>
      </c>
      <c r="B127" s="92" t="s">
        <v>219</v>
      </c>
      <c r="C127" s="92">
        <v>2015</v>
      </c>
      <c r="D127" s="92" t="s">
        <v>275</v>
      </c>
      <c r="E127" s="92" t="s">
        <v>268</v>
      </c>
      <c r="F127" s="92"/>
      <c r="I127" s="95" t="s">
        <v>274</v>
      </c>
      <c r="J127" s="94"/>
      <c r="K127" s="94"/>
      <c r="L127" s="94"/>
      <c r="M127" s="94"/>
      <c r="N127" s="94"/>
      <c r="O127" s="94"/>
      <c r="P127" s="94"/>
      <c r="Q127" s="94"/>
      <c r="R127" s="94"/>
    </row>
    <row r="128" spans="1:18">
      <c r="A128" s="92">
        <v>439707</v>
      </c>
      <c r="B128" s="92" t="s">
        <v>184</v>
      </c>
      <c r="C128" s="92">
        <v>2015</v>
      </c>
      <c r="D128" s="92" t="s">
        <v>267</v>
      </c>
      <c r="E128" s="92" t="s">
        <v>268</v>
      </c>
      <c r="F128" s="92">
        <v>2779.24</v>
      </c>
      <c r="I128" s="95" t="s">
        <v>275</v>
      </c>
      <c r="J128" s="94">
        <v>-186.54</v>
      </c>
      <c r="K128" s="94">
        <v>-189.07</v>
      </c>
      <c r="L128" s="94">
        <v>-194.7</v>
      </c>
      <c r="M128" s="94">
        <v>-209.06</v>
      </c>
      <c r="N128" s="94">
        <v>-216.55</v>
      </c>
      <c r="O128" s="94">
        <v>-217.93</v>
      </c>
      <c r="P128" s="94">
        <v>-201.76</v>
      </c>
      <c r="Q128" s="94"/>
      <c r="R128" s="94">
        <v>-1415.61</v>
      </c>
    </row>
    <row r="129" spans="1:18">
      <c r="A129" s="92">
        <v>439708</v>
      </c>
      <c r="B129" s="92" t="s">
        <v>184</v>
      </c>
      <c r="C129" s="92">
        <v>2015</v>
      </c>
      <c r="D129" s="92" t="s">
        <v>272</v>
      </c>
      <c r="E129" s="92" t="s">
        <v>268</v>
      </c>
      <c r="F129" s="92">
        <v>50.51</v>
      </c>
      <c r="I129" s="93" t="s">
        <v>144</v>
      </c>
      <c r="J129" s="94">
        <v>629.35</v>
      </c>
      <c r="K129" s="94">
        <v>418.177495</v>
      </c>
      <c r="L129" s="94">
        <v>818.81</v>
      </c>
      <c r="M129" s="94">
        <v>1092.8</v>
      </c>
      <c r="N129" s="94">
        <v>1538.4</v>
      </c>
      <c r="O129" s="94">
        <v>1823.52</v>
      </c>
      <c r="P129" s="94">
        <v>2116.69</v>
      </c>
      <c r="Q129" s="94"/>
      <c r="R129" s="94">
        <v>8437.747495</v>
      </c>
    </row>
    <row r="130" spans="1:18">
      <c r="A130" s="92">
        <v>439709</v>
      </c>
      <c r="B130" s="92" t="s">
        <v>184</v>
      </c>
      <c r="C130" s="92">
        <v>2015</v>
      </c>
      <c r="D130" s="92" t="s">
        <v>273</v>
      </c>
      <c r="E130" s="92" t="s">
        <v>268</v>
      </c>
      <c r="F130" s="92"/>
      <c r="I130" s="95" t="s">
        <v>267</v>
      </c>
      <c r="J130" s="94">
        <v>131.74</v>
      </c>
      <c r="K130" s="94">
        <v>186.3903</v>
      </c>
      <c r="L130" s="94">
        <v>248.89</v>
      </c>
      <c r="M130" s="94">
        <v>393.91</v>
      </c>
      <c r="N130" s="94">
        <v>604.32</v>
      </c>
      <c r="O130" s="94">
        <v>664.86</v>
      </c>
      <c r="P130" s="94">
        <v>929.28</v>
      </c>
      <c r="Q130" s="94"/>
      <c r="R130" s="94">
        <v>3159.3903</v>
      </c>
    </row>
    <row r="131" spans="1:18">
      <c r="A131" s="92">
        <v>439887</v>
      </c>
      <c r="B131" s="92" t="s">
        <v>214</v>
      </c>
      <c r="C131" s="92">
        <v>2015</v>
      </c>
      <c r="D131" s="92" t="s">
        <v>275</v>
      </c>
      <c r="E131" s="92" t="s">
        <v>268</v>
      </c>
      <c r="F131" s="92"/>
      <c r="I131" s="95" t="s">
        <v>272</v>
      </c>
      <c r="J131" s="94">
        <v>497.61</v>
      </c>
      <c r="K131" s="94">
        <v>528.0179</v>
      </c>
      <c r="L131" s="94">
        <v>572.2</v>
      </c>
      <c r="M131" s="94">
        <v>710.89</v>
      </c>
      <c r="N131" s="94">
        <v>941.36</v>
      </c>
      <c r="O131" s="94">
        <v>1165.72</v>
      </c>
      <c r="P131" s="94">
        <v>1197.08</v>
      </c>
      <c r="Q131" s="94"/>
      <c r="R131" s="94">
        <v>5612.8779</v>
      </c>
    </row>
    <row r="132" spans="1:18">
      <c r="A132" s="92">
        <v>455777</v>
      </c>
      <c r="B132" s="92" t="s">
        <v>144</v>
      </c>
      <c r="C132" s="92">
        <v>2015</v>
      </c>
      <c r="D132" s="92" t="s">
        <v>275</v>
      </c>
      <c r="E132" s="92" t="s">
        <v>268</v>
      </c>
      <c r="F132" s="92"/>
      <c r="I132" s="95" t="s">
        <v>273</v>
      </c>
      <c r="J132" s="94"/>
      <c r="K132" s="94"/>
      <c r="L132" s="94"/>
      <c r="M132" s="94"/>
      <c r="N132" s="94"/>
      <c r="O132" s="94"/>
      <c r="P132" s="94"/>
      <c r="Q132" s="94"/>
      <c r="R132" s="94"/>
    </row>
    <row r="133" spans="1:18">
      <c r="A133" s="92">
        <v>455877</v>
      </c>
      <c r="B133" s="92" t="s">
        <v>79</v>
      </c>
      <c r="C133" s="92">
        <v>2015</v>
      </c>
      <c r="D133" s="92" t="s">
        <v>267</v>
      </c>
      <c r="E133" s="92" t="s">
        <v>268</v>
      </c>
      <c r="F133" s="92">
        <v>7.08</v>
      </c>
      <c r="I133" s="95" t="s">
        <v>274</v>
      </c>
      <c r="J133" s="94"/>
      <c r="K133" s="94">
        <v>-296.230705</v>
      </c>
      <c r="L133" s="94">
        <v>-2.28</v>
      </c>
      <c r="M133" s="94">
        <v>-12</v>
      </c>
      <c r="N133" s="94">
        <v>-7.28</v>
      </c>
      <c r="O133" s="94">
        <v>-7.06</v>
      </c>
      <c r="P133" s="94">
        <v>-9.67</v>
      </c>
      <c r="Q133" s="94"/>
      <c r="R133" s="94">
        <v>-334.520705</v>
      </c>
    </row>
    <row r="134" spans="1:18">
      <c r="A134" s="92">
        <v>455878</v>
      </c>
      <c r="B134" s="92" t="s">
        <v>79</v>
      </c>
      <c r="C134" s="92">
        <v>2015</v>
      </c>
      <c r="D134" s="92" t="s">
        <v>272</v>
      </c>
      <c r="E134" s="92" t="s">
        <v>268</v>
      </c>
      <c r="F134" s="92">
        <v>209.05</v>
      </c>
      <c r="I134" s="95" t="s">
        <v>275</v>
      </c>
      <c r="J134" s="94"/>
      <c r="K134" s="94"/>
      <c r="L134" s="94"/>
      <c r="M134" s="94"/>
      <c r="N134" s="94"/>
      <c r="O134" s="94"/>
      <c r="P134" s="94"/>
      <c r="Q134" s="94"/>
      <c r="R134" s="94"/>
    </row>
    <row r="135" spans="1:18">
      <c r="A135" s="92">
        <v>455879</v>
      </c>
      <c r="B135" s="92" t="s">
        <v>79</v>
      </c>
      <c r="C135" s="92">
        <v>2015</v>
      </c>
      <c r="D135" s="92" t="s">
        <v>273</v>
      </c>
      <c r="E135" s="92" t="s">
        <v>268</v>
      </c>
      <c r="F135" s="92"/>
      <c r="I135" s="93" t="s">
        <v>89</v>
      </c>
      <c r="J135" s="94">
        <v>-581.39</v>
      </c>
      <c r="K135" s="94">
        <v>-512.11</v>
      </c>
      <c r="L135" s="94">
        <v>-512.37</v>
      </c>
      <c r="M135" s="94">
        <v>-577.74</v>
      </c>
      <c r="N135" s="94">
        <v>-590.46</v>
      </c>
      <c r="O135" s="94">
        <v>-582.58</v>
      </c>
      <c r="P135" s="94">
        <v>-537.5</v>
      </c>
      <c r="Q135" s="94"/>
      <c r="R135" s="94">
        <v>-3894.15</v>
      </c>
    </row>
    <row r="136" spans="1:18">
      <c r="A136" s="92">
        <v>456057</v>
      </c>
      <c r="B136" s="92" t="s">
        <v>89</v>
      </c>
      <c r="C136" s="92">
        <v>2015</v>
      </c>
      <c r="D136" s="92" t="s">
        <v>275</v>
      </c>
      <c r="E136" s="92" t="s">
        <v>268</v>
      </c>
      <c r="F136" s="92"/>
      <c r="I136" s="95" t="s">
        <v>267</v>
      </c>
      <c r="J136" s="94">
        <v>138.85</v>
      </c>
      <c r="K136" s="94">
        <v>201.22</v>
      </c>
      <c r="L136" s="94">
        <v>262.54</v>
      </c>
      <c r="M136" s="94">
        <v>349.36</v>
      </c>
      <c r="N136" s="94">
        <v>400.87</v>
      </c>
      <c r="O136" s="94">
        <v>471.04</v>
      </c>
      <c r="P136" s="94">
        <v>697.15</v>
      </c>
      <c r="Q136" s="94"/>
      <c r="R136" s="94">
        <v>2521.03</v>
      </c>
    </row>
    <row r="137" spans="1:18">
      <c r="A137" s="92">
        <v>471947</v>
      </c>
      <c r="B137" s="92" t="s">
        <v>204</v>
      </c>
      <c r="C137" s="92">
        <v>2015</v>
      </c>
      <c r="D137" s="92" t="s">
        <v>275</v>
      </c>
      <c r="E137" s="92" t="s">
        <v>268</v>
      </c>
      <c r="F137" s="92"/>
      <c r="I137" s="95" t="s">
        <v>272</v>
      </c>
      <c r="J137" s="94">
        <v>23.67</v>
      </c>
      <c r="K137" s="94">
        <v>88.74</v>
      </c>
      <c r="L137" s="94">
        <v>159.57</v>
      </c>
      <c r="M137" s="94">
        <v>179.07</v>
      </c>
      <c r="N137" s="94">
        <v>273.88</v>
      </c>
      <c r="O137" s="94">
        <v>312.42</v>
      </c>
      <c r="P137" s="94">
        <v>296.97</v>
      </c>
      <c r="Q137" s="94"/>
      <c r="R137" s="94">
        <v>1334.32</v>
      </c>
    </row>
    <row r="138" spans="1:18">
      <c r="A138" s="92">
        <v>472047</v>
      </c>
      <c r="B138" s="92" t="s">
        <v>224</v>
      </c>
      <c r="C138" s="92">
        <v>2015</v>
      </c>
      <c r="D138" s="92" t="s">
        <v>267</v>
      </c>
      <c r="E138" s="92" t="s">
        <v>268</v>
      </c>
      <c r="F138" s="92">
        <v>418.55</v>
      </c>
      <c r="I138" s="95" t="s">
        <v>273</v>
      </c>
      <c r="J138" s="94"/>
      <c r="K138" s="94"/>
      <c r="L138" s="94"/>
      <c r="M138" s="94"/>
      <c r="N138" s="94"/>
      <c r="O138" s="94"/>
      <c r="P138" s="94"/>
      <c r="Q138" s="94"/>
      <c r="R138" s="94"/>
    </row>
    <row r="139" spans="1:18">
      <c r="A139" s="92">
        <v>472048</v>
      </c>
      <c r="B139" s="92" t="s">
        <v>224</v>
      </c>
      <c r="C139" s="92">
        <v>2015</v>
      </c>
      <c r="D139" s="92" t="s">
        <v>272</v>
      </c>
      <c r="E139" s="92" t="s">
        <v>268</v>
      </c>
      <c r="F139" s="92"/>
      <c r="I139" s="95" t="s">
        <v>274</v>
      </c>
      <c r="J139" s="94">
        <v>-743.91</v>
      </c>
      <c r="K139" s="94">
        <v>-802.07</v>
      </c>
      <c r="L139" s="94">
        <v>-934.48</v>
      </c>
      <c r="M139" s="94">
        <v>-1106.17</v>
      </c>
      <c r="N139" s="94">
        <v>-1265.21</v>
      </c>
      <c r="O139" s="94">
        <v>-1366.04</v>
      </c>
      <c r="P139" s="94">
        <v>-1531.62</v>
      </c>
      <c r="Q139" s="94"/>
      <c r="R139" s="94">
        <v>-7749.5</v>
      </c>
    </row>
    <row r="140" spans="1:18">
      <c r="A140" s="92">
        <v>472049</v>
      </c>
      <c r="B140" s="92" t="s">
        <v>224</v>
      </c>
      <c r="C140" s="92">
        <v>2015</v>
      </c>
      <c r="D140" s="92" t="s">
        <v>273</v>
      </c>
      <c r="E140" s="92" t="s">
        <v>268</v>
      </c>
      <c r="F140" s="92"/>
      <c r="I140" s="95" t="s">
        <v>275</v>
      </c>
      <c r="J140" s="94"/>
      <c r="K140" s="94"/>
      <c r="L140" s="94"/>
      <c r="M140" s="94"/>
      <c r="N140" s="94"/>
      <c r="O140" s="94"/>
      <c r="P140" s="94"/>
      <c r="Q140" s="94"/>
      <c r="R140" s="94"/>
    </row>
    <row r="141" spans="1:18">
      <c r="A141" s="92">
        <v>472227</v>
      </c>
      <c r="B141" s="92" t="s">
        <v>114</v>
      </c>
      <c r="C141" s="92">
        <v>2015</v>
      </c>
      <c r="D141" s="92" t="s">
        <v>275</v>
      </c>
      <c r="E141" s="92" t="s">
        <v>268</v>
      </c>
      <c r="F141" s="92"/>
      <c r="I141" s="93" t="s">
        <v>204</v>
      </c>
      <c r="J141" s="94">
        <v>-230.65</v>
      </c>
      <c r="K141" s="94">
        <v>-68.5443</v>
      </c>
      <c r="L141" s="94">
        <v>-3.69</v>
      </c>
      <c r="M141" s="94">
        <v>104.51</v>
      </c>
      <c r="N141" s="94">
        <v>50.01</v>
      </c>
      <c r="O141" s="94">
        <v>-56.48</v>
      </c>
      <c r="P141" s="94">
        <v>-47.45</v>
      </c>
      <c r="Q141" s="94"/>
      <c r="R141" s="94">
        <v>-252.2943</v>
      </c>
    </row>
    <row r="142" spans="1:18">
      <c r="A142" s="92">
        <v>488117</v>
      </c>
      <c r="B142" s="92" t="s">
        <v>184</v>
      </c>
      <c r="C142" s="92">
        <v>2015</v>
      </c>
      <c r="D142" s="92" t="s">
        <v>275</v>
      </c>
      <c r="E142" s="92" t="s">
        <v>268</v>
      </c>
      <c r="F142" s="92"/>
      <c r="I142" s="95" t="s">
        <v>267</v>
      </c>
      <c r="J142" s="94">
        <v>170.72</v>
      </c>
      <c r="K142" s="94">
        <v>159.5457</v>
      </c>
      <c r="L142" s="94">
        <v>227.98</v>
      </c>
      <c r="M142" s="94">
        <v>280.48</v>
      </c>
      <c r="N142" s="94">
        <v>332.78</v>
      </c>
      <c r="O142" s="94">
        <v>341.54</v>
      </c>
      <c r="P142" s="94">
        <v>457.99</v>
      </c>
      <c r="Q142" s="94"/>
      <c r="R142" s="94">
        <v>1971.0357</v>
      </c>
    </row>
    <row r="143" spans="1:18">
      <c r="A143" s="92">
        <v>488217</v>
      </c>
      <c r="B143" s="92" t="s">
        <v>194</v>
      </c>
      <c r="C143" s="92">
        <v>2015</v>
      </c>
      <c r="D143" s="92" t="s">
        <v>267</v>
      </c>
      <c r="E143" s="92" t="s">
        <v>268</v>
      </c>
      <c r="F143" s="92">
        <v>2275.52</v>
      </c>
      <c r="I143" s="95" t="s">
        <v>272</v>
      </c>
      <c r="J143" s="94"/>
      <c r="K143" s="94">
        <v>129.52</v>
      </c>
      <c r="L143" s="94">
        <v>166.97</v>
      </c>
      <c r="M143" s="94">
        <v>282.04</v>
      </c>
      <c r="N143" s="94">
        <v>262.18</v>
      </c>
      <c r="O143" s="94">
        <v>239.7</v>
      </c>
      <c r="P143" s="94">
        <v>234.91</v>
      </c>
      <c r="Q143" s="94"/>
      <c r="R143" s="94">
        <v>1315.32</v>
      </c>
    </row>
    <row r="144" spans="1:18">
      <c r="A144" s="92">
        <v>488218</v>
      </c>
      <c r="B144" s="92" t="s">
        <v>194</v>
      </c>
      <c r="C144" s="92">
        <v>2015</v>
      </c>
      <c r="D144" s="92" t="s">
        <v>272</v>
      </c>
      <c r="E144" s="92" t="s">
        <v>268</v>
      </c>
      <c r="F144" s="92">
        <v>0.28</v>
      </c>
      <c r="I144" s="95" t="s">
        <v>273</v>
      </c>
      <c r="J144" s="94"/>
      <c r="K144" s="94"/>
      <c r="L144" s="94"/>
      <c r="M144" s="94"/>
      <c r="N144" s="94"/>
      <c r="O144" s="94"/>
      <c r="P144" s="94"/>
      <c r="Q144" s="94"/>
      <c r="R144" s="94"/>
    </row>
    <row r="145" spans="1:18">
      <c r="A145" s="92">
        <v>488219</v>
      </c>
      <c r="B145" s="92" t="s">
        <v>194</v>
      </c>
      <c r="C145" s="92">
        <v>2015</v>
      </c>
      <c r="D145" s="92" t="s">
        <v>273</v>
      </c>
      <c r="E145" s="92" t="s">
        <v>268</v>
      </c>
      <c r="F145" s="92">
        <v>14.47</v>
      </c>
      <c r="I145" s="95" t="s">
        <v>274</v>
      </c>
      <c r="J145" s="94">
        <v>-401.37</v>
      </c>
      <c r="K145" s="94">
        <v>-357.61</v>
      </c>
      <c r="L145" s="94">
        <v>-398.64</v>
      </c>
      <c r="M145" s="94">
        <v>-458.01</v>
      </c>
      <c r="N145" s="94">
        <v>-544.95</v>
      </c>
      <c r="O145" s="94">
        <v>-637.72</v>
      </c>
      <c r="P145" s="94">
        <v>-740.35</v>
      </c>
      <c r="Q145" s="94"/>
      <c r="R145" s="94">
        <v>-3538.65</v>
      </c>
    </row>
    <row r="146" spans="1:18">
      <c r="A146" s="92">
        <v>488397</v>
      </c>
      <c r="B146" s="92" t="s">
        <v>79</v>
      </c>
      <c r="C146" s="92">
        <v>2015</v>
      </c>
      <c r="D146" s="92" t="s">
        <v>275</v>
      </c>
      <c r="E146" s="92" t="s">
        <v>268</v>
      </c>
      <c r="F146" s="92"/>
      <c r="I146" s="95" t="s">
        <v>275</v>
      </c>
      <c r="J146" s="94"/>
      <c r="K146" s="94"/>
      <c r="L146" s="94"/>
      <c r="M146" s="94"/>
      <c r="N146" s="94"/>
      <c r="O146" s="94"/>
      <c r="P146" s="94"/>
      <c r="Q146" s="94"/>
      <c r="R146" s="94"/>
    </row>
    <row r="147" spans="1:18">
      <c r="A147" s="92">
        <v>504287</v>
      </c>
      <c r="B147" s="92" t="s">
        <v>224</v>
      </c>
      <c r="C147" s="92">
        <v>2015</v>
      </c>
      <c r="D147" s="92" t="s">
        <v>275</v>
      </c>
      <c r="E147" s="92" t="s">
        <v>268</v>
      </c>
      <c r="F147" s="92"/>
      <c r="I147" s="93" t="s">
        <v>114</v>
      </c>
      <c r="J147" s="94">
        <v>595.21</v>
      </c>
      <c r="K147" s="94">
        <v>668.22</v>
      </c>
      <c r="L147" s="94">
        <v>680.49</v>
      </c>
      <c r="M147" s="94">
        <v>733.84</v>
      </c>
      <c r="N147" s="94">
        <v>756.57</v>
      </c>
      <c r="O147" s="94">
        <v>740.98</v>
      </c>
      <c r="P147" s="94">
        <v>776.56</v>
      </c>
      <c r="Q147" s="94"/>
      <c r="R147" s="94">
        <v>4951.87</v>
      </c>
    </row>
    <row r="148" spans="1:18">
      <c r="A148" s="92">
        <v>504387</v>
      </c>
      <c r="B148" s="92" t="s">
        <v>124</v>
      </c>
      <c r="C148" s="92">
        <v>2015</v>
      </c>
      <c r="D148" s="92" t="s">
        <v>267</v>
      </c>
      <c r="E148" s="92" t="s">
        <v>268</v>
      </c>
      <c r="F148" s="92">
        <v>749.42</v>
      </c>
      <c r="I148" s="95" t="s">
        <v>267</v>
      </c>
      <c r="J148" s="94">
        <v>10.85</v>
      </c>
      <c r="K148" s="94">
        <v>14.53</v>
      </c>
      <c r="L148" s="94">
        <v>19.22</v>
      </c>
      <c r="M148" s="94">
        <v>23.78</v>
      </c>
      <c r="N148" s="94">
        <v>24.69</v>
      </c>
      <c r="O148" s="94">
        <v>28.76</v>
      </c>
      <c r="P148" s="94">
        <v>33.69</v>
      </c>
      <c r="Q148" s="94"/>
      <c r="R148" s="94">
        <v>155.52</v>
      </c>
    </row>
    <row r="149" spans="1:18">
      <c r="A149" s="92">
        <v>504388</v>
      </c>
      <c r="B149" s="92" t="s">
        <v>124</v>
      </c>
      <c r="C149" s="92">
        <v>2015</v>
      </c>
      <c r="D149" s="92" t="s">
        <v>272</v>
      </c>
      <c r="E149" s="92" t="s">
        <v>268</v>
      </c>
      <c r="F149" s="92">
        <v>631.17</v>
      </c>
      <c r="I149" s="95" t="s">
        <v>272</v>
      </c>
      <c r="J149" s="94">
        <v>647.3</v>
      </c>
      <c r="K149" s="94">
        <v>713.41</v>
      </c>
      <c r="L149" s="94">
        <v>779.66</v>
      </c>
      <c r="M149" s="94">
        <v>855.37</v>
      </c>
      <c r="N149" s="94">
        <v>869.61</v>
      </c>
      <c r="O149" s="94">
        <v>826.34</v>
      </c>
      <c r="P149" s="94">
        <v>833.51</v>
      </c>
      <c r="Q149" s="94"/>
      <c r="R149" s="94">
        <v>5525.2</v>
      </c>
    </row>
    <row r="150" spans="1:18">
      <c r="A150" s="92">
        <v>504389</v>
      </c>
      <c r="B150" s="92" t="s">
        <v>124</v>
      </c>
      <c r="C150" s="92">
        <v>2015</v>
      </c>
      <c r="D150" s="92" t="s">
        <v>273</v>
      </c>
      <c r="E150" s="92" t="s">
        <v>268</v>
      </c>
      <c r="F150" s="92"/>
      <c r="I150" s="95" t="s">
        <v>273</v>
      </c>
      <c r="J150" s="94"/>
      <c r="K150" s="94"/>
      <c r="L150" s="94"/>
      <c r="M150" s="94"/>
      <c r="N150" s="94"/>
      <c r="O150" s="94"/>
      <c r="P150" s="94"/>
      <c r="Q150" s="94"/>
      <c r="R150" s="94"/>
    </row>
    <row r="151" spans="1:18">
      <c r="A151" s="92">
        <v>504567</v>
      </c>
      <c r="B151" s="92" t="s">
        <v>194</v>
      </c>
      <c r="C151" s="92">
        <v>2015</v>
      </c>
      <c r="D151" s="92" t="s">
        <v>275</v>
      </c>
      <c r="E151" s="92" t="s">
        <v>268</v>
      </c>
      <c r="F151" s="92">
        <v>-20.09</v>
      </c>
      <c r="I151" s="95" t="s">
        <v>274</v>
      </c>
      <c r="J151" s="94">
        <v>-62.94</v>
      </c>
      <c r="K151" s="94">
        <v>-59.72</v>
      </c>
      <c r="L151" s="94">
        <v>-118.39</v>
      </c>
      <c r="M151" s="94">
        <v>-145.31</v>
      </c>
      <c r="N151" s="94">
        <v>-137.73</v>
      </c>
      <c r="O151" s="94">
        <v>-114.12</v>
      </c>
      <c r="P151" s="94">
        <v>-90.64</v>
      </c>
      <c r="Q151" s="94"/>
      <c r="R151" s="94">
        <v>-728.85</v>
      </c>
    </row>
    <row r="152" spans="1:18">
      <c r="A152" s="92">
        <v>520457</v>
      </c>
      <c r="B152" s="92" t="s">
        <v>124</v>
      </c>
      <c r="C152" s="92">
        <v>2015</v>
      </c>
      <c r="D152" s="92" t="s">
        <v>275</v>
      </c>
      <c r="E152" s="92" t="s">
        <v>268</v>
      </c>
      <c r="F152" s="92"/>
      <c r="I152" s="95" t="s">
        <v>275</v>
      </c>
      <c r="J152" s="94"/>
      <c r="K152" s="94"/>
      <c r="L152" s="94"/>
      <c r="M152" s="94"/>
      <c r="N152" s="94"/>
      <c r="O152" s="94"/>
      <c r="P152" s="94"/>
      <c r="Q152" s="94"/>
      <c r="R152" s="94"/>
    </row>
    <row r="153" spans="1:18">
      <c r="A153" s="92">
        <v>520557</v>
      </c>
      <c r="B153" s="92" t="s">
        <v>179</v>
      </c>
      <c r="C153" s="92">
        <v>2015</v>
      </c>
      <c r="D153" s="92" t="s">
        <v>267</v>
      </c>
      <c r="E153" s="92" t="s">
        <v>268</v>
      </c>
      <c r="F153" s="92">
        <v>197.19</v>
      </c>
      <c r="I153" s="93" t="s">
        <v>184</v>
      </c>
      <c r="J153" s="94">
        <v>1563.1</v>
      </c>
      <c r="K153" s="94">
        <v>1751.75</v>
      </c>
      <c r="L153" s="94">
        <v>1851.61</v>
      </c>
      <c r="M153" s="94">
        <v>2024.82</v>
      </c>
      <c r="N153" s="94">
        <v>2148.28</v>
      </c>
      <c r="O153" s="94">
        <v>2352.53</v>
      </c>
      <c r="P153" s="94">
        <v>2619.48</v>
      </c>
      <c r="Q153" s="94"/>
      <c r="R153" s="94">
        <v>14311.57</v>
      </c>
    </row>
    <row r="154" spans="1:18">
      <c r="A154" s="92">
        <v>520558</v>
      </c>
      <c r="B154" s="92" t="s">
        <v>179</v>
      </c>
      <c r="C154" s="92">
        <v>2015</v>
      </c>
      <c r="D154" s="92" t="s">
        <v>272</v>
      </c>
      <c r="E154" s="92" t="s">
        <v>268</v>
      </c>
      <c r="F154" s="92">
        <v>259.76</v>
      </c>
      <c r="I154" s="95" t="s">
        <v>267</v>
      </c>
      <c r="J154" s="94">
        <v>2779.24</v>
      </c>
      <c r="K154" s="94">
        <v>3020.57</v>
      </c>
      <c r="L154" s="94">
        <v>3215.54</v>
      </c>
      <c r="M154" s="94">
        <v>3326.17</v>
      </c>
      <c r="N154" s="94">
        <v>3415.41</v>
      </c>
      <c r="O154" s="94">
        <v>3654.63</v>
      </c>
      <c r="P154" s="94">
        <v>3863.54</v>
      </c>
      <c r="Q154" s="94"/>
      <c r="R154" s="94">
        <v>23275.1</v>
      </c>
    </row>
    <row r="155" spans="1:18">
      <c r="A155" s="92">
        <v>520559</v>
      </c>
      <c r="B155" s="92" t="s">
        <v>179</v>
      </c>
      <c r="C155" s="92">
        <v>2015</v>
      </c>
      <c r="D155" s="92" t="s">
        <v>273</v>
      </c>
      <c r="E155" s="92" t="s">
        <v>268</v>
      </c>
      <c r="F155" s="92"/>
      <c r="I155" s="95" t="s">
        <v>272</v>
      </c>
      <c r="J155" s="94">
        <v>50.51</v>
      </c>
      <c r="K155" s="94">
        <v>47.52</v>
      </c>
      <c r="L155" s="94">
        <v>65.24</v>
      </c>
      <c r="M155" s="94">
        <v>104.48</v>
      </c>
      <c r="N155" s="94">
        <v>116</v>
      </c>
      <c r="O155" s="94">
        <v>123.02</v>
      </c>
      <c r="P155" s="94">
        <v>172.28</v>
      </c>
      <c r="Q155" s="94"/>
      <c r="R155" s="94">
        <v>679.05</v>
      </c>
    </row>
    <row r="156" spans="1:18">
      <c r="A156" s="92">
        <v>520737</v>
      </c>
      <c r="B156" s="92" t="s">
        <v>179</v>
      </c>
      <c r="C156" s="92">
        <v>2015</v>
      </c>
      <c r="D156" s="92" t="s">
        <v>275</v>
      </c>
      <c r="E156" s="92" t="s">
        <v>268</v>
      </c>
      <c r="F156" s="92"/>
      <c r="I156" s="95" t="s">
        <v>273</v>
      </c>
      <c r="J156" s="94"/>
      <c r="K156" s="94"/>
      <c r="L156" s="94"/>
      <c r="M156" s="94"/>
      <c r="N156" s="94"/>
      <c r="O156" s="94"/>
      <c r="P156" s="94"/>
      <c r="Q156" s="94"/>
      <c r="R156" s="94"/>
    </row>
    <row r="157" spans="1:18">
      <c r="A157" s="92">
        <v>50332</v>
      </c>
      <c r="B157" s="92" t="s">
        <v>70</v>
      </c>
      <c r="C157" s="92">
        <v>2016</v>
      </c>
      <c r="D157" s="92" t="s">
        <v>267</v>
      </c>
      <c r="E157" s="92" t="s">
        <v>268</v>
      </c>
      <c r="F157" s="92">
        <v>16960.92</v>
      </c>
      <c r="I157" s="95" t="s">
        <v>274</v>
      </c>
      <c r="J157" s="94">
        <v>-1266.65</v>
      </c>
      <c r="K157" s="94">
        <v>-1316.34</v>
      </c>
      <c r="L157" s="94">
        <v>-1429.17</v>
      </c>
      <c r="M157" s="94">
        <v>-1405.83</v>
      </c>
      <c r="N157" s="94">
        <v>-1383.13</v>
      </c>
      <c r="O157" s="94">
        <v>-1425.12</v>
      </c>
      <c r="P157" s="94">
        <v>-1416.34</v>
      </c>
      <c r="Q157" s="94"/>
      <c r="R157" s="94">
        <v>-9642.58</v>
      </c>
    </row>
    <row r="158" spans="1:18">
      <c r="A158" s="92">
        <v>50333</v>
      </c>
      <c r="B158" s="92" t="s">
        <v>70</v>
      </c>
      <c r="C158" s="92">
        <v>2016</v>
      </c>
      <c r="D158" s="92" t="s">
        <v>272</v>
      </c>
      <c r="E158" s="92" t="s">
        <v>268</v>
      </c>
      <c r="F158" s="92"/>
      <c r="I158" s="95" t="s">
        <v>275</v>
      </c>
      <c r="J158" s="94"/>
      <c r="K158" s="94"/>
      <c r="L158" s="94"/>
      <c r="M158" s="94"/>
      <c r="N158" s="94"/>
      <c r="O158" s="94"/>
      <c r="P158" s="94"/>
      <c r="Q158" s="94"/>
      <c r="R158" s="94"/>
    </row>
    <row r="159" spans="1:18">
      <c r="A159" s="92">
        <v>50334</v>
      </c>
      <c r="B159" s="92" t="s">
        <v>70</v>
      </c>
      <c r="C159" s="92">
        <v>2016</v>
      </c>
      <c r="D159" s="92" t="s">
        <v>273</v>
      </c>
      <c r="E159" s="92" t="s">
        <v>268</v>
      </c>
      <c r="F159" s="92">
        <v>61.85</v>
      </c>
      <c r="I159" s="93" t="s">
        <v>79</v>
      </c>
      <c r="J159" s="94">
        <v>215.25</v>
      </c>
      <c r="K159" s="94">
        <v>225.98</v>
      </c>
      <c r="L159" s="94">
        <v>244.13</v>
      </c>
      <c r="M159" s="94">
        <v>231.88</v>
      </c>
      <c r="N159" s="94">
        <v>255.26</v>
      </c>
      <c r="O159" s="94">
        <v>229.64</v>
      </c>
      <c r="P159" s="94">
        <v>264.02</v>
      </c>
      <c r="Q159" s="94"/>
      <c r="R159" s="94">
        <v>1666.16</v>
      </c>
    </row>
    <row r="160" spans="1:18">
      <c r="A160" s="92">
        <v>50336</v>
      </c>
      <c r="B160" s="92" t="s">
        <v>70</v>
      </c>
      <c r="C160" s="92">
        <v>2016</v>
      </c>
      <c r="D160" s="92" t="s">
        <v>274</v>
      </c>
      <c r="E160" s="92" t="s">
        <v>268</v>
      </c>
      <c r="F160" s="92"/>
      <c r="I160" s="95" t="s">
        <v>267</v>
      </c>
      <c r="J160" s="94">
        <v>7.08</v>
      </c>
      <c r="K160" s="94">
        <v>8.99</v>
      </c>
      <c r="L160" s="94">
        <v>12.18</v>
      </c>
      <c r="M160" s="94">
        <v>16.28</v>
      </c>
      <c r="N160" s="94">
        <v>26.38</v>
      </c>
      <c r="O160" s="94">
        <v>30.57</v>
      </c>
      <c r="P160" s="94">
        <v>37.88</v>
      </c>
      <c r="Q160" s="94"/>
      <c r="R160" s="94">
        <v>139.36</v>
      </c>
    </row>
    <row r="161" spans="1:18">
      <c r="A161" s="92">
        <v>50337</v>
      </c>
      <c r="B161" s="92" t="s">
        <v>70</v>
      </c>
      <c r="C161" s="92">
        <v>2016</v>
      </c>
      <c r="D161" s="92" t="s">
        <v>275</v>
      </c>
      <c r="E161" s="92" t="s">
        <v>268</v>
      </c>
      <c r="F161" s="92">
        <v>-189.07</v>
      </c>
      <c r="I161" s="95" t="s">
        <v>272</v>
      </c>
      <c r="J161" s="94">
        <v>209.05</v>
      </c>
      <c r="K161" s="94">
        <v>217.96</v>
      </c>
      <c r="L161" s="94">
        <v>232.97</v>
      </c>
      <c r="M161" s="94">
        <v>217.17</v>
      </c>
      <c r="N161" s="94">
        <v>231.03</v>
      </c>
      <c r="O161" s="94">
        <v>200.78</v>
      </c>
      <c r="P161" s="94">
        <v>227.43</v>
      </c>
      <c r="Q161" s="94"/>
      <c r="R161" s="94">
        <v>1536.39</v>
      </c>
    </row>
    <row r="162" spans="1:18">
      <c r="A162" s="92">
        <v>51526</v>
      </c>
      <c r="B162" s="92" t="s">
        <v>129</v>
      </c>
      <c r="C162" s="92">
        <v>2016</v>
      </c>
      <c r="D162" s="92" t="s">
        <v>274</v>
      </c>
      <c r="E162" s="92" t="s">
        <v>268</v>
      </c>
      <c r="F162" s="92">
        <v>-500.1329</v>
      </c>
      <c r="I162" s="95" t="s">
        <v>273</v>
      </c>
      <c r="J162" s="94"/>
      <c r="K162" s="94"/>
      <c r="L162" s="94"/>
      <c r="M162" s="94"/>
      <c r="N162" s="94"/>
      <c r="O162" s="94"/>
      <c r="P162" s="94"/>
      <c r="Q162" s="94"/>
      <c r="R162" s="94"/>
    </row>
    <row r="163" spans="1:18">
      <c r="A163" s="92">
        <v>51592</v>
      </c>
      <c r="B163" s="92" t="s">
        <v>129</v>
      </c>
      <c r="C163" s="92">
        <v>2016</v>
      </c>
      <c r="D163" s="92" t="s">
        <v>267</v>
      </c>
      <c r="E163" s="92" t="s">
        <v>268</v>
      </c>
      <c r="F163" s="92">
        <v>118.00735</v>
      </c>
      <c r="I163" s="95" t="s">
        <v>274</v>
      </c>
      <c r="J163" s="94">
        <v>-0.88</v>
      </c>
      <c r="K163" s="94">
        <v>-0.97</v>
      </c>
      <c r="L163" s="94">
        <v>-1.02</v>
      </c>
      <c r="M163" s="94">
        <v>-1.57</v>
      </c>
      <c r="N163" s="94">
        <v>-2.15</v>
      </c>
      <c r="O163" s="94">
        <v>-1.71</v>
      </c>
      <c r="P163" s="94">
        <v>-1.29</v>
      </c>
      <c r="Q163" s="94"/>
      <c r="R163" s="94">
        <v>-9.59</v>
      </c>
    </row>
    <row r="164" spans="1:18">
      <c r="A164" s="92">
        <v>51593</v>
      </c>
      <c r="B164" s="92" t="s">
        <v>129</v>
      </c>
      <c r="C164" s="92">
        <v>2016</v>
      </c>
      <c r="D164" s="92" t="s">
        <v>272</v>
      </c>
      <c r="E164" s="92" t="s">
        <v>268</v>
      </c>
      <c r="F164" s="92">
        <v>42.4222</v>
      </c>
      <c r="I164" s="95" t="s">
        <v>275</v>
      </c>
      <c r="J164" s="94"/>
      <c r="K164" s="94"/>
      <c r="L164" s="94"/>
      <c r="M164" s="94"/>
      <c r="N164" s="94"/>
      <c r="O164" s="94"/>
      <c r="P164" s="94"/>
      <c r="Q164" s="94"/>
      <c r="R164" s="94"/>
    </row>
    <row r="165" spans="1:18">
      <c r="A165" s="92">
        <v>51594</v>
      </c>
      <c r="B165" s="92" t="s">
        <v>129</v>
      </c>
      <c r="C165" s="92">
        <v>2016</v>
      </c>
      <c r="D165" s="92" t="s">
        <v>273</v>
      </c>
      <c r="E165" s="92" t="s">
        <v>268</v>
      </c>
      <c r="F165" s="92"/>
      <c r="I165" s="93" t="s">
        <v>224</v>
      </c>
      <c r="J165" s="94">
        <v>130.72</v>
      </c>
      <c r="K165" s="94">
        <v>143.22</v>
      </c>
      <c r="L165" s="94">
        <v>206.96</v>
      </c>
      <c r="M165" s="94">
        <v>244.04</v>
      </c>
      <c r="N165" s="94">
        <v>173.35</v>
      </c>
      <c r="O165" s="94">
        <v>-88.67</v>
      </c>
      <c r="P165" s="94">
        <v>-143.21</v>
      </c>
      <c r="Q165" s="94"/>
      <c r="R165" s="94">
        <v>666.410000000001</v>
      </c>
    </row>
    <row r="166" spans="1:18">
      <c r="A166" s="92">
        <v>51806</v>
      </c>
      <c r="B166" s="92" t="s">
        <v>74</v>
      </c>
      <c r="C166" s="92">
        <v>2016</v>
      </c>
      <c r="D166" s="92" t="s">
        <v>274</v>
      </c>
      <c r="E166" s="92" t="s">
        <v>268</v>
      </c>
      <c r="F166" s="92">
        <v>-10.2593</v>
      </c>
      <c r="I166" s="95" t="s">
        <v>267</v>
      </c>
      <c r="J166" s="94">
        <v>418.55</v>
      </c>
      <c r="K166" s="94">
        <v>499.77</v>
      </c>
      <c r="L166" s="94">
        <v>641.9</v>
      </c>
      <c r="M166" s="94">
        <v>732.7</v>
      </c>
      <c r="N166" s="94">
        <v>841.3</v>
      </c>
      <c r="O166" s="94">
        <v>859</v>
      </c>
      <c r="P166" s="94">
        <v>1007.64</v>
      </c>
      <c r="Q166" s="94"/>
      <c r="R166" s="94">
        <v>5000.86</v>
      </c>
    </row>
    <row r="167" spans="1:18">
      <c r="A167" s="92">
        <v>67696</v>
      </c>
      <c r="B167" s="92" t="s">
        <v>134</v>
      </c>
      <c r="C167" s="92">
        <v>2016</v>
      </c>
      <c r="D167" s="92" t="s">
        <v>274</v>
      </c>
      <c r="E167" s="92" t="s">
        <v>268</v>
      </c>
      <c r="F167" s="92">
        <v>-42.36</v>
      </c>
      <c r="I167" s="95" t="s">
        <v>272</v>
      </c>
      <c r="J167" s="94"/>
      <c r="K167" s="94">
        <v>4.04</v>
      </c>
      <c r="L167" s="94">
        <v>3.96</v>
      </c>
      <c r="M167" s="94">
        <v>3.41</v>
      </c>
      <c r="N167" s="94">
        <v>9.08</v>
      </c>
      <c r="O167" s="94">
        <v>12.23</v>
      </c>
      <c r="P167" s="94">
        <v>8.21</v>
      </c>
      <c r="Q167" s="94"/>
      <c r="R167" s="94">
        <v>40.93</v>
      </c>
    </row>
    <row r="168" spans="1:18">
      <c r="A168" s="92">
        <v>67762</v>
      </c>
      <c r="B168" s="92" t="s">
        <v>74</v>
      </c>
      <c r="C168" s="92">
        <v>2016</v>
      </c>
      <c r="D168" s="92" t="s">
        <v>267</v>
      </c>
      <c r="E168" s="92" t="s">
        <v>268</v>
      </c>
      <c r="F168" s="92">
        <v>16.5978</v>
      </c>
      <c r="I168" s="95" t="s">
        <v>273</v>
      </c>
      <c r="J168" s="94"/>
      <c r="K168" s="94"/>
      <c r="L168" s="94"/>
      <c r="M168" s="94"/>
      <c r="N168" s="94"/>
      <c r="O168" s="94"/>
      <c r="P168" s="94"/>
      <c r="Q168" s="94"/>
      <c r="R168" s="94"/>
    </row>
    <row r="169" spans="1:18">
      <c r="A169" s="92">
        <v>67763</v>
      </c>
      <c r="B169" s="92" t="s">
        <v>74</v>
      </c>
      <c r="C169" s="92">
        <v>2016</v>
      </c>
      <c r="D169" s="92" t="s">
        <v>272</v>
      </c>
      <c r="E169" s="92" t="s">
        <v>268</v>
      </c>
      <c r="F169" s="92">
        <v>594.908</v>
      </c>
      <c r="I169" s="95" t="s">
        <v>274</v>
      </c>
      <c r="J169" s="94">
        <v>-287.83</v>
      </c>
      <c r="K169" s="94">
        <v>-360.59</v>
      </c>
      <c r="L169" s="94">
        <v>-438.9</v>
      </c>
      <c r="M169" s="94">
        <v>-492.07</v>
      </c>
      <c r="N169" s="94">
        <v>-677.03</v>
      </c>
      <c r="O169" s="94">
        <v>-959.9</v>
      </c>
      <c r="P169" s="94">
        <v>-1159.06</v>
      </c>
      <c r="Q169" s="94"/>
      <c r="R169" s="94">
        <v>-4375.38</v>
      </c>
    </row>
    <row r="170" spans="1:18">
      <c r="A170" s="92">
        <v>67764</v>
      </c>
      <c r="B170" s="92" t="s">
        <v>74</v>
      </c>
      <c r="C170" s="92">
        <v>2016</v>
      </c>
      <c r="D170" s="92" t="s">
        <v>273</v>
      </c>
      <c r="E170" s="92" t="s">
        <v>268</v>
      </c>
      <c r="F170" s="92"/>
      <c r="I170" s="95" t="s">
        <v>275</v>
      </c>
      <c r="J170" s="94"/>
      <c r="K170" s="94"/>
      <c r="L170" s="94"/>
      <c r="M170" s="94"/>
      <c r="N170" s="94"/>
      <c r="O170" s="94"/>
      <c r="P170" s="94"/>
      <c r="Q170" s="94"/>
      <c r="R170" s="94"/>
    </row>
    <row r="171" spans="1:18">
      <c r="A171" s="92">
        <v>67976</v>
      </c>
      <c r="B171" s="92" t="s">
        <v>209</v>
      </c>
      <c r="C171" s="92">
        <v>2016</v>
      </c>
      <c r="D171" s="92" t="s">
        <v>274</v>
      </c>
      <c r="E171" s="92" t="s">
        <v>268</v>
      </c>
      <c r="F171" s="92">
        <v>-262.46</v>
      </c>
      <c r="I171" s="93" t="s">
        <v>194</v>
      </c>
      <c r="J171" s="94">
        <v>1161.01</v>
      </c>
      <c r="K171" s="94">
        <v>1172.479368</v>
      </c>
      <c r="L171" s="94">
        <v>1295.16</v>
      </c>
      <c r="M171" s="94">
        <v>1385.9</v>
      </c>
      <c r="N171" s="94">
        <v>1499.2</v>
      </c>
      <c r="O171" s="94">
        <v>1610.55</v>
      </c>
      <c r="P171" s="94">
        <v>1687.78</v>
      </c>
      <c r="Q171" s="94"/>
      <c r="R171" s="94">
        <v>9812.079368</v>
      </c>
    </row>
    <row r="172" spans="1:18">
      <c r="A172" s="92">
        <v>83932</v>
      </c>
      <c r="B172" s="92" t="s">
        <v>134</v>
      </c>
      <c r="C172" s="92">
        <v>2016</v>
      </c>
      <c r="D172" s="92" t="s">
        <v>267</v>
      </c>
      <c r="E172" s="92" t="s">
        <v>268</v>
      </c>
      <c r="F172" s="92">
        <v>1117.95</v>
      </c>
      <c r="I172" s="95" t="s">
        <v>267</v>
      </c>
      <c r="J172" s="94">
        <v>2275.52</v>
      </c>
      <c r="K172" s="94">
        <v>2454.502841</v>
      </c>
      <c r="L172" s="94">
        <v>2715.41</v>
      </c>
      <c r="M172" s="94">
        <v>2950.4</v>
      </c>
      <c r="N172" s="94">
        <v>3149.32</v>
      </c>
      <c r="O172" s="94">
        <v>3259.86</v>
      </c>
      <c r="P172" s="94">
        <v>3314.78</v>
      </c>
      <c r="Q172" s="94"/>
      <c r="R172" s="94">
        <v>20119.792841</v>
      </c>
    </row>
    <row r="173" spans="1:18">
      <c r="A173" s="92">
        <v>83933</v>
      </c>
      <c r="B173" s="92" t="s">
        <v>134</v>
      </c>
      <c r="C173" s="92">
        <v>2016</v>
      </c>
      <c r="D173" s="92" t="s">
        <v>272</v>
      </c>
      <c r="E173" s="92" t="s">
        <v>268</v>
      </c>
      <c r="F173" s="92">
        <v>6.33</v>
      </c>
      <c r="I173" s="95" t="s">
        <v>272</v>
      </c>
      <c r="J173" s="94">
        <v>0.28</v>
      </c>
      <c r="K173" s="94">
        <v>0.290636</v>
      </c>
      <c r="L173" s="94">
        <v>0.27</v>
      </c>
      <c r="M173" s="94">
        <v>0.12</v>
      </c>
      <c r="N173" s="94">
        <v>0.01</v>
      </c>
      <c r="O173" s="94">
        <v>0.03</v>
      </c>
      <c r="P173" s="94">
        <v>215.41</v>
      </c>
      <c r="Q173" s="94"/>
      <c r="R173" s="94">
        <v>216.410636</v>
      </c>
    </row>
    <row r="174" spans="1:18">
      <c r="A174" s="92">
        <v>83934</v>
      </c>
      <c r="B174" s="92" t="s">
        <v>134</v>
      </c>
      <c r="C174" s="92">
        <v>2016</v>
      </c>
      <c r="D174" s="92" t="s">
        <v>273</v>
      </c>
      <c r="E174" s="92" t="s">
        <v>268</v>
      </c>
      <c r="F174" s="92"/>
      <c r="I174" s="95" t="s">
        <v>273</v>
      </c>
      <c r="J174" s="94">
        <v>14.47</v>
      </c>
      <c r="K174" s="94">
        <v>14.021019</v>
      </c>
      <c r="L174" s="94">
        <v>14.08</v>
      </c>
      <c r="M174" s="94">
        <v>14.35</v>
      </c>
      <c r="N174" s="94">
        <v>13.92</v>
      </c>
      <c r="O174" s="94">
        <v>14.97</v>
      </c>
      <c r="P174" s="94">
        <v>14.07</v>
      </c>
      <c r="Q174" s="94"/>
      <c r="R174" s="94">
        <v>99.881019</v>
      </c>
    </row>
    <row r="175" spans="1:18">
      <c r="A175" s="92">
        <v>83972</v>
      </c>
      <c r="B175" s="92" t="s">
        <v>164</v>
      </c>
      <c r="C175" s="92">
        <v>2016</v>
      </c>
      <c r="D175" s="92" t="s">
        <v>274</v>
      </c>
      <c r="E175" s="92" t="s">
        <v>268</v>
      </c>
      <c r="F175" s="92"/>
      <c r="I175" s="95" t="s">
        <v>274</v>
      </c>
      <c r="J175" s="94">
        <v>-1109.17</v>
      </c>
      <c r="K175" s="94">
        <v>-1277.75101</v>
      </c>
      <c r="L175" s="94">
        <v>-1418.95</v>
      </c>
      <c r="M175" s="94">
        <v>-1558.47</v>
      </c>
      <c r="N175" s="94">
        <v>-1636.64</v>
      </c>
      <c r="O175" s="94">
        <v>-1636.22</v>
      </c>
      <c r="P175" s="94">
        <v>-1848.67</v>
      </c>
      <c r="Q175" s="94"/>
      <c r="R175" s="94">
        <v>-10485.87101</v>
      </c>
    </row>
    <row r="176" spans="1:18">
      <c r="A176" s="92">
        <v>84146</v>
      </c>
      <c r="B176" s="92" t="s">
        <v>169</v>
      </c>
      <c r="C176" s="92">
        <v>2016</v>
      </c>
      <c r="D176" s="92" t="s">
        <v>274</v>
      </c>
      <c r="E176" s="92" t="s">
        <v>268</v>
      </c>
      <c r="F176" s="92">
        <v>-89.99</v>
      </c>
      <c r="I176" s="95" t="s">
        <v>275</v>
      </c>
      <c r="J176" s="94">
        <v>-20.09</v>
      </c>
      <c r="K176" s="94">
        <v>-18.584118</v>
      </c>
      <c r="L176" s="94">
        <v>-15.65</v>
      </c>
      <c r="M176" s="94">
        <v>-20.5</v>
      </c>
      <c r="N176" s="94">
        <v>-27.41</v>
      </c>
      <c r="O176" s="94">
        <v>-28.09</v>
      </c>
      <c r="P176" s="94">
        <v>-7.81</v>
      </c>
      <c r="Q176" s="94"/>
      <c r="R176" s="94">
        <v>-138.134118</v>
      </c>
    </row>
    <row r="177" spans="1:18">
      <c r="A177" s="92">
        <v>100036</v>
      </c>
      <c r="B177" s="92" t="s">
        <v>189</v>
      </c>
      <c r="C177" s="92">
        <v>2016</v>
      </c>
      <c r="D177" s="92" t="s">
        <v>274</v>
      </c>
      <c r="E177" s="92" t="s">
        <v>268</v>
      </c>
      <c r="F177" s="92">
        <v>-713.2864</v>
      </c>
      <c r="I177" s="93" t="s">
        <v>124</v>
      </c>
      <c r="J177" s="94">
        <v>1292.47</v>
      </c>
      <c r="K177" s="94">
        <v>1499.1967</v>
      </c>
      <c r="L177" s="94">
        <v>1638.12</v>
      </c>
      <c r="M177" s="94">
        <v>1944.27</v>
      </c>
      <c r="N177" s="94">
        <v>2205.26</v>
      </c>
      <c r="O177" s="94">
        <v>2387.04</v>
      </c>
      <c r="P177" s="94">
        <v>2465.56</v>
      </c>
      <c r="Q177" s="94"/>
      <c r="R177" s="94">
        <v>13431.9167</v>
      </c>
    </row>
    <row r="178" spans="1:18">
      <c r="A178" s="92">
        <v>100102</v>
      </c>
      <c r="B178" s="92" t="s">
        <v>209</v>
      </c>
      <c r="C178" s="92">
        <v>2016</v>
      </c>
      <c r="D178" s="92" t="s">
        <v>267</v>
      </c>
      <c r="E178" s="92" t="s">
        <v>268</v>
      </c>
      <c r="F178" s="92">
        <v>510.15</v>
      </c>
      <c r="I178" s="95" t="s">
        <v>267</v>
      </c>
      <c r="J178" s="94">
        <v>749.42</v>
      </c>
      <c r="K178" s="94">
        <v>823.6</v>
      </c>
      <c r="L178" s="94">
        <v>757.82</v>
      </c>
      <c r="M178" s="94">
        <v>897.88</v>
      </c>
      <c r="N178" s="94">
        <v>1036.69</v>
      </c>
      <c r="O178" s="94">
        <v>1088.68</v>
      </c>
      <c r="P178" s="94">
        <v>1173.95</v>
      </c>
      <c r="Q178" s="94"/>
      <c r="R178" s="94">
        <v>6528.04</v>
      </c>
    </row>
    <row r="179" spans="1:18">
      <c r="A179" s="92">
        <v>100103</v>
      </c>
      <c r="B179" s="92" t="s">
        <v>209</v>
      </c>
      <c r="C179" s="92">
        <v>2016</v>
      </c>
      <c r="D179" s="92" t="s">
        <v>272</v>
      </c>
      <c r="E179" s="92" t="s">
        <v>268</v>
      </c>
      <c r="F179" s="92">
        <v>119.2</v>
      </c>
      <c r="I179" s="95" t="s">
        <v>272</v>
      </c>
      <c r="J179" s="94">
        <v>631.17</v>
      </c>
      <c r="K179" s="94">
        <v>784.3403</v>
      </c>
      <c r="L179" s="94">
        <v>1040.78</v>
      </c>
      <c r="M179" s="94">
        <v>1252.89</v>
      </c>
      <c r="N179" s="94">
        <v>1379.82</v>
      </c>
      <c r="O179" s="94">
        <v>1446.06</v>
      </c>
      <c r="P179" s="94">
        <v>1461.28</v>
      </c>
      <c r="Q179" s="94"/>
      <c r="R179" s="94">
        <v>7996.3403</v>
      </c>
    </row>
    <row r="180" spans="1:18">
      <c r="A180" s="92">
        <v>100104</v>
      </c>
      <c r="B180" s="92" t="s">
        <v>209</v>
      </c>
      <c r="C180" s="92">
        <v>2016</v>
      </c>
      <c r="D180" s="92" t="s">
        <v>273</v>
      </c>
      <c r="E180" s="92" t="s">
        <v>268</v>
      </c>
      <c r="F180" s="92"/>
      <c r="I180" s="95" t="s">
        <v>273</v>
      </c>
      <c r="J180" s="94"/>
      <c r="K180" s="94"/>
      <c r="L180" s="94"/>
      <c r="M180" s="94"/>
      <c r="N180" s="94"/>
      <c r="O180" s="94"/>
      <c r="P180" s="94"/>
      <c r="Q180" s="94"/>
      <c r="R180" s="94"/>
    </row>
    <row r="181" spans="1:18">
      <c r="A181" s="92">
        <v>100316</v>
      </c>
      <c r="B181" s="92" t="s">
        <v>174</v>
      </c>
      <c r="C181" s="92">
        <v>2016</v>
      </c>
      <c r="D181" s="92" t="s">
        <v>274</v>
      </c>
      <c r="E181" s="92" t="s">
        <v>268</v>
      </c>
      <c r="F181" s="92">
        <v>-0.94</v>
      </c>
      <c r="I181" s="95" t="s">
        <v>274</v>
      </c>
      <c r="J181" s="94">
        <v>-88.12</v>
      </c>
      <c r="K181" s="94">
        <v>-108.7436</v>
      </c>
      <c r="L181" s="94">
        <v>-160.48</v>
      </c>
      <c r="M181" s="94">
        <v>-206.5</v>
      </c>
      <c r="N181" s="94">
        <v>-211.25</v>
      </c>
      <c r="O181" s="94">
        <v>-147.7</v>
      </c>
      <c r="P181" s="94">
        <v>-169.67</v>
      </c>
      <c r="Q181" s="94"/>
      <c r="R181" s="94">
        <v>-1092.4636</v>
      </c>
    </row>
    <row r="182" spans="1:18">
      <c r="A182" s="92">
        <v>116171</v>
      </c>
      <c r="B182" s="92" t="s">
        <v>164</v>
      </c>
      <c r="C182" s="92">
        <v>2016</v>
      </c>
      <c r="D182" s="92" t="s">
        <v>272</v>
      </c>
      <c r="E182" s="92" t="s">
        <v>268</v>
      </c>
      <c r="F182" s="92">
        <v>1493.69</v>
      </c>
      <c r="I182" s="95" t="s">
        <v>275</v>
      </c>
      <c r="J182" s="94"/>
      <c r="K182" s="94"/>
      <c r="L182" s="94"/>
      <c r="M182" s="94"/>
      <c r="N182" s="94"/>
      <c r="O182" s="94"/>
      <c r="P182" s="94"/>
      <c r="Q182" s="94"/>
      <c r="R182" s="94"/>
    </row>
    <row r="183" spans="1:18">
      <c r="A183" s="92">
        <v>116272</v>
      </c>
      <c r="B183" s="92" t="s">
        <v>164</v>
      </c>
      <c r="C183" s="92">
        <v>2016</v>
      </c>
      <c r="D183" s="92" t="s">
        <v>267</v>
      </c>
      <c r="E183" s="92" t="s">
        <v>268</v>
      </c>
      <c r="F183" s="92">
        <v>1291.98</v>
      </c>
      <c r="I183" s="93" t="s">
        <v>179</v>
      </c>
      <c r="J183" s="94">
        <v>427.92</v>
      </c>
      <c r="K183" s="94">
        <v>470.17</v>
      </c>
      <c r="L183" s="94">
        <v>523.73</v>
      </c>
      <c r="M183" s="94">
        <v>575.58</v>
      </c>
      <c r="N183" s="94">
        <v>605.34</v>
      </c>
      <c r="O183" s="94">
        <v>645.03</v>
      </c>
      <c r="P183" s="94">
        <v>659.44</v>
      </c>
      <c r="Q183" s="94"/>
      <c r="R183" s="94">
        <v>3907.21</v>
      </c>
    </row>
    <row r="184" spans="1:18">
      <c r="A184" s="92">
        <v>116274</v>
      </c>
      <c r="B184" s="92" t="s">
        <v>164</v>
      </c>
      <c r="C184" s="92">
        <v>2016</v>
      </c>
      <c r="D184" s="92" t="s">
        <v>273</v>
      </c>
      <c r="E184" s="92" t="s">
        <v>268</v>
      </c>
      <c r="F184" s="92">
        <v>12.37</v>
      </c>
      <c r="I184" s="95" t="s">
        <v>267</v>
      </c>
      <c r="J184" s="94">
        <v>197.19</v>
      </c>
      <c r="K184" s="94">
        <v>251.83</v>
      </c>
      <c r="L184" s="94">
        <v>259.2</v>
      </c>
      <c r="M184" s="94">
        <v>256.54</v>
      </c>
      <c r="N184" s="94">
        <v>256.6</v>
      </c>
      <c r="O184" s="94">
        <v>299.03</v>
      </c>
      <c r="P184" s="94">
        <v>310.22</v>
      </c>
      <c r="Q184" s="94"/>
      <c r="R184" s="94">
        <v>1830.61</v>
      </c>
    </row>
    <row r="185" spans="1:18">
      <c r="A185" s="92">
        <v>116347</v>
      </c>
      <c r="B185" s="92" t="s">
        <v>84</v>
      </c>
      <c r="C185" s="92">
        <v>2016</v>
      </c>
      <c r="D185" s="92" t="s">
        <v>274</v>
      </c>
      <c r="E185" s="92" t="s">
        <v>268</v>
      </c>
      <c r="F185" s="92"/>
      <c r="I185" s="95" t="s">
        <v>272</v>
      </c>
      <c r="J185" s="94">
        <v>259.76</v>
      </c>
      <c r="K185" s="94">
        <v>249.9</v>
      </c>
      <c r="L185" s="94">
        <v>292.16</v>
      </c>
      <c r="M185" s="94">
        <v>373.79</v>
      </c>
      <c r="N185" s="94">
        <v>408.06</v>
      </c>
      <c r="O185" s="94">
        <v>409.15</v>
      </c>
      <c r="P185" s="94">
        <v>445.21</v>
      </c>
      <c r="Q185" s="94"/>
      <c r="R185" s="94">
        <v>2438.03</v>
      </c>
    </row>
    <row r="186" spans="1:18">
      <c r="A186" s="92">
        <v>116553</v>
      </c>
      <c r="B186" s="92" t="s">
        <v>149</v>
      </c>
      <c r="C186" s="92">
        <v>2016</v>
      </c>
      <c r="D186" s="92" t="s">
        <v>274</v>
      </c>
      <c r="E186" s="92" t="s">
        <v>268</v>
      </c>
      <c r="F186" s="92">
        <v>-14.59</v>
      </c>
      <c r="I186" s="95" t="s">
        <v>273</v>
      </c>
      <c r="J186" s="94"/>
      <c r="K186" s="94"/>
      <c r="L186" s="94"/>
      <c r="M186" s="94"/>
      <c r="N186" s="94"/>
      <c r="O186" s="94"/>
      <c r="P186" s="94"/>
      <c r="Q186" s="94"/>
      <c r="R186" s="94"/>
    </row>
    <row r="187" spans="1:18">
      <c r="A187" s="92">
        <v>132376</v>
      </c>
      <c r="B187" s="92" t="s">
        <v>109</v>
      </c>
      <c r="C187" s="92">
        <v>2016</v>
      </c>
      <c r="D187" s="92" t="s">
        <v>274</v>
      </c>
      <c r="E187" s="92" t="s">
        <v>268</v>
      </c>
      <c r="F187" s="92">
        <v>-125.34</v>
      </c>
      <c r="I187" s="95" t="s">
        <v>274</v>
      </c>
      <c r="J187" s="94">
        <v>-29.03</v>
      </c>
      <c r="K187" s="94">
        <v>-31.56</v>
      </c>
      <c r="L187" s="94">
        <v>-27.63</v>
      </c>
      <c r="M187" s="94">
        <v>-54.75</v>
      </c>
      <c r="N187" s="94">
        <v>-59.32</v>
      </c>
      <c r="O187" s="94">
        <v>-63.15</v>
      </c>
      <c r="P187" s="94">
        <v>-95.99</v>
      </c>
      <c r="Q187" s="94"/>
      <c r="R187" s="94">
        <v>-361.43</v>
      </c>
    </row>
    <row r="188" spans="1:18">
      <c r="A188" s="92">
        <v>132442</v>
      </c>
      <c r="B188" s="92" t="s">
        <v>169</v>
      </c>
      <c r="C188" s="92">
        <v>2016</v>
      </c>
      <c r="D188" s="92" t="s">
        <v>267</v>
      </c>
      <c r="E188" s="92" t="s">
        <v>268</v>
      </c>
      <c r="F188" s="92">
        <v>772</v>
      </c>
      <c r="I188" s="95" t="s">
        <v>275</v>
      </c>
      <c r="J188" s="94"/>
      <c r="K188" s="94"/>
      <c r="L188" s="94"/>
      <c r="M188" s="94"/>
      <c r="N188" s="94"/>
      <c r="O188" s="94"/>
      <c r="P188" s="94"/>
      <c r="Q188" s="94"/>
      <c r="R188" s="94"/>
    </row>
    <row r="189" spans="1:18">
      <c r="A189" s="92">
        <v>132443</v>
      </c>
      <c r="B189" s="92" t="s">
        <v>169</v>
      </c>
      <c r="C189" s="92">
        <v>2016</v>
      </c>
      <c r="D189" s="92" t="s">
        <v>272</v>
      </c>
      <c r="E189" s="92" t="s">
        <v>268</v>
      </c>
      <c r="F189" s="92">
        <v>103.13</v>
      </c>
      <c r="I189" s="93" t="s">
        <v>270</v>
      </c>
      <c r="J189" s="94"/>
      <c r="K189" s="94"/>
      <c r="L189" s="94"/>
      <c r="M189" s="94"/>
      <c r="N189" s="94"/>
      <c r="O189" s="94"/>
      <c r="P189" s="94"/>
      <c r="Q189" s="94"/>
      <c r="R189" s="94"/>
    </row>
    <row r="190" spans="1:18">
      <c r="A190" s="92">
        <v>132444</v>
      </c>
      <c r="B190" s="92" t="s">
        <v>169</v>
      </c>
      <c r="C190" s="92">
        <v>2016</v>
      </c>
      <c r="D190" s="92" t="s">
        <v>273</v>
      </c>
      <c r="E190" s="92" t="s">
        <v>268</v>
      </c>
      <c r="F190" s="92"/>
      <c r="I190" s="95" t="s">
        <v>270</v>
      </c>
      <c r="J190" s="94"/>
      <c r="K190" s="94"/>
      <c r="L190" s="94"/>
      <c r="M190" s="94"/>
      <c r="N190" s="94"/>
      <c r="O190" s="94"/>
      <c r="P190" s="94"/>
      <c r="Q190" s="94"/>
      <c r="R190" s="94"/>
    </row>
    <row r="191" spans="1:18">
      <c r="A191" s="92">
        <v>132656</v>
      </c>
      <c r="B191" s="92" t="s">
        <v>154</v>
      </c>
      <c r="C191" s="92">
        <v>2016</v>
      </c>
      <c r="D191" s="92" t="s">
        <v>274</v>
      </c>
      <c r="E191" s="92" t="s">
        <v>268</v>
      </c>
      <c r="F191" s="92">
        <v>-815.4108</v>
      </c>
      <c r="I191" s="93" t="s">
        <v>271</v>
      </c>
      <c r="J191" s="94">
        <v>29855.88</v>
      </c>
      <c r="K191" s="94">
        <v>33152.61414597</v>
      </c>
      <c r="L191" s="94">
        <v>36280.76</v>
      </c>
      <c r="M191" s="94">
        <v>40558.54</v>
      </c>
      <c r="N191" s="94">
        <v>44448.88</v>
      </c>
      <c r="O191" s="94">
        <v>47434.09</v>
      </c>
      <c r="P191" s="94">
        <v>53335.73</v>
      </c>
      <c r="Q191" s="94"/>
      <c r="R191" s="94">
        <v>285066.49414597</v>
      </c>
    </row>
    <row r="192" spans="1:18">
      <c r="A192" s="92">
        <v>148546</v>
      </c>
      <c r="B192" s="92" t="s">
        <v>159</v>
      </c>
      <c r="C192" s="92">
        <v>2016</v>
      </c>
      <c r="D192" s="92" t="s">
        <v>274</v>
      </c>
      <c r="E192" s="92" t="s">
        <v>268</v>
      </c>
      <c r="F192" s="92">
        <v>-92.53</v>
      </c>
    </row>
    <row r="193" spans="1:6">
      <c r="A193" s="92">
        <v>148612</v>
      </c>
      <c r="B193" s="92" t="s">
        <v>189</v>
      </c>
      <c r="C193" s="92">
        <v>2016</v>
      </c>
      <c r="D193" s="92" t="s">
        <v>267</v>
      </c>
      <c r="E193" s="92" t="s">
        <v>268</v>
      </c>
      <c r="F193" s="92">
        <v>789.8</v>
      </c>
    </row>
    <row r="194" spans="1:6">
      <c r="A194" s="92">
        <v>148613</v>
      </c>
      <c r="B194" s="92" t="s">
        <v>189</v>
      </c>
      <c r="C194" s="92">
        <v>2016</v>
      </c>
      <c r="D194" s="92" t="s">
        <v>272</v>
      </c>
      <c r="E194" s="92" t="s">
        <v>268</v>
      </c>
      <c r="F194" s="92"/>
    </row>
    <row r="195" spans="1:6">
      <c r="A195" s="92">
        <v>148614</v>
      </c>
      <c r="B195" s="92" t="s">
        <v>189</v>
      </c>
      <c r="C195" s="92">
        <v>2016</v>
      </c>
      <c r="D195" s="92" t="s">
        <v>273</v>
      </c>
      <c r="E195" s="92" t="s">
        <v>268</v>
      </c>
      <c r="F195" s="92"/>
    </row>
    <row r="196" spans="1:6">
      <c r="A196" s="92">
        <v>148826</v>
      </c>
      <c r="B196" s="92" t="s">
        <v>104</v>
      </c>
      <c r="C196" s="92">
        <v>2016</v>
      </c>
      <c r="D196" s="92" t="s">
        <v>274</v>
      </c>
      <c r="E196" s="92" t="s">
        <v>268</v>
      </c>
      <c r="F196" s="92">
        <v>-204.5</v>
      </c>
    </row>
    <row r="197" spans="1:6">
      <c r="A197" s="92">
        <v>164716</v>
      </c>
      <c r="B197" s="92" t="s">
        <v>119</v>
      </c>
      <c r="C197" s="92">
        <v>2016</v>
      </c>
      <c r="D197" s="92" t="s">
        <v>274</v>
      </c>
      <c r="E197" s="92" t="s">
        <v>268</v>
      </c>
      <c r="F197" s="92">
        <v>-127.83</v>
      </c>
    </row>
    <row r="198" spans="1:6">
      <c r="A198" s="92">
        <v>164782</v>
      </c>
      <c r="B198" s="92" t="s">
        <v>174</v>
      </c>
      <c r="C198" s="92">
        <v>2016</v>
      </c>
      <c r="D198" s="92" t="s">
        <v>267</v>
      </c>
      <c r="E198" s="92" t="s">
        <v>268</v>
      </c>
      <c r="F198" s="92">
        <v>91.19</v>
      </c>
    </row>
    <row r="199" spans="1:6">
      <c r="A199" s="92">
        <v>164783</v>
      </c>
      <c r="B199" s="92" t="s">
        <v>174</v>
      </c>
      <c r="C199" s="92">
        <v>2016</v>
      </c>
      <c r="D199" s="92" t="s">
        <v>272</v>
      </c>
      <c r="E199" s="92" t="s">
        <v>268</v>
      </c>
      <c r="F199" s="92">
        <v>0.48</v>
      </c>
    </row>
    <row r="200" spans="1:6">
      <c r="A200" s="92">
        <v>164784</v>
      </c>
      <c r="B200" s="92" t="s">
        <v>174</v>
      </c>
      <c r="C200" s="92">
        <v>2016</v>
      </c>
      <c r="D200" s="92" t="s">
        <v>273</v>
      </c>
      <c r="E200" s="92" t="s">
        <v>268</v>
      </c>
      <c r="F200" s="92"/>
    </row>
    <row r="201" spans="1:6">
      <c r="A201" s="92">
        <v>164996</v>
      </c>
      <c r="B201" s="92" t="s">
        <v>139</v>
      </c>
      <c r="C201" s="92">
        <v>2016</v>
      </c>
      <c r="D201" s="92" t="s">
        <v>274</v>
      </c>
      <c r="E201" s="92" t="s">
        <v>268</v>
      </c>
      <c r="F201" s="92"/>
    </row>
    <row r="202" spans="1:6">
      <c r="A202" s="92">
        <v>180886</v>
      </c>
      <c r="B202" s="92" t="s">
        <v>99</v>
      </c>
      <c r="C202" s="92">
        <v>2016</v>
      </c>
      <c r="D202" s="92" t="s">
        <v>274</v>
      </c>
      <c r="E202" s="92" t="s">
        <v>268</v>
      </c>
      <c r="F202" s="92">
        <v>-287.73</v>
      </c>
    </row>
    <row r="203" spans="1:6">
      <c r="A203" s="92">
        <v>180952</v>
      </c>
      <c r="B203" s="92" t="s">
        <v>84</v>
      </c>
      <c r="C203" s="92">
        <v>2016</v>
      </c>
      <c r="D203" s="92" t="s">
        <v>267</v>
      </c>
      <c r="E203" s="92" t="s">
        <v>268</v>
      </c>
      <c r="F203" s="92">
        <v>258.12</v>
      </c>
    </row>
    <row r="204" spans="1:6">
      <c r="A204" s="92">
        <v>180953</v>
      </c>
      <c r="B204" s="92" t="s">
        <v>84</v>
      </c>
      <c r="C204" s="92">
        <v>2016</v>
      </c>
      <c r="D204" s="92" t="s">
        <v>272</v>
      </c>
      <c r="E204" s="92" t="s">
        <v>268</v>
      </c>
      <c r="F204" s="92">
        <v>633.93</v>
      </c>
    </row>
    <row r="205" spans="1:6">
      <c r="A205" s="92">
        <v>180954</v>
      </c>
      <c r="B205" s="92" t="s">
        <v>84</v>
      </c>
      <c r="C205" s="92">
        <v>2016</v>
      </c>
      <c r="D205" s="92" t="s">
        <v>273</v>
      </c>
      <c r="E205" s="92" t="s">
        <v>268</v>
      </c>
      <c r="F205" s="92"/>
    </row>
    <row r="206" spans="1:6">
      <c r="A206" s="92">
        <v>181166</v>
      </c>
      <c r="B206" s="92" t="s">
        <v>94</v>
      </c>
      <c r="C206" s="92">
        <v>2016</v>
      </c>
      <c r="D206" s="92" t="s">
        <v>274</v>
      </c>
      <c r="E206" s="92" t="s">
        <v>268</v>
      </c>
      <c r="F206" s="92">
        <v>-1346.1965</v>
      </c>
    </row>
    <row r="207" spans="1:6">
      <c r="A207" s="92">
        <v>197056</v>
      </c>
      <c r="B207" s="92" t="s">
        <v>219</v>
      </c>
      <c r="C207" s="92">
        <v>2016</v>
      </c>
      <c r="D207" s="92" t="s">
        <v>274</v>
      </c>
      <c r="E207" s="92" t="s">
        <v>268</v>
      </c>
      <c r="F207" s="92">
        <v>-384.5668</v>
      </c>
    </row>
    <row r="208" spans="1:6">
      <c r="A208" s="92">
        <v>197122</v>
      </c>
      <c r="B208" s="92" t="s">
        <v>149</v>
      </c>
      <c r="C208" s="92">
        <v>2016</v>
      </c>
      <c r="D208" s="92" t="s">
        <v>267</v>
      </c>
      <c r="E208" s="92" t="s">
        <v>268</v>
      </c>
      <c r="F208" s="92">
        <v>126.612</v>
      </c>
    </row>
    <row r="209" spans="1:6">
      <c r="A209" s="92">
        <v>197123</v>
      </c>
      <c r="B209" s="92" t="s">
        <v>149</v>
      </c>
      <c r="C209" s="92">
        <v>2016</v>
      </c>
      <c r="D209" s="92" t="s">
        <v>272</v>
      </c>
      <c r="E209" s="92" t="s">
        <v>268</v>
      </c>
      <c r="F209" s="92">
        <v>577.39</v>
      </c>
    </row>
    <row r="210" spans="1:6">
      <c r="A210" s="92">
        <v>197124</v>
      </c>
      <c r="B210" s="92" t="s">
        <v>149</v>
      </c>
      <c r="C210" s="92">
        <v>2016</v>
      </c>
      <c r="D210" s="92" t="s">
        <v>273</v>
      </c>
      <c r="E210" s="92" t="s">
        <v>268</v>
      </c>
      <c r="F210" s="92"/>
    </row>
    <row r="211" spans="1:6">
      <c r="A211" s="92">
        <v>197336</v>
      </c>
      <c r="B211" s="92" t="s">
        <v>214</v>
      </c>
      <c r="C211" s="92">
        <v>2016</v>
      </c>
      <c r="D211" s="92" t="s">
        <v>274</v>
      </c>
      <c r="E211" s="92" t="s">
        <v>268</v>
      </c>
      <c r="F211" s="92">
        <v>-33.3344</v>
      </c>
    </row>
    <row r="212" spans="1:6">
      <c r="A212" s="92">
        <v>213226</v>
      </c>
      <c r="B212" s="92" t="s">
        <v>144</v>
      </c>
      <c r="C212" s="92">
        <v>2016</v>
      </c>
      <c r="D212" s="92" t="s">
        <v>274</v>
      </c>
      <c r="E212" s="92" t="s">
        <v>268</v>
      </c>
      <c r="F212" s="92">
        <v>-296.230705</v>
      </c>
    </row>
    <row r="213" spans="1:6">
      <c r="A213" s="92">
        <v>213292</v>
      </c>
      <c r="B213" s="92" t="s">
        <v>109</v>
      </c>
      <c r="C213" s="92">
        <v>2016</v>
      </c>
      <c r="D213" s="92" t="s">
        <v>267</v>
      </c>
      <c r="E213" s="92" t="s">
        <v>268</v>
      </c>
      <c r="F213" s="92">
        <v>111.58</v>
      </c>
    </row>
    <row r="214" spans="1:6">
      <c r="A214" s="92">
        <v>213293</v>
      </c>
      <c r="B214" s="92" t="s">
        <v>109</v>
      </c>
      <c r="C214" s="92">
        <v>2016</v>
      </c>
      <c r="D214" s="92" t="s">
        <v>272</v>
      </c>
      <c r="E214" s="92" t="s">
        <v>268</v>
      </c>
      <c r="F214" s="92">
        <v>69.8</v>
      </c>
    </row>
    <row r="215" spans="1:6">
      <c r="A215" s="92">
        <v>213294</v>
      </c>
      <c r="B215" s="92" t="s">
        <v>109</v>
      </c>
      <c r="C215" s="92">
        <v>2016</v>
      </c>
      <c r="D215" s="92" t="s">
        <v>273</v>
      </c>
      <c r="E215" s="92" t="s">
        <v>268</v>
      </c>
      <c r="F215" s="92">
        <v>32.85</v>
      </c>
    </row>
    <row r="216" spans="1:6">
      <c r="A216" s="92">
        <v>213506</v>
      </c>
      <c r="B216" s="92" t="s">
        <v>89</v>
      </c>
      <c r="C216" s="92">
        <v>2016</v>
      </c>
      <c r="D216" s="92" t="s">
        <v>274</v>
      </c>
      <c r="E216" s="92" t="s">
        <v>268</v>
      </c>
      <c r="F216" s="92">
        <v>-802.07</v>
      </c>
    </row>
    <row r="217" spans="1:6">
      <c r="A217" s="92">
        <v>229396</v>
      </c>
      <c r="B217" s="92" t="s">
        <v>204</v>
      </c>
      <c r="C217" s="92">
        <v>2016</v>
      </c>
      <c r="D217" s="92" t="s">
        <v>274</v>
      </c>
      <c r="E217" s="92" t="s">
        <v>268</v>
      </c>
      <c r="F217" s="92">
        <v>-357.61</v>
      </c>
    </row>
    <row r="218" spans="1:6">
      <c r="A218" s="92">
        <v>229462</v>
      </c>
      <c r="B218" s="92" t="s">
        <v>154</v>
      </c>
      <c r="C218" s="92">
        <v>2016</v>
      </c>
      <c r="D218" s="92" t="s">
        <v>267</v>
      </c>
      <c r="E218" s="92" t="s">
        <v>268</v>
      </c>
      <c r="F218" s="92">
        <v>1462.5</v>
      </c>
    </row>
    <row r="219" spans="1:6">
      <c r="A219" s="92">
        <v>229463</v>
      </c>
      <c r="B219" s="92" t="s">
        <v>154</v>
      </c>
      <c r="C219" s="92">
        <v>2016</v>
      </c>
      <c r="D219" s="92" t="s">
        <v>272</v>
      </c>
      <c r="E219" s="92" t="s">
        <v>268</v>
      </c>
      <c r="F219" s="92">
        <v>307.79</v>
      </c>
    </row>
    <row r="220" spans="1:6">
      <c r="A220" s="92">
        <v>229464</v>
      </c>
      <c r="B220" s="92" t="s">
        <v>154</v>
      </c>
      <c r="C220" s="92">
        <v>2016</v>
      </c>
      <c r="D220" s="92" t="s">
        <v>273</v>
      </c>
      <c r="E220" s="92" t="s">
        <v>268</v>
      </c>
      <c r="F220" s="92"/>
    </row>
    <row r="221" spans="1:6">
      <c r="A221" s="92">
        <v>229676</v>
      </c>
      <c r="B221" s="92" t="s">
        <v>114</v>
      </c>
      <c r="C221" s="92">
        <v>2016</v>
      </c>
      <c r="D221" s="92" t="s">
        <v>274</v>
      </c>
      <c r="E221" s="92" t="s">
        <v>268</v>
      </c>
      <c r="F221" s="92">
        <v>-59.72</v>
      </c>
    </row>
    <row r="222" spans="1:6">
      <c r="A222" s="92">
        <v>245566</v>
      </c>
      <c r="B222" s="92" t="s">
        <v>184</v>
      </c>
      <c r="C222" s="92">
        <v>2016</v>
      </c>
      <c r="D222" s="92" t="s">
        <v>274</v>
      </c>
      <c r="E222" s="92" t="s">
        <v>268</v>
      </c>
      <c r="F222" s="92">
        <v>-1316.34</v>
      </c>
    </row>
    <row r="223" spans="1:6">
      <c r="A223" s="92">
        <v>245632</v>
      </c>
      <c r="B223" s="92" t="s">
        <v>159</v>
      </c>
      <c r="C223" s="92">
        <v>2016</v>
      </c>
      <c r="D223" s="92" t="s">
        <v>267</v>
      </c>
      <c r="E223" s="92" t="s">
        <v>268</v>
      </c>
      <c r="F223" s="92">
        <v>661.78</v>
      </c>
    </row>
    <row r="224" spans="1:6">
      <c r="A224" s="92">
        <v>245633</v>
      </c>
      <c r="B224" s="92" t="s">
        <v>159</v>
      </c>
      <c r="C224" s="92">
        <v>2016</v>
      </c>
      <c r="D224" s="92" t="s">
        <v>272</v>
      </c>
      <c r="E224" s="92" t="s">
        <v>268</v>
      </c>
      <c r="F224" s="92">
        <v>290.433364</v>
      </c>
    </row>
    <row r="225" spans="1:6">
      <c r="A225" s="92">
        <v>245634</v>
      </c>
      <c r="B225" s="92" t="s">
        <v>159</v>
      </c>
      <c r="C225" s="92">
        <v>2016</v>
      </c>
      <c r="D225" s="92" t="s">
        <v>273</v>
      </c>
      <c r="E225" s="92" t="s">
        <v>268</v>
      </c>
      <c r="F225" s="92"/>
    </row>
    <row r="226" spans="1:6">
      <c r="A226" s="92">
        <v>245846</v>
      </c>
      <c r="B226" s="92" t="s">
        <v>79</v>
      </c>
      <c r="C226" s="92">
        <v>2016</v>
      </c>
      <c r="D226" s="92" t="s">
        <v>274</v>
      </c>
      <c r="E226" s="92" t="s">
        <v>268</v>
      </c>
      <c r="F226" s="92">
        <v>-0.97</v>
      </c>
    </row>
    <row r="227" spans="1:6">
      <c r="A227" s="92">
        <v>261736</v>
      </c>
      <c r="B227" s="92" t="s">
        <v>224</v>
      </c>
      <c r="C227" s="92">
        <v>2016</v>
      </c>
      <c r="D227" s="92" t="s">
        <v>274</v>
      </c>
      <c r="E227" s="92" t="s">
        <v>268</v>
      </c>
      <c r="F227" s="92">
        <v>-360.59</v>
      </c>
    </row>
    <row r="228" spans="1:6">
      <c r="A228" s="92">
        <v>261802</v>
      </c>
      <c r="B228" s="92" t="s">
        <v>104</v>
      </c>
      <c r="C228" s="92">
        <v>2016</v>
      </c>
      <c r="D228" s="92" t="s">
        <v>267</v>
      </c>
      <c r="E228" s="92" t="s">
        <v>268</v>
      </c>
      <c r="F228" s="92">
        <v>168</v>
      </c>
    </row>
    <row r="229" spans="1:6">
      <c r="A229" s="92">
        <v>261803</v>
      </c>
      <c r="B229" s="92" t="s">
        <v>104</v>
      </c>
      <c r="C229" s="92">
        <v>2016</v>
      </c>
      <c r="D229" s="92" t="s">
        <v>272</v>
      </c>
      <c r="E229" s="92" t="s">
        <v>268</v>
      </c>
      <c r="F229" s="92">
        <v>129.13</v>
      </c>
    </row>
    <row r="230" spans="1:6">
      <c r="A230" s="92">
        <v>261804</v>
      </c>
      <c r="B230" s="92" t="s">
        <v>104</v>
      </c>
      <c r="C230" s="92">
        <v>2016</v>
      </c>
      <c r="D230" s="92" t="s">
        <v>273</v>
      </c>
      <c r="E230" s="92" t="s">
        <v>268</v>
      </c>
      <c r="F230" s="92"/>
    </row>
    <row r="231" spans="1:6">
      <c r="A231" s="92">
        <v>262016</v>
      </c>
      <c r="B231" s="92" t="s">
        <v>194</v>
      </c>
      <c r="C231" s="92">
        <v>2016</v>
      </c>
      <c r="D231" s="92" t="s">
        <v>274</v>
      </c>
      <c r="E231" s="92" t="s">
        <v>268</v>
      </c>
      <c r="F231" s="92">
        <v>-1277.75101</v>
      </c>
    </row>
    <row r="232" spans="1:6">
      <c r="A232" s="92">
        <v>277906</v>
      </c>
      <c r="B232" s="92" t="s">
        <v>124</v>
      </c>
      <c r="C232" s="92">
        <v>2016</v>
      </c>
      <c r="D232" s="92" t="s">
        <v>274</v>
      </c>
      <c r="E232" s="92" t="s">
        <v>268</v>
      </c>
      <c r="F232" s="92">
        <v>-108.7436</v>
      </c>
    </row>
    <row r="233" spans="1:6">
      <c r="A233" s="92">
        <v>277972</v>
      </c>
      <c r="B233" s="92" t="s">
        <v>119</v>
      </c>
      <c r="C233" s="92">
        <v>2016</v>
      </c>
      <c r="D233" s="92" t="s">
        <v>267</v>
      </c>
      <c r="E233" s="92" t="s">
        <v>268</v>
      </c>
      <c r="F233" s="92">
        <v>306.35</v>
      </c>
    </row>
    <row r="234" spans="1:6">
      <c r="A234" s="92">
        <v>277973</v>
      </c>
      <c r="B234" s="92" t="s">
        <v>119</v>
      </c>
      <c r="C234" s="92">
        <v>2016</v>
      </c>
      <c r="D234" s="92" t="s">
        <v>272</v>
      </c>
      <c r="E234" s="92" t="s">
        <v>268</v>
      </c>
      <c r="F234" s="92">
        <v>877.41</v>
      </c>
    </row>
    <row r="235" spans="1:6">
      <c r="A235" s="92">
        <v>277974</v>
      </c>
      <c r="B235" s="92" t="s">
        <v>119</v>
      </c>
      <c r="C235" s="92">
        <v>2016</v>
      </c>
      <c r="D235" s="92" t="s">
        <v>273</v>
      </c>
      <c r="E235" s="92" t="s">
        <v>268</v>
      </c>
      <c r="F235" s="92"/>
    </row>
    <row r="236" spans="1:6">
      <c r="A236" s="92">
        <v>278186</v>
      </c>
      <c r="B236" s="92" t="s">
        <v>179</v>
      </c>
      <c r="C236" s="92">
        <v>2016</v>
      </c>
      <c r="D236" s="92" t="s">
        <v>274</v>
      </c>
      <c r="E236" s="92" t="s">
        <v>268</v>
      </c>
      <c r="F236" s="92">
        <v>-31.56</v>
      </c>
    </row>
    <row r="237" spans="1:6">
      <c r="A237" s="92">
        <v>294076</v>
      </c>
      <c r="B237" s="92" t="s">
        <v>129</v>
      </c>
      <c r="C237" s="92">
        <v>2016</v>
      </c>
      <c r="D237" s="92" t="s">
        <v>275</v>
      </c>
      <c r="E237" s="92" t="s">
        <v>268</v>
      </c>
      <c r="F237" s="92"/>
    </row>
    <row r="238" spans="1:6">
      <c r="A238" s="92">
        <v>294142</v>
      </c>
      <c r="B238" s="92" t="s">
        <v>139</v>
      </c>
      <c r="C238" s="92">
        <v>2016</v>
      </c>
      <c r="D238" s="92" t="s">
        <v>267</v>
      </c>
      <c r="E238" s="92" t="s">
        <v>268</v>
      </c>
      <c r="F238" s="92">
        <v>228.4</v>
      </c>
    </row>
    <row r="239" spans="1:6">
      <c r="A239" s="92">
        <v>294143</v>
      </c>
      <c r="B239" s="92" t="s">
        <v>139</v>
      </c>
      <c r="C239" s="92">
        <v>2016</v>
      </c>
      <c r="D239" s="92" t="s">
        <v>272</v>
      </c>
      <c r="E239" s="92" t="s">
        <v>268</v>
      </c>
      <c r="F239" s="92">
        <v>97.1</v>
      </c>
    </row>
    <row r="240" spans="1:6">
      <c r="A240" s="92">
        <v>294144</v>
      </c>
      <c r="B240" s="92" t="s">
        <v>139</v>
      </c>
      <c r="C240" s="92">
        <v>2016</v>
      </c>
      <c r="D240" s="92" t="s">
        <v>273</v>
      </c>
      <c r="E240" s="92" t="s">
        <v>268</v>
      </c>
      <c r="F240" s="92"/>
    </row>
    <row r="241" spans="1:6">
      <c r="A241" s="92">
        <v>294356</v>
      </c>
      <c r="B241" s="92" t="s">
        <v>74</v>
      </c>
      <c r="C241" s="92">
        <v>2016</v>
      </c>
      <c r="D241" s="92" t="s">
        <v>275</v>
      </c>
      <c r="E241" s="92" t="s">
        <v>268</v>
      </c>
      <c r="F241" s="92"/>
    </row>
    <row r="242" spans="1:6">
      <c r="A242" s="92">
        <v>310246</v>
      </c>
      <c r="B242" s="92" t="s">
        <v>134</v>
      </c>
      <c r="C242" s="92">
        <v>2016</v>
      </c>
      <c r="D242" s="92" t="s">
        <v>275</v>
      </c>
      <c r="E242" s="92" t="s">
        <v>268</v>
      </c>
      <c r="F242" s="92"/>
    </row>
    <row r="243" spans="1:6">
      <c r="A243" s="92">
        <v>310312</v>
      </c>
      <c r="B243" s="92" t="s">
        <v>99</v>
      </c>
      <c r="C243" s="92">
        <v>2016</v>
      </c>
      <c r="D243" s="92" t="s">
        <v>267</v>
      </c>
      <c r="E243" s="92" t="s">
        <v>268</v>
      </c>
      <c r="F243" s="92">
        <v>379.2</v>
      </c>
    </row>
    <row r="244" spans="1:6">
      <c r="A244" s="92">
        <v>310313</v>
      </c>
      <c r="B244" s="92" t="s">
        <v>99</v>
      </c>
      <c r="C244" s="92">
        <v>2016</v>
      </c>
      <c r="D244" s="92" t="s">
        <v>272</v>
      </c>
      <c r="E244" s="92" t="s">
        <v>268</v>
      </c>
      <c r="F244" s="92">
        <v>592.08</v>
      </c>
    </row>
    <row r="245" spans="1:6">
      <c r="A245" s="92">
        <v>310314</v>
      </c>
      <c r="B245" s="92" t="s">
        <v>99</v>
      </c>
      <c r="C245" s="92">
        <v>2016</v>
      </c>
      <c r="D245" s="92" t="s">
        <v>273</v>
      </c>
      <c r="E245" s="92" t="s">
        <v>268</v>
      </c>
      <c r="F245" s="92"/>
    </row>
    <row r="246" spans="1:6">
      <c r="A246" s="92">
        <v>310526</v>
      </c>
      <c r="B246" s="92" t="s">
        <v>209</v>
      </c>
      <c r="C246" s="92">
        <v>2016</v>
      </c>
      <c r="D246" s="92" t="s">
        <v>275</v>
      </c>
      <c r="E246" s="92" t="s">
        <v>268</v>
      </c>
      <c r="F246" s="92"/>
    </row>
    <row r="247" spans="1:6">
      <c r="A247" s="92">
        <v>326482</v>
      </c>
      <c r="B247" s="92" t="s">
        <v>94</v>
      </c>
      <c r="C247" s="92">
        <v>2016</v>
      </c>
      <c r="D247" s="92" t="s">
        <v>267</v>
      </c>
      <c r="E247" s="92" t="s">
        <v>268</v>
      </c>
      <c r="F247" s="92">
        <v>574.9211</v>
      </c>
    </row>
    <row r="248" spans="1:6">
      <c r="A248" s="92">
        <v>326483</v>
      </c>
      <c r="B248" s="92" t="s">
        <v>94</v>
      </c>
      <c r="C248" s="92">
        <v>2016</v>
      </c>
      <c r="D248" s="92" t="s">
        <v>272</v>
      </c>
      <c r="E248" s="92" t="s">
        <v>268</v>
      </c>
      <c r="F248" s="92">
        <v>12.6047</v>
      </c>
    </row>
    <row r="249" spans="1:6">
      <c r="A249" s="92">
        <v>326484</v>
      </c>
      <c r="B249" s="92" t="s">
        <v>94</v>
      </c>
      <c r="C249" s="92">
        <v>2016</v>
      </c>
      <c r="D249" s="92" t="s">
        <v>273</v>
      </c>
      <c r="E249" s="92" t="s">
        <v>268</v>
      </c>
      <c r="F249" s="92"/>
    </row>
    <row r="250" spans="1:6">
      <c r="A250" s="92">
        <v>326522</v>
      </c>
      <c r="B250" s="92" t="s">
        <v>164</v>
      </c>
      <c r="C250" s="92">
        <v>2016</v>
      </c>
      <c r="D250" s="92" t="s">
        <v>275</v>
      </c>
      <c r="E250" s="92" t="s">
        <v>268</v>
      </c>
      <c r="F250" s="92">
        <v>-158.94</v>
      </c>
    </row>
    <row r="251" spans="1:6">
      <c r="A251" s="92">
        <v>326696</v>
      </c>
      <c r="B251" s="92" t="s">
        <v>169</v>
      </c>
      <c r="C251" s="92">
        <v>2016</v>
      </c>
      <c r="D251" s="92" t="s">
        <v>275</v>
      </c>
      <c r="E251" s="92" t="s">
        <v>268</v>
      </c>
      <c r="F251" s="92"/>
    </row>
    <row r="252" spans="1:6">
      <c r="A252" s="92">
        <v>342586</v>
      </c>
      <c r="B252" s="92" t="s">
        <v>189</v>
      </c>
      <c r="C252" s="92">
        <v>2016</v>
      </c>
      <c r="D252" s="92" t="s">
        <v>275</v>
      </c>
      <c r="E252" s="92" t="s">
        <v>268</v>
      </c>
      <c r="F252" s="92"/>
    </row>
    <row r="253" spans="1:6">
      <c r="A253" s="92">
        <v>342652</v>
      </c>
      <c r="B253" s="92" t="s">
        <v>219</v>
      </c>
      <c r="C253" s="92">
        <v>2016</v>
      </c>
      <c r="D253" s="92" t="s">
        <v>267</v>
      </c>
      <c r="E253" s="92" t="s">
        <v>268</v>
      </c>
      <c r="F253" s="92">
        <v>190.824408</v>
      </c>
    </row>
    <row r="254" spans="1:6">
      <c r="A254" s="92">
        <v>342653</v>
      </c>
      <c r="B254" s="92" t="s">
        <v>219</v>
      </c>
      <c r="C254" s="92">
        <v>2016</v>
      </c>
      <c r="D254" s="92" t="s">
        <v>272</v>
      </c>
      <c r="E254" s="92" t="s">
        <v>268</v>
      </c>
      <c r="F254" s="92">
        <v>84.1881</v>
      </c>
    </row>
    <row r="255" spans="1:6">
      <c r="A255" s="92">
        <v>342654</v>
      </c>
      <c r="B255" s="92" t="s">
        <v>219</v>
      </c>
      <c r="C255" s="92">
        <v>2016</v>
      </c>
      <c r="D255" s="92" t="s">
        <v>273</v>
      </c>
      <c r="E255" s="92" t="s">
        <v>268</v>
      </c>
      <c r="F255" s="92"/>
    </row>
    <row r="256" spans="1:6">
      <c r="A256" s="92">
        <v>342866</v>
      </c>
      <c r="B256" s="92" t="s">
        <v>174</v>
      </c>
      <c r="C256" s="92">
        <v>2016</v>
      </c>
      <c r="D256" s="92" t="s">
        <v>275</v>
      </c>
      <c r="E256" s="92" t="s">
        <v>268</v>
      </c>
      <c r="F256" s="92"/>
    </row>
    <row r="257" spans="1:6">
      <c r="A257" s="92">
        <v>358756</v>
      </c>
      <c r="B257" s="92" t="s">
        <v>84</v>
      </c>
      <c r="C257" s="92">
        <v>2016</v>
      </c>
      <c r="D257" s="92" t="s">
        <v>275</v>
      </c>
      <c r="E257" s="92" t="s">
        <v>268</v>
      </c>
      <c r="F257" s="92"/>
    </row>
    <row r="258" spans="1:6">
      <c r="A258" s="92">
        <v>358822</v>
      </c>
      <c r="B258" s="92" t="s">
        <v>214</v>
      </c>
      <c r="C258" s="92">
        <v>2016</v>
      </c>
      <c r="D258" s="92" t="s">
        <v>267</v>
      </c>
      <c r="E258" s="92" t="s">
        <v>268</v>
      </c>
      <c r="F258" s="92">
        <v>400.41</v>
      </c>
    </row>
    <row r="259" spans="1:6">
      <c r="A259" s="92">
        <v>358823</v>
      </c>
      <c r="B259" s="92" t="s">
        <v>214</v>
      </c>
      <c r="C259" s="92">
        <v>2016</v>
      </c>
      <c r="D259" s="92" t="s">
        <v>272</v>
      </c>
      <c r="E259" s="92" t="s">
        <v>268</v>
      </c>
      <c r="F259" s="92">
        <v>118.2498</v>
      </c>
    </row>
    <row r="260" spans="1:6">
      <c r="A260" s="92">
        <v>358824</v>
      </c>
      <c r="B260" s="92" t="s">
        <v>214</v>
      </c>
      <c r="C260" s="92">
        <v>2016</v>
      </c>
      <c r="D260" s="92" t="s">
        <v>273</v>
      </c>
      <c r="E260" s="92" t="s">
        <v>268</v>
      </c>
      <c r="F260" s="92"/>
    </row>
    <row r="261" spans="1:6">
      <c r="A261" s="92">
        <v>359036</v>
      </c>
      <c r="B261" s="92" t="s">
        <v>149</v>
      </c>
      <c r="C261" s="92">
        <v>2016</v>
      </c>
      <c r="D261" s="92" t="s">
        <v>275</v>
      </c>
      <c r="E261" s="92" t="s">
        <v>268</v>
      </c>
      <c r="F261" s="92"/>
    </row>
    <row r="262" spans="1:6">
      <c r="A262" s="92">
        <v>374926</v>
      </c>
      <c r="B262" s="92" t="s">
        <v>109</v>
      </c>
      <c r="C262" s="92">
        <v>2016</v>
      </c>
      <c r="D262" s="92" t="s">
        <v>275</v>
      </c>
      <c r="E262" s="92" t="s">
        <v>268</v>
      </c>
      <c r="F262" s="92"/>
    </row>
    <row r="263" spans="1:6">
      <c r="A263" s="92">
        <v>374992</v>
      </c>
      <c r="B263" s="92" t="s">
        <v>144</v>
      </c>
      <c r="C263" s="92">
        <v>2016</v>
      </c>
      <c r="D263" s="92" t="s">
        <v>267</v>
      </c>
      <c r="E263" s="92" t="s">
        <v>268</v>
      </c>
      <c r="F263" s="92">
        <v>186.3903</v>
      </c>
    </row>
    <row r="264" spans="1:6">
      <c r="A264" s="92">
        <v>374993</v>
      </c>
      <c r="B264" s="92" t="s">
        <v>144</v>
      </c>
      <c r="C264" s="92">
        <v>2016</v>
      </c>
      <c r="D264" s="92" t="s">
        <v>272</v>
      </c>
      <c r="E264" s="92" t="s">
        <v>268</v>
      </c>
      <c r="F264" s="92">
        <v>528.0179</v>
      </c>
    </row>
    <row r="265" spans="1:6">
      <c r="A265" s="92">
        <v>374994</v>
      </c>
      <c r="B265" s="92" t="s">
        <v>144</v>
      </c>
      <c r="C265" s="92">
        <v>2016</v>
      </c>
      <c r="D265" s="92" t="s">
        <v>273</v>
      </c>
      <c r="E265" s="92" t="s">
        <v>268</v>
      </c>
      <c r="F265" s="92"/>
    </row>
    <row r="266" spans="1:6">
      <c r="A266" s="92">
        <v>375206</v>
      </c>
      <c r="B266" s="92" t="s">
        <v>154</v>
      </c>
      <c r="C266" s="92">
        <v>2016</v>
      </c>
      <c r="D266" s="92" t="s">
        <v>275</v>
      </c>
      <c r="E266" s="92" t="s">
        <v>268</v>
      </c>
      <c r="F266" s="92"/>
    </row>
    <row r="267" spans="1:6">
      <c r="A267" s="92">
        <v>391096</v>
      </c>
      <c r="B267" s="92" t="s">
        <v>159</v>
      </c>
      <c r="C267" s="92">
        <v>2016</v>
      </c>
      <c r="D267" s="92" t="s">
        <v>275</v>
      </c>
      <c r="E267" s="92" t="s">
        <v>268</v>
      </c>
      <c r="F267" s="92"/>
    </row>
    <row r="268" spans="1:6">
      <c r="A268" s="92">
        <v>391162</v>
      </c>
      <c r="B268" s="92" t="s">
        <v>89</v>
      </c>
      <c r="C268" s="92">
        <v>2016</v>
      </c>
      <c r="D268" s="92" t="s">
        <v>267</v>
      </c>
      <c r="E268" s="92" t="s">
        <v>268</v>
      </c>
      <c r="F268" s="92">
        <v>201.22</v>
      </c>
    </row>
    <row r="269" spans="1:6">
      <c r="A269" s="92">
        <v>391163</v>
      </c>
      <c r="B269" s="92" t="s">
        <v>89</v>
      </c>
      <c r="C269" s="92">
        <v>2016</v>
      </c>
      <c r="D269" s="92" t="s">
        <v>272</v>
      </c>
      <c r="E269" s="92" t="s">
        <v>268</v>
      </c>
      <c r="F269" s="92">
        <v>88.74</v>
      </c>
    </row>
    <row r="270" spans="1:6">
      <c r="A270" s="92">
        <v>391164</v>
      </c>
      <c r="B270" s="92" t="s">
        <v>89</v>
      </c>
      <c r="C270" s="92">
        <v>2016</v>
      </c>
      <c r="D270" s="92" t="s">
        <v>273</v>
      </c>
      <c r="E270" s="92" t="s">
        <v>268</v>
      </c>
      <c r="F270" s="92"/>
    </row>
    <row r="271" spans="1:6">
      <c r="A271" s="92">
        <v>391376</v>
      </c>
      <c r="B271" s="92" t="s">
        <v>104</v>
      </c>
      <c r="C271" s="92">
        <v>2016</v>
      </c>
      <c r="D271" s="92" t="s">
        <v>275</v>
      </c>
      <c r="E271" s="92" t="s">
        <v>268</v>
      </c>
      <c r="F271" s="92"/>
    </row>
    <row r="272" spans="1:6">
      <c r="A272" s="92">
        <v>407266</v>
      </c>
      <c r="B272" s="92" t="s">
        <v>119</v>
      </c>
      <c r="C272" s="92">
        <v>2016</v>
      </c>
      <c r="D272" s="92" t="s">
        <v>275</v>
      </c>
      <c r="E272" s="92" t="s">
        <v>268</v>
      </c>
      <c r="F272" s="92"/>
    </row>
    <row r="273" spans="1:6">
      <c r="A273" s="92">
        <v>407332</v>
      </c>
      <c r="B273" s="92" t="s">
        <v>204</v>
      </c>
      <c r="C273" s="92">
        <v>2016</v>
      </c>
      <c r="D273" s="92" t="s">
        <v>267</v>
      </c>
      <c r="E273" s="92" t="s">
        <v>268</v>
      </c>
      <c r="F273" s="92">
        <v>159.5457</v>
      </c>
    </row>
    <row r="274" spans="1:6">
      <c r="A274" s="92">
        <v>407333</v>
      </c>
      <c r="B274" s="92" t="s">
        <v>204</v>
      </c>
      <c r="C274" s="92">
        <v>2016</v>
      </c>
      <c r="D274" s="92" t="s">
        <v>272</v>
      </c>
      <c r="E274" s="92" t="s">
        <v>268</v>
      </c>
      <c r="F274" s="92">
        <v>129.52</v>
      </c>
    </row>
    <row r="275" spans="1:6">
      <c r="A275" s="92">
        <v>407334</v>
      </c>
      <c r="B275" s="92" t="s">
        <v>204</v>
      </c>
      <c r="C275" s="92">
        <v>2016</v>
      </c>
      <c r="D275" s="92" t="s">
        <v>273</v>
      </c>
      <c r="E275" s="92" t="s">
        <v>268</v>
      </c>
      <c r="F275" s="92"/>
    </row>
    <row r="276" spans="1:6">
      <c r="A276" s="92">
        <v>407546</v>
      </c>
      <c r="B276" s="92" t="s">
        <v>139</v>
      </c>
      <c r="C276" s="92">
        <v>2016</v>
      </c>
      <c r="D276" s="92" t="s">
        <v>275</v>
      </c>
      <c r="E276" s="92" t="s">
        <v>268</v>
      </c>
      <c r="F276" s="92"/>
    </row>
    <row r="277" spans="1:6">
      <c r="A277" s="92">
        <v>423436</v>
      </c>
      <c r="B277" s="92" t="s">
        <v>99</v>
      </c>
      <c r="C277" s="92">
        <v>2016</v>
      </c>
      <c r="D277" s="92" t="s">
        <v>275</v>
      </c>
      <c r="E277" s="92" t="s">
        <v>268</v>
      </c>
      <c r="F277" s="92"/>
    </row>
    <row r="278" spans="1:6">
      <c r="A278" s="92">
        <v>423502</v>
      </c>
      <c r="B278" s="92" t="s">
        <v>114</v>
      </c>
      <c r="C278" s="92">
        <v>2016</v>
      </c>
      <c r="D278" s="92" t="s">
        <v>267</v>
      </c>
      <c r="E278" s="92" t="s">
        <v>268</v>
      </c>
      <c r="F278" s="92">
        <v>14.53</v>
      </c>
    </row>
    <row r="279" spans="1:6">
      <c r="A279" s="92">
        <v>423503</v>
      </c>
      <c r="B279" s="92" t="s">
        <v>114</v>
      </c>
      <c r="C279" s="92">
        <v>2016</v>
      </c>
      <c r="D279" s="92" t="s">
        <v>272</v>
      </c>
      <c r="E279" s="92" t="s">
        <v>268</v>
      </c>
      <c r="F279" s="92">
        <v>713.41</v>
      </c>
    </row>
    <row r="280" spans="1:6">
      <c r="A280" s="92">
        <v>423504</v>
      </c>
      <c r="B280" s="92" t="s">
        <v>114</v>
      </c>
      <c r="C280" s="92">
        <v>2016</v>
      </c>
      <c r="D280" s="92" t="s">
        <v>273</v>
      </c>
      <c r="E280" s="92" t="s">
        <v>268</v>
      </c>
      <c r="F280" s="92"/>
    </row>
    <row r="281" spans="1:6">
      <c r="A281" s="92">
        <v>423716</v>
      </c>
      <c r="B281" s="92" t="s">
        <v>94</v>
      </c>
      <c r="C281" s="92">
        <v>2016</v>
      </c>
      <c r="D281" s="92" t="s">
        <v>275</v>
      </c>
      <c r="E281" s="92" t="s">
        <v>268</v>
      </c>
      <c r="F281" s="92">
        <v>-11.08683903</v>
      </c>
    </row>
    <row r="282" spans="1:6">
      <c r="A282" s="92">
        <v>439606</v>
      </c>
      <c r="B282" s="92" t="s">
        <v>219</v>
      </c>
      <c r="C282" s="92">
        <v>2016</v>
      </c>
      <c r="D282" s="92" t="s">
        <v>275</v>
      </c>
      <c r="E282" s="92" t="s">
        <v>268</v>
      </c>
      <c r="F282" s="92"/>
    </row>
    <row r="283" spans="1:6">
      <c r="A283" s="92">
        <v>439672</v>
      </c>
      <c r="B283" s="92" t="s">
        <v>184</v>
      </c>
      <c r="C283" s="92">
        <v>2016</v>
      </c>
      <c r="D283" s="92" t="s">
        <v>267</v>
      </c>
      <c r="E283" s="92" t="s">
        <v>268</v>
      </c>
      <c r="F283" s="92">
        <v>3020.57</v>
      </c>
    </row>
    <row r="284" spans="1:6">
      <c r="A284" s="92">
        <v>439673</v>
      </c>
      <c r="B284" s="92" t="s">
        <v>184</v>
      </c>
      <c r="C284" s="92">
        <v>2016</v>
      </c>
      <c r="D284" s="92" t="s">
        <v>272</v>
      </c>
      <c r="E284" s="92" t="s">
        <v>268</v>
      </c>
      <c r="F284" s="92">
        <v>47.52</v>
      </c>
    </row>
    <row r="285" spans="1:6">
      <c r="A285" s="92">
        <v>439674</v>
      </c>
      <c r="B285" s="92" t="s">
        <v>184</v>
      </c>
      <c r="C285" s="92">
        <v>2016</v>
      </c>
      <c r="D285" s="92" t="s">
        <v>273</v>
      </c>
      <c r="E285" s="92" t="s">
        <v>268</v>
      </c>
      <c r="F285" s="92"/>
    </row>
    <row r="286" spans="1:6">
      <c r="A286" s="92">
        <v>439886</v>
      </c>
      <c r="B286" s="92" t="s">
        <v>214</v>
      </c>
      <c r="C286" s="92">
        <v>2016</v>
      </c>
      <c r="D286" s="92" t="s">
        <v>275</v>
      </c>
      <c r="E286" s="92" t="s">
        <v>268</v>
      </c>
      <c r="F286" s="92"/>
    </row>
    <row r="287" spans="1:6">
      <c r="A287" s="92">
        <v>455776</v>
      </c>
      <c r="B287" s="92" t="s">
        <v>144</v>
      </c>
      <c r="C287" s="92">
        <v>2016</v>
      </c>
      <c r="D287" s="92" t="s">
        <v>275</v>
      </c>
      <c r="E287" s="92" t="s">
        <v>268</v>
      </c>
      <c r="F287" s="92"/>
    </row>
    <row r="288" spans="1:6">
      <c r="A288" s="92">
        <v>455842</v>
      </c>
      <c r="B288" s="92" t="s">
        <v>79</v>
      </c>
      <c r="C288" s="92">
        <v>2016</v>
      </c>
      <c r="D288" s="92" t="s">
        <v>267</v>
      </c>
      <c r="E288" s="92" t="s">
        <v>268</v>
      </c>
      <c r="F288" s="92">
        <v>8.99</v>
      </c>
    </row>
    <row r="289" spans="1:6">
      <c r="A289" s="92">
        <v>455843</v>
      </c>
      <c r="B289" s="92" t="s">
        <v>79</v>
      </c>
      <c r="C289" s="92">
        <v>2016</v>
      </c>
      <c r="D289" s="92" t="s">
        <v>272</v>
      </c>
      <c r="E289" s="92" t="s">
        <v>268</v>
      </c>
      <c r="F289" s="92">
        <v>217.96</v>
      </c>
    </row>
    <row r="290" spans="1:6">
      <c r="A290" s="92">
        <v>455844</v>
      </c>
      <c r="B290" s="92" t="s">
        <v>79</v>
      </c>
      <c r="C290" s="92">
        <v>2016</v>
      </c>
      <c r="D290" s="92" t="s">
        <v>273</v>
      </c>
      <c r="E290" s="92" t="s">
        <v>268</v>
      </c>
      <c r="F290" s="92"/>
    </row>
    <row r="291" spans="1:6">
      <c r="A291" s="92">
        <v>456056</v>
      </c>
      <c r="B291" s="92" t="s">
        <v>89</v>
      </c>
      <c r="C291" s="92">
        <v>2016</v>
      </c>
      <c r="D291" s="92" t="s">
        <v>275</v>
      </c>
      <c r="E291" s="92" t="s">
        <v>268</v>
      </c>
      <c r="F291" s="92"/>
    </row>
    <row r="292" spans="1:6">
      <c r="A292" s="92">
        <v>471946</v>
      </c>
      <c r="B292" s="92" t="s">
        <v>204</v>
      </c>
      <c r="C292" s="92">
        <v>2016</v>
      </c>
      <c r="D292" s="92" t="s">
        <v>275</v>
      </c>
      <c r="E292" s="92" t="s">
        <v>268</v>
      </c>
      <c r="F292" s="92"/>
    </row>
    <row r="293" spans="1:6">
      <c r="A293" s="92">
        <v>472012</v>
      </c>
      <c r="B293" s="92" t="s">
        <v>224</v>
      </c>
      <c r="C293" s="92">
        <v>2016</v>
      </c>
      <c r="D293" s="92" t="s">
        <v>267</v>
      </c>
      <c r="E293" s="92" t="s">
        <v>268</v>
      </c>
      <c r="F293" s="92">
        <v>499.77</v>
      </c>
    </row>
    <row r="294" spans="1:6">
      <c r="A294" s="92">
        <v>472013</v>
      </c>
      <c r="B294" s="92" t="s">
        <v>224</v>
      </c>
      <c r="C294" s="92">
        <v>2016</v>
      </c>
      <c r="D294" s="92" t="s">
        <v>272</v>
      </c>
      <c r="E294" s="92" t="s">
        <v>268</v>
      </c>
      <c r="F294" s="92">
        <v>4.04</v>
      </c>
    </row>
    <row r="295" spans="1:6">
      <c r="A295" s="92">
        <v>472014</v>
      </c>
      <c r="B295" s="92" t="s">
        <v>224</v>
      </c>
      <c r="C295" s="92">
        <v>2016</v>
      </c>
      <c r="D295" s="92" t="s">
        <v>273</v>
      </c>
      <c r="E295" s="92" t="s">
        <v>268</v>
      </c>
      <c r="F295" s="92"/>
    </row>
    <row r="296" spans="1:6">
      <c r="A296" s="92">
        <v>472226</v>
      </c>
      <c r="B296" s="92" t="s">
        <v>114</v>
      </c>
      <c r="C296" s="92">
        <v>2016</v>
      </c>
      <c r="D296" s="92" t="s">
        <v>275</v>
      </c>
      <c r="E296" s="92" t="s">
        <v>268</v>
      </c>
      <c r="F296" s="92"/>
    </row>
    <row r="297" spans="1:6">
      <c r="A297" s="92">
        <v>488116</v>
      </c>
      <c r="B297" s="92" t="s">
        <v>184</v>
      </c>
      <c r="C297" s="92">
        <v>2016</v>
      </c>
      <c r="D297" s="92" t="s">
        <v>275</v>
      </c>
      <c r="E297" s="92" t="s">
        <v>268</v>
      </c>
      <c r="F297" s="92"/>
    </row>
    <row r="298" spans="1:6">
      <c r="A298" s="92">
        <v>488182</v>
      </c>
      <c r="B298" s="92" t="s">
        <v>194</v>
      </c>
      <c r="C298" s="92">
        <v>2016</v>
      </c>
      <c r="D298" s="92" t="s">
        <v>267</v>
      </c>
      <c r="E298" s="92" t="s">
        <v>268</v>
      </c>
      <c r="F298" s="92">
        <v>2454.502841</v>
      </c>
    </row>
    <row r="299" spans="1:6">
      <c r="A299" s="92">
        <v>488183</v>
      </c>
      <c r="B299" s="92" t="s">
        <v>194</v>
      </c>
      <c r="C299" s="92">
        <v>2016</v>
      </c>
      <c r="D299" s="92" t="s">
        <v>272</v>
      </c>
      <c r="E299" s="92" t="s">
        <v>268</v>
      </c>
      <c r="F299" s="92">
        <v>0.290636</v>
      </c>
    </row>
    <row r="300" spans="1:6">
      <c r="A300" s="92">
        <v>488184</v>
      </c>
      <c r="B300" s="92" t="s">
        <v>194</v>
      </c>
      <c r="C300" s="92">
        <v>2016</v>
      </c>
      <c r="D300" s="92" t="s">
        <v>273</v>
      </c>
      <c r="E300" s="92" t="s">
        <v>268</v>
      </c>
      <c r="F300" s="92">
        <v>14.021019</v>
      </c>
    </row>
    <row r="301" spans="1:6">
      <c r="A301" s="92">
        <v>488396</v>
      </c>
      <c r="B301" s="92" t="s">
        <v>79</v>
      </c>
      <c r="C301" s="92">
        <v>2016</v>
      </c>
      <c r="D301" s="92" t="s">
        <v>275</v>
      </c>
      <c r="E301" s="92" t="s">
        <v>268</v>
      </c>
      <c r="F301" s="92"/>
    </row>
    <row r="302" spans="1:6">
      <c r="A302" s="92">
        <v>504286</v>
      </c>
      <c r="B302" s="92" t="s">
        <v>224</v>
      </c>
      <c r="C302" s="92">
        <v>2016</v>
      </c>
      <c r="D302" s="92" t="s">
        <v>275</v>
      </c>
      <c r="E302" s="92" t="s">
        <v>268</v>
      </c>
      <c r="F302" s="92"/>
    </row>
    <row r="303" spans="1:6">
      <c r="A303" s="92">
        <v>504352</v>
      </c>
      <c r="B303" s="92" t="s">
        <v>124</v>
      </c>
      <c r="C303" s="92">
        <v>2016</v>
      </c>
      <c r="D303" s="92" t="s">
        <v>267</v>
      </c>
      <c r="E303" s="92" t="s">
        <v>268</v>
      </c>
      <c r="F303" s="92">
        <v>823.6</v>
      </c>
    </row>
    <row r="304" spans="1:6">
      <c r="A304" s="92">
        <v>504353</v>
      </c>
      <c r="B304" s="92" t="s">
        <v>124</v>
      </c>
      <c r="C304" s="92">
        <v>2016</v>
      </c>
      <c r="D304" s="92" t="s">
        <v>272</v>
      </c>
      <c r="E304" s="92" t="s">
        <v>268</v>
      </c>
      <c r="F304" s="92">
        <v>784.3403</v>
      </c>
    </row>
    <row r="305" spans="1:6">
      <c r="A305" s="92">
        <v>504354</v>
      </c>
      <c r="B305" s="92" t="s">
        <v>124</v>
      </c>
      <c r="C305" s="92">
        <v>2016</v>
      </c>
      <c r="D305" s="92" t="s">
        <v>273</v>
      </c>
      <c r="E305" s="92" t="s">
        <v>268</v>
      </c>
      <c r="F305" s="92"/>
    </row>
    <row r="306" spans="1:6">
      <c r="A306" s="92">
        <v>504566</v>
      </c>
      <c r="B306" s="92" t="s">
        <v>194</v>
      </c>
      <c r="C306" s="92">
        <v>2016</v>
      </c>
      <c r="D306" s="92" t="s">
        <v>275</v>
      </c>
      <c r="E306" s="92" t="s">
        <v>268</v>
      </c>
      <c r="F306" s="92">
        <v>-18.584118</v>
      </c>
    </row>
    <row r="307" spans="1:6">
      <c r="A307" s="92">
        <v>520456</v>
      </c>
      <c r="B307" s="92" t="s">
        <v>124</v>
      </c>
      <c r="C307" s="92">
        <v>2016</v>
      </c>
      <c r="D307" s="92" t="s">
        <v>275</v>
      </c>
      <c r="E307" s="92" t="s">
        <v>268</v>
      </c>
      <c r="F307" s="92"/>
    </row>
    <row r="308" spans="1:6">
      <c r="A308" s="92">
        <v>520522</v>
      </c>
      <c r="B308" s="92" t="s">
        <v>179</v>
      </c>
      <c r="C308" s="92">
        <v>2016</v>
      </c>
      <c r="D308" s="92" t="s">
        <v>267</v>
      </c>
      <c r="E308" s="92" t="s">
        <v>268</v>
      </c>
      <c r="F308" s="92">
        <v>251.83</v>
      </c>
    </row>
    <row r="309" spans="1:6">
      <c r="A309" s="92">
        <v>520523</v>
      </c>
      <c r="B309" s="92" t="s">
        <v>179</v>
      </c>
      <c r="C309" s="92">
        <v>2016</v>
      </c>
      <c r="D309" s="92" t="s">
        <v>272</v>
      </c>
      <c r="E309" s="92" t="s">
        <v>268</v>
      </c>
      <c r="F309" s="92">
        <v>249.9</v>
      </c>
    </row>
    <row r="310" spans="1:6">
      <c r="A310" s="92">
        <v>520524</v>
      </c>
      <c r="B310" s="92" t="s">
        <v>179</v>
      </c>
      <c r="C310" s="92">
        <v>2016</v>
      </c>
      <c r="D310" s="92" t="s">
        <v>273</v>
      </c>
      <c r="E310" s="92" t="s">
        <v>268</v>
      </c>
      <c r="F310" s="92"/>
    </row>
    <row r="311" spans="1:6">
      <c r="A311" s="92">
        <v>520736</v>
      </c>
      <c r="B311" s="92" t="s">
        <v>179</v>
      </c>
      <c r="C311" s="92">
        <v>2016</v>
      </c>
      <c r="D311" s="92" t="s">
        <v>275</v>
      </c>
      <c r="E311" s="92" t="s">
        <v>268</v>
      </c>
      <c r="F311" s="92"/>
    </row>
    <row r="312" spans="1:6">
      <c r="A312" s="92">
        <v>50367</v>
      </c>
      <c r="B312" s="92" t="s">
        <v>70</v>
      </c>
      <c r="C312" s="92">
        <v>2017</v>
      </c>
      <c r="D312" s="92" t="s">
        <v>267</v>
      </c>
      <c r="E312" s="92" t="s">
        <v>268</v>
      </c>
      <c r="F312" s="92">
        <v>18498.52</v>
      </c>
    </row>
    <row r="313" spans="1:6">
      <c r="A313" s="92">
        <v>50368</v>
      </c>
      <c r="B313" s="92" t="s">
        <v>70</v>
      </c>
      <c r="C313" s="92">
        <v>2017</v>
      </c>
      <c r="D313" s="92" t="s">
        <v>272</v>
      </c>
      <c r="E313" s="92" t="s">
        <v>268</v>
      </c>
      <c r="F313" s="92"/>
    </row>
    <row r="314" spans="1:6">
      <c r="A314" s="92">
        <v>50369</v>
      </c>
      <c r="B314" s="92" t="s">
        <v>70</v>
      </c>
      <c r="C314" s="92">
        <v>2017</v>
      </c>
      <c r="D314" s="92" t="s">
        <v>273</v>
      </c>
      <c r="E314" s="92" t="s">
        <v>268</v>
      </c>
      <c r="F314" s="92">
        <v>64.23</v>
      </c>
    </row>
    <row r="315" spans="1:6">
      <c r="A315" s="92">
        <v>50371</v>
      </c>
      <c r="B315" s="92" t="s">
        <v>70</v>
      </c>
      <c r="C315" s="92">
        <v>2017</v>
      </c>
      <c r="D315" s="92" t="s">
        <v>274</v>
      </c>
      <c r="E315" s="92" t="s">
        <v>268</v>
      </c>
      <c r="F315" s="92"/>
    </row>
    <row r="316" spans="1:6">
      <c r="A316" s="92">
        <v>50372</v>
      </c>
      <c r="B316" s="92" t="s">
        <v>70</v>
      </c>
      <c r="C316" s="92">
        <v>2017</v>
      </c>
      <c r="D316" s="92" t="s">
        <v>275</v>
      </c>
      <c r="E316" s="92" t="s">
        <v>268</v>
      </c>
      <c r="F316" s="92">
        <v>-194.7</v>
      </c>
    </row>
    <row r="317" spans="1:6">
      <c r="A317" s="92">
        <v>51492</v>
      </c>
      <c r="B317" s="92" t="s">
        <v>129</v>
      </c>
      <c r="C317" s="92">
        <v>2017</v>
      </c>
      <c r="D317" s="92" t="s">
        <v>274</v>
      </c>
      <c r="E317" s="92" t="s">
        <v>268</v>
      </c>
      <c r="F317" s="92">
        <v>-584.45</v>
      </c>
    </row>
    <row r="318" spans="1:6">
      <c r="A318" s="92">
        <v>51557</v>
      </c>
      <c r="B318" s="92" t="s">
        <v>129</v>
      </c>
      <c r="C318" s="92">
        <v>2017</v>
      </c>
      <c r="D318" s="92" t="s">
        <v>267</v>
      </c>
      <c r="E318" s="92" t="s">
        <v>268</v>
      </c>
      <c r="F318" s="92">
        <v>159.62</v>
      </c>
    </row>
    <row r="319" spans="1:6">
      <c r="A319" s="92">
        <v>51558</v>
      </c>
      <c r="B319" s="92" t="s">
        <v>129</v>
      </c>
      <c r="C319" s="92">
        <v>2017</v>
      </c>
      <c r="D319" s="92" t="s">
        <v>272</v>
      </c>
      <c r="E319" s="92" t="s">
        <v>268</v>
      </c>
      <c r="F319" s="92">
        <v>35.67</v>
      </c>
    </row>
    <row r="320" spans="1:6">
      <c r="A320" s="92">
        <v>51559</v>
      </c>
      <c r="B320" s="92" t="s">
        <v>129</v>
      </c>
      <c r="C320" s="92">
        <v>2017</v>
      </c>
      <c r="D320" s="92" t="s">
        <v>273</v>
      </c>
      <c r="E320" s="92" t="s">
        <v>268</v>
      </c>
      <c r="F320" s="92"/>
    </row>
    <row r="321" spans="1:6">
      <c r="A321" s="92">
        <v>51772</v>
      </c>
      <c r="B321" s="92" t="s">
        <v>74</v>
      </c>
      <c r="C321" s="92">
        <v>2017</v>
      </c>
      <c r="D321" s="92" t="s">
        <v>274</v>
      </c>
      <c r="E321" s="92" t="s">
        <v>268</v>
      </c>
      <c r="F321" s="92">
        <v>-5.35</v>
      </c>
    </row>
    <row r="322" spans="1:6">
      <c r="A322" s="92">
        <v>67662</v>
      </c>
      <c r="B322" s="92" t="s">
        <v>134</v>
      </c>
      <c r="C322" s="92">
        <v>2017</v>
      </c>
      <c r="D322" s="92" t="s">
        <v>274</v>
      </c>
      <c r="E322" s="92" t="s">
        <v>268</v>
      </c>
      <c r="F322" s="92">
        <v>-75.34</v>
      </c>
    </row>
    <row r="323" spans="1:6">
      <c r="A323" s="92">
        <v>67727</v>
      </c>
      <c r="B323" s="92" t="s">
        <v>74</v>
      </c>
      <c r="C323" s="92">
        <v>2017</v>
      </c>
      <c r="D323" s="92" t="s">
        <v>267</v>
      </c>
      <c r="E323" s="92" t="s">
        <v>268</v>
      </c>
      <c r="F323" s="92">
        <v>16.67</v>
      </c>
    </row>
    <row r="324" spans="1:6">
      <c r="A324" s="92">
        <v>67728</v>
      </c>
      <c r="B324" s="92" t="s">
        <v>74</v>
      </c>
      <c r="C324" s="92">
        <v>2017</v>
      </c>
      <c r="D324" s="92" t="s">
        <v>272</v>
      </c>
      <c r="E324" s="92" t="s">
        <v>268</v>
      </c>
      <c r="F324" s="92">
        <v>678.53</v>
      </c>
    </row>
    <row r="325" spans="1:6">
      <c r="A325" s="92">
        <v>67729</v>
      </c>
      <c r="B325" s="92" t="s">
        <v>74</v>
      </c>
      <c r="C325" s="92">
        <v>2017</v>
      </c>
      <c r="D325" s="92" t="s">
        <v>273</v>
      </c>
      <c r="E325" s="92" t="s">
        <v>268</v>
      </c>
      <c r="F325" s="92"/>
    </row>
    <row r="326" spans="1:6">
      <c r="A326" s="92">
        <v>67942</v>
      </c>
      <c r="B326" s="92" t="s">
        <v>209</v>
      </c>
      <c r="C326" s="92">
        <v>2017</v>
      </c>
      <c r="D326" s="92" t="s">
        <v>274</v>
      </c>
      <c r="E326" s="92" t="s">
        <v>268</v>
      </c>
      <c r="F326" s="92">
        <v>-364.23</v>
      </c>
    </row>
    <row r="327" spans="1:6">
      <c r="A327" s="92">
        <v>83897</v>
      </c>
      <c r="B327" s="92" t="s">
        <v>134</v>
      </c>
      <c r="C327" s="92">
        <v>2017</v>
      </c>
      <c r="D327" s="92" t="s">
        <v>267</v>
      </c>
      <c r="E327" s="92" t="s">
        <v>268</v>
      </c>
      <c r="F327" s="92">
        <v>1085.07</v>
      </c>
    </row>
    <row r="328" spans="1:6">
      <c r="A328" s="92">
        <v>83898</v>
      </c>
      <c r="B328" s="92" t="s">
        <v>134</v>
      </c>
      <c r="C328" s="92">
        <v>2017</v>
      </c>
      <c r="D328" s="92" t="s">
        <v>272</v>
      </c>
      <c r="E328" s="92" t="s">
        <v>268</v>
      </c>
      <c r="F328" s="92">
        <v>2.49</v>
      </c>
    </row>
    <row r="329" spans="1:6">
      <c r="A329" s="92">
        <v>83899</v>
      </c>
      <c r="B329" s="92" t="s">
        <v>134</v>
      </c>
      <c r="C329" s="92">
        <v>2017</v>
      </c>
      <c r="D329" s="92" t="s">
        <v>273</v>
      </c>
      <c r="E329" s="92" t="s">
        <v>268</v>
      </c>
      <c r="F329" s="92"/>
    </row>
    <row r="330" spans="1:6">
      <c r="A330" s="92">
        <v>84006</v>
      </c>
      <c r="B330" s="92" t="s">
        <v>164</v>
      </c>
      <c r="C330" s="92">
        <v>2017</v>
      </c>
      <c r="D330" s="92" t="s">
        <v>274</v>
      </c>
      <c r="E330" s="92" t="s">
        <v>268</v>
      </c>
      <c r="F330" s="92">
        <v>-1638.28</v>
      </c>
    </row>
    <row r="331" spans="1:6">
      <c r="A331" s="92">
        <v>84112</v>
      </c>
      <c r="B331" s="92" t="s">
        <v>169</v>
      </c>
      <c r="C331" s="92">
        <v>2017</v>
      </c>
      <c r="D331" s="92" t="s">
        <v>274</v>
      </c>
      <c r="E331" s="92" t="s">
        <v>268</v>
      </c>
      <c r="F331" s="92">
        <v>-102.9</v>
      </c>
    </row>
    <row r="332" spans="1:6">
      <c r="A332" s="92">
        <v>100002</v>
      </c>
      <c r="B332" s="92" t="s">
        <v>189</v>
      </c>
      <c r="C332" s="92">
        <v>2017</v>
      </c>
      <c r="D332" s="92" t="s">
        <v>274</v>
      </c>
      <c r="E332" s="92" t="s">
        <v>268</v>
      </c>
      <c r="F332" s="92">
        <v>-627.34</v>
      </c>
    </row>
    <row r="333" spans="1:6">
      <c r="A333" s="92">
        <v>100067</v>
      </c>
      <c r="B333" s="92" t="s">
        <v>209</v>
      </c>
      <c r="C333" s="92">
        <v>2017</v>
      </c>
      <c r="D333" s="92" t="s">
        <v>267</v>
      </c>
      <c r="E333" s="92" t="s">
        <v>268</v>
      </c>
      <c r="F333" s="92">
        <v>635.23</v>
      </c>
    </row>
    <row r="334" spans="1:6">
      <c r="A334" s="92">
        <v>100068</v>
      </c>
      <c r="B334" s="92" t="s">
        <v>209</v>
      </c>
      <c r="C334" s="92">
        <v>2017</v>
      </c>
      <c r="D334" s="92" t="s">
        <v>272</v>
      </c>
      <c r="E334" s="92" t="s">
        <v>268</v>
      </c>
      <c r="F334" s="92">
        <v>186.77</v>
      </c>
    </row>
    <row r="335" spans="1:6">
      <c r="A335" s="92">
        <v>100069</v>
      </c>
      <c r="B335" s="92" t="s">
        <v>209</v>
      </c>
      <c r="C335" s="92">
        <v>2017</v>
      </c>
      <c r="D335" s="92" t="s">
        <v>273</v>
      </c>
      <c r="E335" s="92" t="s">
        <v>268</v>
      </c>
      <c r="F335" s="92"/>
    </row>
    <row r="336" spans="1:6">
      <c r="A336" s="92">
        <v>100282</v>
      </c>
      <c r="B336" s="92" t="s">
        <v>174</v>
      </c>
      <c r="C336" s="92">
        <v>2017</v>
      </c>
      <c r="D336" s="92" t="s">
        <v>274</v>
      </c>
      <c r="E336" s="92" t="s">
        <v>268</v>
      </c>
      <c r="F336" s="92">
        <v>-0.76</v>
      </c>
    </row>
    <row r="337" spans="1:6">
      <c r="A337" s="92">
        <v>116168</v>
      </c>
      <c r="B337" s="92" t="s">
        <v>164</v>
      </c>
      <c r="C337" s="92">
        <v>2017</v>
      </c>
      <c r="D337" s="92" t="s">
        <v>272</v>
      </c>
      <c r="E337" s="92" t="s">
        <v>268</v>
      </c>
      <c r="F337" s="92">
        <v>3060.44</v>
      </c>
    </row>
    <row r="338" spans="1:6">
      <c r="A338" s="92">
        <v>116237</v>
      </c>
      <c r="B338" s="92" t="s">
        <v>164</v>
      </c>
      <c r="C338" s="92">
        <v>2017</v>
      </c>
      <c r="D338" s="92" t="s">
        <v>267</v>
      </c>
      <c r="E338" s="92" t="s">
        <v>268</v>
      </c>
      <c r="F338" s="92">
        <v>1204</v>
      </c>
    </row>
    <row r="339" spans="1:6">
      <c r="A339" s="92">
        <v>116239</v>
      </c>
      <c r="B339" s="92" t="s">
        <v>164</v>
      </c>
      <c r="C339" s="92">
        <v>2017</v>
      </c>
      <c r="D339" s="92" t="s">
        <v>273</v>
      </c>
      <c r="E339" s="92" t="s">
        <v>268</v>
      </c>
      <c r="F339" s="92"/>
    </row>
    <row r="340" spans="1:6">
      <c r="A340" s="92">
        <v>116346</v>
      </c>
      <c r="B340" s="92" t="s">
        <v>84</v>
      </c>
      <c r="C340" s="92">
        <v>2017</v>
      </c>
      <c r="D340" s="92" t="s">
        <v>274</v>
      </c>
      <c r="E340" s="92" t="s">
        <v>268</v>
      </c>
      <c r="F340" s="92">
        <v>-436.32</v>
      </c>
    </row>
    <row r="341" spans="1:6">
      <c r="A341" s="92">
        <v>116522</v>
      </c>
      <c r="B341" s="92" t="s">
        <v>149</v>
      </c>
      <c r="C341" s="92">
        <v>2017</v>
      </c>
      <c r="D341" s="92" t="s">
        <v>274</v>
      </c>
      <c r="E341" s="92" t="s">
        <v>268</v>
      </c>
      <c r="F341" s="92">
        <v>-31.06</v>
      </c>
    </row>
    <row r="342" spans="1:6">
      <c r="A342" s="92">
        <v>132342</v>
      </c>
      <c r="B342" s="92" t="s">
        <v>109</v>
      </c>
      <c r="C342" s="92">
        <v>2017</v>
      </c>
      <c r="D342" s="92" t="s">
        <v>274</v>
      </c>
      <c r="E342" s="92" t="s">
        <v>268</v>
      </c>
      <c r="F342" s="92">
        <v>-132.54</v>
      </c>
    </row>
    <row r="343" spans="1:6">
      <c r="A343" s="92">
        <v>132407</v>
      </c>
      <c r="B343" s="92" t="s">
        <v>169</v>
      </c>
      <c r="C343" s="92">
        <v>2017</v>
      </c>
      <c r="D343" s="92" t="s">
        <v>267</v>
      </c>
      <c r="E343" s="92" t="s">
        <v>268</v>
      </c>
      <c r="F343" s="92">
        <v>783.76</v>
      </c>
    </row>
    <row r="344" spans="1:6">
      <c r="A344" s="92">
        <v>132408</v>
      </c>
      <c r="B344" s="92" t="s">
        <v>169</v>
      </c>
      <c r="C344" s="92">
        <v>2017</v>
      </c>
      <c r="D344" s="92" t="s">
        <v>272</v>
      </c>
      <c r="E344" s="92" t="s">
        <v>268</v>
      </c>
      <c r="F344" s="92">
        <v>144.14</v>
      </c>
    </row>
    <row r="345" spans="1:6">
      <c r="A345" s="92">
        <v>132409</v>
      </c>
      <c r="B345" s="92" t="s">
        <v>169</v>
      </c>
      <c r="C345" s="92">
        <v>2017</v>
      </c>
      <c r="D345" s="92" t="s">
        <v>273</v>
      </c>
      <c r="E345" s="92" t="s">
        <v>268</v>
      </c>
      <c r="F345" s="92"/>
    </row>
    <row r="346" spans="1:6">
      <c r="A346" s="92">
        <v>132622</v>
      </c>
      <c r="B346" s="92" t="s">
        <v>154</v>
      </c>
      <c r="C346" s="92">
        <v>2017</v>
      </c>
      <c r="D346" s="92" t="s">
        <v>274</v>
      </c>
      <c r="E346" s="92" t="s">
        <v>268</v>
      </c>
      <c r="F346" s="92">
        <v>-867.5</v>
      </c>
    </row>
    <row r="347" spans="1:6">
      <c r="A347" s="92">
        <v>148512</v>
      </c>
      <c r="B347" s="92" t="s">
        <v>159</v>
      </c>
      <c r="C347" s="92">
        <v>2017</v>
      </c>
      <c r="D347" s="92" t="s">
        <v>274</v>
      </c>
      <c r="E347" s="92" t="s">
        <v>268</v>
      </c>
      <c r="F347" s="92">
        <v>-76.68</v>
      </c>
    </row>
    <row r="348" spans="1:6">
      <c r="A348" s="92">
        <v>148577</v>
      </c>
      <c r="B348" s="92" t="s">
        <v>189</v>
      </c>
      <c r="C348" s="92">
        <v>2017</v>
      </c>
      <c r="D348" s="92" t="s">
        <v>267</v>
      </c>
      <c r="E348" s="92" t="s">
        <v>268</v>
      </c>
      <c r="F348" s="92">
        <v>802.52</v>
      </c>
    </row>
    <row r="349" spans="1:6">
      <c r="A349" s="92">
        <v>148578</v>
      </c>
      <c r="B349" s="92" t="s">
        <v>189</v>
      </c>
      <c r="C349" s="92">
        <v>2017</v>
      </c>
      <c r="D349" s="92" t="s">
        <v>272</v>
      </c>
      <c r="E349" s="92" t="s">
        <v>268</v>
      </c>
      <c r="F349" s="92"/>
    </row>
    <row r="350" spans="1:6">
      <c r="A350" s="92">
        <v>148579</v>
      </c>
      <c r="B350" s="92" t="s">
        <v>189</v>
      </c>
      <c r="C350" s="92">
        <v>2017</v>
      </c>
      <c r="D350" s="92" t="s">
        <v>273</v>
      </c>
      <c r="E350" s="92" t="s">
        <v>268</v>
      </c>
      <c r="F350" s="92"/>
    </row>
    <row r="351" spans="1:6">
      <c r="A351" s="92">
        <v>148792</v>
      </c>
      <c r="B351" s="92" t="s">
        <v>104</v>
      </c>
      <c r="C351" s="92">
        <v>2017</v>
      </c>
      <c r="D351" s="92" t="s">
        <v>274</v>
      </c>
      <c r="E351" s="92" t="s">
        <v>268</v>
      </c>
      <c r="F351" s="92">
        <v>-219.29</v>
      </c>
    </row>
    <row r="352" spans="1:6">
      <c r="A352" s="92">
        <v>164682</v>
      </c>
      <c r="B352" s="92" t="s">
        <v>119</v>
      </c>
      <c r="C352" s="92">
        <v>2017</v>
      </c>
      <c r="D352" s="92" t="s">
        <v>274</v>
      </c>
      <c r="E352" s="92" t="s">
        <v>268</v>
      </c>
      <c r="F352" s="92">
        <v>-130.75</v>
      </c>
    </row>
    <row r="353" spans="1:6">
      <c r="A353" s="92">
        <v>164747</v>
      </c>
      <c r="B353" s="92" t="s">
        <v>174</v>
      </c>
      <c r="C353" s="92">
        <v>2017</v>
      </c>
      <c r="D353" s="92" t="s">
        <v>267</v>
      </c>
      <c r="E353" s="92" t="s">
        <v>268</v>
      </c>
      <c r="F353" s="92">
        <v>110.06</v>
      </c>
    </row>
    <row r="354" spans="1:6">
      <c r="A354" s="92">
        <v>164748</v>
      </c>
      <c r="B354" s="92" t="s">
        <v>174</v>
      </c>
      <c r="C354" s="92">
        <v>2017</v>
      </c>
      <c r="D354" s="92" t="s">
        <v>272</v>
      </c>
      <c r="E354" s="92" t="s">
        <v>268</v>
      </c>
      <c r="F354" s="92">
        <v>0.23</v>
      </c>
    </row>
    <row r="355" spans="1:6">
      <c r="A355" s="92">
        <v>164749</v>
      </c>
      <c r="B355" s="92" t="s">
        <v>174</v>
      </c>
      <c r="C355" s="92">
        <v>2017</v>
      </c>
      <c r="D355" s="92" t="s">
        <v>273</v>
      </c>
      <c r="E355" s="92" t="s">
        <v>268</v>
      </c>
      <c r="F355" s="92"/>
    </row>
    <row r="356" spans="1:6">
      <c r="A356" s="92">
        <v>164962</v>
      </c>
      <c r="B356" s="92" t="s">
        <v>139</v>
      </c>
      <c r="C356" s="92">
        <v>2017</v>
      </c>
      <c r="D356" s="92" t="s">
        <v>274</v>
      </c>
      <c r="E356" s="92" t="s">
        <v>268</v>
      </c>
      <c r="F356" s="92"/>
    </row>
    <row r="357" spans="1:6">
      <c r="A357" s="92">
        <v>180852</v>
      </c>
      <c r="B357" s="92" t="s">
        <v>99</v>
      </c>
      <c r="C357" s="92">
        <v>2017</v>
      </c>
      <c r="D357" s="92" t="s">
        <v>274</v>
      </c>
      <c r="E357" s="92" t="s">
        <v>268</v>
      </c>
      <c r="F357" s="92">
        <v>-306.11</v>
      </c>
    </row>
    <row r="358" spans="1:6">
      <c r="A358" s="92">
        <v>180917</v>
      </c>
      <c r="B358" s="92" t="s">
        <v>84</v>
      </c>
      <c r="C358" s="92">
        <v>2017</v>
      </c>
      <c r="D358" s="92" t="s">
        <v>267</v>
      </c>
      <c r="E358" s="92" t="s">
        <v>268</v>
      </c>
      <c r="F358" s="92">
        <v>332.59</v>
      </c>
    </row>
    <row r="359" spans="1:6">
      <c r="A359" s="92">
        <v>180918</v>
      </c>
      <c r="B359" s="92" t="s">
        <v>84</v>
      </c>
      <c r="C359" s="92">
        <v>2017</v>
      </c>
      <c r="D359" s="92" t="s">
        <v>272</v>
      </c>
      <c r="E359" s="92" t="s">
        <v>268</v>
      </c>
      <c r="F359" s="92">
        <v>1207.92</v>
      </c>
    </row>
    <row r="360" spans="1:6">
      <c r="A360" s="92">
        <v>180919</v>
      </c>
      <c r="B360" s="92" t="s">
        <v>84</v>
      </c>
      <c r="C360" s="92">
        <v>2017</v>
      </c>
      <c r="D360" s="92" t="s">
        <v>273</v>
      </c>
      <c r="E360" s="92" t="s">
        <v>268</v>
      </c>
      <c r="F360" s="92"/>
    </row>
    <row r="361" spans="1:6">
      <c r="A361" s="92">
        <v>181132</v>
      </c>
      <c r="B361" s="92" t="s">
        <v>94</v>
      </c>
      <c r="C361" s="92">
        <v>2017</v>
      </c>
      <c r="D361" s="92" t="s">
        <v>274</v>
      </c>
      <c r="E361" s="92" t="s">
        <v>268</v>
      </c>
      <c r="F361" s="92">
        <v>-1546.43</v>
      </c>
    </row>
    <row r="362" spans="1:6">
      <c r="A362" s="92">
        <v>197022</v>
      </c>
      <c r="B362" s="92" t="s">
        <v>219</v>
      </c>
      <c r="C362" s="92">
        <v>2017</v>
      </c>
      <c r="D362" s="92" t="s">
        <v>274</v>
      </c>
      <c r="E362" s="92" t="s">
        <v>268</v>
      </c>
      <c r="F362" s="92">
        <v>-527.07</v>
      </c>
    </row>
    <row r="363" spans="1:6">
      <c r="A363" s="92">
        <v>197087</v>
      </c>
      <c r="B363" s="92" t="s">
        <v>149</v>
      </c>
      <c r="C363" s="92">
        <v>2017</v>
      </c>
      <c r="D363" s="92" t="s">
        <v>267</v>
      </c>
      <c r="E363" s="92" t="s">
        <v>268</v>
      </c>
      <c r="F363" s="92">
        <v>163.69</v>
      </c>
    </row>
    <row r="364" spans="1:6">
      <c r="A364" s="92">
        <v>197088</v>
      </c>
      <c r="B364" s="92" t="s">
        <v>149</v>
      </c>
      <c r="C364" s="92">
        <v>2017</v>
      </c>
      <c r="D364" s="92" t="s">
        <v>272</v>
      </c>
      <c r="E364" s="92" t="s">
        <v>268</v>
      </c>
      <c r="F364" s="92">
        <v>564.55</v>
      </c>
    </row>
    <row r="365" spans="1:6">
      <c r="A365" s="92">
        <v>197089</v>
      </c>
      <c r="B365" s="92" t="s">
        <v>149</v>
      </c>
      <c r="C365" s="92">
        <v>2017</v>
      </c>
      <c r="D365" s="92" t="s">
        <v>273</v>
      </c>
      <c r="E365" s="92" t="s">
        <v>268</v>
      </c>
      <c r="F365" s="92"/>
    </row>
    <row r="366" spans="1:6">
      <c r="A366" s="92">
        <v>197302</v>
      </c>
      <c r="B366" s="92" t="s">
        <v>214</v>
      </c>
      <c r="C366" s="92">
        <v>2017</v>
      </c>
      <c r="D366" s="92" t="s">
        <v>274</v>
      </c>
      <c r="E366" s="92" t="s">
        <v>268</v>
      </c>
      <c r="F366" s="92">
        <v>-54.7</v>
      </c>
    </row>
    <row r="367" spans="1:6">
      <c r="A367" s="92">
        <v>213192</v>
      </c>
      <c r="B367" s="92" t="s">
        <v>144</v>
      </c>
      <c r="C367" s="92">
        <v>2017</v>
      </c>
      <c r="D367" s="92" t="s">
        <v>274</v>
      </c>
      <c r="E367" s="92" t="s">
        <v>268</v>
      </c>
      <c r="F367" s="92">
        <v>-2.28</v>
      </c>
    </row>
    <row r="368" spans="1:6">
      <c r="A368" s="92">
        <v>213257</v>
      </c>
      <c r="B368" s="92" t="s">
        <v>109</v>
      </c>
      <c r="C368" s="92">
        <v>2017</v>
      </c>
      <c r="D368" s="92" t="s">
        <v>267</v>
      </c>
      <c r="E368" s="92" t="s">
        <v>268</v>
      </c>
      <c r="F368" s="92">
        <v>138.5</v>
      </c>
    </row>
    <row r="369" spans="1:6">
      <c r="A369" s="92">
        <v>213258</v>
      </c>
      <c r="B369" s="92" t="s">
        <v>109</v>
      </c>
      <c r="C369" s="92">
        <v>2017</v>
      </c>
      <c r="D369" s="92" t="s">
        <v>272</v>
      </c>
      <c r="E369" s="92" t="s">
        <v>268</v>
      </c>
      <c r="F369" s="92">
        <v>73.95</v>
      </c>
    </row>
    <row r="370" spans="1:6">
      <c r="A370" s="92">
        <v>213259</v>
      </c>
      <c r="B370" s="92" t="s">
        <v>109</v>
      </c>
      <c r="C370" s="92">
        <v>2017</v>
      </c>
      <c r="D370" s="92" t="s">
        <v>273</v>
      </c>
      <c r="E370" s="92" t="s">
        <v>268</v>
      </c>
      <c r="F370" s="92">
        <v>32.83</v>
      </c>
    </row>
    <row r="371" spans="1:6">
      <c r="A371" s="92">
        <v>213472</v>
      </c>
      <c r="B371" s="92" t="s">
        <v>89</v>
      </c>
      <c r="C371" s="92">
        <v>2017</v>
      </c>
      <c r="D371" s="92" t="s">
        <v>274</v>
      </c>
      <c r="E371" s="92" t="s">
        <v>268</v>
      </c>
      <c r="F371" s="92">
        <v>-934.48</v>
      </c>
    </row>
    <row r="372" spans="1:6">
      <c r="A372" s="92">
        <v>229362</v>
      </c>
      <c r="B372" s="92" t="s">
        <v>204</v>
      </c>
      <c r="C372" s="92">
        <v>2017</v>
      </c>
      <c r="D372" s="92" t="s">
        <v>274</v>
      </c>
      <c r="E372" s="92" t="s">
        <v>268</v>
      </c>
      <c r="F372" s="92">
        <v>-398.64</v>
      </c>
    </row>
    <row r="373" spans="1:6">
      <c r="A373" s="92">
        <v>229427</v>
      </c>
      <c r="B373" s="92" t="s">
        <v>154</v>
      </c>
      <c r="C373" s="92">
        <v>2017</v>
      </c>
      <c r="D373" s="92" t="s">
        <v>267</v>
      </c>
      <c r="E373" s="92" t="s">
        <v>268</v>
      </c>
      <c r="F373" s="92">
        <v>1563.11</v>
      </c>
    </row>
    <row r="374" spans="1:6">
      <c r="A374" s="92">
        <v>229428</v>
      </c>
      <c r="B374" s="92" t="s">
        <v>154</v>
      </c>
      <c r="C374" s="92">
        <v>2017</v>
      </c>
      <c r="D374" s="92" t="s">
        <v>272</v>
      </c>
      <c r="E374" s="92" t="s">
        <v>268</v>
      </c>
      <c r="F374" s="92">
        <v>304.67</v>
      </c>
    </row>
    <row r="375" spans="1:6">
      <c r="A375" s="92">
        <v>229429</v>
      </c>
      <c r="B375" s="92" t="s">
        <v>154</v>
      </c>
      <c r="C375" s="92">
        <v>2017</v>
      </c>
      <c r="D375" s="92" t="s">
        <v>273</v>
      </c>
      <c r="E375" s="92" t="s">
        <v>268</v>
      </c>
      <c r="F375" s="92"/>
    </row>
    <row r="376" spans="1:6">
      <c r="A376" s="92">
        <v>229642</v>
      </c>
      <c r="B376" s="92" t="s">
        <v>114</v>
      </c>
      <c r="C376" s="92">
        <v>2017</v>
      </c>
      <c r="D376" s="92" t="s">
        <v>274</v>
      </c>
      <c r="E376" s="92" t="s">
        <v>268</v>
      </c>
      <c r="F376" s="92">
        <v>-118.39</v>
      </c>
    </row>
    <row r="377" spans="1:6">
      <c r="A377" s="92">
        <v>245532</v>
      </c>
      <c r="B377" s="92" t="s">
        <v>184</v>
      </c>
      <c r="C377" s="92">
        <v>2017</v>
      </c>
      <c r="D377" s="92" t="s">
        <v>274</v>
      </c>
      <c r="E377" s="92" t="s">
        <v>268</v>
      </c>
      <c r="F377" s="92">
        <v>-1429.17</v>
      </c>
    </row>
    <row r="378" spans="1:6">
      <c r="A378" s="92">
        <v>245597</v>
      </c>
      <c r="B378" s="92" t="s">
        <v>159</v>
      </c>
      <c r="C378" s="92">
        <v>2017</v>
      </c>
      <c r="D378" s="92" t="s">
        <v>267</v>
      </c>
      <c r="E378" s="92" t="s">
        <v>268</v>
      </c>
      <c r="F378" s="92">
        <v>648.15</v>
      </c>
    </row>
    <row r="379" spans="1:6">
      <c r="A379" s="92">
        <v>245598</v>
      </c>
      <c r="B379" s="92" t="s">
        <v>159</v>
      </c>
      <c r="C379" s="92">
        <v>2017</v>
      </c>
      <c r="D379" s="92" t="s">
        <v>272</v>
      </c>
      <c r="E379" s="92" t="s">
        <v>268</v>
      </c>
      <c r="F379" s="92">
        <v>223.52</v>
      </c>
    </row>
    <row r="380" spans="1:6">
      <c r="A380" s="92">
        <v>245599</v>
      </c>
      <c r="B380" s="92" t="s">
        <v>159</v>
      </c>
      <c r="C380" s="92">
        <v>2017</v>
      </c>
      <c r="D380" s="92" t="s">
        <v>273</v>
      </c>
      <c r="E380" s="92" t="s">
        <v>268</v>
      </c>
      <c r="F380" s="92"/>
    </row>
    <row r="381" spans="1:6">
      <c r="A381" s="92">
        <v>245812</v>
      </c>
      <c r="B381" s="92" t="s">
        <v>79</v>
      </c>
      <c r="C381" s="92">
        <v>2017</v>
      </c>
      <c r="D381" s="92" t="s">
        <v>274</v>
      </c>
      <c r="E381" s="92" t="s">
        <v>268</v>
      </c>
      <c r="F381" s="92">
        <v>-1.02</v>
      </c>
    </row>
    <row r="382" spans="1:6">
      <c r="A382" s="92">
        <v>261702</v>
      </c>
      <c r="B382" s="92" t="s">
        <v>224</v>
      </c>
      <c r="C382" s="92">
        <v>2017</v>
      </c>
      <c r="D382" s="92" t="s">
        <v>274</v>
      </c>
      <c r="E382" s="92" t="s">
        <v>268</v>
      </c>
      <c r="F382" s="92">
        <v>-438.9</v>
      </c>
    </row>
    <row r="383" spans="1:6">
      <c r="A383" s="92">
        <v>261767</v>
      </c>
      <c r="B383" s="92" t="s">
        <v>104</v>
      </c>
      <c r="C383" s="92">
        <v>2017</v>
      </c>
      <c r="D383" s="92" t="s">
        <v>267</v>
      </c>
      <c r="E383" s="92" t="s">
        <v>268</v>
      </c>
      <c r="F383" s="92">
        <v>157.48</v>
      </c>
    </row>
    <row r="384" spans="1:6">
      <c r="A384" s="92">
        <v>261768</v>
      </c>
      <c r="B384" s="92" t="s">
        <v>104</v>
      </c>
      <c r="C384" s="92">
        <v>2017</v>
      </c>
      <c r="D384" s="92" t="s">
        <v>272</v>
      </c>
      <c r="E384" s="92" t="s">
        <v>268</v>
      </c>
      <c r="F384" s="92">
        <v>121.93</v>
      </c>
    </row>
    <row r="385" spans="1:6">
      <c r="A385" s="92">
        <v>261769</v>
      </c>
      <c r="B385" s="92" t="s">
        <v>104</v>
      </c>
      <c r="C385" s="92">
        <v>2017</v>
      </c>
      <c r="D385" s="92" t="s">
        <v>273</v>
      </c>
      <c r="E385" s="92" t="s">
        <v>268</v>
      </c>
      <c r="F385" s="92"/>
    </row>
    <row r="386" spans="1:6">
      <c r="A386" s="92">
        <v>261982</v>
      </c>
      <c r="B386" s="92" t="s">
        <v>194</v>
      </c>
      <c r="C386" s="92">
        <v>2017</v>
      </c>
      <c r="D386" s="92" t="s">
        <v>274</v>
      </c>
      <c r="E386" s="92" t="s">
        <v>268</v>
      </c>
      <c r="F386" s="92">
        <v>-1418.95</v>
      </c>
    </row>
    <row r="387" spans="1:6">
      <c r="A387" s="92">
        <v>277872</v>
      </c>
      <c r="B387" s="92" t="s">
        <v>124</v>
      </c>
      <c r="C387" s="92">
        <v>2017</v>
      </c>
      <c r="D387" s="92" t="s">
        <v>274</v>
      </c>
      <c r="E387" s="92" t="s">
        <v>268</v>
      </c>
      <c r="F387" s="92">
        <v>-160.48</v>
      </c>
    </row>
    <row r="388" spans="1:6">
      <c r="A388" s="92">
        <v>277937</v>
      </c>
      <c r="B388" s="92" t="s">
        <v>119</v>
      </c>
      <c r="C388" s="92">
        <v>2017</v>
      </c>
      <c r="D388" s="92" t="s">
        <v>267</v>
      </c>
      <c r="E388" s="92" t="s">
        <v>268</v>
      </c>
      <c r="F388" s="92">
        <v>403.64</v>
      </c>
    </row>
    <row r="389" spans="1:6">
      <c r="A389" s="92">
        <v>277938</v>
      </c>
      <c r="B389" s="92" t="s">
        <v>119</v>
      </c>
      <c r="C389" s="92">
        <v>2017</v>
      </c>
      <c r="D389" s="92" t="s">
        <v>272</v>
      </c>
      <c r="E389" s="92" t="s">
        <v>268</v>
      </c>
      <c r="F389" s="92">
        <v>1023.9</v>
      </c>
    </row>
    <row r="390" spans="1:6">
      <c r="A390" s="92">
        <v>277939</v>
      </c>
      <c r="B390" s="92" t="s">
        <v>119</v>
      </c>
      <c r="C390" s="92">
        <v>2017</v>
      </c>
      <c r="D390" s="92" t="s">
        <v>273</v>
      </c>
      <c r="E390" s="92" t="s">
        <v>268</v>
      </c>
      <c r="F390" s="92"/>
    </row>
    <row r="391" spans="1:6">
      <c r="A391" s="92">
        <v>278152</v>
      </c>
      <c r="B391" s="92" t="s">
        <v>179</v>
      </c>
      <c r="C391" s="92">
        <v>2017</v>
      </c>
      <c r="D391" s="92" t="s">
        <v>274</v>
      </c>
      <c r="E391" s="92" t="s">
        <v>268</v>
      </c>
      <c r="F391" s="92">
        <v>-27.63</v>
      </c>
    </row>
    <row r="392" spans="1:6">
      <c r="A392" s="92">
        <v>294042</v>
      </c>
      <c r="B392" s="92" t="s">
        <v>129</v>
      </c>
      <c r="C392" s="92">
        <v>2017</v>
      </c>
      <c r="D392" s="92" t="s">
        <v>275</v>
      </c>
      <c r="E392" s="92" t="s">
        <v>268</v>
      </c>
      <c r="F392" s="92"/>
    </row>
    <row r="393" spans="1:6">
      <c r="A393" s="92">
        <v>294107</v>
      </c>
      <c r="B393" s="92" t="s">
        <v>139</v>
      </c>
      <c r="C393" s="92">
        <v>2017</v>
      </c>
      <c r="D393" s="92" t="s">
        <v>267</v>
      </c>
      <c r="E393" s="92" t="s">
        <v>268</v>
      </c>
      <c r="F393" s="92">
        <v>218.41</v>
      </c>
    </row>
    <row r="394" spans="1:6">
      <c r="A394" s="92">
        <v>294108</v>
      </c>
      <c r="B394" s="92" t="s">
        <v>139</v>
      </c>
      <c r="C394" s="92">
        <v>2017</v>
      </c>
      <c r="D394" s="92" t="s">
        <v>272</v>
      </c>
      <c r="E394" s="92" t="s">
        <v>268</v>
      </c>
      <c r="F394" s="92">
        <v>136.15</v>
      </c>
    </row>
    <row r="395" spans="1:6">
      <c r="A395" s="92">
        <v>294109</v>
      </c>
      <c r="B395" s="92" t="s">
        <v>139</v>
      </c>
      <c r="C395" s="92">
        <v>2017</v>
      </c>
      <c r="D395" s="92" t="s">
        <v>273</v>
      </c>
      <c r="E395" s="92" t="s">
        <v>268</v>
      </c>
      <c r="F395" s="92"/>
    </row>
    <row r="396" spans="1:6">
      <c r="A396" s="92">
        <v>294322</v>
      </c>
      <c r="B396" s="92" t="s">
        <v>74</v>
      </c>
      <c r="C396" s="92">
        <v>2017</v>
      </c>
      <c r="D396" s="92" t="s">
        <v>275</v>
      </c>
      <c r="E396" s="92" t="s">
        <v>268</v>
      </c>
      <c r="F396" s="92"/>
    </row>
    <row r="397" spans="1:6">
      <c r="A397" s="92">
        <v>310212</v>
      </c>
      <c r="B397" s="92" t="s">
        <v>134</v>
      </c>
      <c r="C397" s="92">
        <v>2017</v>
      </c>
      <c r="D397" s="92" t="s">
        <v>275</v>
      </c>
      <c r="E397" s="92" t="s">
        <v>268</v>
      </c>
      <c r="F397" s="92"/>
    </row>
    <row r="398" spans="1:6">
      <c r="A398" s="92">
        <v>310277</v>
      </c>
      <c r="B398" s="92" t="s">
        <v>99</v>
      </c>
      <c r="C398" s="92">
        <v>2017</v>
      </c>
      <c r="D398" s="92" t="s">
        <v>267</v>
      </c>
      <c r="E398" s="92" t="s">
        <v>268</v>
      </c>
      <c r="F398" s="92">
        <v>420.36</v>
      </c>
    </row>
    <row r="399" spans="1:6">
      <c r="A399" s="92">
        <v>310278</v>
      </c>
      <c r="B399" s="92" t="s">
        <v>99</v>
      </c>
      <c r="C399" s="92">
        <v>2017</v>
      </c>
      <c r="D399" s="92" t="s">
        <v>272</v>
      </c>
      <c r="E399" s="92" t="s">
        <v>268</v>
      </c>
      <c r="F399" s="92">
        <v>650.2</v>
      </c>
    </row>
    <row r="400" spans="1:6">
      <c r="A400" s="92">
        <v>310279</v>
      </c>
      <c r="B400" s="92" t="s">
        <v>99</v>
      </c>
      <c r="C400" s="92">
        <v>2017</v>
      </c>
      <c r="D400" s="92" t="s">
        <v>273</v>
      </c>
      <c r="E400" s="92" t="s">
        <v>268</v>
      </c>
      <c r="F400" s="92"/>
    </row>
    <row r="401" spans="1:6">
      <c r="A401" s="92">
        <v>310492</v>
      </c>
      <c r="B401" s="92" t="s">
        <v>209</v>
      </c>
      <c r="C401" s="92">
        <v>2017</v>
      </c>
      <c r="D401" s="92" t="s">
        <v>275</v>
      </c>
      <c r="E401" s="92" t="s">
        <v>268</v>
      </c>
      <c r="F401" s="92"/>
    </row>
    <row r="402" spans="1:6">
      <c r="A402" s="92">
        <v>326447</v>
      </c>
      <c r="B402" s="92" t="s">
        <v>94</v>
      </c>
      <c r="C402" s="92">
        <v>2017</v>
      </c>
      <c r="D402" s="92" t="s">
        <v>267</v>
      </c>
      <c r="E402" s="92" t="s">
        <v>268</v>
      </c>
      <c r="F402" s="92">
        <v>685.61</v>
      </c>
    </row>
    <row r="403" spans="1:6">
      <c r="A403" s="92">
        <v>326448</v>
      </c>
      <c r="B403" s="92" t="s">
        <v>94</v>
      </c>
      <c r="C403" s="92">
        <v>2017</v>
      </c>
      <c r="D403" s="92" t="s">
        <v>272</v>
      </c>
      <c r="E403" s="92" t="s">
        <v>268</v>
      </c>
      <c r="F403" s="92">
        <v>14.54</v>
      </c>
    </row>
    <row r="404" spans="1:6">
      <c r="A404" s="92">
        <v>326449</v>
      </c>
      <c r="B404" s="92" t="s">
        <v>94</v>
      </c>
      <c r="C404" s="92">
        <v>2017</v>
      </c>
      <c r="D404" s="92" t="s">
        <v>273</v>
      </c>
      <c r="E404" s="92" t="s">
        <v>268</v>
      </c>
      <c r="F404" s="92"/>
    </row>
    <row r="405" spans="1:6">
      <c r="A405" s="92">
        <v>326556</v>
      </c>
      <c r="B405" s="92" t="s">
        <v>164</v>
      </c>
      <c r="C405" s="92">
        <v>2017</v>
      </c>
      <c r="D405" s="92" t="s">
        <v>275</v>
      </c>
      <c r="E405" s="92" t="s">
        <v>268</v>
      </c>
      <c r="F405" s="92"/>
    </row>
    <row r="406" spans="1:6">
      <c r="A406" s="92">
        <v>326662</v>
      </c>
      <c r="B406" s="92" t="s">
        <v>169</v>
      </c>
      <c r="C406" s="92">
        <v>2017</v>
      </c>
      <c r="D406" s="92" t="s">
        <v>275</v>
      </c>
      <c r="E406" s="92" t="s">
        <v>268</v>
      </c>
      <c r="F406" s="92"/>
    </row>
    <row r="407" spans="1:6">
      <c r="A407" s="92">
        <v>342552</v>
      </c>
      <c r="B407" s="92" t="s">
        <v>189</v>
      </c>
      <c r="C407" s="92">
        <v>2017</v>
      </c>
      <c r="D407" s="92" t="s">
        <v>275</v>
      </c>
      <c r="E407" s="92" t="s">
        <v>268</v>
      </c>
      <c r="F407" s="92"/>
    </row>
    <row r="408" spans="1:6">
      <c r="A408" s="92">
        <v>342617</v>
      </c>
      <c r="B408" s="92" t="s">
        <v>219</v>
      </c>
      <c r="C408" s="92">
        <v>2017</v>
      </c>
      <c r="D408" s="92" t="s">
        <v>267</v>
      </c>
      <c r="E408" s="92" t="s">
        <v>268</v>
      </c>
      <c r="F408" s="92">
        <v>236.56</v>
      </c>
    </row>
    <row r="409" spans="1:6">
      <c r="A409" s="92">
        <v>342618</v>
      </c>
      <c r="B409" s="92" t="s">
        <v>219</v>
      </c>
      <c r="C409" s="92">
        <v>2017</v>
      </c>
      <c r="D409" s="92" t="s">
        <v>272</v>
      </c>
      <c r="E409" s="92" t="s">
        <v>268</v>
      </c>
      <c r="F409" s="92">
        <v>101.05</v>
      </c>
    </row>
    <row r="410" spans="1:6">
      <c r="A410" s="92">
        <v>342619</v>
      </c>
      <c r="B410" s="92" t="s">
        <v>219</v>
      </c>
      <c r="C410" s="92">
        <v>2017</v>
      </c>
      <c r="D410" s="92" t="s">
        <v>273</v>
      </c>
      <c r="E410" s="92" t="s">
        <v>268</v>
      </c>
      <c r="F410" s="92"/>
    </row>
    <row r="411" spans="1:6">
      <c r="A411" s="92">
        <v>342832</v>
      </c>
      <c r="B411" s="92" t="s">
        <v>174</v>
      </c>
      <c r="C411" s="92">
        <v>2017</v>
      </c>
      <c r="D411" s="92" t="s">
        <v>275</v>
      </c>
      <c r="E411" s="92" t="s">
        <v>268</v>
      </c>
      <c r="F411" s="92"/>
    </row>
    <row r="412" spans="1:6">
      <c r="A412" s="92">
        <v>358722</v>
      </c>
      <c r="B412" s="92" t="s">
        <v>84</v>
      </c>
      <c r="C412" s="92">
        <v>2017</v>
      </c>
      <c r="D412" s="92" t="s">
        <v>275</v>
      </c>
      <c r="E412" s="92" t="s">
        <v>268</v>
      </c>
      <c r="F412" s="92"/>
    </row>
    <row r="413" spans="1:6">
      <c r="A413" s="92">
        <v>358787</v>
      </c>
      <c r="B413" s="92" t="s">
        <v>214</v>
      </c>
      <c r="C413" s="92">
        <v>2017</v>
      </c>
      <c r="D413" s="92" t="s">
        <v>267</v>
      </c>
      <c r="E413" s="92" t="s">
        <v>268</v>
      </c>
      <c r="F413" s="92">
        <v>465.4</v>
      </c>
    </row>
    <row r="414" spans="1:6">
      <c r="A414" s="92">
        <v>358788</v>
      </c>
      <c r="B414" s="92" t="s">
        <v>214</v>
      </c>
      <c r="C414" s="92">
        <v>2017</v>
      </c>
      <c r="D414" s="92" t="s">
        <v>272</v>
      </c>
      <c r="E414" s="92" t="s">
        <v>268</v>
      </c>
      <c r="F414" s="92">
        <v>115.13</v>
      </c>
    </row>
    <row r="415" spans="1:6">
      <c r="A415" s="92">
        <v>358789</v>
      </c>
      <c r="B415" s="92" t="s">
        <v>214</v>
      </c>
      <c r="C415" s="92">
        <v>2017</v>
      </c>
      <c r="D415" s="92" t="s">
        <v>273</v>
      </c>
      <c r="E415" s="92" t="s">
        <v>268</v>
      </c>
      <c r="F415" s="92"/>
    </row>
    <row r="416" spans="1:6">
      <c r="A416" s="92">
        <v>359002</v>
      </c>
      <c r="B416" s="92" t="s">
        <v>149</v>
      </c>
      <c r="C416" s="92">
        <v>2017</v>
      </c>
      <c r="D416" s="92" t="s">
        <v>275</v>
      </c>
      <c r="E416" s="92" t="s">
        <v>268</v>
      </c>
      <c r="F416" s="92"/>
    </row>
    <row r="417" spans="1:6">
      <c r="A417" s="92">
        <v>374892</v>
      </c>
      <c r="B417" s="92" t="s">
        <v>109</v>
      </c>
      <c r="C417" s="92">
        <v>2017</v>
      </c>
      <c r="D417" s="92" t="s">
        <v>275</v>
      </c>
      <c r="E417" s="92" t="s">
        <v>268</v>
      </c>
      <c r="F417" s="92"/>
    </row>
    <row r="418" spans="1:6">
      <c r="A418" s="92">
        <v>374957</v>
      </c>
      <c r="B418" s="92" t="s">
        <v>144</v>
      </c>
      <c r="C418" s="92">
        <v>2017</v>
      </c>
      <c r="D418" s="92" t="s">
        <v>267</v>
      </c>
      <c r="E418" s="92" t="s">
        <v>268</v>
      </c>
      <c r="F418" s="92">
        <v>248.89</v>
      </c>
    </row>
    <row r="419" spans="1:6">
      <c r="A419" s="92">
        <v>374958</v>
      </c>
      <c r="B419" s="92" t="s">
        <v>144</v>
      </c>
      <c r="C419" s="92">
        <v>2017</v>
      </c>
      <c r="D419" s="92" t="s">
        <v>272</v>
      </c>
      <c r="E419" s="92" t="s">
        <v>268</v>
      </c>
      <c r="F419" s="92">
        <v>572.2</v>
      </c>
    </row>
    <row r="420" spans="1:6">
      <c r="A420" s="92">
        <v>374959</v>
      </c>
      <c r="B420" s="92" t="s">
        <v>144</v>
      </c>
      <c r="C420" s="92">
        <v>2017</v>
      </c>
      <c r="D420" s="92" t="s">
        <v>273</v>
      </c>
      <c r="E420" s="92" t="s">
        <v>268</v>
      </c>
      <c r="F420" s="92"/>
    </row>
    <row r="421" spans="1:6">
      <c r="A421" s="92">
        <v>375172</v>
      </c>
      <c r="B421" s="92" t="s">
        <v>154</v>
      </c>
      <c r="C421" s="92">
        <v>2017</v>
      </c>
      <c r="D421" s="92" t="s">
        <v>275</v>
      </c>
      <c r="E421" s="92" t="s">
        <v>268</v>
      </c>
      <c r="F421" s="92"/>
    </row>
    <row r="422" spans="1:6">
      <c r="A422" s="92">
        <v>391062</v>
      </c>
      <c r="B422" s="92" t="s">
        <v>159</v>
      </c>
      <c r="C422" s="92">
        <v>2017</v>
      </c>
      <c r="D422" s="92" t="s">
        <v>275</v>
      </c>
      <c r="E422" s="92" t="s">
        <v>268</v>
      </c>
      <c r="F422" s="92"/>
    </row>
    <row r="423" spans="1:6">
      <c r="A423" s="92">
        <v>391127</v>
      </c>
      <c r="B423" s="92" t="s">
        <v>89</v>
      </c>
      <c r="C423" s="92">
        <v>2017</v>
      </c>
      <c r="D423" s="92" t="s">
        <v>267</v>
      </c>
      <c r="E423" s="92" t="s">
        <v>268</v>
      </c>
      <c r="F423" s="92">
        <v>262.54</v>
      </c>
    </row>
    <row r="424" spans="1:6">
      <c r="A424" s="92">
        <v>391128</v>
      </c>
      <c r="B424" s="92" t="s">
        <v>89</v>
      </c>
      <c r="C424" s="92">
        <v>2017</v>
      </c>
      <c r="D424" s="92" t="s">
        <v>272</v>
      </c>
      <c r="E424" s="92" t="s">
        <v>268</v>
      </c>
      <c r="F424" s="92">
        <v>159.57</v>
      </c>
    </row>
    <row r="425" spans="1:6">
      <c r="A425" s="92">
        <v>391129</v>
      </c>
      <c r="B425" s="92" t="s">
        <v>89</v>
      </c>
      <c r="C425" s="92">
        <v>2017</v>
      </c>
      <c r="D425" s="92" t="s">
        <v>273</v>
      </c>
      <c r="E425" s="92" t="s">
        <v>268</v>
      </c>
      <c r="F425" s="92"/>
    </row>
    <row r="426" spans="1:6">
      <c r="A426" s="92">
        <v>391342</v>
      </c>
      <c r="B426" s="92" t="s">
        <v>104</v>
      </c>
      <c r="C426" s="92">
        <v>2017</v>
      </c>
      <c r="D426" s="92" t="s">
        <v>275</v>
      </c>
      <c r="E426" s="92" t="s">
        <v>268</v>
      </c>
      <c r="F426" s="92"/>
    </row>
    <row r="427" spans="1:6">
      <c r="A427" s="92">
        <v>407232</v>
      </c>
      <c r="B427" s="92" t="s">
        <v>119</v>
      </c>
      <c r="C427" s="92">
        <v>2017</v>
      </c>
      <c r="D427" s="92" t="s">
        <v>275</v>
      </c>
      <c r="E427" s="92" t="s">
        <v>268</v>
      </c>
      <c r="F427" s="92"/>
    </row>
    <row r="428" spans="1:6">
      <c r="A428" s="92">
        <v>407297</v>
      </c>
      <c r="B428" s="92" t="s">
        <v>204</v>
      </c>
      <c r="C428" s="92">
        <v>2017</v>
      </c>
      <c r="D428" s="92" t="s">
        <v>267</v>
      </c>
      <c r="E428" s="92" t="s">
        <v>268</v>
      </c>
      <c r="F428" s="92">
        <v>227.98</v>
      </c>
    </row>
    <row r="429" spans="1:6">
      <c r="A429" s="92">
        <v>407298</v>
      </c>
      <c r="B429" s="92" t="s">
        <v>204</v>
      </c>
      <c r="C429" s="92">
        <v>2017</v>
      </c>
      <c r="D429" s="92" t="s">
        <v>272</v>
      </c>
      <c r="E429" s="92" t="s">
        <v>268</v>
      </c>
      <c r="F429" s="92">
        <v>166.97</v>
      </c>
    </row>
    <row r="430" spans="1:6">
      <c r="A430" s="92">
        <v>407299</v>
      </c>
      <c r="B430" s="92" t="s">
        <v>204</v>
      </c>
      <c r="C430" s="92">
        <v>2017</v>
      </c>
      <c r="D430" s="92" t="s">
        <v>273</v>
      </c>
      <c r="E430" s="92" t="s">
        <v>268</v>
      </c>
      <c r="F430" s="92"/>
    </row>
    <row r="431" spans="1:6">
      <c r="A431" s="92">
        <v>407512</v>
      </c>
      <c r="B431" s="92" t="s">
        <v>139</v>
      </c>
      <c r="C431" s="92">
        <v>2017</v>
      </c>
      <c r="D431" s="92" t="s">
        <v>275</v>
      </c>
      <c r="E431" s="92" t="s">
        <v>268</v>
      </c>
      <c r="F431" s="92"/>
    </row>
    <row r="432" spans="1:6">
      <c r="A432" s="92">
        <v>423402</v>
      </c>
      <c r="B432" s="92" t="s">
        <v>99</v>
      </c>
      <c r="C432" s="92">
        <v>2017</v>
      </c>
      <c r="D432" s="92" t="s">
        <v>275</v>
      </c>
      <c r="E432" s="92" t="s">
        <v>268</v>
      </c>
      <c r="F432" s="92"/>
    </row>
    <row r="433" spans="1:6">
      <c r="A433" s="92">
        <v>423467</v>
      </c>
      <c r="B433" s="92" t="s">
        <v>114</v>
      </c>
      <c r="C433" s="92">
        <v>2017</v>
      </c>
      <c r="D433" s="92" t="s">
        <v>267</v>
      </c>
      <c r="E433" s="92" t="s">
        <v>268</v>
      </c>
      <c r="F433" s="92">
        <v>19.22</v>
      </c>
    </row>
    <row r="434" spans="1:6">
      <c r="A434" s="92">
        <v>423468</v>
      </c>
      <c r="B434" s="92" t="s">
        <v>114</v>
      </c>
      <c r="C434" s="92">
        <v>2017</v>
      </c>
      <c r="D434" s="92" t="s">
        <v>272</v>
      </c>
      <c r="E434" s="92" t="s">
        <v>268</v>
      </c>
      <c r="F434" s="92">
        <v>779.66</v>
      </c>
    </row>
    <row r="435" spans="1:6">
      <c r="A435" s="92">
        <v>423469</v>
      </c>
      <c r="B435" s="92" t="s">
        <v>114</v>
      </c>
      <c r="C435" s="92">
        <v>2017</v>
      </c>
      <c r="D435" s="92" t="s">
        <v>273</v>
      </c>
      <c r="E435" s="92" t="s">
        <v>268</v>
      </c>
      <c r="F435" s="92"/>
    </row>
    <row r="436" spans="1:6">
      <c r="A436" s="92">
        <v>423682</v>
      </c>
      <c r="B436" s="92" t="s">
        <v>94</v>
      </c>
      <c r="C436" s="92">
        <v>2017</v>
      </c>
      <c r="D436" s="92" t="s">
        <v>275</v>
      </c>
      <c r="E436" s="92" t="s">
        <v>268</v>
      </c>
      <c r="F436" s="92">
        <v>-12.18</v>
      </c>
    </row>
    <row r="437" spans="1:6">
      <c r="A437" s="92">
        <v>439572</v>
      </c>
      <c r="B437" s="92" t="s">
        <v>219</v>
      </c>
      <c r="C437" s="92">
        <v>2017</v>
      </c>
      <c r="D437" s="92" t="s">
        <v>275</v>
      </c>
      <c r="E437" s="92" t="s">
        <v>268</v>
      </c>
      <c r="F437" s="92"/>
    </row>
    <row r="438" spans="1:6">
      <c r="A438" s="92">
        <v>439637</v>
      </c>
      <c r="B438" s="92" t="s">
        <v>184</v>
      </c>
      <c r="C438" s="92">
        <v>2017</v>
      </c>
      <c r="D438" s="92" t="s">
        <v>267</v>
      </c>
      <c r="E438" s="92" t="s">
        <v>268</v>
      </c>
      <c r="F438" s="92">
        <v>3215.54</v>
      </c>
    </row>
    <row r="439" spans="1:6">
      <c r="A439" s="92">
        <v>439638</v>
      </c>
      <c r="B439" s="92" t="s">
        <v>184</v>
      </c>
      <c r="C439" s="92">
        <v>2017</v>
      </c>
      <c r="D439" s="92" t="s">
        <v>272</v>
      </c>
      <c r="E439" s="92" t="s">
        <v>268</v>
      </c>
      <c r="F439" s="92">
        <v>65.24</v>
      </c>
    </row>
    <row r="440" spans="1:6">
      <c r="A440" s="92">
        <v>439639</v>
      </c>
      <c r="B440" s="92" t="s">
        <v>184</v>
      </c>
      <c r="C440" s="92">
        <v>2017</v>
      </c>
      <c r="D440" s="92" t="s">
        <v>273</v>
      </c>
      <c r="E440" s="92" t="s">
        <v>268</v>
      </c>
      <c r="F440" s="92"/>
    </row>
    <row r="441" spans="1:6">
      <c r="A441" s="92">
        <v>439852</v>
      </c>
      <c r="B441" s="92" t="s">
        <v>214</v>
      </c>
      <c r="C441" s="92">
        <v>2017</v>
      </c>
      <c r="D441" s="92" t="s">
        <v>275</v>
      </c>
      <c r="E441" s="92" t="s">
        <v>268</v>
      </c>
      <c r="F441" s="92"/>
    </row>
    <row r="442" spans="1:6">
      <c r="A442" s="92">
        <v>455742</v>
      </c>
      <c r="B442" s="92" t="s">
        <v>144</v>
      </c>
      <c r="C442" s="92">
        <v>2017</v>
      </c>
      <c r="D442" s="92" t="s">
        <v>275</v>
      </c>
      <c r="E442" s="92" t="s">
        <v>268</v>
      </c>
      <c r="F442" s="92"/>
    </row>
    <row r="443" spans="1:6">
      <c r="A443" s="92">
        <v>455807</v>
      </c>
      <c r="B443" s="92" t="s">
        <v>79</v>
      </c>
      <c r="C443" s="92">
        <v>2017</v>
      </c>
      <c r="D443" s="92" t="s">
        <v>267</v>
      </c>
      <c r="E443" s="92" t="s">
        <v>268</v>
      </c>
      <c r="F443" s="92">
        <v>12.18</v>
      </c>
    </row>
    <row r="444" spans="1:6">
      <c r="A444" s="92">
        <v>455808</v>
      </c>
      <c r="B444" s="92" t="s">
        <v>79</v>
      </c>
      <c r="C444" s="92">
        <v>2017</v>
      </c>
      <c r="D444" s="92" t="s">
        <v>272</v>
      </c>
      <c r="E444" s="92" t="s">
        <v>268</v>
      </c>
      <c r="F444" s="92">
        <v>232.97</v>
      </c>
    </row>
    <row r="445" spans="1:6">
      <c r="A445" s="92">
        <v>455809</v>
      </c>
      <c r="B445" s="92" t="s">
        <v>79</v>
      </c>
      <c r="C445" s="92">
        <v>2017</v>
      </c>
      <c r="D445" s="92" t="s">
        <v>273</v>
      </c>
      <c r="E445" s="92" t="s">
        <v>268</v>
      </c>
      <c r="F445" s="92"/>
    </row>
    <row r="446" spans="1:6">
      <c r="A446" s="92">
        <v>456022</v>
      </c>
      <c r="B446" s="92" t="s">
        <v>89</v>
      </c>
      <c r="C446" s="92">
        <v>2017</v>
      </c>
      <c r="D446" s="92" t="s">
        <v>275</v>
      </c>
      <c r="E446" s="92" t="s">
        <v>268</v>
      </c>
      <c r="F446" s="92"/>
    </row>
    <row r="447" spans="1:6">
      <c r="A447" s="92">
        <v>471912</v>
      </c>
      <c r="B447" s="92" t="s">
        <v>204</v>
      </c>
      <c r="C447" s="92">
        <v>2017</v>
      </c>
      <c r="D447" s="92" t="s">
        <v>275</v>
      </c>
      <c r="E447" s="92" t="s">
        <v>268</v>
      </c>
      <c r="F447" s="92"/>
    </row>
    <row r="448" spans="1:6">
      <c r="A448" s="92">
        <v>471977</v>
      </c>
      <c r="B448" s="92" t="s">
        <v>224</v>
      </c>
      <c r="C448" s="92">
        <v>2017</v>
      </c>
      <c r="D448" s="92" t="s">
        <v>267</v>
      </c>
      <c r="E448" s="92" t="s">
        <v>268</v>
      </c>
      <c r="F448" s="92">
        <v>641.9</v>
      </c>
    </row>
    <row r="449" spans="1:6">
      <c r="A449" s="92">
        <v>471978</v>
      </c>
      <c r="B449" s="92" t="s">
        <v>224</v>
      </c>
      <c r="C449" s="92">
        <v>2017</v>
      </c>
      <c r="D449" s="92" t="s">
        <v>272</v>
      </c>
      <c r="E449" s="92" t="s">
        <v>268</v>
      </c>
      <c r="F449" s="92">
        <v>3.96</v>
      </c>
    </row>
    <row r="450" spans="1:6">
      <c r="A450" s="92">
        <v>471979</v>
      </c>
      <c r="B450" s="92" t="s">
        <v>224</v>
      </c>
      <c r="C450" s="92">
        <v>2017</v>
      </c>
      <c r="D450" s="92" t="s">
        <v>273</v>
      </c>
      <c r="E450" s="92" t="s">
        <v>268</v>
      </c>
      <c r="F450" s="92"/>
    </row>
    <row r="451" spans="1:6">
      <c r="A451" s="92">
        <v>472192</v>
      </c>
      <c r="B451" s="92" t="s">
        <v>114</v>
      </c>
      <c r="C451" s="92">
        <v>2017</v>
      </c>
      <c r="D451" s="92" t="s">
        <v>275</v>
      </c>
      <c r="E451" s="92" t="s">
        <v>268</v>
      </c>
      <c r="F451" s="92"/>
    </row>
    <row r="452" spans="1:6">
      <c r="A452" s="92">
        <v>488082</v>
      </c>
      <c r="B452" s="92" t="s">
        <v>184</v>
      </c>
      <c r="C452" s="92">
        <v>2017</v>
      </c>
      <c r="D452" s="92" t="s">
        <v>275</v>
      </c>
      <c r="E452" s="92" t="s">
        <v>268</v>
      </c>
      <c r="F452" s="92"/>
    </row>
    <row r="453" spans="1:6">
      <c r="A453" s="92">
        <v>488147</v>
      </c>
      <c r="B453" s="92" t="s">
        <v>194</v>
      </c>
      <c r="C453" s="92">
        <v>2017</v>
      </c>
      <c r="D453" s="92" t="s">
        <v>267</v>
      </c>
      <c r="E453" s="92" t="s">
        <v>268</v>
      </c>
      <c r="F453" s="92">
        <v>2715.41</v>
      </c>
    </row>
    <row r="454" spans="1:6">
      <c r="A454" s="92">
        <v>488148</v>
      </c>
      <c r="B454" s="92" t="s">
        <v>194</v>
      </c>
      <c r="C454" s="92">
        <v>2017</v>
      </c>
      <c r="D454" s="92" t="s">
        <v>272</v>
      </c>
      <c r="E454" s="92" t="s">
        <v>268</v>
      </c>
      <c r="F454" s="92">
        <v>0.27</v>
      </c>
    </row>
    <row r="455" spans="1:6">
      <c r="A455" s="92">
        <v>488149</v>
      </c>
      <c r="B455" s="92" t="s">
        <v>194</v>
      </c>
      <c r="C455" s="92">
        <v>2017</v>
      </c>
      <c r="D455" s="92" t="s">
        <v>273</v>
      </c>
      <c r="E455" s="92" t="s">
        <v>268</v>
      </c>
      <c r="F455" s="92">
        <v>14.08</v>
      </c>
    </row>
    <row r="456" spans="1:6">
      <c r="A456" s="92">
        <v>488362</v>
      </c>
      <c r="B456" s="92" t="s">
        <v>79</v>
      </c>
      <c r="C456" s="92">
        <v>2017</v>
      </c>
      <c r="D456" s="92" t="s">
        <v>275</v>
      </c>
      <c r="E456" s="92" t="s">
        <v>268</v>
      </c>
      <c r="F456" s="92"/>
    </row>
    <row r="457" spans="1:6">
      <c r="A457" s="92">
        <v>504252</v>
      </c>
      <c r="B457" s="92" t="s">
        <v>224</v>
      </c>
      <c r="C457" s="92">
        <v>2017</v>
      </c>
      <c r="D457" s="92" t="s">
        <v>275</v>
      </c>
      <c r="E457" s="92" t="s">
        <v>268</v>
      </c>
      <c r="F457" s="92"/>
    </row>
    <row r="458" spans="1:6">
      <c r="A458" s="92">
        <v>504317</v>
      </c>
      <c r="B458" s="92" t="s">
        <v>124</v>
      </c>
      <c r="C458" s="92">
        <v>2017</v>
      </c>
      <c r="D458" s="92" t="s">
        <v>267</v>
      </c>
      <c r="E458" s="92" t="s">
        <v>268</v>
      </c>
      <c r="F458" s="92">
        <v>757.82</v>
      </c>
    </row>
    <row r="459" spans="1:6">
      <c r="A459" s="92">
        <v>504318</v>
      </c>
      <c r="B459" s="92" t="s">
        <v>124</v>
      </c>
      <c r="C459" s="92">
        <v>2017</v>
      </c>
      <c r="D459" s="92" t="s">
        <v>272</v>
      </c>
      <c r="E459" s="92" t="s">
        <v>268</v>
      </c>
      <c r="F459" s="92">
        <v>1040.78</v>
      </c>
    </row>
    <row r="460" spans="1:6">
      <c r="A460" s="92">
        <v>504319</v>
      </c>
      <c r="B460" s="92" t="s">
        <v>124</v>
      </c>
      <c r="C460" s="92">
        <v>2017</v>
      </c>
      <c r="D460" s="92" t="s">
        <v>273</v>
      </c>
      <c r="E460" s="92" t="s">
        <v>268</v>
      </c>
      <c r="F460" s="92"/>
    </row>
    <row r="461" spans="1:6">
      <c r="A461" s="92">
        <v>504532</v>
      </c>
      <c r="B461" s="92" t="s">
        <v>194</v>
      </c>
      <c r="C461" s="92">
        <v>2017</v>
      </c>
      <c r="D461" s="92" t="s">
        <v>275</v>
      </c>
      <c r="E461" s="92" t="s">
        <v>268</v>
      </c>
      <c r="F461" s="92">
        <v>-15.65</v>
      </c>
    </row>
    <row r="462" spans="1:6">
      <c r="A462" s="92">
        <v>520422</v>
      </c>
      <c r="B462" s="92" t="s">
        <v>124</v>
      </c>
      <c r="C462" s="92">
        <v>2017</v>
      </c>
      <c r="D462" s="92" t="s">
        <v>275</v>
      </c>
      <c r="E462" s="92" t="s">
        <v>268</v>
      </c>
      <c r="F462" s="92"/>
    </row>
    <row r="463" spans="1:6">
      <c r="A463" s="92">
        <v>520487</v>
      </c>
      <c r="B463" s="92" t="s">
        <v>179</v>
      </c>
      <c r="C463" s="92">
        <v>2017</v>
      </c>
      <c r="D463" s="92" t="s">
        <v>267</v>
      </c>
      <c r="E463" s="92" t="s">
        <v>268</v>
      </c>
      <c r="F463" s="92">
        <v>259.2</v>
      </c>
    </row>
    <row r="464" spans="1:6">
      <c r="A464" s="92">
        <v>520488</v>
      </c>
      <c r="B464" s="92" t="s">
        <v>179</v>
      </c>
      <c r="C464" s="92">
        <v>2017</v>
      </c>
      <c r="D464" s="92" t="s">
        <v>272</v>
      </c>
      <c r="E464" s="92" t="s">
        <v>268</v>
      </c>
      <c r="F464" s="92">
        <v>292.16</v>
      </c>
    </row>
    <row r="465" spans="1:6">
      <c r="A465" s="92">
        <v>520489</v>
      </c>
      <c r="B465" s="92" t="s">
        <v>179</v>
      </c>
      <c r="C465" s="92">
        <v>2017</v>
      </c>
      <c r="D465" s="92" t="s">
        <v>273</v>
      </c>
      <c r="E465" s="92" t="s">
        <v>268</v>
      </c>
      <c r="F465" s="92"/>
    </row>
    <row r="466" spans="1:6">
      <c r="A466" s="92">
        <v>520702</v>
      </c>
      <c r="B466" s="92" t="s">
        <v>179</v>
      </c>
      <c r="C466" s="92">
        <v>2017</v>
      </c>
      <c r="D466" s="92" t="s">
        <v>275</v>
      </c>
      <c r="E466" s="92" t="s">
        <v>268</v>
      </c>
      <c r="F466" s="92"/>
    </row>
    <row r="467" spans="1:6">
      <c r="A467" s="92">
        <v>50402</v>
      </c>
      <c r="B467" s="92" t="s">
        <v>70</v>
      </c>
      <c r="C467" s="92">
        <v>2018</v>
      </c>
      <c r="D467" s="92" t="s">
        <v>267</v>
      </c>
      <c r="E467" s="92" t="s">
        <v>268</v>
      </c>
      <c r="F467" s="92">
        <v>20698.15</v>
      </c>
    </row>
    <row r="468" spans="1:6">
      <c r="A468" s="92">
        <v>50403</v>
      </c>
      <c r="B468" s="92" t="s">
        <v>70</v>
      </c>
      <c r="C468" s="92">
        <v>2018</v>
      </c>
      <c r="D468" s="92" t="s">
        <v>272</v>
      </c>
      <c r="E468" s="92" t="s">
        <v>268</v>
      </c>
      <c r="F468" s="92"/>
    </row>
    <row r="469" spans="1:6">
      <c r="A469" s="92">
        <v>50404</v>
      </c>
      <c r="B469" s="92" t="s">
        <v>70</v>
      </c>
      <c r="C469" s="92">
        <v>2018</v>
      </c>
      <c r="D469" s="92" t="s">
        <v>273</v>
      </c>
      <c r="E469" s="92" t="s">
        <v>268</v>
      </c>
      <c r="F469" s="92">
        <v>56.88</v>
      </c>
    </row>
    <row r="470" spans="1:6">
      <c r="A470" s="92">
        <v>50406</v>
      </c>
      <c r="B470" s="92" t="s">
        <v>70</v>
      </c>
      <c r="C470" s="92">
        <v>2018</v>
      </c>
      <c r="D470" s="92" t="s">
        <v>274</v>
      </c>
      <c r="E470" s="92" t="s">
        <v>268</v>
      </c>
      <c r="F470" s="92"/>
    </row>
    <row r="471" spans="1:6">
      <c r="A471" s="92">
        <v>50407</v>
      </c>
      <c r="B471" s="92" t="s">
        <v>70</v>
      </c>
      <c r="C471" s="92">
        <v>2018</v>
      </c>
      <c r="D471" s="92" t="s">
        <v>275</v>
      </c>
      <c r="E471" s="92" t="s">
        <v>268</v>
      </c>
      <c r="F471" s="92">
        <v>-209.06</v>
      </c>
    </row>
    <row r="472" spans="1:6">
      <c r="A472" s="92">
        <v>51491</v>
      </c>
      <c r="B472" s="92" t="s">
        <v>129</v>
      </c>
      <c r="C472" s="92">
        <v>2018</v>
      </c>
      <c r="D472" s="92" t="s">
        <v>274</v>
      </c>
      <c r="E472" s="92" t="s">
        <v>268</v>
      </c>
      <c r="F472" s="92">
        <v>-689.86</v>
      </c>
    </row>
    <row r="473" spans="1:6">
      <c r="A473" s="92">
        <v>51522</v>
      </c>
      <c r="B473" s="92" t="s">
        <v>129</v>
      </c>
      <c r="C473" s="92">
        <v>2018</v>
      </c>
      <c r="D473" s="92" t="s">
        <v>267</v>
      </c>
      <c r="E473" s="92" t="s">
        <v>268</v>
      </c>
      <c r="F473" s="92">
        <v>207.52</v>
      </c>
    </row>
    <row r="474" spans="1:6">
      <c r="A474" s="92">
        <v>51523</v>
      </c>
      <c r="B474" s="92" t="s">
        <v>129</v>
      </c>
      <c r="C474" s="92">
        <v>2018</v>
      </c>
      <c r="D474" s="92" t="s">
        <v>272</v>
      </c>
      <c r="E474" s="92" t="s">
        <v>268</v>
      </c>
      <c r="F474" s="92">
        <v>83.71</v>
      </c>
    </row>
    <row r="475" spans="1:6">
      <c r="A475" s="92">
        <v>51524</v>
      </c>
      <c r="B475" s="92" t="s">
        <v>129</v>
      </c>
      <c r="C475" s="92">
        <v>2018</v>
      </c>
      <c r="D475" s="92" t="s">
        <v>273</v>
      </c>
      <c r="E475" s="92" t="s">
        <v>268</v>
      </c>
      <c r="F475" s="92"/>
    </row>
    <row r="476" spans="1:6">
      <c r="A476" s="92">
        <v>51771</v>
      </c>
      <c r="B476" s="92" t="s">
        <v>74</v>
      </c>
      <c r="C476" s="92">
        <v>2018</v>
      </c>
      <c r="D476" s="92" t="s">
        <v>274</v>
      </c>
      <c r="E476" s="92" t="s">
        <v>268</v>
      </c>
      <c r="F476" s="92">
        <v>-6.84</v>
      </c>
    </row>
    <row r="477" spans="1:6">
      <c r="A477" s="92">
        <v>67661</v>
      </c>
      <c r="B477" s="92" t="s">
        <v>134</v>
      </c>
      <c r="C477" s="92">
        <v>2018</v>
      </c>
      <c r="D477" s="92" t="s">
        <v>274</v>
      </c>
      <c r="E477" s="92" t="s">
        <v>268</v>
      </c>
      <c r="F477" s="92">
        <v>-149.36</v>
      </c>
    </row>
    <row r="478" spans="1:6">
      <c r="A478" s="92">
        <v>67692</v>
      </c>
      <c r="B478" s="92" t="s">
        <v>74</v>
      </c>
      <c r="C478" s="92">
        <v>2018</v>
      </c>
      <c r="D478" s="92" t="s">
        <v>267</v>
      </c>
      <c r="E478" s="92" t="s">
        <v>268</v>
      </c>
      <c r="F478" s="92">
        <v>16.46</v>
      </c>
    </row>
    <row r="479" spans="1:6">
      <c r="A479" s="92">
        <v>67693</v>
      </c>
      <c r="B479" s="92" t="s">
        <v>74</v>
      </c>
      <c r="C479" s="92">
        <v>2018</v>
      </c>
      <c r="D479" s="92" t="s">
        <v>272</v>
      </c>
      <c r="E479" s="92" t="s">
        <v>268</v>
      </c>
      <c r="F479" s="92">
        <v>700.29</v>
      </c>
    </row>
    <row r="480" spans="1:6">
      <c r="A480" s="92">
        <v>67694</v>
      </c>
      <c r="B480" s="92" t="s">
        <v>74</v>
      </c>
      <c r="C480" s="92">
        <v>2018</v>
      </c>
      <c r="D480" s="92" t="s">
        <v>273</v>
      </c>
      <c r="E480" s="92" t="s">
        <v>268</v>
      </c>
      <c r="F480" s="92"/>
    </row>
    <row r="481" spans="1:6">
      <c r="A481" s="92">
        <v>67941</v>
      </c>
      <c r="B481" s="92" t="s">
        <v>209</v>
      </c>
      <c r="C481" s="92">
        <v>2018</v>
      </c>
      <c r="D481" s="92" t="s">
        <v>274</v>
      </c>
      <c r="E481" s="92" t="s">
        <v>268</v>
      </c>
      <c r="F481" s="92">
        <v>-610.27</v>
      </c>
    </row>
    <row r="482" spans="1:6">
      <c r="A482" s="92">
        <v>83862</v>
      </c>
      <c r="B482" s="92" t="s">
        <v>134</v>
      </c>
      <c r="C482" s="92">
        <v>2018</v>
      </c>
      <c r="D482" s="92" t="s">
        <v>267</v>
      </c>
      <c r="E482" s="92" t="s">
        <v>268</v>
      </c>
      <c r="F482" s="92">
        <v>1056.75</v>
      </c>
    </row>
    <row r="483" spans="1:6">
      <c r="A483" s="92">
        <v>83863</v>
      </c>
      <c r="B483" s="92" t="s">
        <v>134</v>
      </c>
      <c r="C483" s="92">
        <v>2018</v>
      </c>
      <c r="D483" s="92" t="s">
        <v>272</v>
      </c>
      <c r="E483" s="92" t="s">
        <v>268</v>
      </c>
      <c r="F483" s="92">
        <v>1.3</v>
      </c>
    </row>
    <row r="484" spans="1:6">
      <c r="A484" s="92">
        <v>83864</v>
      </c>
      <c r="B484" s="92" t="s">
        <v>134</v>
      </c>
      <c r="C484" s="92">
        <v>2018</v>
      </c>
      <c r="D484" s="92" t="s">
        <v>273</v>
      </c>
      <c r="E484" s="92" t="s">
        <v>268</v>
      </c>
      <c r="F484" s="92"/>
    </row>
    <row r="485" spans="1:6">
      <c r="A485" s="92">
        <v>84007</v>
      </c>
      <c r="B485" s="92" t="s">
        <v>164</v>
      </c>
      <c r="C485" s="92">
        <v>2018</v>
      </c>
      <c r="D485" s="92" t="s">
        <v>274</v>
      </c>
      <c r="E485" s="92" t="s">
        <v>268</v>
      </c>
      <c r="F485" s="92"/>
    </row>
    <row r="486" spans="1:6">
      <c r="A486" s="92">
        <v>84111</v>
      </c>
      <c r="B486" s="92" t="s">
        <v>169</v>
      </c>
      <c r="C486" s="92">
        <v>2018</v>
      </c>
      <c r="D486" s="92" t="s">
        <v>274</v>
      </c>
      <c r="E486" s="92" t="s">
        <v>268</v>
      </c>
      <c r="F486" s="92">
        <v>-210.31</v>
      </c>
    </row>
    <row r="487" spans="1:6">
      <c r="A487" s="92">
        <v>100001</v>
      </c>
      <c r="B487" s="92" t="s">
        <v>189</v>
      </c>
      <c r="C487" s="92">
        <v>2018</v>
      </c>
      <c r="D487" s="92" t="s">
        <v>274</v>
      </c>
      <c r="E487" s="92" t="s">
        <v>268</v>
      </c>
      <c r="F487" s="92">
        <v>-634.99</v>
      </c>
    </row>
    <row r="488" spans="1:6">
      <c r="A488" s="92">
        <v>100032</v>
      </c>
      <c r="B488" s="92" t="s">
        <v>209</v>
      </c>
      <c r="C488" s="92">
        <v>2018</v>
      </c>
      <c r="D488" s="92" t="s">
        <v>267</v>
      </c>
      <c r="E488" s="92" t="s">
        <v>268</v>
      </c>
      <c r="F488" s="92">
        <v>769.02</v>
      </c>
    </row>
    <row r="489" spans="1:6">
      <c r="A489" s="92">
        <v>100033</v>
      </c>
      <c r="B489" s="92" t="s">
        <v>209</v>
      </c>
      <c r="C489" s="92">
        <v>2018</v>
      </c>
      <c r="D489" s="92" t="s">
        <v>272</v>
      </c>
      <c r="E489" s="92" t="s">
        <v>268</v>
      </c>
      <c r="F489" s="92">
        <v>301.16</v>
      </c>
    </row>
    <row r="490" spans="1:6">
      <c r="A490" s="92">
        <v>100034</v>
      </c>
      <c r="B490" s="92" t="s">
        <v>209</v>
      </c>
      <c r="C490" s="92">
        <v>2018</v>
      </c>
      <c r="D490" s="92" t="s">
        <v>273</v>
      </c>
      <c r="E490" s="92" t="s">
        <v>268</v>
      </c>
      <c r="F490" s="92"/>
    </row>
    <row r="491" spans="1:6">
      <c r="A491" s="92">
        <v>100281</v>
      </c>
      <c r="B491" s="92" t="s">
        <v>174</v>
      </c>
      <c r="C491" s="92">
        <v>2018</v>
      </c>
      <c r="D491" s="92" t="s">
        <v>274</v>
      </c>
      <c r="E491" s="92" t="s">
        <v>268</v>
      </c>
      <c r="F491" s="92">
        <v>-0.89</v>
      </c>
    </row>
    <row r="492" spans="1:6">
      <c r="A492" s="92">
        <v>116137</v>
      </c>
      <c r="B492" s="92" t="s">
        <v>164</v>
      </c>
      <c r="C492" s="92">
        <v>2018</v>
      </c>
      <c r="D492" s="92" t="s">
        <v>272</v>
      </c>
      <c r="E492" s="92" t="s">
        <v>268</v>
      </c>
      <c r="F492" s="92">
        <v>1748.47</v>
      </c>
    </row>
    <row r="493" spans="1:6">
      <c r="A493" s="92">
        <v>116202</v>
      </c>
      <c r="B493" s="92" t="s">
        <v>164</v>
      </c>
      <c r="C493" s="92">
        <v>2018</v>
      </c>
      <c r="D493" s="92" t="s">
        <v>267</v>
      </c>
      <c r="E493" s="92" t="s">
        <v>268</v>
      </c>
      <c r="F493" s="92">
        <v>1276.12</v>
      </c>
    </row>
    <row r="494" spans="1:6">
      <c r="A494" s="92">
        <v>116204</v>
      </c>
      <c r="B494" s="92" t="s">
        <v>164</v>
      </c>
      <c r="C494" s="92">
        <v>2018</v>
      </c>
      <c r="D494" s="92" t="s">
        <v>273</v>
      </c>
      <c r="E494" s="92" t="s">
        <v>268</v>
      </c>
      <c r="F494" s="92">
        <v>6.02</v>
      </c>
    </row>
    <row r="495" spans="1:6">
      <c r="A495" s="92">
        <v>116343</v>
      </c>
      <c r="B495" s="92" t="s">
        <v>84</v>
      </c>
      <c r="C495" s="92">
        <v>2018</v>
      </c>
      <c r="D495" s="92" t="s">
        <v>274</v>
      </c>
      <c r="E495" s="92" t="s">
        <v>268</v>
      </c>
      <c r="F495" s="92"/>
    </row>
    <row r="496" spans="1:6">
      <c r="A496" s="92">
        <v>116521</v>
      </c>
      <c r="B496" s="92" t="s">
        <v>149</v>
      </c>
      <c r="C496" s="92">
        <v>2018</v>
      </c>
      <c r="D496" s="92" t="s">
        <v>274</v>
      </c>
      <c r="E496" s="92" t="s">
        <v>268</v>
      </c>
      <c r="F496" s="92">
        <v>-32.96</v>
      </c>
    </row>
    <row r="497" spans="1:6">
      <c r="A497" s="92">
        <v>132341</v>
      </c>
      <c r="B497" s="92" t="s">
        <v>109</v>
      </c>
      <c r="C497" s="92">
        <v>2018</v>
      </c>
      <c r="D497" s="92" t="s">
        <v>274</v>
      </c>
      <c r="E497" s="92" t="s">
        <v>268</v>
      </c>
      <c r="F497" s="92">
        <v>-160.34</v>
      </c>
    </row>
    <row r="498" spans="1:6">
      <c r="A498" s="92">
        <v>132372</v>
      </c>
      <c r="B498" s="92" t="s">
        <v>169</v>
      </c>
      <c r="C498" s="92">
        <v>2018</v>
      </c>
      <c r="D498" s="92" t="s">
        <v>267</v>
      </c>
      <c r="E498" s="92" t="s">
        <v>268</v>
      </c>
      <c r="F498" s="92">
        <v>920.87</v>
      </c>
    </row>
    <row r="499" spans="1:6">
      <c r="A499" s="92">
        <v>132373</v>
      </c>
      <c r="B499" s="92" t="s">
        <v>169</v>
      </c>
      <c r="C499" s="92">
        <v>2018</v>
      </c>
      <c r="D499" s="92" t="s">
        <v>272</v>
      </c>
      <c r="E499" s="92" t="s">
        <v>268</v>
      </c>
      <c r="F499" s="92">
        <v>205.99</v>
      </c>
    </row>
    <row r="500" spans="1:6">
      <c r="A500" s="92">
        <v>132374</v>
      </c>
      <c r="B500" s="92" t="s">
        <v>169</v>
      </c>
      <c r="C500" s="92">
        <v>2018</v>
      </c>
      <c r="D500" s="92" t="s">
        <v>273</v>
      </c>
      <c r="E500" s="92" t="s">
        <v>268</v>
      </c>
      <c r="F500" s="92"/>
    </row>
    <row r="501" spans="1:6">
      <c r="A501" s="92">
        <v>132621</v>
      </c>
      <c r="B501" s="92" t="s">
        <v>154</v>
      </c>
      <c r="C501" s="92">
        <v>2018</v>
      </c>
      <c r="D501" s="92" t="s">
        <v>274</v>
      </c>
      <c r="E501" s="92" t="s">
        <v>268</v>
      </c>
      <c r="F501" s="92">
        <v>-867.34</v>
      </c>
    </row>
    <row r="502" spans="1:6">
      <c r="A502" s="92">
        <v>148511</v>
      </c>
      <c r="B502" s="92" t="s">
        <v>159</v>
      </c>
      <c r="C502" s="92">
        <v>2018</v>
      </c>
      <c r="D502" s="92" t="s">
        <v>274</v>
      </c>
      <c r="E502" s="92" t="s">
        <v>268</v>
      </c>
      <c r="F502" s="92">
        <v>-73.28</v>
      </c>
    </row>
    <row r="503" spans="1:6">
      <c r="A503" s="92">
        <v>148542</v>
      </c>
      <c r="B503" s="92" t="s">
        <v>189</v>
      </c>
      <c r="C503" s="92">
        <v>2018</v>
      </c>
      <c r="D503" s="92" t="s">
        <v>267</v>
      </c>
      <c r="E503" s="92" t="s">
        <v>268</v>
      </c>
      <c r="F503" s="92">
        <v>854.31</v>
      </c>
    </row>
    <row r="504" spans="1:6">
      <c r="A504" s="92">
        <v>148543</v>
      </c>
      <c r="B504" s="92" t="s">
        <v>189</v>
      </c>
      <c r="C504" s="92">
        <v>2018</v>
      </c>
      <c r="D504" s="92" t="s">
        <v>272</v>
      </c>
      <c r="E504" s="92" t="s">
        <v>268</v>
      </c>
      <c r="F504" s="92">
        <v>0.07</v>
      </c>
    </row>
    <row r="505" spans="1:6">
      <c r="A505" s="92">
        <v>148544</v>
      </c>
      <c r="B505" s="92" t="s">
        <v>189</v>
      </c>
      <c r="C505" s="92">
        <v>2018</v>
      </c>
      <c r="D505" s="92" t="s">
        <v>273</v>
      </c>
      <c r="E505" s="92" t="s">
        <v>268</v>
      </c>
      <c r="F505" s="92"/>
    </row>
    <row r="506" spans="1:6">
      <c r="A506" s="92">
        <v>148791</v>
      </c>
      <c r="B506" s="92" t="s">
        <v>104</v>
      </c>
      <c r="C506" s="92">
        <v>2018</v>
      </c>
      <c r="D506" s="92" t="s">
        <v>274</v>
      </c>
      <c r="E506" s="92" t="s">
        <v>268</v>
      </c>
      <c r="F506" s="92">
        <v>-280.03</v>
      </c>
    </row>
    <row r="507" spans="1:6">
      <c r="A507" s="92">
        <v>164681</v>
      </c>
      <c r="B507" s="92" t="s">
        <v>119</v>
      </c>
      <c r="C507" s="92">
        <v>2018</v>
      </c>
      <c r="D507" s="92" t="s">
        <v>274</v>
      </c>
      <c r="E507" s="92" t="s">
        <v>268</v>
      </c>
      <c r="F507" s="92">
        <v>-141.69</v>
      </c>
    </row>
    <row r="508" spans="1:6">
      <c r="A508" s="92">
        <v>164712</v>
      </c>
      <c r="B508" s="92" t="s">
        <v>174</v>
      </c>
      <c r="C508" s="92">
        <v>2018</v>
      </c>
      <c r="D508" s="92" t="s">
        <v>267</v>
      </c>
      <c r="E508" s="92" t="s">
        <v>268</v>
      </c>
      <c r="F508" s="92">
        <v>114.13</v>
      </c>
    </row>
    <row r="509" spans="1:6">
      <c r="A509" s="92">
        <v>164713</v>
      </c>
      <c r="B509" s="92" t="s">
        <v>174</v>
      </c>
      <c r="C509" s="92">
        <v>2018</v>
      </c>
      <c r="D509" s="92" t="s">
        <v>272</v>
      </c>
      <c r="E509" s="92" t="s">
        <v>268</v>
      </c>
      <c r="F509" s="92">
        <v>2.19</v>
      </c>
    </row>
    <row r="510" spans="1:6">
      <c r="A510" s="92">
        <v>164714</v>
      </c>
      <c r="B510" s="92" t="s">
        <v>174</v>
      </c>
      <c r="C510" s="92">
        <v>2018</v>
      </c>
      <c r="D510" s="92" t="s">
        <v>273</v>
      </c>
      <c r="E510" s="92" t="s">
        <v>268</v>
      </c>
      <c r="F510" s="92"/>
    </row>
    <row r="511" spans="1:6">
      <c r="A511" s="92">
        <v>164961</v>
      </c>
      <c r="B511" s="92" t="s">
        <v>139</v>
      </c>
      <c r="C511" s="92">
        <v>2018</v>
      </c>
      <c r="D511" s="92" t="s">
        <v>274</v>
      </c>
      <c r="E511" s="92" t="s">
        <v>268</v>
      </c>
      <c r="F511" s="92"/>
    </row>
    <row r="512" spans="1:6">
      <c r="A512" s="92">
        <v>180851</v>
      </c>
      <c r="B512" s="92" t="s">
        <v>99</v>
      </c>
      <c r="C512" s="92">
        <v>2018</v>
      </c>
      <c r="D512" s="92" t="s">
        <v>274</v>
      </c>
      <c r="E512" s="92" t="s">
        <v>268</v>
      </c>
      <c r="F512" s="92">
        <v>-302.83</v>
      </c>
    </row>
    <row r="513" spans="1:6">
      <c r="A513" s="92">
        <v>180882</v>
      </c>
      <c r="B513" s="92" t="s">
        <v>84</v>
      </c>
      <c r="C513" s="92">
        <v>2018</v>
      </c>
      <c r="D513" s="92" t="s">
        <v>267</v>
      </c>
      <c r="E513" s="92" t="s">
        <v>268</v>
      </c>
      <c r="F513" s="92">
        <v>415.94</v>
      </c>
    </row>
    <row r="514" spans="1:6">
      <c r="A514" s="92">
        <v>180883</v>
      </c>
      <c r="B514" s="92" t="s">
        <v>84</v>
      </c>
      <c r="C514" s="92">
        <v>2018</v>
      </c>
      <c r="D514" s="92" t="s">
        <v>272</v>
      </c>
      <c r="E514" s="92" t="s">
        <v>268</v>
      </c>
      <c r="F514" s="92">
        <v>785.54</v>
      </c>
    </row>
    <row r="515" spans="1:6">
      <c r="A515" s="92">
        <v>180884</v>
      </c>
      <c r="B515" s="92" t="s">
        <v>84</v>
      </c>
      <c r="C515" s="92">
        <v>2018</v>
      </c>
      <c r="D515" s="92" t="s">
        <v>273</v>
      </c>
      <c r="E515" s="92" t="s">
        <v>268</v>
      </c>
      <c r="F515" s="92"/>
    </row>
    <row r="516" spans="1:6">
      <c r="A516" s="92">
        <v>181131</v>
      </c>
      <c r="B516" s="92" t="s">
        <v>94</v>
      </c>
      <c r="C516" s="92">
        <v>2018</v>
      </c>
      <c r="D516" s="92" t="s">
        <v>274</v>
      </c>
      <c r="E516" s="92" t="s">
        <v>268</v>
      </c>
      <c r="F516" s="92">
        <v>-1746.27</v>
      </c>
    </row>
    <row r="517" spans="1:6">
      <c r="A517" s="92">
        <v>197021</v>
      </c>
      <c r="B517" s="92" t="s">
        <v>219</v>
      </c>
      <c r="C517" s="92">
        <v>2018</v>
      </c>
      <c r="D517" s="92" t="s">
        <v>274</v>
      </c>
      <c r="E517" s="92" t="s">
        <v>268</v>
      </c>
      <c r="F517" s="92">
        <v>-730.42</v>
      </c>
    </row>
    <row r="518" spans="1:6">
      <c r="A518" s="92">
        <v>197052</v>
      </c>
      <c r="B518" s="92" t="s">
        <v>149</v>
      </c>
      <c r="C518" s="92">
        <v>2018</v>
      </c>
      <c r="D518" s="92" t="s">
        <v>267</v>
      </c>
      <c r="E518" s="92" t="s">
        <v>268</v>
      </c>
      <c r="F518" s="92">
        <v>284.61</v>
      </c>
    </row>
    <row r="519" spans="1:6">
      <c r="A519" s="92">
        <v>197053</v>
      </c>
      <c r="B519" s="92" t="s">
        <v>149</v>
      </c>
      <c r="C519" s="92">
        <v>2018</v>
      </c>
      <c r="D519" s="92" t="s">
        <v>272</v>
      </c>
      <c r="E519" s="92" t="s">
        <v>268</v>
      </c>
      <c r="F519" s="92">
        <v>633.42</v>
      </c>
    </row>
    <row r="520" spans="1:6">
      <c r="A520" s="92">
        <v>197054</v>
      </c>
      <c r="B520" s="92" t="s">
        <v>149</v>
      </c>
      <c r="C520" s="92">
        <v>2018</v>
      </c>
      <c r="D520" s="92" t="s">
        <v>273</v>
      </c>
      <c r="E520" s="92" t="s">
        <v>268</v>
      </c>
      <c r="F520" s="92"/>
    </row>
    <row r="521" spans="1:6">
      <c r="A521" s="92">
        <v>197301</v>
      </c>
      <c r="B521" s="92" t="s">
        <v>214</v>
      </c>
      <c r="C521" s="92">
        <v>2018</v>
      </c>
      <c r="D521" s="92" t="s">
        <v>274</v>
      </c>
      <c r="E521" s="92" t="s">
        <v>268</v>
      </c>
      <c r="F521" s="92">
        <v>-157.17</v>
      </c>
    </row>
    <row r="522" spans="1:6">
      <c r="A522" s="92">
        <v>213191</v>
      </c>
      <c r="B522" s="92" t="s">
        <v>144</v>
      </c>
      <c r="C522" s="92">
        <v>2018</v>
      </c>
      <c r="D522" s="92" t="s">
        <v>274</v>
      </c>
      <c r="E522" s="92" t="s">
        <v>268</v>
      </c>
      <c r="F522" s="92">
        <v>-12</v>
      </c>
    </row>
    <row r="523" spans="1:6">
      <c r="A523" s="92">
        <v>213222</v>
      </c>
      <c r="B523" s="92" t="s">
        <v>109</v>
      </c>
      <c r="C523" s="92">
        <v>2018</v>
      </c>
      <c r="D523" s="92" t="s">
        <v>267</v>
      </c>
      <c r="E523" s="92" t="s">
        <v>268</v>
      </c>
      <c r="F523" s="92">
        <v>170.67</v>
      </c>
    </row>
    <row r="524" spans="1:6">
      <c r="A524" s="92">
        <v>213223</v>
      </c>
      <c r="B524" s="92" t="s">
        <v>109</v>
      </c>
      <c r="C524" s="92">
        <v>2018</v>
      </c>
      <c r="D524" s="92" t="s">
        <v>272</v>
      </c>
      <c r="E524" s="92" t="s">
        <v>268</v>
      </c>
      <c r="F524" s="92">
        <v>74.19</v>
      </c>
    </row>
    <row r="525" spans="1:6">
      <c r="A525" s="92">
        <v>213224</v>
      </c>
      <c r="B525" s="92" t="s">
        <v>109</v>
      </c>
      <c r="C525" s="92">
        <v>2018</v>
      </c>
      <c r="D525" s="92" t="s">
        <v>273</v>
      </c>
      <c r="E525" s="92" t="s">
        <v>268</v>
      </c>
      <c r="F525" s="92">
        <v>30.77</v>
      </c>
    </row>
    <row r="526" spans="1:6">
      <c r="A526" s="92">
        <v>213471</v>
      </c>
      <c r="B526" s="92" t="s">
        <v>89</v>
      </c>
      <c r="C526" s="92">
        <v>2018</v>
      </c>
      <c r="D526" s="92" t="s">
        <v>274</v>
      </c>
      <c r="E526" s="92" t="s">
        <v>268</v>
      </c>
      <c r="F526" s="92">
        <v>-1106.17</v>
      </c>
    </row>
    <row r="527" spans="1:6">
      <c r="A527" s="92">
        <v>229361</v>
      </c>
      <c r="B527" s="92" t="s">
        <v>204</v>
      </c>
      <c r="C527" s="92">
        <v>2018</v>
      </c>
      <c r="D527" s="92" t="s">
        <v>274</v>
      </c>
      <c r="E527" s="92" t="s">
        <v>268</v>
      </c>
      <c r="F527" s="92">
        <v>-458.01</v>
      </c>
    </row>
    <row r="528" spans="1:6">
      <c r="A528" s="92">
        <v>229392</v>
      </c>
      <c r="B528" s="92" t="s">
        <v>154</v>
      </c>
      <c r="C528" s="92">
        <v>2018</v>
      </c>
      <c r="D528" s="92" t="s">
        <v>267</v>
      </c>
      <c r="E528" s="92" t="s">
        <v>268</v>
      </c>
      <c r="F528" s="92">
        <v>1591.43</v>
      </c>
    </row>
    <row r="529" spans="1:6">
      <c r="A529" s="92">
        <v>229393</v>
      </c>
      <c r="B529" s="92" t="s">
        <v>154</v>
      </c>
      <c r="C529" s="92">
        <v>2018</v>
      </c>
      <c r="D529" s="92" t="s">
        <v>272</v>
      </c>
      <c r="E529" s="92" t="s">
        <v>268</v>
      </c>
      <c r="F529" s="92">
        <v>203.7</v>
      </c>
    </row>
    <row r="530" spans="1:6">
      <c r="A530" s="92">
        <v>229394</v>
      </c>
      <c r="B530" s="92" t="s">
        <v>154</v>
      </c>
      <c r="C530" s="92">
        <v>2018</v>
      </c>
      <c r="D530" s="92" t="s">
        <v>273</v>
      </c>
      <c r="E530" s="92" t="s">
        <v>268</v>
      </c>
      <c r="F530" s="92"/>
    </row>
    <row r="531" spans="1:6">
      <c r="A531" s="92">
        <v>229641</v>
      </c>
      <c r="B531" s="92" t="s">
        <v>114</v>
      </c>
      <c r="C531" s="92">
        <v>2018</v>
      </c>
      <c r="D531" s="92" t="s">
        <v>274</v>
      </c>
      <c r="E531" s="92" t="s">
        <v>268</v>
      </c>
      <c r="F531" s="92">
        <v>-145.31</v>
      </c>
    </row>
    <row r="532" spans="1:6">
      <c r="A532" s="92">
        <v>245531</v>
      </c>
      <c r="B532" s="92" t="s">
        <v>184</v>
      </c>
      <c r="C532" s="92">
        <v>2018</v>
      </c>
      <c r="D532" s="92" t="s">
        <v>274</v>
      </c>
      <c r="E532" s="92" t="s">
        <v>268</v>
      </c>
      <c r="F532" s="92">
        <v>-1405.83</v>
      </c>
    </row>
    <row r="533" spans="1:6">
      <c r="A533" s="92">
        <v>245562</v>
      </c>
      <c r="B533" s="92" t="s">
        <v>159</v>
      </c>
      <c r="C533" s="92">
        <v>2018</v>
      </c>
      <c r="D533" s="92" t="s">
        <v>267</v>
      </c>
      <c r="E533" s="92" t="s">
        <v>268</v>
      </c>
      <c r="F533" s="92">
        <v>616.6</v>
      </c>
    </row>
    <row r="534" spans="1:6">
      <c r="A534" s="92">
        <v>245563</v>
      </c>
      <c r="B534" s="92" t="s">
        <v>159</v>
      </c>
      <c r="C534" s="92">
        <v>2018</v>
      </c>
      <c r="D534" s="92" t="s">
        <v>272</v>
      </c>
      <c r="E534" s="92" t="s">
        <v>268</v>
      </c>
      <c r="F534" s="92">
        <v>278.53</v>
      </c>
    </row>
    <row r="535" spans="1:6">
      <c r="A535" s="92">
        <v>245564</v>
      </c>
      <c r="B535" s="92" t="s">
        <v>159</v>
      </c>
      <c r="C535" s="92">
        <v>2018</v>
      </c>
      <c r="D535" s="92" t="s">
        <v>273</v>
      </c>
      <c r="E535" s="92" t="s">
        <v>268</v>
      </c>
      <c r="F535" s="92"/>
    </row>
    <row r="536" spans="1:6">
      <c r="A536" s="92">
        <v>245811</v>
      </c>
      <c r="B536" s="92" t="s">
        <v>79</v>
      </c>
      <c r="C536" s="92">
        <v>2018</v>
      </c>
      <c r="D536" s="92" t="s">
        <v>274</v>
      </c>
      <c r="E536" s="92" t="s">
        <v>268</v>
      </c>
      <c r="F536" s="92">
        <v>-1.57</v>
      </c>
    </row>
    <row r="537" spans="1:6">
      <c r="A537" s="92">
        <v>261701</v>
      </c>
      <c r="B537" s="92" t="s">
        <v>224</v>
      </c>
      <c r="C537" s="92">
        <v>2018</v>
      </c>
      <c r="D537" s="92" t="s">
        <v>274</v>
      </c>
      <c r="E537" s="92" t="s">
        <v>268</v>
      </c>
      <c r="F537" s="92">
        <v>-492.07</v>
      </c>
    </row>
    <row r="538" spans="1:6">
      <c r="A538" s="92">
        <v>261732</v>
      </c>
      <c r="B538" s="92" t="s">
        <v>104</v>
      </c>
      <c r="C538" s="92">
        <v>2018</v>
      </c>
      <c r="D538" s="92" t="s">
        <v>267</v>
      </c>
      <c r="E538" s="92" t="s">
        <v>268</v>
      </c>
      <c r="F538" s="92">
        <v>207.8</v>
      </c>
    </row>
    <row r="539" spans="1:6">
      <c r="A539" s="92">
        <v>261733</v>
      </c>
      <c r="B539" s="92" t="s">
        <v>104</v>
      </c>
      <c r="C539" s="92">
        <v>2018</v>
      </c>
      <c r="D539" s="92" t="s">
        <v>272</v>
      </c>
      <c r="E539" s="92" t="s">
        <v>268</v>
      </c>
      <c r="F539" s="92">
        <v>159.21</v>
      </c>
    </row>
    <row r="540" spans="1:6">
      <c r="A540" s="92">
        <v>261734</v>
      </c>
      <c r="B540" s="92" t="s">
        <v>104</v>
      </c>
      <c r="C540" s="92">
        <v>2018</v>
      </c>
      <c r="D540" s="92" t="s">
        <v>273</v>
      </c>
      <c r="E540" s="92" t="s">
        <v>268</v>
      </c>
      <c r="F540" s="92"/>
    </row>
    <row r="541" spans="1:6">
      <c r="A541" s="92">
        <v>261981</v>
      </c>
      <c r="B541" s="92" t="s">
        <v>194</v>
      </c>
      <c r="C541" s="92">
        <v>2018</v>
      </c>
      <c r="D541" s="92" t="s">
        <v>274</v>
      </c>
      <c r="E541" s="92" t="s">
        <v>268</v>
      </c>
      <c r="F541" s="92">
        <v>-1558.47</v>
      </c>
    </row>
    <row r="542" spans="1:6">
      <c r="A542" s="92">
        <v>277871</v>
      </c>
      <c r="B542" s="92" t="s">
        <v>124</v>
      </c>
      <c r="C542" s="92">
        <v>2018</v>
      </c>
      <c r="D542" s="92" t="s">
        <v>274</v>
      </c>
      <c r="E542" s="92" t="s">
        <v>268</v>
      </c>
      <c r="F542" s="92">
        <v>-206.5</v>
      </c>
    </row>
    <row r="543" spans="1:6">
      <c r="A543" s="92">
        <v>277902</v>
      </c>
      <c r="B543" s="92" t="s">
        <v>119</v>
      </c>
      <c r="C543" s="92">
        <v>2018</v>
      </c>
      <c r="D543" s="92" t="s">
        <v>267</v>
      </c>
      <c r="E543" s="92" t="s">
        <v>268</v>
      </c>
      <c r="F543" s="92">
        <v>567.73</v>
      </c>
    </row>
    <row r="544" spans="1:6">
      <c r="A544" s="92">
        <v>277903</v>
      </c>
      <c r="B544" s="92" t="s">
        <v>119</v>
      </c>
      <c r="C544" s="92">
        <v>2018</v>
      </c>
      <c r="D544" s="92" t="s">
        <v>272</v>
      </c>
      <c r="E544" s="92" t="s">
        <v>268</v>
      </c>
      <c r="F544" s="92">
        <v>1170.5</v>
      </c>
    </row>
    <row r="545" spans="1:6">
      <c r="A545" s="92">
        <v>277904</v>
      </c>
      <c r="B545" s="92" t="s">
        <v>119</v>
      </c>
      <c r="C545" s="92">
        <v>2018</v>
      </c>
      <c r="D545" s="92" t="s">
        <v>273</v>
      </c>
      <c r="E545" s="92" t="s">
        <v>268</v>
      </c>
      <c r="F545" s="92"/>
    </row>
    <row r="546" spans="1:6">
      <c r="A546" s="92">
        <v>278151</v>
      </c>
      <c r="B546" s="92" t="s">
        <v>179</v>
      </c>
      <c r="C546" s="92">
        <v>2018</v>
      </c>
      <c r="D546" s="92" t="s">
        <v>274</v>
      </c>
      <c r="E546" s="92" t="s">
        <v>268</v>
      </c>
      <c r="F546" s="92">
        <v>-54.75</v>
      </c>
    </row>
    <row r="547" spans="1:6">
      <c r="A547" s="92">
        <v>294041</v>
      </c>
      <c r="B547" s="92" t="s">
        <v>129</v>
      </c>
      <c r="C547" s="92">
        <v>2018</v>
      </c>
      <c r="D547" s="92" t="s">
        <v>275</v>
      </c>
      <c r="E547" s="92" t="s">
        <v>268</v>
      </c>
      <c r="F547" s="92"/>
    </row>
    <row r="548" spans="1:6">
      <c r="A548" s="92">
        <v>294072</v>
      </c>
      <c r="B548" s="92" t="s">
        <v>139</v>
      </c>
      <c r="C548" s="92">
        <v>2018</v>
      </c>
      <c r="D548" s="92" t="s">
        <v>267</v>
      </c>
      <c r="E548" s="92" t="s">
        <v>268</v>
      </c>
      <c r="F548" s="92">
        <v>204.9</v>
      </c>
    </row>
    <row r="549" spans="1:6">
      <c r="A549" s="92">
        <v>294073</v>
      </c>
      <c r="B549" s="92" t="s">
        <v>139</v>
      </c>
      <c r="C549" s="92">
        <v>2018</v>
      </c>
      <c r="D549" s="92" t="s">
        <v>272</v>
      </c>
      <c r="E549" s="92" t="s">
        <v>268</v>
      </c>
      <c r="F549" s="92">
        <v>150.47</v>
      </c>
    </row>
    <row r="550" spans="1:6">
      <c r="A550" s="92">
        <v>294074</v>
      </c>
      <c r="B550" s="92" t="s">
        <v>139</v>
      </c>
      <c r="C550" s="92">
        <v>2018</v>
      </c>
      <c r="D550" s="92" t="s">
        <v>273</v>
      </c>
      <c r="E550" s="92" t="s">
        <v>268</v>
      </c>
      <c r="F550" s="92"/>
    </row>
    <row r="551" spans="1:6">
      <c r="A551" s="92">
        <v>294321</v>
      </c>
      <c r="B551" s="92" t="s">
        <v>74</v>
      </c>
      <c r="C551" s="92">
        <v>2018</v>
      </c>
      <c r="D551" s="92" t="s">
        <v>275</v>
      </c>
      <c r="E551" s="92" t="s">
        <v>268</v>
      </c>
      <c r="F551" s="92"/>
    </row>
    <row r="552" spans="1:6">
      <c r="A552" s="92">
        <v>310211</v>
      </c>
      <c r="B552" s="92" t="s">
        <v>134</v>
      </c>
      <c r="C552" s="92">
        <v>2018</v>
      </c>
      <c r="D552" s="92" t="s">
        <v>275</v>
      </c>
      <c r="E552" s="92" t="s">
        <v>268</v>
      </c>
      <c r="F552" s="92"/>
    </row>
    <row r="553" spans="1:6">
      <c r="A553" s="92">
        <v>310242</v>
      </c>
      <c r="B553" s="92" t="s">
        <v>99</v>
      </c>
      <c r="C553" s="92">
        <v>2018</v>
      </c>
      <c r="D553" s="92" t="s">
        <v>267</v>
      </c>
      <c r="E553" s="92" t="s">
        <v>268</v>
      </c>
      <c r="F553" s="92">
        <v>534.78</v>
      </c>
    </row>
    <row r="554" spans="1:6">
      <c r="A554" s="92">
        <v>310243</v>
      </c>
      <c r="B554" s="92" t="s">
        <v>99</v>
      </c>
      <c r="C554" s="92">
        <v>2018</v>
      </c>
      <c r="D554" s="92" t="s">
        <v>272</v>
      </c>
      <c r="E554" s="92" t="s">
        <v>268</v>
      </c>
      <c r="F554" s="92">
        <v>677.32</v>
      </c>
    </row>
    <row r="555" spans="1:6">
      <c r="A555" s="92">
        <v>310244</v>
      </c>
      <c r="B555" s="92" t="s">
        <v>99</v>
      </c>
      <c r="C555" s="92">
        <v>2018</v>
      </c>
      <c r="D555" s="92" t="s">
        <v>273</v>
      </c>
      <c r="E555" s="92" t="s">
        <v>268</v>
      </c>
      <c r="F555" s="92"/>
    </row>
    <row r="556" spans="1:6">
      <c r="A556" s="92">
        <v>310491</v>
      </c>
      <c r="B556" s="92" t="s">
        <v>209</v>
      </c>
      <c r="C556" s="92">
        <v>2018</v>
      </c>
      <c r="D556" s="92" t="s">
        <v>275</v>
      </c>
      <c r="E556" s="92" t="s">
        <v>268</v>
      </c>
      <c r="F556" s="92"/>
    </row>
    <row r="557" spans="1:6">
      <c r="A557" s="92">
        <v>326412</v>
      </c>
      <c r="B557" s="92" t="s">
        <v>94</v>
      </c>
      <c r="C557" s="92">
        <v>2018</v>
      </c>
      <c r="D557" s="92" t="s">
        <v>267</v>
      </c>
      <c r="E557" s="92" t="s">
        <v>268</v>
      </c>
      <c r="F557" s="92">
        <v>794.94</v>
      </c>
    </row>
    <row r="558" spans="1:6">
      <c r="A558" s="92">
        <v>326413</v>
      </c>
      <c r="B558" s="92" t="s">
        <v>94</v>
      </c>
      <c r="C558" s="92">
        <v>2018</v>
      </c>
      <c r="D558" s="92" t="s">
        <v>272</v>
      </c>
      <c r="E558" s="92" t="s">
        <v>268</v>
      </c>
      <c r="F558" s="92">
        <v>152.89</v>
      </c>
    </row>
    <row r="559" spans="1:6">
      <c r="A559" s="92">
        <v>326414</v>
      </c>
      <c r="B559" s="92" t="s">
        <v>94</v>
      </c>
      <c r="C559" s="92">
        <v>2018</v>
      </c>
      <c r="D559" s="92" t="s">
        <v>273</v>
      </c>
      <c r="E559" s="92" t="s">
        <v>268</v>
      </c>
      <c r="F559" s="92"/>
    </row>
    <row r="560" spans="1:6">
      <c r="A560" s="92">
        <v>326557</v>
      </c>
      <c r="B560" s="92" t="s">
        <v>164</v>
      </c>
      <c r="C560" s="92">
        <v>2018</v>
      </c>
      <c r="D560" s="92" t="s">
        <v>275</v>
      </c>
      <c r="E560" s="92" t="s">
        <v>268</v>
      </c>
      <c r="F560" s="92">
        <v>-170.75</v>
      </c>
    </row>
    <row r="561" spans="1:6">
      <c r="A561" s="92">
        <v>326661</v>
      </c>
      <c r="B561" s="92" t="s">
        <v>169</v>
      </c>
      <c r="C561" s="92">
        <v>2018</v>
      </c>
      <c r="D561" s="92" t="s">
        <v>275</v>
      </c>
      <c r="E561" s="92" t="s">
        <v>268</v>
      </c>
      <c r="F561" s="92"/>
    </row>
    <row r="562" spans="1:6">
      <c r="A562" s="92">
        <v>342551</v>
      </c>
      <c r="B562" s="92" t="s">
        <v>189</v>
      </c>
      <c r="C562" s="92">
        <v>2018</v>
      </c>
      <c r="D562" s="92" t="s">
        <v>275</v>
      </c>
      <c r="E562" s="92" t="s">
        <v>268</v>
      </c>
      <c r="F562" s="92"/>
    </row>
    <row r="563" spans="1:6">
      <c r="A563" s="92">
        <v>342582</v>
      </c>
      <c r="B563" s="92" t="s">
        <v>219</v>
      </c>
      <c r="C563" s="92">
        <v>2018</v>
      </c>
      <c r="D563" s="92" t="s">
        <v>267</v>
      </c>
      <c r="E563" s="92" t="s">
        <v>268</v>
      </c>
      <c r="F563" s="92">
        <v>303.9</v>
      </c>
    </row>
    <row r="564" spans="1:6">
      <c r="A564" s="92">
        <v>342583</v>
      </c>
      <c r="B564" s="92" t="s">
        <v>219</v>
      </c>
      <c r="C564" s="92">
        <v>2018</v>
      </c>
      <c r="D564" s="92" t="s">
        <v>272</v>
      </c>
      <c r="E564" s="92" t="s">
        <v>268</v>
      </c>
      <c r="F564" s="92">
        <v>180.82</v>
      </c>
    </row>
    <row r="565" spans="1:6">
      <c r="A565" s="92">
        <v>342584</v>
      </c>
      <c r="B565" s="92" t="s">
        <v>219</v>
      </c>
      <c r="C565" s="92">
        <v>2018</v>
      </c>
      <c r="D565" s="92" t="s">
        <v>273</v>
      </c>
      <c r="E565" s="92" t="s">
        <v>268</v>
      </c>
      <c r="F565" s="92"/>
    </row>
    <row r="566" spans="1:6">
      <c r="A566" s="92">
        <v>342831</v>
      </c>
      <c r="B566" s="92" t="s">
        <v>174</v>
      </c>
      <c r="C566" s="92">
        <v>2018</v>
      </c>
      <c r="D566" s="92" t="s">
        <v>275</v>
      </c>
      <c r="E566" s="92" t="s">
        <v>268</v>
      </c>
      <c r="F566" s="92"/>
    </row>
    <row r="567" spans="1:6">
      <c r="A567" s="92">
        <v>358721</v>
      </c>
      <c r="B567" s="92" t="s">
        <v>84</v>
      </c>
      <c r="C567" s="92">
        <v>2018</v>
      </c>
      <c r="D567" s="92" t="s">
        <v>275</v>
      </c>
      <c r="E567" s="92" t="s">
        <v>268</v>
      </c>
      <c r="F567" s="92"/>
    </row>
    <row r="568" spans="1:6">
      <c r="A568" s="92">
        <v>358752</v>
      </c>
      <c r="B568" s="92" t="s">
        <v>214</v>
      </c>
      <c r="C568" s="92">
        <v>2018</v>
      </c>
      <c r="D568" s="92" t="s">
        <v>267</v>
      </c>
      <c r="E568" s="92" t="s">
        <v>268</v>
      </c>
      <c r="F568" s="92">
        <v>685.64</v>
      </c>
    </row>
    <row r="569" spans="1:6">
      <c r="A569" s="92">
        <v>358753</v>
      </c>
      <c r="B569" s="92" t="s">
        <v>214</v>
      </c>
      <c r="C569" s="92">
        <v>2018</v>
      </c>
      <c r="D569" s="92" t="s">
        <v>272</v>
      </c>
      <c r="E569" s="92" t="s">
        <v>268</v>
      </c>
      <c r="F569" s="92">
        <v>90.19</v>
      </c>
    </row>
    <row r="570" spans="1:6">
      <c r="A570" s="92">
        <v>358754</v>
      </c>
      <c r="B570" s="92" t="s">
        <v>214</v>
      </c>
      <c r="C570" s="92">
        <v>2018</v>
      </c>
      <c r="D570" s="92" t="s">
        <v>273</v>
      </c>
      <c r="E570" s="92" t="s">
        <v>268</v>
      </c>
      <c r="F570" s="92"/>
    </row>
    <row r="571" spans="1:6">
      <c r="A571" s="92">
        <v>359001</v>
      </c>
      <c r="B571" s="92" t="s">
        <v>149</v>
      </c>
      <c r="C571" s="92">
        <v>2018</v>
      </c>
      <c r="D571" s="92" t="s">
        <v>275</v>
      </c>
      <c r="E571" s="92" t="s">
        <v>268</v>
      </c>
      <c r="F571" s="92"/>
    </row>
    <row r="572" spans="1:6">
      <c r="A572" s="92">
        <v>374891</v>
      </c>
      <c r="B572" s="92" t="s">
        <v>109</v>
      </c>
      <c r="C572" s="92">
        <v>2018</v>
      </c>
      <c r="D572" s="92" t="s">
        <v>275</v>
      </c>
      <c r="E572" s="92" t="s">
        <v>268</v>
      </c>
      <c r="F572" s="92"/>
    </row>
    <row r="573" spans="1:6">
      <c r="A573" s="92">
        <v>374922</v>
      </c>
      <c r="B573" s="92" t="s">
        <v>144</v>
      </c>
      <c r="C573" s="92">
        <v>2018</v>
      </c>
      <c r="D573" s="92" t="s">
        <v>267</v>
      </c>
      <c r="E573" s="92" t="s">
        <v>268</v>
      </c>
      <c r="F573" s="92">
        <v>393.91</v>
      </c>
    </row>
    <row r="574" spans="1:6">
      <c r="A574" s="92">
        <v>374923</v>
      </c>
      <c r="B574" s="92" t="s">
        <v>144</v>
      </c>
      <c r="C574" s="92">
        <v>2018</v>
      </c>
      <c r="D574" s="92" t="s">
        <v>272</v>
      </c>
      <c r="E574" s="92" t="s">
        <v>268</v>
      </c>
      <c r="F574" s="92">
        <v>710.89</v>
      </c>
    </row>
    <row r="575" spans="1:6">
      <c r="A575" s="92">
        <v>374924</v>
      </c>
      <c r="B575" s="92" t="s">
        <v>144</v>
      </c>
      <c r="C575" s="92">
        <v>2018</v>
      </c>
      <c r="D575" s="92" t="s">
        <v>273</v>
      </c>
      <c r="E575" s="92" t="s">
        <v>268</v>
      </c>
      <c r="F575" s="92"/>
    </row>
    <row r="576" spans="1:6">
      <c r="A576" s="92">
        <v>375171</v>
      </c>
      <c r="B576" s="92" t="s">
        <v>154</v>
      </c>
      <c r="C576" s="92">
        <v>2018</v>
      </c>
      <c r="D576" s="92" t="s">
        <v>275</v>
      </c>
      <c r="E576" s="92" t="s">
        <v>268</v>
      </c>
      <c r="F576" s="92"/>
    </row>
    <row r="577" spans="1:6">
      <c r="A577" s="92">
        <v>391061</v>
      </c>
      <c r="B577" s="92" t="s">
        <v>159</v>
      </c>
      <c r="C577" s="92">
        <v>2018</v>
      </c>
      <c r="D577" s="92" t="s">
        <v>275</v>
      </c>
      <c r="E577" s="92" t="s">
        <v>268</v>
      </c>
      <c r="F577" s="92"/>
    </row>
    <row r="578" spans="1:6">
      <c r="A578" s="92">
        <v>391092</v>
      </c>
      <c r="B578" s="92" t="s">
        <v>89</v>
      </c>
      <c r="C578" s="92">
        <v>2018</v>
      </c>
      <c r="D578" s="92" t="s">
        <v>267</v>
      </c>
      <c r="E578" s="92" t="s">
        <v>268</v>
      </c>
      <c r="F578" s="92">
        <v>349.36</v>
      </c>
    </row>
    <row r="579" spans="1:6">
      <c r="A579" s="92">
        <v>391093</v>
      </c>
      <c r="B579" s="92" t="s">
        <v>89</v>
      </c>
      <c r="C579" s="92">
        <v>2018</v>
      </c>
      <c r="D579" s="92" t="s">
        <v>272</v>
      </c>
      <c r="E579" s="92" t="s">
        <v>268</v>
      </c>
      <c r="F579" s="92">
        <v>179.07</v>
      </c>
    </row>
    <row r="580" spans="1:6">
      <c r="A580" s="92">
        <v>391094</v>
      </c>
      <c r="B580" s="92" t="s">
        <v>89</v>
      </c>
      <c r="C580" s="92">
        <v>2018</v>
      </c>
      <c r="D580" s="92" t="s">
        <v>273</v>
      </c>
      <c r="E580" s="92" t="s">
        <v>268</v>
      </c>
      <c r="F580" s="92"/>
    </row>
    <row r="581" spans="1:6">
      <c r="A581" s="92">
        <v>391341</v>
      </c>
      <c r="B581" s="92" t="s">
        <v>104</v>
      </c>
      <c r="C581" s="92">
        <v>2018</v>
      </c>
      <c r="D581" s="92" t="s">
        <v>275</v>
      </c>
      <c r="E581" s="92" t="s">
        <v>268</v>
      </c>
      <c r="F581" s="92"/>
    </row>
    <row r="582" spans="1:6">
      <c r="A582" s="92">
        <v>407231</v>
      </c>
      <c r="B582" s="92" t="s">
        <v>119</v>
      </c>
      <c r="C582" s="92">
        <v>2018</v>
      </c>
      <c r="D582" s="92" t="s">
        <v>275</v>
      </c>
      <c r="E582" s="92" t="s">
        <v>268</v>
      </c>
      <c r="F582" s="92"/>
    </row>
    <row r="583" spans="1:6">
      <c r="A583" s="92">
        <v>407262</v>
      </c>
      <c r="B583" s="92" t="s">
        <v>204</v>
      </c>
      <c r="C583" s="92">
        <v>2018</v>
      </c>
      <c r="D583" s="92" t="s">
        <v>267</v>
      </c>
      <c r="E583" s="92" t="s">
        <v>268</v>
      </c>
      <c r="F583" s="92">
        <v>280.48</v>
      </c>
    </row>
    <row r="584" spans="1:6">
      <c r="A584" s="92">
        <v>407263</v>
      </c>
      <c r="B584" s="92" t="s">
        <v>204</v>
      </c>
      <c r="C584" s="92">
        <v>2018</v>
      </c>
      <c r="D584" s="92" t="s">
        <v>272</v>
      </c>
      <c r="E584" s="92" t="s">
        <v>268</v>
      </c>
      <c r="F584" s="92">
        <v>282.04</v>
      </c>
    </row>
    <row r="585" spans="1:6">
      <c r="A585" s="92">
        <v>407264</v>
      </c>
      <c r="B585" s="92" t="s">
        <v>204</v>
      </c>
      <c r="C585" s="92">
        <v>2018</v>
      </c>
      <c r="D585" s="92" t="s">
        <v>273</v>
      </c>
      <c r="E585" s="92" t="s">
        <v>268</v>
      </c>
      <c r="F585" s="92"/>
    </row>
    <row r="586" spans="1:6">
      <c r="A586" s="92">
        <v>407511</v>
      </c>
      <c r="B586" s="92" t="s">
        <v>139</v>
      </c>
      <c r="C586" s="92">
        <v>2018</v>
      </c>
      <c r="D586" s="92" t="s">
        <v>275</v>
      </c>
      <c r="E586" s="92" t="s">
        <v>268</v>
      </c>
      <c r="F586" s="92"/>
    </row>
    <row r="587" spans="1:6">
      <c r="A587" s="92">
        <v>423401</v>
      </c>
      <c r="B587" s="92" t="s">
        <v>99</v>
      </c>
      <c r="C587" s="92">
        <v>2018</v>
      </c>
      <c r="D587" s="92" t="s">
        <v>275</v>
      </c>
      <c r="E587" s="92" t="s">
        <v>268</v>
      </c>
      <c r="F587" s="92"/>
    </row>
    <row r="588" spans="1:6">
      <c r="A588" s="92">
        <v>423432</v>
      </c>
      <c r="B588" s="92" t="s">
        <v>114</v>
      </c>
      <c r="C588" s="92">
        <v>2018</v>
      </c>
      <c r="D588" s="92" t="s">
        <v>267</v>
      </c>
      <c r="E588" s="92" t="s">
        <v>268</v>
      </c>
      <c r="F588" s="92">
        <v>23.78</v>
      </c>
    </row>
    <row r="589" spans="1:6">
      <c r="A589" s="92">
        <v>423433</v>
      </c>
      <c r="B589" s="92" t="s">
        <v>114</v>
      </c>
      <c r="C589" s="92">
        <v>2018</v>
      </c>
      <c r="D589" s="92" t="s">
        <v>272</v>
      </c>
      <c r="E589" s="92" t="s">
        <v>268</v>
      </c>
      <c r="F589" s="92">
        <v>855.37</v>
      </c>
    </row>
    <row r="590" spans="1:6">
      <c r="A590" s="92">
        <v>423434</v>
      </c>
      <c r="B590" s="92" t="s">
        <v>114</v>
      </c>
      <c r="C590" s="92">
        <v>2018</v>
      </c>
      <c r="D590" s="92" t="s">
        <v>273</v>
      </c>
      <c r="E590" s="92" t="s">
        <v>268</v>
      </c>
      <c r="F590" s="92"/>
    </row>
    <row r="591" spans="1:6">
      <c r="A591" s="92">
        <v>423681</v>
      </c>
      <c r="B591" s="92" t="s">
        <v>94</v>
      </c>
      <c r="C591" s="92">
        <v>2018</v>
      </c>
      <c r="D591" s="92" t="s">
        <v>275</v>
      </c>
      <c r="E591" s="92" t="s">
        <v>268</v>
      </c>
      <c r="F591" s="92">
        <v>-12.6</v>
      </c>
    </row>
    <row r="592" spans="1:6">
      <c r="A592" s="92">
        <v>439571</v>
      </c>
      <c r="B592" s="92" t="s">
        <v>219</v>
      </c>
      <c r="C592" s="92">
        <v>2018</v>
      </c>
      <c r="D592" s="92" t="s">
        <v>275</v>
      </c>
      <c r="E592" s="92" t="s">
        <v>268</v>
      </c>
      <c r="F592" s="92"/>
    </row>
    <row r="593" spans="1:6">
      <c r="A593" s="92">
        <v>439602</v>
      </c>
      <c r="B593" s="92" t="s">
        <v>184</v>
      </c>
      <c r="C593" s="92">
        <v>2018</v>
      </c>
      <c r="D593" s="92" t="s">
        <v>267</v>
      </c>
      <c r="E593" s="92" t="s">
        <v>268</v>
      </c>
      <c r="F593" s="92">
        <v>3326.17</v>
      </c>
    </row>
    <row r="594" spans="1:6">
      <c r="A594" s="92">
        <v>439603</v>
      </c>
      <c r="B594" s="92" t="s">
        <v>184</v>
      </c>
      <c r="C594" s="92">
        <v>2018</v>
      </c>
      <c r="D594" s="92" t="s">
        <v>272</v>
      </c>
      <c r="E594" s="92" t="s">
        <v>268</v>
      </c>
      <c r="F594" s="92">
        <v>104.48</v>
      </c>
    </row>
    <row r="595" spans="1:6">
      <c r="A595" s="92">
        <v>439604</v>
      </c>
      <c r="B595" s="92" t="s">
        <v>184</v>
      </c>
      <c r="C595" s="92">
        <v>2018</v>
      </c>
      <c r="D595" s="92" t="s">
        <v>273</v>
      </c>
      <c r="E595" s="92" t="s">
        <v>268</v>
      </c>
      <c r="F595" s="92"/>
    </row>
    <row r="596" spans="1:6">
      <c r="A596" s="92">
        <v>439851</v>
      </c>
      <c r="B596" s="92" t="s">
        <v>214</v>
      </c>
      <c r="C596" s="92">
        <v>2018</v>
      </c>
      <c r="D596" s="92" t="s">
        <v>275</v>
      </c>
      <c r="E596" s="92" t="s">
        <v>268</v>
      </c>
      <c r="F596" s="92"/>
    </row>
    <row r="597" spans="1:6">
      <c r="A597" s="92">
        <v>455741</v>
      </c>
      <c r="B597" s="92" t="s">
        <v>144</v>
      </c>
      <c r="C597" s="92">
        <v>2018</v>
      </c>
      <c r="D597" s="92" t="s">
        <v>275</v>
      </c>
      <c r="E597" s="92" t="s">
        <v>268</v>
      </c>
      <c r="F597" s="92"/>
    </row>
    <row r="598" spans="1:6">
      <c r="A598" s="92">
        <v>455772</v>
      </c>
      <c r="B598" s="92" t="s">
        <v>79</v>
      </c>
      <c r="C598" s="92">
        <v>2018</v>
      </c>
      <c r="D598" s="92" t="s">
        <v>267</v>
      </c>
      <c r="E598" s="92" t="s">
        <v>268</v>
      </c>
      <c r="F598" s="92">
        <v>16.28</v>
      </c>
    </row>
    <row r="599" spans="1:6">
      <c r="A599" s="92">
        <v>455773</v>
      </c>
      <c r="B599" s="92" t="s">
        <v>79</v>
      </c>
      <c r="C599" s="92">
        <v>2018</v>
      </c>
      <c r="D599" s="92" t="s">
        <v>272</v>
      </c>
      <c r="E599" s="92" t="s">
        <v>268</v>
      </c>
      <c r="F599" s="92">
        <v>217.17</v>
      </c>
    </row>
    <row r="600" spans="1:6">
      <c r="A600" s="92">
        <v>455774</v>
      </c>
      <c r="B600" s="92" t="s">
        <v>79</v>
      </c>
      <c r="C600" s="92">
        <v>2018</v>
      </c>
      <c r="D600" s="92" t="s">
        <v>273</v>
      </c>
      <c r="E600" s="92" t="s">
        <v>268</v>
      </c>
      <c r="F600" s="92"/>
    </row>
    <row r="601" spans="1:6">
      <c r="A601" s="92">
        <v>456021</v>
      </c>
      <c r="B601" s="92" t="s">
        <v>89</v>
      </c>
      <c r="C601" s="92">
        <v>2018</v>
      </c>
      <c r="D601" s="92" t="s">
        <v>275</v>
      </c>
      <c r="E601" s="92" t="s">
        <v>268</v>
      </c>
      <c r="F601" s="92"/>
    </row>
    <row r="602" spans="1:6">
      <c r="A602" s="92">
        <v>471911</v>
      </c>
      <c r="B602" s="92" t="s">
        <v>204</v>
      </c>
      <c r="C602" s="92">
        <v>2018</v>
      </c>
      <c r="D602" s="92" t="s">
        <v>275</v>
      </c>
      <c r="E602" s="92" t="s">
        <v>268</v>
      </c>
      <c r="F602" s="92"/>
    </row>
    <row r="603" spans="1:6">
      <c r="A603" s="92">
        <v>471942</v>
      </c>
      <c r="B603" s="92" t="s">
        <v>224</v>
      </c>
      <c r="C603" s="92">
        <v>2018</v>
      </c>
      <c r="D603" s="92" t="s">
        <v>267</v>
      </c>
      <c r="E603" s="92" t="s">
        <v>268</v>
      </c>
      <c r="F603" s="92">
        <v>732.7</v>
      </c>
    </row>
    <row r="604" spans="1:6">
      <c r="A604" s="92">
        <v>471943</v>
      </c>
      <c r="B604" s="92" t="s">
        <v>224</v>
      </c>
      <c r="C604" s="92">
        <v>2018</v>
      </c>
      <c r="D604" s="92" t="s">
        <v>272</v>
      </c>
      <c r="E604" s="92" t="s">
        <v>268</v>
      </c>
      <c r="F604" s="92">
        <v>3.41</v>
      </c>
    </row>
    <row r="605" spans="1:6">
      <c r="A605" s="92">
        <v>471944</v>
      </c>
      <c r="B605" s="92" t="s">
        <v>224</v>
      </c>
      <c r="C605" s="92">
        <v>2018</v>
      </c>
      <c r="D605" s="92" t="s">
        <v>273</v>
      </c>
      <c r="E605" s="92" t="s">
        <v>268</v>
      </c>
      <c r="F605" s="92"/>
    </row>
    <row r="606" spans="1:6">
      <c r="A606" s="92">
        <v>472191</v>
      </c>
      <c r="B606" s="92" t="s">
        <v>114</v>
      </c>
      <c r="C606" s="92">
        <v>2018</v>
      </c>
      <c r="D606" s="92" t="s">
        <v>275</v>
      </c>
      <c r="E606" s="92" t="s">
        <v>268</v>
      </c>
      <c r="F606" s="92"/>
    </row>
    <row r="607" spans="1:6">
      <c r="A607" s="92">
        <v>488081</v>
      </c>
      <c r="B607" s="92" t="s">
        <v>184</v>
      </c>
      <c r="C607" s="92">
        <v>2018</v>
      </c>
      <c r="D607" s="92" t="s">
        <v>275</v>
      </c>
      <c r="E607" s="92" t="s">
        <v>268</v>
      </c>
      <c r="F607" s="92"/>
    </row>
    <row r="608" spans="1:6">
      <c r="A608" s="92">
        <v>488112</v>
      </c>
      <c r="B608" s="92" t="s">
        <v>194</v>
      </c>
      <c r="C608" s="92">
        <v>2018</v>
      </c>
      <c r="D608" s="92" t="s">
        <v>267</v>
      </c>
      <c r="E608" s="92" t="s">
        <v>268</v>
      </c>
      <c r="F608" s="92">
        <v>2950.4</v>
      </c>
    </row>
    <row r="609" spans="1:6">
      <c r="A609" s="92">
        <v>488113</v>
      </c>
      <c r="B609" s="92" t="s">
        <v>194</v>
      </c>
      <c r="C609" s="92">
        <v>2018</v>
      </c>
      <c r="D609" s="92" t="s">
        <v>272</v>
      </c>
      <c r="E609" s="92" t="s">
        <v>268</v>
      </c>
      <c r="F609" s="92">
        <v>0.12</v>
      </c>
    </row>
    <row r="610" spans="1:6">
      <c r="A610" s="92">
        <v>488114</v>
      </c>
      <c r="B610" s="92" t="s">
        <v>194</v>
      </c>
      <c r="C610" s="92">
        <v>2018</v>
      </c>
      <c r="D610" s="92" t="s">
        <v>273</v>
      </c>
      <c r="E610" s="92" t="s">
        <v>268</v>
      </c>
      <c r="F610" s="92">
        <v>14.35</v>
      </c>
    </row>
    <row r="611" spans="1:6">
      <c r="A611" s="92">
        <v>488361</v>
      </c>
      <c r="B611" s="92" t="s">
        <v>79</v>
      </c>
      <c r="C611" s="92">
        <v>2018</v>
      </c>
      <c r="D611" s="92" t="s">
        <v>275</v>
      </c>
      <c r="E611" s="92" t="s">
        <v>268</v>
      </c>
      <c r="F611" s="92"/>
    </row>
    <row r="612" spans="1:6">
      <c r="A612" s="92">
        <v>504251</v>
      </c>
      <c r="B612" s="92" t="s">
        <v>224</v>
      </c>
      <c r="C612" s="92">
        <v>2018</v>
      </c>
      <c r="D612" s="92" t="s">
        <v>275</v>
      </c>
      <c r="E612" s="92" t="s">
        <v>268</v>
      </c>
      <c r="F612" s="92"/>
    </row>
    <row r="613" spans="1:6">
      <c r="A613" s="92">
        <v>504282</v>
      </c>
      <c r="B613" s="92" t="s">
        <v>124</v>
      </c>
      <c r="C613" s="92">
        <v>2018</v>
      </c>
      <c r="D613" s="92" t="s">
        <v>267</v>
      </c>
      <c r="E613" s="92" t="s">
        <v>268</v>
      </c>
      <c r="F613" s="92">
        <v>897.88</v>
      </c>
    </row>
    <row r="614" spans="1:6">
      <c r="A614" s="92">
        <v>504283</v>
      </c>
      <c r="B614" s="92" t="s">
        <v>124</v>
      </c>
      <c r="C614" s="92">
        <v>2018</v>
      </c>
      <c r="D614" s="92" t="s">
        <v>272</v>
      </c>
      <c r="E614" s="92" t="s">
        <v>268</v>
      </c>
      <c r="F614" s="92">
        <v>1252.89</v>
      </c>
    </row>
    <row r="615" spans="1:6">
      <c r="A615" s="92">
        <v>504284</v>
      </c>
      <c r="B615" s="92" t="s">
        <v>124</v>
      </c>
      <c r="C615" s="92">
        <v>2018</v>
      </c>
      <c r="D615" s="92" t="s">
        <v>273</v>
      </c>
      <c r="E615" s="92" t="s">
        <v>268</v>
      </c>
      <c r="F615" s="92"/>
    </row>
    <row r="616" spans="1:6">
      <c r="A616" s="92">
        <v>504531</v>
      </c>
      <c r="B616" s="92" t="s">
        <v>194</v>
      </c>
      <c r="C616" s="92">
        <v>2018</v>
      </c>
      <c r="D616" s="92" t="s">
        <v>275</v>
      </c>
      <c r="E616" s="92" t="s">
        <v>268</v>
      </c>
      <c r="F616" s="92">
        <v>-20.5</v>
      </c>
    </row>
    <row r="617" spans="1:6">
      <c r="A617" s="92">
        <v>520421</v>
      </c>
      <c r="B617" s="92" t="s">
        <v>124</v>
      </c>
      <c r="C617" s="92">
        <v>2018</v>
      </c>
      <c r="D617" s="92" t="s">
        <v>275</v>
      </c>
      <c r="E617" s="92" t="s">
        <v>268</v>
      </c>
      <c r="F617" s="92"/>
    </row>
    <row r="618" spans="1:6">
      <c r="A618" s="92">
        <v>520452</v>
      </c>
      <c r="B618" s="92" t="s">
        <v>179</v>
      </c>
      <c r="C618" s="92">
        <v>2018</v>
      </c>
      <c r="D618" s="92" t="s">
        <v>267</v>
      </c>
      <c r="E618" s="92" t="s">
        <v>268</v>
      </c>
      <c r="F618" s="92">
        <v>256.54</v>
      </c>
    </row>
    <row r="619" spans="1:6">
      <c r="A619" s="92">
        <v>520453</v>
      </c>
      <c r="B619" s="92" t="s">
        <v>179</v>
      </c>
      <c r="C619" s="92">
        <v>2018</v>
      </c>
      <c r="D619" s="92" t="s">
        <v>272</v>
      </c>
      <c r="E619" s="92" t="s">
        <v>268</v>
      </c>
      <c r="F619" s="92">
        <v>373.79</v>
      </c>
    </row>
    <row r="620" spans="1:6">
      <c r="A620" s="92">
        <v>520454</v>
      </c>
      <c r="B620" s="92" t="s">
        <v>179</v>
      </c>
      <c r="C620" s="92">
        <v>2018</v>
      </c>
      <c r="D620" s="92" t="s">
        <v>273</v>
      </c>
      <c r="E620" s="92" t="s">
        <v>268</v>
      </c>
      <c r="F620" s="92"/>
    </row>
    <row r="621" spans="1:6">
      <c r="A621" s="92">
        <v>520701</v>
      </c>
      <c r="B621" s="92" t="s">
        <v>179</v>
      </c>
      <c r="C621" s="92">
        <v>2018</v>
      </c>
      <c r="D621" s="92" t="s">
        <v>275</v>
      </c>
      <c r="E621" s="92" t="s">
        <v>268</v>
      </c>
      <c r="F621" s="92"/>
    </row>
    <row r="622" spans="1:6">
      <c r="A622" s="92">
        <v>50437</v>
      </c>
      <c r="B622" s="92" t="s">
        <v>70</v>
      </c>
      <c r="C622" s="92">
        <v>2019</v>
      </c>
      <c r="D622" s="92" t="s">
        <v>267</v>
      </c>
      <c r="E622" s="92" t="s">
        <v>268</v>
      </c>
      <c r="F622" s="92">
        <v>22832.8</v>
      </c>
    </row>
    <row r="623" spans="1:6">
      <c r="A623" s="92">
        <v>50438</v>
      </c>
      <c r="B623" s="92" t="s">
        <v>70</v>
      </c>
      <c r="C623" s="92">
        <v>2019</v>
      </c>
      <c r="D623" s="92" t="s">
        <v>272</v>
      </c>
      <c r="E623" s="92" t="s">
        <v>268</v>
      </c>
      <c r="F623" s="92"/>
    </row>
    <row r="624" spans="1:6">
      <c r="A624" s="92">
        <v>50439</v>
      </c>
      <c r="B624" s="92" t="s">
        <v>70</v>
      </c>
      <c r="C624" s="92">
        <v>2019</v>
      </c>
      <c r="D624" s="92" t="s">
        <v>273</v>
      </c>
      <c r="E624" s="92" t="s">
        <v>268</v>
      </c>
      <c r="F624" s="92">
        <v>48.58</v>
      </c>
    </row>
    <row r="625" spans="1:6">
      <c r="A625" s="92">
        <v>50441</v>
      </c>
      <c r="B625" s="92" t="s">
        <v>70</v>
      </c>
      <c r="C625" s="92">
        <v>2019</v>
      </c>
      <c r="D625" s="92" t="s">
        <v>274</v>
      </c>
      <c r="E625" s="92" t="s">
        <v>268</v>
      </c>
      <c r="F625" s="92"/>
    </row>
    <row r="626" spans="1:6">
      <c r="A626" s="92">
        <v>50442</v>
      </c>
      <c r="B626" s="92" t="s">
        <v>70</v>
      </c>
      <c r="C626" s="92">
        <v>2019</v>
      </c>
      <c r="D626" s="92" t="s">
        <v>275</v>
      </c>
      <c r="E626" s="92" t="s">
        <v>268</v>
      </c>
      <c r="F626" s="92">
        <v>-216.55</v>
      </c>
    </row>
    <row r="627" spans="1:6">
      <c r="A627" s="92">
        <v>51457</v>
      </c>
      <c r="B627" s="92" t="s">
        <v>129</v>
      </c>
      <c r="C627" s="92">
        <v>2019</v>
      </c>
      <c r="D627" s="92" t="s">
        <v>274</v>
      </c>
      <c r="E627" s="92" t="s">
        <v>268</v>
      </c>
      <c r="F627" s="92">
        <v>-763.83</v>
      </c>
    </row>
    <row r="628" spans="1:6">
      <c r="A628" s="92">
        <v>51487</v>
      </c>
      <c r="B628" s="92" t="s">
        <v>129</v>
      </c>
      <c r="C628" s="92">
        <v>2019</v>
      </c>
      <c r="D628" s="92" t="s">
        <v>267</v>
      </c>
      <c r="E628" s="92" t="s">
        <v>268</v>
      </c>
      <c r="F628" s="92">
        <v>222.7</v>
      </c>
    </row>
    <row r="629" spans="1:6">
      <c r="A629" s="92">
        <v>51488</v>
      </c>
      <c r="B629" s="92" t="s">
        <v>129</v>
      </c>
      <c r="C629" s="92">
        <v>2019</v>
      </c>
      <c r="D629" s="92" t="s">
        <v>272</v>
      </c>
      <c r="E629" s="92" t="s">
        <v>268</v>
      </c>
      <c r="F629" s="92">
        <v>177.84</v>
      </c>
    </row>
    <row r="630" spans="1:6">
      <c r="A630" s="92">
        <v>51489</v>
      </c>
      <c r="B630" s="92" t="s">
        <v>129</v>
      </c>
      <c r="C630" s="92">
        <v>2019</v>
      </c>
      <c r="D630" s="92" t="s">
        <v>273</v>
      </c>
      <c r="E630" s="92" t="s">
        <v>268</v>
      </c>
      <c r="F630" s="92"/>
    </row>
    <row r="631" spans="1:6">
      <c r="A631" s="92">
        <v>51737</v>
      </c>
      <c r="B631" s="92" t="s">
        <v>74</v>
      </c>
      <c r="C631" s="92">
        <v>2019</v>
      </c>
      <c r="D631" s="92" t="s">
        <v>274</v>
      </c>
      <c r="E631" s="92" t="s">
        <v>268</v>
      </c>
      <c r="F631" s="92">
        <v>-3.86</v>
      </c>
    </row>
    <row r="632" spans="1:6">
      <c r="A632" s="92">
        <v>67627</v>
      </c>
      <c r="B632" s="92" t="s">
        <v>134</v>
      </c>
      <c r="C632" s="92">
        <v>2019</v>
      </c>
      <c r="D632" s="92" t="s">
        <v>274</v>
      </c>
      <c r="E632" s="92" t="s">
        <v>268</v>
      </c>
      <c r="F632" s="92">
        <v>-171.86</v>
      </c>
    </row>
    <row r="633" spans="1:6">
      <c r="A633" s="92">
        <v>67657</v>
      </c>
      <c r="B633" s="92" t="s">
        <v>74</v>
      </c>
      <c r="C633" s="92">
        <v>2019</v>
      </c>
      <c r="D633" s="92" t="s">
        <v>267</v>
      </c>
      <c r="E633" s="92" t="s">
        <v>268</v>
      </c>
      <c r="F633" s="92">
        <v>18.37</v>
      </c>
    </row>
    <row r="634" spans="1:6">
      <c r="A634" s="92">
        <v>67658</v>
      </c>
      <c r="B634" s="92" t="s">
        <v>74</v>
      </c>
      <c r="C634" s="92">
        <v>2019</v>
      </c>
      <c r="D634" s="92" t="s">
        <v>272</v>
      </c>
      <c r="E634" s="92" t="s">
        <v>268</v>
      </c>
      <c r="F634" s="92">
        <v>708.87</v>
      </c>
    </row>
    <row r="635" spans="1:6">
      <c r="A635" s="92">
        <v>67659</v>
      </c>
      <c r="B635" s="92" t="s">
        <v>74</v>
      </c>
      <c r="C635" s="92">
        <v>2019</v>
      </c>
      <c r="D635" s="92" t="s">
        <v>273</v>
      </c>
      <c r="E635" s="92" t="s">
        <v>268</v>
      </c>
      <c r="F635" s="92"/>
    </row>
    <row r="636" spans="1:6">
      <c r="A636" s="92">
        <v>67907</v>
      </c>
      <c r="B636" s="92" t="s">
        <v>209</v>
      </c>
      <c r="C636" s="92">
        <v>2019</v>
      </c>
      <c r="D636" s="92" t="s">
        <v>274</v>
      </c>
      <c r="E636" s="92" t="s">
        <v>268</v>
      </c>
      <c r="F636" s="92">
        <v>-739.26</v>
      </c>
    </row>
    <row r="637" spans="1:6">
      <c r="A637" s="92">
        <v>83827</v>
      </c>
      <c r="B637" s="92" t="s">
        <v>134</v>
      </c>
      <c r="C637" s="92">
        <v>2019</v>
      </c>
      <c r="D637" s="92" t="s">
        <v>267</v>
      </c>
      <c r="E637" s="92" t="s">
        <v>268</v>
      </c>
      <c r="F637" s="92">
        <v>1166.82</v>
      </c>
    </row>
    <row r="638" spans="1:6">
      <c r="A638" s="92">
        <v>83828</v>
      </c>
      <c r="B638" s="92" t="s">
        <v>134</v>
      </c>
      <c r="C638" s="92">
        <v>2019</v>
      </c>
      <c r="D638" s="92" t="s">
        <v>272</v>
      </c>
      <c r="E638" s="92" t="s">
        <v>268</v>
      </c>
      <c r="F638" s="92">
        <v>1.25</v>
      </c>
    </row>
    <row r="639" spans="1:6">
      <c r="A639" s="92">
        <v>83829</v>
      </c>
      <c r="B639" s="92" t="s">
        <v>134</v>
      </c>
      <c r="C639" s="92">
        <v>2019</v>
      </c>
      <c r="D639" s="92" t="s">
        <v>273</v>
      </c>
      <c r="E639" s="92" t="s">
        <v>268</v>
      </c>
      <c r="F639" s="92"/>
    </row>
    <row r="640" spans="1:6">
      <c r="A640" s="92">
        <v>84041</v>
      </c>
      <c r="B640" s="92" t="s">
        <v>164</v>
      </c>
      <c r="C640" s="92">
        <v>2019</v>
      </c>
      <c r="D640" s="92" t="s">
        <v>274</v>
      </c>
      <c r="E640" s="92" t="s">
        <v>268</v>
      </c>
      <c r="F640" s="92">
        <v>-0.29</v>
      </c>
    </row>
    <row r="641" spans="1:6">
      <c r="A641" s="92">
        <v>84077</v>
      </c>
      <c r="B641" s="92" t="s">
        <v>169</v>
      </c>
      <c r="C641" s="92">
        <v>2019</v>
      </c>
      <c r="D641" s="92" t="s">
        <v>274</v>
      </c>
      <c r="E641" s="92" t="s">
        <v>268</v>
      </c>
      <c r="F641" s="92">
        <v>-110.6</v>
      </c>
    </row>
    <row r="642" spans="1:6">
      <c r="A642" s="92">
        <v>99967</v>
      </c>
      <c r="B642" s="92" t="s">
        <v>189</v>
      </c>
      <c r="C642" s="92">
        <v>2019</v>
      </c>
      <c r="D642" s="92" t="s">
        <v>274</v>
      </c>
      <c r="E642" s="92" t="s">
        <v>268</v>
      </c>
      <c r="F642" s="92">
        <v>-717.75</v>
      </c>
    </row>
    <row r="643" spans="1:6">
      <c r="A643" s="92">
        <v>99997</v>
      </c>
      <c r="B643" s="92" t="s">
        <v>209</v>
      </c>
      <c r="C643" s="92">
        <v>2019</v>
      </c>
      <c r="D643" s="92" t="s">
        <v>267</v>
      </c>
      <c r="E643" s="92" t="s">
        <v>268</v>
      </c>
      <c r="F643" s="92">
        <v>842.66</v>
      </c>
    </row>
    <row r="644" spans="1:6">
      <c r="A644" s="92">
        <v>99998</v>
      </c>
      <c r="B644" s="92" t="s">
        <v>209</v>
      </c>
      <c r="C644" s="92">
        <v>2019</v>
      </c>
      <c r="D644" s="92" t="s">
        <v>272</v>
      </c>
      <c r="E644" s="92" t="s">
        <v>268</v>
      </c>
      <c r="F644" s="92">
        <v>367.93</v>
      </c>
    </row>
    <row r="645" spans="1:6">
      <c r="A645" s="92">
        <v>99999</v>
      </c>
      <c r="B645" s="92" t="s">
        <v>209</v>
      </c>
      <c r="C645" s="92">
        <v>2019</v>
      </c>
      <c r="D645" s="92" t="s">
        <v>273</v>
      </c>
      <c r="E645" s="92" t="s">
        <v>268</v>
      </c>
      <c r="F645" s="92"/>
    </row>
    <row r="646" spans="1:6">
      <c r="A646" s="92">
        <v>100247</v>
      </c>
      <c r="B646" s="92" t="s">
        <v>174</v>
      </c>
      <c r="C646" s="92">
        <v>2019</v>
      </c>
      <c r="D646" s="92" t="s">
        <v>274</v>
      </c>
      <c r="E646" s="92" t="s">
        <v>268</v>
      </c>
      <c r="F646" s="92">
        <v>-0.51</v>
      </c>
    </row>
    <row r="647" spans="1:6">
      <c r="A647" s="92">
        <v>116136</v>
      </c>
      <c r="B647" s="92" t="s">
        <v>164</v>
      </c>
      <c r="C647" s="92">
        <v>2019</v>
      </c>
      <c r="D647" s="92" t="s">
        <v>272</v>
      </c>
      <c r="E647" s="92" t="s">
        <v>268</v>
      </c>
      <c r="F647" s="92">
        <v>1822.08</v>
      </c>
    </row>
    <row r="648" spans="1:6">
      <c r="A648" s="92">
        <v>116167</v>
      </c>
      <c r="B648" s="92" t="s">
        <v>164</v>
      </c>
      <c r="C648" s="92">
        <v>2019</v>
      </c>
      <c r="D648" s="92" t="s">
        <v>267</v>
      </c>
      <c r="E648" s="92" t="s">
        <v>268</v>
      </c>
      <c r="F648" s="92">
        <v>1617.14</v>
      </c>
    </row>
    <row r="649" spans="1:6">
      <c r="A649" s="92">
        <v>116169</v>
      </c>
      <c r="B649" s="92" t="s">
        <v>164</v>
      </c>
      <c r="C649" s="92">
        <v>2019</v>
      </c>
      <c r="D649" s="92" t="s">
        <v>273</v>
      </c>
      <c r="E649" s="92" t="s">
        <v>268</v>
      </c>
      <c r="F649" s="92"/>
    </row>
    <row r="650" spans="1:6">
      <c r="A650" s="92">
        <v>116312</v>
      </c>
      <c r="B650" s="92" t="s">
        <v>84</v>
      </c>
      <c r="C650" s="92">
        <v>2019</v>
      </c>
      <c r="D650" s="92" t="s">
        <v>274</v>
      </c>
      <c r="E650" s="92" t="s">
        <v>268</v>
      </c>
      <c r="F650" s="92">
        <v>-487.73</v>
      </c>
    </row>
    <row r="651" spans="1:6">
      <c r="A651" s="92">
        <v>116518</v>
      </c>
      <c r="B651" s="92" t="s">
        <v>149</v>
      </c>
      <c r="C651" s="92">
        <v>2019</v>
      </c>
      <c r="D651" s="92" t="s">
        <v>274</v>
      </c>
      <c r="E651" s="92" t="s">
        <v>268</v>
      </c>
      <c r="F651" s="92">
        <v>-18.18</v>
      </c>
    </row>
    <row r="652" spans="1:6">
      <c r="A652" s="92">
        <v>132307</v>
      </c>
      <c r="B652" s="92" t="s">
        <v>109</v>
      </c>
      <c r="C652" s="92">
        <v>2019</v>
      </c>
      <c r="D652" s="92" t="s">
        <v>274</v>
      </c>
      <c r="E652" s="92" t="s">
        <v>268</v>
      </c>
      <c r="F652" s="92">
        <v>-208.46</v>
      </c>
    </row>
    <row r="653" spans="1:6">
      <c r="A653" s="92">
        <v>132337</v>
      </c>
      <c r="B653" s="92" t="s">
        <v>169</v>
      </c>
      <c r="C653" s="92">
        <v>2019</v>
      </c>
      <c r="D653" s="92" t="s">
        <v>267</v>
      </c>
      <c r="E653" s="92" t="s">
        <v>268</v>
      </c>
      <c r="F653" s="92">
        <v>839.76</v>
      </c>
    </row>
    <row r="654" spans="1:6">
      <c r="A654" s="92">
        <v>132338</v>
      </c>
      <c r="B654" s="92" t="s">
        <v>169</v>
      </c>
      <c r="C654" s="92">
        <v>2019</v>
      </c>
      <c r="D654" s="92" t="s">
        <v>272</v>
      </c>
      <c r="E654" s="92" t="s">
        <v>268</v>
      </c>
      <c r="F654" s="92">
        <v>171.5</v>
      </c>
    </row>
    <row r="655" spans="1:6">
      <c r="A655" s="92">
        <v>132339</v>
      </c>
      <c r="B655" s="92" t="s">
        <v>169</v>
      </c>
      <c r="C655" s="92">
        <v>2019</v>
      </c>
      <c r="D655" s="92" t="s">
        <v>273</v>
      </c>
      <c r="E655" s="92" t="s">
        <v>268</v>
      </c>
      <c r="F655" s="92"/>
    </row>
    <row r="656" spans="1:6">
      <c r="A656" s="92">
        <v>132587</v>
      </c>
      <c r="B656" s="92" t="s">
        <v>154</v>
      </c>
      <c r="C656" s="92">
        <v>2019</v>
      </c>
      <c r="D656" s="92" t="s">
        <v>274</v>
      </c>
      <c r="E656" s="92" t="s">
        <v>268</v>
      </c>
      <c r="F656" s="92">
        <v>-839.59</v>
      </c>
    </row>
    <row r="657" spans="1:6">
      <c r="A657" s="92">
        <v>148477</v>
      </c>
      <c r="B657" s="92" t="s">
        <v>159</v>
      </c>
      <c r="C657" s="92">
        <v>2019</v>
      </c>
      <c r="D657" s="92" t="s">
        <v>274</v>
      </c>
      <c r="E657" s="92" t="s">
        <v>268</v>
      </c>
      <c r="F657" s="92">
        <v>-94.68</v>
      </c>
    </row>
    <row r="658" spans="1:6">
      <c r="A658" s="92">
        <v>148507</v>
      </c>
      <c r="B658" s="92" t="s">
        <v>189</v>
      </c>
      <c r="C658" s="92">
        <v>2019</v>
      </c>
      <c r="D658" s="92" t="s">
        <v>267</v>
      </c>
      <c r="E658" s="92" t="s">
        <v>268</v>
      </c>
      <c r="F658" s="92">
        <v>867</v>
      </c>
    </row>
    <row r="659" spans="1:6">
      <c r="A659" s="92">
        <v>148508</v>
      </c>
      <c r="B659" s="92" t="s">
        <v>189</v>
      </c>
      <c r="C659" s="92">
        <v>2019</v>
      </c>
      <c r="D659" s="92" t="s">
        <v>272</v>
      </c>
      <c r="E659" s="92" t="s">
        <v>268</v>
      </c>
      <c r="F659" s="92">
        <v>1.81</v>
      </c>
    </row>
    <row r="660" spans="1:6">
      <c r="A660" s="92">
        <v>148509</v>
      </c>
      <c r="B660" s="92" t="s">
        <v>189</v>
      </c>
      <c r="C660" s="92">
        <v>2019</v>
      </c>
      <c r="D660" s="92" t="s">
        <v>273</v>
      </c>
      <c r="E660" s="92" t="s">
        <v>268</v>
      </c>
      <c r="F660" s="92"/>
    </row>
    <row r="661" spans="1:6">
      <c r="A661" s="92">
        <v>148757</v>
      </c>
      <c r="B661" s="92" t="s">
        <v>104</v>
      </c>
      <c r="C661" s="92">
        <v>2019</v>
      </c>
      <c r="D661" s="92" t="s">
        <v>274</v>
      </c>
      <c r="E661" s="92" t="s">
        <v>268</v>
      </c>
      <c r="F661" s="92">
        <v>-306.83</v>
      </c>
    </row>
    <row r="662" spans="1:6">
      <c r="A662" s="92">
        <v>164647</v>
      </c>
      <c r="B662" s="92" t="s">
        <v>119</v>
      </c>
      <c r="C662" s="92">
        <v>2019</v>
      </c>
      <c r="D662" s="92" t="s">
        <v>274</v>
      </c>
      <c r="E662" s="92" t="s">
        <v>268</v>
      </c>
      <c r="F662" s="92">
        <v>-176.19</v>
      </c>
    </row>
    <row r="663" spans="1:6">
      <c r="A663" s="92">
        <v>164677</v>
      </c>
      <c r="B663" s="92" t="s">
        <v>174</v>
      </c>
      <c r="C663" s="92">
        <v>2019</v>
      </c>
      <c r="D663" s="92" t="s">
        <v>267</v>
      </c>
      <c r="E663" s="92" t="s">
        <v>268</v>
      </c>
      <c r="F663" s="92">
        <v>133.24</v>
      </c>
    </row>
    <row r="664" spans="1:6">
      <c r="A664" s="92">
        <v>164678</v>
      </c>
      <c r="B664" s="92" t="s">
        <v>174</v>
      </c>
      <c r="C664" s="92">
        <v>2019</v>
      </c>
      <c r="D664" s="92" t="s">
        <v>272</v>
      </c>
      <c r="E664" s="92" t="s">
        <v>268</v>
      </c>
      <c r="F664" s="92">
        <v>10.25</v>
      </c>
    </row>
    <row r="665" spans="1:6">
      <c r="A665" s="92">
        <v>164679</v>
      </c>
      <c r="B665" s="92" t="s">
        <v>174</v>
      </c>
      <c r="C665" s="92">
        <v>2019</v>
      </c>
      <c r="D665" s="92" t="s">
        <v>273</v>
      </c>
      <c r="E665" s="92" t="s">
        <v>268</v>
      </c>
      <c r="F665" s="92"/>
    </row>
    <row r="666" spans="1:6">
      <c r="A666" s="92">
        <v>164927</v>
      </c>
      <c r="B666" s="92" t="s">
        <v>139</v>
      </c>
      <c r="C666" s="92">
        <v>2019</v>
      </c>
      <c r="D666" s="92" t="s">
        <v>274</v>
      </c>
      <c r="E666" s="92" t="s">
        <v>268</v>
      </c>
      <c r="F666" s="92"/>
    </row>
    <row r="667" spans="1:6">
      <c r="A667" s="92">
        <v>180817</v>
      </c>
      <c r="B667" s="92" t="s">
        <v>99</v>
      </c>
      <c r="C667" s="92">
        <v>2019</v>
      </c>
      <c r="D667" s="92" t="s">
        <v>274</v>
      </c>
      <c r="E667" s="92" t="s">
        <v>268</v>
      </c>
      <c r="F667" s="92">
        <v>-302.93</v>
      </c>
    </row>
    <row r="668" spans="1:6">
      <c r="A668" s="92">
        <v>180847</v>
      </c>
      <c r="B668" s="92" t="s">
        <v>84</v>
      </c>
      <c r="C668" s="92">
        <v>2019</v>
      </c>
      <c r="D668" s="92" t="s">
        <v>267</v>
      </c>
      <c r="E668" s="92" t="s">
        <v>268</v>
      </c>
      <c r="F668" s="92">
        <v>510.41</v>
      </c>
    </row>
    <row r="669" spans="1:6">
      <c r="A669" s="92">
        <v>180848</v>
      </c>
      <c r="B669" s="92" t="s">
        <v>84</v>
      </c>
      <c r="C669" s="92">
        <v>2019</v>
      </c>
      <c r="D669" s="92" t="s">
        <v>272</v>
      </c>
      <c r="E669" s="92" t="s">
        <v>268</v>
      </c>
      <c r="F669" s="92">
        <v>1201.76</v>
      </c>
    </row>
    <row r="670" spans="1:6">
      <c r="A670" s="92">
        <v>180849</v>
      </c>
      <c r="B670" s="92" t="s">
        <v>84</v>
      </c>
      <c r="C670" s="92">
        <v>2019</v>
      </c>
      <c r="D670" s="92" t="s">
        <v>273</v>
      </c>
      <c r="E670" s="92" t="s">
        <v>268</v>
      </c>
      <c r="F670" s="92"/>
    </row>
    <row r="671" spans="1:6">
      <c r="A671" s="92">
        <v>181097</v>
      </c>
      <c r="B671" s="92" t="s">
        <v>94</v>
      </c>
      <c r="C671" s="92">
        <v>2019</v>
      </c>
      <c r="D671" s="92" t="s">
        <v>274</v>
      </c>
      <c r="E671" s="92" t="s">
        <v>268</v>
      </c>
      <c r="F671" s="92">
        <v>-2125.55</v>
      </c>
    </row>
    <row r="672" spans="1:6">
      <c r="A672" s="92">
        <v>196987</v>
      </c>
      <c r="B672" s="92" t="s">
        <v>219</v>
      </c>
      <c r="C672" s="92">
        <v>2019</v>
      </c>
      <c r="D672" s="92" t="s">
        <v>274</v>
      </c>
      <c r="E672" s="92" t="s">
        <v>268</v>
      </c>
      <c r="F672" s="92">
        <v>-912.43</v>
      </c>
    </row>
    <row r="673" spans="1:6">
      <c r="A673" s="92">
        <v>197017</v>
      </c>
      <c r="B673" s="92" t="s">
        <v>149</v>
      </c>
      <c r="C673" s="92">
        <v>2019</v>
      </c>
      <c r="D673" s="92" t="s">
        <v>267</v>
      </c>
      <c r="E673" s="92" t="s">
        <v>268</v>
      </c>
      <c r="F673" s="92">
        <v>334.81</v>
      </c>
    </row>
    <row r="674" spans="1:6">
      <c r="A674" s="92">
        <v>197018</v>
      </c>
      <c r="B674" s="92" t="s">
        <v>149</v>
      </c>
      <c r="C674" s="92">
        <v>2019</v>
      </c>
      <c r="D674" s="92" t="s">
        <v>272</v>
      </c>
      <c r="E674" s="92" t="s">
        <v>268</v>
      </c>
      <c r="F674" s="92">
        <v>734.54</v>
      </c>
    </row>
    <row r="675" spans="1:6">
      <c r="A675" s="92">
        <v>197019</v>
      </c>
      <c r="B675" s="92" t="s">
        <v>149</v>
      </c>
      <c r="C675" s="92">
        <v>2019</v>
      </c>
      <c r="D675" s="92" t="s">
        <v>273</v>
      </c>
      <c r="E675" s="92" t="s">
        <v>268</v>
      </c>
      <c r="F675" s="92"/>
    </row>
    <row r="676" spans="1:6">
      <c r="A676" s="92">
        <v>197267</v>
      </c>
      <c r="B676" s="92" t="s">
        <v>214</v>
      </c>
      <c r="C676" s="92">
        <v>2019</v>
      </c>
      <c r="D676" s="92" t="s">
        <v>274</v>
      </c>
      <c r="E676" s="92" t="s">
        <v>268</v>
      </c>
      <c r="F676" s="92">
        <v>-245.24</v>
      </c>
    </row>
    <row r="677" spans="1:6">
      <c r="A677" s="92">
        <v>213157</v>
      </c>
      <c r="B677" s="92" t="s">
        <v>144</v>
      </c>
      <c r="C677" s="92">
        <v>2019</v>
      </c>
      <c r="D677" s="92" t="s">
        <v>274</v>
      </c>
      <c r="E677" s="92" t="s">
        <v>268</v>
      </c>
      <c r="F677" s="92">
        <v>-7.28</v>
      </c>
    </row>
    <row r="678" spans="1:6">
      <c r="A678" s="92">
        <v>213187</v>
      </c>
      <c r="B678" s="92" t="s">
        <v>109</v>
      </c>
      <c r="C678" s="92">
        <v>2019</v>
      </c>
      <c r="D678" s="92" t="s">
        <v>267</v>
      </c>
      <c r="E678" s="92" t="s">
        <v>268</v>
      </c>
      <c r="F678" s="92">
        <v>200.1</v>
      </c>
    </row>
    <row r="679" spans="1:6">
      <c r="A679" s="92">
        <v>213188</v>
      </c>
      <c r="B679" s="92" t="s">
        <v>109</v>
      </c>
      <c r="C679" s="92">
        <v>2019</v>
      </c>
      <c r="D679" s="92" t="s">
        <v>272</v>
      </c>
      <c r="E679" s="92" t="s">
        <v>268</v>
      </c>
      <c r="F679" s="92">
        <v>116.6</v>
      </c>
    </row>
    <row r="680" spans="1:6">
      <c r="A680" s="92">
        <v>213189</v>
      </c>
      <c r="B680" s="92" t="s">
        <v>109</v>
      </c>
      <c r="C680" s="92">
        <v>2019</v>
      </c>
      <c r="D680" s="92" t="s">
        <v>273</v>
      </c>
      <c r="E680" s="92" t="s">
        <v>268</v>
      </c>
      <c r="F680" s="92"/>
    </row>
    <row r="681" spans="1:6">
      <c r="A681" s="92">
        <v>213437</v>
      </c>
      <c r="B681" s="92" t="s">
        <v>89</v>
      </c>
      <c r="C681" s="92">
        <v>2019</v>
      </c>
      <c r="D681" s="92" t="s">
        <v>274</v>
      </c>
      <c r="E681" s="92" t="s">
        <v>268</v>
      </c>
      <c r="F681" s="92">
        <v>-1265.21</v>
      </c>
    </row>
    <row r="682" spans="1:6">
      <c r="A682" s="92">
        <v>229327</v>
      </c>
      <c r="B682" s="92" t="s">
        <v>204</v>
      </c>
      <c r="C682" s="92">
        <v>2019</v>
      </c>
      <c r="D682" s="92" t="s">
        <v>274</v>
      </c>
      <c r="E682" s="92" t="s">
        <v>268</v>
      </c>
      <c r="F682" s="92">
        <v>-544.95</v>
      </c>
    </row>
    <row r="683" spans="1:6">
      <c r="A683" s="92">
        <v>229357</v>
      </c>
      <c r="B683" s="92" t="s">
        <v>154</v>
      </c>
      <c r="C683" s="92">
        <v>2019</v>
      </c>
      <c r="D683" s="92" t="s">
        <v>267</v>
      </c>
      <c r="E683" s="92" t="s">
        <v>268</v>
      </c>
      <c r="F683" s="92">
        <v>1487.56</v>
      </c>
    </row>
    <row r="684" spans="1:6">
      <c r="A684" s="92">
        <v>229358</v>
      </c>
      <c r="B684" s="92" t="s">
        <v>154</v>
      </c>
      <c r="C684" s="92">
        <v>2019</v>
      </c>
      <c r="D684" s="92" t="s">
        <v>272</v>
      </c>
      <c r="E684" s="92" t="s">
        <v>268</v>
      </c>
      <c r="F684" s="92">
        <v>205.4</v>
      </c>
    </row>
    <row r="685" spans="1:6">
      <c r="A685" s="92">
        <v>229359</v>
      </c>
      <c r="B685" s="92" t="s">
        <v>154</v>
      </c>
      <c r="C685" s="92">
        <v>2019</v>
      </c>
      <c r="D685" s="92" t="s">
        <v>273</v>
      </c>
      <c r="E685" s="92" t="s">
        <v>268</v>
      </c>
      <c r="F685" s="92"/>
    </row>
    <row r="686" spans="1:6">
      <c r="A686" s="92">
        <v>229607</v>
      </c>
      <c r="B686" s="92" t="s">
        <v>114</v>
      </c>
      <c r="C686" s="92">
        <v>2019</v>
      </c>
      <c r="D686" s="92" t="s">
        <v>274</v>
      </c>
      <c r="E686" s="92" t="s">
        <v>268</v>
      </c>
      <c r="F686" s="92">
        <v>-137.73</v>
      </c>
    </row>
    <row r="687" spans="1:6">
      <c r="A687" s="92">
        <v>245497</v>
      </c>
      <c r="B687" s="92" t="s">
        <v>184</v>
      </c>
      <c r="C687" s="92">
        <v>2019</v>
      </c>
      <c r="D687" s="92" t="s">
        <v>274</v>
      </c>
      <c r="E687" s="92" t="s">
        <v>268</v>
      </c>
      <c r="F687" s="92">
        <v>-1383.13</v>
      </c>
    </row>
    <row r="688" spans="1:6">
      <c r="A688" s="92">
        <v>245527</v>
      </c>
      <c r="B688" s="92" t="s">
        <v>159</v>
      </c>
      <c r="C688" s="92">
        <v>2019</v>
      </c>
      <c r="D688" s="92" t="s">
        <v>267</v>
      </c>
      <c r="E688" s="92" t="s">
        <v>268</v>
      </c>
      <c r="F688" s="92">
        <v>644.82</v>
      </c>
    </row>
    <row r="689" spans="1:6">
      <c r="A689" s="92">
        <v>245528</v>
      </c>
      <c r="B689" s="92" t="s">
        <v>159</v>
      </c>
      <c r="C689" s="92">
        <v>2019</v>
      </c>
      <c r="D689" s="92" t="s">
        <v>272</v>
      </c>
      <c r="E689" s="92" t="s">
        <v>268</v>
      </c>
      <c r="F689" s="92">
        <v>399.59</v>
      </c>
    </row>
    <row r="690" spans="1:6">
      <c r="A690" s="92">
        <v>245529</v>
      </c>
      <c r="B690" s="92" t="s">
        <v>159</v>
      </c>
      <c r="C690" s="92">
        <v>2019</v>
      </c>
      <c r="D690" s="92" t="s">
        <v>273</v>
      </c>
      <c r="E690" s="92" t="s">
        <v>268</v>
      </c>
      <c r="F690" s="92"/>
    </row>
    <row r="691" spans="1:6">
      <c r="A691" s="92">
        <v>245777</v>
      </c>
      <c r="B691" s="92" t="s">
        <v>79</v>
      </c>
      <c r="C691" s="92">
        <v>2019</v>
      </c>
      <c r="D691" s="92" t="s">
        <v>274</v>
      </c>
      <c r="E691" s="92" t="s">
        <v>268</v>
      </c>
      <c r="F691" s="92">
        <v>-2.15</v>
      </c>
    </row>
    <row r="692" spans="1:6">
      <c r="A692" s="92">
        <v>261667</v>
      </c>
      <c r="B692" s="92" t="s">
        <v>224</v>
      </c>
      <c r="C692" s="92">
        <v>2019</v>
      </c>
      <c r="D692" s="92" t="s">
        <v>274</v>
      </c>
      <c r="E692" s="92" t="s">
        <v>268</v>
      </c>
      <c r="F692" s="92">
        <v>-677.03</v>
      </c>
    </row>
    <row r="693" spans="1:6">
      <c r="A693" s="92">
        <v>261697</v>
      </c>
      <c r="B693" s="92" t="s">
        <v>104</v>
      </c>
      <c r="C693" s="92">
        <v>2019</v>
      </c>
      <c r="D693" s="92" t="s">
        <v>267</v>
      </c>
      <c r="E693" s="92" t="s">
        <v>268</v>
      </c>
      <c r="F693" s="92">
        <v>221.14</v>
      </c>
    </row>
    <row r="694" spans="1:6">
      <c r="A694" s="92">
        <v>261698</v>
      </c>
      <c r="B694" s="92" t="s">
        <v>104</v>
      </c>
      <c r="C694" s="92">
        <v>2019</v>
      </c>
      <c r="D694" s="92" t="s">
        <v>272</v>
      </c>
      <c r="E694" s="92" t="s">
        <v>268</v>
      </c>
      <c r="F694" s="92">
        <v>161.01</v>
      </c>
    </row>
    <row r="695" spans="1:6">
      <c r="A695" s="92">
        <v>261699</v>
      </c>
      <c r="B695" s="92" t="s">
        <v>104</v>
      </c>
      <c r="C695" s="92">
        <v>2019</v>
      </c>
      <c r="D695" s="92" t="s">
        <v>273</v>
      </c>
      <c r="E695" s="92" t="s">
        <v>268</v>
      </c>
      <c r="F695" s="92"/>
    </row>
    <row r="696" spans="1:6">
      <c r="A696" s="92">
        <v>261947</v>
      </c>
      <c r="B696" s="92" t="s">
        <v>194</v>
      </c>
      <c r="C696" s="92">
        <v>2019</v>
      </c>
      <c r="D696" s="92" t="s">
        <v>274</v>
      </c>
      <c r="E696" s="92" t="s">
        <v>268</v>
      </c>
      <c r="F696" s="92">
        <v>-1636.64</v>
      </c>
    </row>
    <row r="697" spans="1:6">
      <c r="A697" s="92">
        <v>277837</v>
      </c>
      <c r="B697" s="92" t="s">
        <v>124</v>
      </c>
      <c r="C697" s="92">
        <v>2019</v>
      </c>
      <c r="D697" s="92" t="s">
        <v>274</v>
      </c>
      <c r="E697" s="92" t="s">
        <v>268</v>
      </c>
      <c r="F697" s="92">
        <v>-211.25</v>
      </c>
    </row>
    <row r="698" spans="1:6">
      <c r="A698" s="92">
        <v>277867</v>
      </c>
      <c r="B698" s="92" t="s">
        <v>119</v>
      </c>
      <c r="C698" s="92">
        <v>2019</v>
      </c>
      <c r="D698" s="92" t="s">
        <v>267</v>
      </c>
      <c r="E698" s="92" t="s">
        <v>268</v>
      </c>
      <c r="F698" s="92">
        <v>697.65</v>
      </c>
    </row>
    <row r="699" spans="1:6">
      <c r="A699" s="92">
        <v>277868</v>
      </c>
      <c r="B699" s="92" t="s">
        <v>119</v>
      </c>
      <c r="C699" s="92">
        <v>2019</v>
      </c>
      <c r="D699" s="92" t="s">
        <v>272</v>
      </c>
      <c r="E699" s="92" t="s">
        <v>268</v>
      </c>
      <c r="F699" s="92">
        <v>1274.09</v>
      </c>
    </row>
    <row r="700" spans="1:6">
      <c r="A700" s="92">
        <v>277869</v>
      </c>
      <c r="B700" s="92" t="s">
        <v>119</v>
      </c>
      <c r="C700" s="92">
        <v>2019</v>
      </c>
      <c r="D700" s="92" t="s">
        <v>273</v>
      </c>
      <c r="E700" s="92" t="s">
        <v>268</v>
      </c>
      <c r="F700" s="92"/>
    </row>
    <row r="701" spans="1:6">
      <c r="A701" s="92">
        <v>278117</v>
      </c>
      <c r="B701" s="92" t="s">
        <v>179</v>
      </c>
      <c r="C701" s="92">
        <v>2019</v>
      </c>
      <c r="D701" s="92" t="s">
        <v>274</v>
      </c>
      <c r="E701" s="92" t="s">
        <v>268</v>
      </c>
      <c r="F701" s="92">
        <v>-59.32</v>
      </c>
    </row>
    <row r="702" spans="1:6">
      <c r="A702" s="92">
        <v>294007</v>
      </c>
      <c r="B702" s="92" t="s">
        <v>129</v>
      </c>
      <c r="C702" s="92">
        <v>2019</v>
      </c>
      <c r="D702" s="92" t="s">
        <v>275</v>
      </c>
      <c r="E702" s="92" t="s">
        <v>268</v>
      </c>
      <c r="F702" s="92"/>
    </row>
    <row r="703" spans="1:6">
      <c r="A703" s="92">
        <v>294037</v>
      </c>
      <c r="B703" s="92" t="s">
        <v>139</v>
      </c>
      <c r="C703" s="92">
        <v>2019</v>
      </c>
      <c r="D703" s="92" t="s">
        <v>267</v>
      </c>
      <c r="E703" s="92" t="s">
        <v>268</v>
      </c>
      <c r="F703" s="92">
        <v>274.94</v>
      </c>
    </row>
    <row r="704" spans="1:6">
      <c r="A704" s="92">
        <v>294038</v>
      </c>
      <c r="B704" s="92" t="s">
        <v>139</v>
      </c>
      <c r="C704" s="92">
        <v>2019</v>
      </c>
      <c r="D704" s="92" t="s">
        <v>272</v>
      </c>
      <c r="E704" s="92" t="s">
        <v>268</v>
      </c>
      <c r="F704" s="92">
        <v>159.8</v>
      </c>
    </row>
    <row r="705" spans="1:6">
      <c r="A705" s="92">
        <v>294039</v>
      </c>
      <c r="B705" s="92" t="s">
        <v>139</v>
      </c>
      <c r="C705" s="92">
        <v>2019</v>
      </c>
      <c r="D705" s="92" t="s">
        <v>273</v>
      </c>
      <c r="E705" s="92" t="s">
        <v>268</v>
      </c>
      <c r="F705" s="92"/>
    </row>
    <row r="706" spans="1:6">
      <c r="A706" s="92">
        <v>294287</v>
      </c>
      <c r="B706" s="92" t="s">
        <v>74</v>
      </c>
      <c r="C706" s="92">
        <v>2019</v>
      </c>
      <c r="D706" s="92" t="s">
        <v>275</v>
      </c>
      <c r="E706" s="92" t="s">
        <v>268</v>
      </c>
      <c r="F706" s="92"/>
    </row>
    <row r="707" spans="1:6">
      <c r="A707" s="92">
        <v>310177</v>
      </c>
      <c r="B707" s="92" t="s">
        <v>134</v>
      </c>
      <c r="C707" s="92">
        <v>2019</v>
      </c>
      <c r="D707" s="92" t="s">
        <v>275</v>
      </c>
      <c r="E707" s="92" t="s">
        <v>268</v>
      </c>
      <c r="F707" s="92"/>
    </row>
    <row r="708" spans="1:6">
      <c r="A708" s="92">
        <v>310207</v>
      </c>
      <c r="B708" s="92" t="s">
        <v>99</v>
      </c>
      <c r="C708" s="92">
        <v>2019</v>
      </c>
      <c r="D708" s="92" t="s">
        <v>267</v>
      </c>
      <c r="E708" s="92" t="s">
        <v>268</v>
      </c>
      <c r="F708" s="92">
        <v>596.2</v>
      </c>
    </row>
    <row r="709" spans="1:6">
      <c r="A709" s="92">
        <v>310208</v>
      </c>
      <c r="B709" s="92" t="s">
        <v>99</v>
      </c>
      <c r="C709" s="92">
        <v>2019</v>
      </c>
      <c r="D709" s="92" t="s">
        <v>272</v>
      </c>
      <c r="E709" s="92" t="s">
        <v>268</v>
      </c>
      <c r="F709" s="92">
        <v>712.89</v>
      </c>
    </row>
    <row r="710" spans="1:6">
      <c r="A710" s="92">
        <v>310209</v>
      </c>
      <c r="B710" s="92" t="s">
        <v>99</v>
      </c>
      <c r="C710" s="92">
        <v>2019</v>
      </c>
      <c r="D710" s="92" t="s">
        <v>273</v>
      </c>
      <c r="E710" s="92" t="s">
        <v>268</v>
      </c>
      <c r="F710" s="92"/>
    </row>
    <row r="711" spans="1:6">
      <c r="A711" s="92">
        <v>310457</v>
      </c>
      <c r="B711" s="92" t="s">
        <v>209</v>
      </c>
      <c r="C711" s="92">
        <v>2019</v>
      </c>
      <c r="D711" s="92" t="s">
        <v>275</v>
      </c>
      <c r="E711" s="92" t="s">
        <v>268</v>
      </c>
      <c r="F711" s="92"/>
    </row>
    <row r="712" spans="1:6">
      <c r="A712" s="92">
        <v>326377</v>
      </c>
      <c r="B712" s="92" t="s">
        <v>94</v>
      </c>
      <c r="C712" s="92">
        <v>2019</v>
      </c>
      <c r="D712" s="92" t="s">
        <v>267</v>
      </c>
      <c r="E712" s="92" t="s">
        <v>268</v>
      </c>
      <c r="F712" s="92">
        <v>886.67</v>
      </c>
    </row>
    <row r="713" spans="1:6">
      <c r="A713" s="92">
        <v>326378</v>
      </c>
      <c r="B713" s="92" t="s">
        <v>94</v>
      </c>
      <c r="C713" s="92">
        <v>2019</v>
      </c>
      <c r="D713" s="92" t="s">
        <v>272</v>
      </c>
      <c r="E713" s="92" t="s">
        <v>268</v>
      </c>
      <c r="F713" s="92">
        <v>296.91</v>
      </c>
    </row>
    <row r="714" spans="1:6">
      <c r="A714" s="92">
        <v>326379</v>
      </c>
      <c r="B714" s="92" t="s">
        <v>94</v>
      </c>
      <c r="C714" s="92">
        <v>2019</v>
      </c>
      <c r="D714" s="92" t="s">
        <v>273</v>
      </c>
      <c r="E714" s="92" t="s">
        <v>268</v>
      </c>
      <c r="F714" s="92"/>
    </row>
    <row r="715" spans="1:6">
      <c r="A715" s="92">
        <v>326591</v>
      </c>
      <c r="B715" s="92" t="s">
        <v>164</v>
      </c>
      <c r="C715" s="92">
        <v>2019</v>
      </c>
      <c r="D715" s="92" t="s">
        <v>275</v>
      </c>
      <c r="E715" s="92" t="s">
        <v>268</v>
      </c>
      <c r="F715" s="92">
        <v>-176.97</v>
      </c>
    </row>
    <row r="716" spans="1:6">
      <c r="A716" s="92">
        <v>326627</v>
      </c>
      <c r="B716" s="92" t="s">
        <v>169</v>
      </c>
      <c r="C716" s="92">
        <v>2019</v>
      </c>
      <c r="D716" s="92" t="s">
        <v>275</v>
      </c>
      <c r="E716" s="92" t="s">
        <v>268</v>
      </c>
      <c r="F716" s="92"/>
    </row>
    <row r="717" spans="1:6">
      <c r="A717" s="92">
        <v>342517</v>
      </c>
      <c r="B717" s="92" t="s">
        <v>189</v>
      </c>
      <c r="C717" s="92">
        <v>2019</v>
      </c>
      <c r="D717" s="92" t="s">
        <v>275</v>
      </c>
      <c r="E717" s="92" t="s">
        <v>268</v>
      </c>
      <c r="F717" s="92"/>
    </row>
    <row r="718" spans="1:6">
      <c r="A718" s="92">
        <v>342547</v>
      </c>
      <c r="B718" s="92" t="s">
        <v>219</v>
      </c>
      <c r="C718" s="92">
        <v>2019</v>
      </c>
      <c r="D718" s="92" t="s">
        <v>267</v>
      </c>
      <c r="E718" s="92" t="s">
        <v>268</v>
      </c>
      <c r="F718" s="92">
        <v>322.07</v>
      </c>
    </row>
    <row r="719" spans="1:6">
      <c r="A719" s="92">
        <v>342548</v>
      </c>
      <c r="B719" s="92" t="s">
        <v>219</v>
      </c>
      <c r="C719" s="92">
        <v>2019</v>
      </c>
      <c r="D719" s="92" t="s">
        <v>272</v>
      </c>
      <c r="E719" s="92" t="s">
        <v>268</v>
      </c>
      <c r="F719" s="92">
        <v>293.29</v>
      </c>
    </row>
    <row r="720" spans="1:6">
      <c r="A720" s="92">
        <v>342549</v>
      </c>
      <c r="B720" s="92" t="s">
        <v>219</v>
      </c>
      <c r="C720" s="92">
        <v>2019</v>
      </c>
      <c r="D720" s="92" t="s">
        <v>273</v>
      </c>
      <c r="E720" s="92" t="s">
        <v>268</v>
      </c>
      <c r="F720" s="92"/>
    </row>
    <row r="721" spans="1:6">
      <c r="A721" s="92">
        <v>342797</v>
      </c>
      <c r="B721" s="92" t="s">
        <v>174</v>
      </c>
      <c r="C721" s="92">
        <v>2019</v>
      </c>
      <c r="D721" s="92" t="s">
        <v>275</v>
      </c>
      <c r="E721" s="92" t="s">
        <v>268</v>
      </c>
      <c r="F721" s="92"/>
    </row>
    <row r="722" spans="1:6">
      <c r="A722" s="92">
        <v>358687</v>
      </c>
      <c r="B722" s="92" t="s">
        <v>84</v>
      </c>
      <c r="C722" s="92">
        <v>2019</v>
      </c>
      <c r="D722" s="92" t="s">
        <v>275</v>
      </c>
      <c r="E722" s="92" t="s">
        <v>268</v>
      </c>
      <c r="F722" s="92"/>
    </row>
    <row r="723" spans="1:6">
      <c r="A723" s="92">
        <v>358717</v>
      </c>
      <c r="B723" s="92" t="s">
        <v>214</v>
      </c>
      <c r="C723" s="92">
        <v>2019</v>
      </c>
      <c r="D723" s="92" t="s">
        <v>267</v>
      </c>
      <c r="E723" s="92" t="s">
        <v>268</v>
      </c>
      <c r="F723" s="92">
        <v>778.78</v>
      </c>
    </row>
    <row r="724" spans="1:6">
      <c r="A724" s="92">
        <v>358718</v>
      </c>
      <c r="B724" s="92" t="s">
        <v>214</v>
      </c>
      <c r="C724" s="92">
        <v>2019</v>
      </c>
      <c r="D724" s="92" t="s">
        <v>272</v>
      </c>
      <c r="E724" s="92" t="s">
        <v>268</v>
      </c>
      <c r="F724" s="92">
        <v>78.76</v>
      </c>
    </row>
    <row r="725" spans="1:6">
      <c r="A725" s="92">
        <v>358719</v>
      </c>
      <c r="B725" s="92" t="s">
        <v>214</v>
      </c>
      <c r="C725" s="92">
        <v>2019</v>
      </c>
      <c r="D725" s="92" t="s">
        <v>273</v>
      </c>
      <c r="E725" s="92" t="s">
        <v>268</v>
      </c>
      <c r="F725" s="92"/>
    </row>
    <row r="726" spans="1:6">
      <c r="A726" s="92">
        <v>358967</v>
      </c>
      <c r="B726" s="92" t="s">
        <v>149</v>
      </c>
      <c r="C726" s="92">
        <v>2019</v>
      </c>
      <c r="D726" s="92" t="s">
        <v>275</v>
      </c>
      <c r="E726" s="92" t="s">
        <v>268</v>
      </c>
      <c r="F726" s="92"/>
    </row>
    <row r="727" spans="1:6">
      <c r="A727" s="92">
        <v>374857</v>
      </c>
      <c r="B727" s="92" t="s">
        <v>109</v>
      </c>
      <c r="C727" s="92">
        <v>2019</v>
      </c>
      <c r="D727" s="92" t="s">
        <v>275</v>
      </c>
      <c r="E727" s="92" t="s">
        <v>268</v>
      </c>
      <c r="F727" s="92"/>
    </row>
    <row r="728" spans="1:6">
      <c r="A728" s="92">
        <v>374887</v>
      </c>
      <c r="B728" s="92" t="s">
        <v>144</v>
      </c>
      <c r="C728" s="92">
        <v>2019</v>
      </c>
      <c r="D728" s="92" t="s">
        <v>267</v>
      </c>
      <c r="E728" s="92" t="s">
        <v>268</v>
      </c>
      <c r="F728" s="92">
        <v>604.32</v>
      </c>
    </row>
    <row r="729" spans="1:6">
      <c r="A729" s="92">
        <v>374888</v>
      </c>
      <c r="B729" s="92" t="s">
        <v>144</v>
      </c>
      <c r="C729" s="92">
        <v>2019</v>
      </c>
      <c r="D729" s="92" t="s">
        <v>272</v>
      </c>
      <c r="E729" s="92" t="s">
        <v>268</v>
      </c>
      <c r="F729" s="92">
        <v>941.36</v>
      </c>
    </row>
    <row r="730" spans="1:6">
      <c r="A730" s="92">
        <v>374889</v>
      </c>
      <c r="B730" s="92" t="s">
        <v>144</v>
      </c>
      <c r="C730" s="92">
        <v>2019</v>
      </c>
      <c r="D730" s="92" t="s">
        <v>273</v>
      </c>
      <c r="E730" s="92" t="s">
        <v>268</v>
      </c>
      <c r="F730" s="92"/>
    </row>
    <row r="731" spans="1:6">
      <c r="A731" s="92">
        <v>375137</v>
      </c>
      <c r="B731" s="92" t="s">
        <v>154</v>
      </c>
      <c r="C731" s="92">
        <v>2019</v>
      </c>
      <c r="D731" s="92" t="s">
        <v>275</v>
      </c>
      <c r="E731" s="92" t="s">
        <v>268</v>
      </c>
      <c r="F731" s="92"/>
    </row>
    <row r="732" spans="1:6">
      <c r="A732" s="92">
        <v>391027</v>
      </c>
      <c r="B732" s="92" t="s">
        <v>159</v>
      </c>
      <c r="C732" s="92">
        <v>2019</v>
      </c>
      <c r="D732" s="92" t="s">
        <v>275</v>
      </c>
      <c r="E732" s="92" t="s">
        <v>268</v>
      </c>
      <c r="F732" s="92"/>
    </row>
    <row r="733" spans="1:6">
      <c r="A733" s="92">
        <v>391057</v>
      </c>
      <c r="B733" s="92" t="s">
        <v>89</v>
      </c>
      <c r="C733" s="92">
        <v>2019</v>
      </c>
      <c r="D733" s="92" t="s">
        <v>267</v>
      </c>
      <c r="E733" s="92" t="s">
        <v>268</v>
      </c>
      <c r="F733" s="92">
        <v>400.87</v>
      </c>
    </row>
    <row r="734" spans="1:6">
      <c r="A734" s="92">
        <v>391058</v>
      </c>
      <c r="B734" s="92" t="s">
        <v>89</v>
      </c>
      <c r="C734" s="92">
        <v>2019</v>
      </c>
      <c r="D734" s="92" t="s">
        <v>272</v>
      </c>
      <c r="E734" s="92" t="s">
        <v>268</v>
      </c>
      <c r="F734" s="92">
        <v>273.88</v>
      </c>
    </row>
    <row r="735" spans="1:6">
      <c r="A735" s="92">
        <v>391059</v>
      </c>
      <c r="B735" s="92" t="s">
        <v>89</v>
      </c>
      <c r="C735" s="92">
        <v>2019</v>
      </c>
      <c r="D735" s="92" t="s">
        <v>273</v>
      </c>
      <c r="E735" s="92" t="s">
        <v>268</v>
      </c>
      <c r="F735" s="92"/>
    </row>
    <row r="736" spans="1:6">
      <c r="A736" s="92">
        <v>391307</v>
      </c>
      <c r="B736" s="92" t="s">
        <v>104</v>
      </c>
      <c r="C736" s="92">
        <v>2019</v>
      </c>
      <c r="D736" s="92" t="s">
        <v>275</v>
      </c>
      <c r="E736" s="92" t="s">
        <v>268</v>
      </c>
      <c r="F736" s="92"/>
    </row>
    <row r="737" spans="1:6">
      <c r="A737" s="92">
        <v>407197</v>
      </c>
      <c r="B737" s="92" t="s">
        <v>119</v>
      </c>
      <c r="C737" s="92">
        <v>2019</v>
      </c>
      <c r="D737" s="92" t="s">
        <v>275</v>
      </c>
      <c r="E737" s="92" t="s">
        <v>268</v>
      </c>
      <c r="F737" s="92"/>
    </row>
    <row r="738" spans="1:6">
      <c r="A738" s="92">
        <v>407227</v>
      </c>
      <c r="B738" s="92" t="s">
        <v>204</v>
      </c>
      <c r="C738" s="92">
        <v>2019</v>
      </c>
      <c r="D738" s="92" t="s">
        <v>267</v>
      </c>
      <c r="E738" s="92" t="s">
        <v>268</v>
      </c>
      <c r="F738" s="92">
        <v>332.78</v>
      </c>
    </row>
    <row r="739" spans="1:6">
      <c r="A739" s="92">
        <v>407228</v>
      </c>
      <c r="B739" s="92" t="s">
        <v>204</v>
      </c>
      <c r="C739" s="92">
        <v>2019</v>
      </c>
      <c r="D739" s="92" t="s">
        <v>272</v>
      </c>
      <c r="E739" s="92" t="s">
        <v>268</v>
      </c>
      <c r="F739" s="92">
        <v>262.18</v>
      </c>
    </row>
    <row r="740" spans="1:6">
      <c r="A740" s="92">
        <v>407229</v>
      </c>
      <c r="B740" s="92" t="s">
        <v>204</v>
      </c>
      <c r="C740" s="92">
        <v>2019</v>
      </c>
      <c r="D740" s="92" t="s">
        <v>273</v>
      </c>
      <c r="E740" s="92" t="s">
        <v>268</v>
      </c>
      <c r="F740" s="92"/>
    </row>
    <row r="741" spans="1:6">
      <c r="A741" s="92">
        <v>407477</v>
      </c>
      <c r="B741" s="92" t="s">
        <v>139</v>
      </c>
      <c r="C741" s="92">
        <v>2019</v>
      </c>
      <c r="D741" s="92" t="s">
        <v>275</v>
      </c>
      <c r="E741" s="92" t="s">
        <v>268</v>
      </c>
      <c r="F741" s="92"/>
    </row>
    <row r="742" spans="1:6">
      <c r="A742" s="92">
        <v>423367</v>
      </c>
      <c r="B742" s="92" t="s">
        <v>99</v>
      </c>
      <c r="C742" s="92">
        <v>2019</v>
      </c>
      <c r="D742" s="92" t="s">
        <v>275</v>
      </c>
      <c r="E742" s="92" t="s">
        <v>268</v>
      </c>
      <c r="F742" s="92"/>
    </row>
    <row r="743" spans="1:6">
      <c r="A743" s="92">
        <v>423397</v>
      </c>
      <c r="B743" s="92" t="s">
        <v>114</v>
      </c>
      <c r="C743" s="92">
        <v>2019</v>
      </c>
      <c r="D743" s="92" t="s">
        <v>267</v>
      </c>
      <c r="E743" s="92" t="s">
        <v>268</v>
      </c>
      <c r="F743" s="92">
        <v>24.69</v>
      </c>
    </row>
    <row r="744" spans="1:6">
      <c r="A744" s="92">
        <v>423398</v>
      </c>
      <c r="B744" s="92" t="s">
        <v>114</v>
      </c>
      <c r="C744" s="92">
        <v>2019</v>
      </c>
      <c r="D744" s="92" t="s">
        <v>272</v>
      </c>
      <c r="E744" s="92" t="s">
        <v>268</v>
      </c>
      <c r="F744" s="92">
        <v>869.61</v>
      </c>
    </row>
    <row r="745" spans="1:6">
      <c r="A745" s="92">
        <v>423399</v>
      </c>
      <c r="B745" s="92" t="s">
        <v>114</v>
      </c>
      <c r="C745" s="92">
        <v>2019</v>
      </c>
      <c r="D745" s="92" t="s">
        <v>273</v>
      </c>
      <c r="E745" s="92" t="s">
        <v>268</v>
      </c>
      <c r="F745" s="92"/>
    </row>
    <row r="746" spans="1:6">
      <c r="A746" s="92">
        <v>423647</v>
      </c>
      <c r="B746" s="92" t="s">
        <v>94</v>
      </c>
      <c r="C746" s="92">
        <v>2019</v>
      </c>
      <c r="D746" s="92" t="s">
        <v>275</v>
      </c>
      <c r="E746" s="92" t="s">
        <v>268</v>
      </c>
      <c r="F746" s="92">
        <v>-13.43</v>
      </c>
    </row>
    <row r="747" spans="1:6">
      <c r="A747" s="92">
        <v>439537</v>
      </c>
      <c r="B747" s="92" t="s">
        <v>219</v>
      </c>
      <c r="C747" s="92">
        <v>2019</v>
      </c>
      <c r="D747" s="92" t="s">
        <v>275</v>
      </c>
      <c r="E747" s="92" t="s">
        <v>268</v>
      </c>
      <c r="F747" s="92"/>
    </row>
    <row r="748" spans="1:6">
      <c r="A748" s="92">
        <v>439567</v>
      </c>
      <c r="B748" s="92" t="s">
        <v>184</v>
      </c>
      <c r="C748" s="92">
        <v>2019</v>
      </c>
      <c r="D748" s="92" t="s">
        <v>267</v>
      </c>
      <c r="E748" s="92" t="s">
        <v>268</v>
      </c>
      <c r="F748" s="92">
        <v>3415.41</v>
      </c>
    </row>
    <row r="749" spans="1:6">
      <c r="A749" s="92">
        <v>439568</v>
      </c>
      <c r="B749" s="92" t="s">
        <v>184</v>
      </c>
      <c r="C749" s="92">
        <v>2019</v>
      </c>
      <c r="D749" s="92" t="s">
        <v>272</v>
      </c>
      <c r="E749" s="92" t="s">
        <v>268</v>
      </c>
      <c r="F749" s="92">
        <v>116</v>
      </c>
    </row>
    <row r="750" spans="1:6">
      <c r="A750" s="92">
        <v>439569</v>
      </c>
      <c r="B750" s="92" t="s">
        <v>184</v>
      </c>
      <c r="C750" s="92">
        <v>2019</v>
      </c>
      <c r="D750" s="92" t="s">
        <v>273</v>
      </c>
      <c r="E750" s="92" t="s">
        <v>268</v>
      </c>
      <c r="F750" s="92"/>
    </row>
    <row r="751" spans="1:6">
      <c r="A751" s="92">
        <v>439817</v>
      </c>
      <c r="B751" s="92" t="s">
        <v>214</v>
      </c>
      <c r="C751" s="92">
        <v>2019</v>
      </c>
      <c r="D751" s="92" t="s">
        <v>275</v>
      </c>
      <c r="E751" s="92" t="s">
        <v>268</v>
      </c>
      <c r="F751" s="92"/>
    </row>
    <row r="752" spans="1:6">
      <c r="A752" s="92">
        <v>455707</v>
      </c>
      <c r="B752" s="92" t="s">
        <v>144</v>
      </c>
      <c r="C752" s="92">
        <v>2019</v>
      </c>
      <c r="D752" s="92" t="s">
        <v>275</v>
      </c>
      <c r="E752" s="92" t="s">
        <v>268</v>
      </c>
      <c r="F752" s="92"/>
    </row>
    <row r="753" spans="1:6">
      <c r="A753" s="92">
        <v>455737</v>
      </c>
      <c r="B753" s="92" t="s">
        <v>79</v>
      </c>
      <c r="C753" s="92">
        <v>2019</v>
      </c>
      <c r="D753" s="92" t="s">
        <v>267</v>
      </c>
      <c r="E753" s="92" t="s">
        <v>268</v>
      </c>
      <c r="F753" s="92">
        <v>26.38</v>
      </c>
    </row>
    <row r="754" spans="1:6">
      <c r="A754" s="92">
        <v>455738</v>
      </c>
      <c r="B754" s="92" t="s">
        <v>79</v>
      </c>
      <c r="C754" s="92">
        <v>2019</v>
      </c>
      <c r="D754" s="92" t="s">
        <v>272</v>
      </c>
      <c r="E754" s="92" t="s">
        <v>268</v>
      </c>
      <c r="F754" s="92">
        <v>231.03</v>
      </c>
    </row>
    <row r="755" spans="1:6">
      <c r="A755" s="92">
        <v>455739</v>
      </c>
      <c r="B755" s="92" t="s">
        <v>79</v>
      </c>
      <c r="C755" s="92">
        <v>2019</v>
      </c>
      <c r="D755" s="92" t="s">
        <v>273</v>
      </c>
      <c r="E755" s="92" t="s">
        <v>268</v>
      </c>
      <c r="F755" s="92"/>
    </row>
    <row r="756" spans="1:6">
      <c r="A756" s="92">
        <v>455987</v>
      </c>
      <c r="B756" s="92" t="s">
        <v>89</v>
      </c>
      <c r="C756" s="92">
        <v>2019</v>
      </c>
      <c r="D756" s="92" t="s">
        <v>275</v>
      </c>
      <c r="E756" s="92" t="s">
        <v>268</v>
      </c>
      <c r="F756" s="92"/>
    </row>
    <row r="757" spans="1:6">
      <c r="A757" s="92">
        <v>471877</v>
      </c>
      <c r="B757" s="92" t="s">
        <v>204</v>
      </c>
      <c r="C757" s="92">
        <v>2019</v>
      </c>
      <c r="D757" s="92" t="s">
        <v>275</v>
      </c>
      <c r="E757" s="92" t="s">
        <v>268</v>
      </c>
      <c r="F757" s="92"/>
    </row>
    <row r="758" spans="1:6">
      <c r="A758" s="92">
        <v>471907</v>
      </c>
      <c r="B758" s="92" t="s">
        <v>224</v>
      </c>
      <c r="C758" s="92">
        <v>2019</v>
      </c>
      <c r="D758" s="92" t="s">
        <v>267</v>
      </c>
      <c r="E758" s="92" t="s">
        <v>268</v>
      </c>
      <c r="F758" s="92">
        <v>841.3</v>
      </c>
    </row>
    <row r="759" spans="1:6">
      <c r="A759" s="92">
        <v>471908</v>
      </c>
      <c r="B759" s="92" t="s">
        <v>224</v>
      </c>
      <c r="C759" s="92">
        <v>2019</v>
      </c>
      <c r="D759" s="92" t="s">
        <v>272</v>
      </c>
      <c r="E759" s="92" t="s">
        <v>268</v>
      </c>
      <c r="F759" s="92">
        <v>9.08</v>
      </c>
    </row>
    <row r="760" spans="1:6">
      <c r="A760" s="92">
        <v>471909</v>
      </c>
      <c r="B760" s="92" t="s">
        <v>224</v>
      </c>
      <c r="C760" s="92">
        <v>2019</v>
      </c>
      <c r="D760" s="92" t="s">
        <v>273</v>
      </c>
      <c r="E760" s="92" t="s">
        <v>268</v>
      </c>
      <c r="F760" s="92"/>
    </row>
    <row r="761" spans="1:6">
      <c r="A761" s="92">
        <v>472157</v>
      </c>
      <c r="B761" s="92" t="s">
        <v>114</v>
      </c>
      <c r="C761" s="92">
        <v>2019</v>
      </c>
      <c r="D761" s="92" t="s">
        <v>275</v>
      </c>
      <c r="E761" s="92" t="s">
        <v>268</v>
      </c>
      <c r="F761" s="92"/>
    </row>
    <row r="762" spans="1:6">
      <c r="A762" s="92">
        <v>488047</v>
      </c>
      <c r="B762" s="92" t="s">
        <v>184</v>
      </c>
      <c r="C762" s="92">
        <v>2019</v>
      </c>
      <c r="D762" s="92" t="s">
        <v>275</v>
      </c>
      <c r="E762" s="92" t="s">
        <v>268</v>
      </c>
      <c r="F762" s="92"/>
    </row>
    <row r="763" spans="1:6">
      <c r="A763" s="92">
        <v>488077</v>
      </c>
      <c r="B763" s="92" t="s">
        <v>194</v>
      </c>
      <c r="C763" s="92">
        <v>2019</v>
      </c>
      <c r="D763" s="92" t="s">
        <v>267</v>
      </c>
      <c r="E763" s="92" t="s">
        <v>268</v>
      </c>
      <c r="F763" s="92">
        <v>3149.32</v>
      </c>
    </row>
    <row r="764" spans="1:6">
      <c r="A764" s="92">
        <v>488078</v>
      </c>
      <c r="B764" s="92" t="s">
        <v>194</v>
      </c>
      <c r="C764" s="92">
        <v>2019</v>
      </c>
      <c r="D764" s="92" t="s">
        <v>272</v>
      </c>
      <c r="E764" s="92" t="s">
        <v>268</v>
      </c>
      <c r="F764" s="92">
        <v>0.01</v>
      </c>
    </row>
    <row r="765" spans="1:6">
      <c r="A765" s="92">
        <v>488079</v>
      </c>
      <c r="B765" s="92" t="s">
        <v>194</v>
      </c>
      <c r="C765" s="92">
        <v>2019</v>
      </c>
      <c r="D765" s="92" t="s">
        <v>273</v>
      </c>
      <c r="E765" s="92" t="s">
        <v>268</v>
      </c>
      <c r="F765" s="92">
        <v>13.92</v>
      </c>
    </row>
    <row r="766" spans="1:6">
      <c r="A766" s="92">
        <v>488327</v>
      </c>
      <c r="B766" s="92" t="s">
        <v>79</v>
      </c>
      <c r="C766" s="92">
        <v>2019</v>
      </c>
      <c r="D766" s="92" t="s">
        <v>275</v>
      </c>
      <c r="E766" s="92" t="s">
        <v>268</v>
      </c>
      <c r="F766" s="92"/>
    </row>
    <row r="767" spans="1:6">
      <c r="A767" s="92">
        <v>504217</v>
      </c>
      <c r="B767" s="92" t="s">
        <v>224</v>
      </c>
      <c r="C767" s="92">
        <v>2019</v>
      </c>
      <c r="D767" s="92" t="s">
        <v>275</v>
      </c>
      <c r="E767" s="92" t="s">
        <v>268</v>
      </c>
      <c r="F767" s="92"/>
    </row>
    <row r="768" spans="1:6">
      <c r="A768" s="92">
        <v>504247</v>
      </c>
      <c r="B768" s="92" t="s">
        <v>124</v>
      </c>
      <c r="C768" s="92">
        <v>2019</v>
      </c>
      <c r="D768" s="92" t="s">
        <v>267</v>
      </c>
      <c r="E768" s="92" t="s">
        <v>268</v>
      </c>
      <c r="F768" s="92">
        <v>1036.69</v>
      </c>
    </row>
    <row r="769" spans="1:6">
      <c r="A769" s="92">
        <v>504248</v>
      </c>
      <c r="B769" s="92" t="s">
        <v>124</v>
      </c>
      <c r="C769" s="92">
        <v>2019</v>
      </c>
      <c r="D769" s="92" t="s">
        <v>272</v>
      </c>
      <c r="E769" s="92" t="s">
        <v>268</v>
      </c>
      <c r="F769" s="92">
        <v>1379.82</v>
      </c>
    </row>
    <row r="770" spans="1:6">
      <c r="A770" s="92">
        <v>504249</v>
      </c>
      <c r="B770" s="92" t="s">
        <v>124</v>
      </c>
      <c r="C770" s="92">
        <v>2019</v>
      </c>
      <c r="D770" s="92" t="s">
        <v>273</v>
      </c>
      <c r="E770" s="92" t="s">
        <v>268</v>
      </c>
      <c r="F770" s="92"/>
    </row>
    <row r="771" spans="1:6">
      <c r="A771" s="92">
        <v>504497</v>
      </c>
      <c r="B771" s="92" t="s">
        <v>194</v>
      </c>
      <c r="C771" s="92">
        <v>2019</v>
      </c>
      <c r="D771" s="92" t="s">
        <v>275</v>
      </c>
      <c r="E771" s="92" t="s">
        <v>268</v>
      </c>
      <c r="F771" s="92">
        <v>-27.41</v>
      </c>
    </row>
    <row r="772" spans="1:6">
      <c r="A772" s="92">
        <v>520387</v>
      </c>
      <c r="B772" s="92" t="s">
        <v>124</v>
      </c>
      <c r="C772" s="92">
        <v>2019</v>
      </c>
      <c r="D772" s="92" t="s">
        <v>275</v>
      </c>
      <c r="E772" s="92" t="s">
        <v>268</v>
      </c>
      <c r="F772" s="92"/>
    </row>
    <row r="773" spans="1:6">
      <c r="A773" s="92">
        <v>520417</v>
      </c>
      <c r="B773" s="92" t="s">
        <v>179</v>
      </c>
      <c r="C773" s="92">
        <v>2019</v>
      </c>
      <c r="D773" s="92" t="s">
        <v>267</v>
      </c>
      <c r="E773" s="92" t="s">
        <v>268</v>
      </c>
      <c r="F773" s="92">
        <v>256.6</v>
      </c>
    </row>
    <row r="774" spans="1:6">
      <c r="A774" s="92">
        <v>520418</v>
      </c>
      <c r="B774" s="92" t="s">
        <v>179</v>
      </c>
      <c r="C774" s="92">
        <v>2019</v>
      </c>
      <c r="D774" s="92" t="s">
        <v>272</v>
      </c>
      <c r="E774" s="92" t="s">
        <v>268</v>
      </c>
      <c r="F774" s="92">
        <v>408.06</v>
      </c>
    </row>
    <row r="775" spans="1:6">
      <c r="A775" s="92">
        <v>520419</v>
      </c>
      <c r="B775" s="92" t="s">
        <v>179</v>
      </c>
      <c r="C775" s="92">
        <v>2019</v>
      </c>
      <c r="D775" s="92" t="s">
        <v>273</v>
      </c>
      <c r="E775" s="92" t="s">
        <v>268</v>
      </c>
      <c r="F775" s="92"/>
    </row>
    <row r="776" spans="1:6">
      <c r="A776" s="92">
        <v>520667</v>
      </c>
      <c r="B776" s="92" t="s">
        <v>179</v>
      </c>
      <c r="C776" s="92">
        <v>2019</v>
      </c>
      <c r="D776" s="92" t="s">
        <v>275</v>
      </c>
      <c r="E776" s="92" t="s">
        <v>268</v>
      </c>
      <c r="F776" s="92"/>
    </row>
    <row r="777" spans="1:6">
      <c r="A777" s="92">
        <v>50472</v>
      </c>
      <c r="B777" s="92" t="s">
        <v>70</v>
      </c>
      <c r="C777" s="92">
        <v>2020</v>
      </c>
      <c r="D777" s="92" t="s">
        <v>267</v>
      </c>
      <c r="E777" s="92" t="s">
        <v>268</v>
      </c>
      <c r="F777" s="92">
        <v>24488.12</v>
      </c>
    </row>
    <row r="778" spans="1:6">
      <c r="A778" s="92">
        <v>50473</v>
      </c>
      <c r="B778" s="92" t="s">
        <v>70</v>
      </c>
      <c r="C778" s="92">
        <v>2020</v>
      </c>
      <c r="D778" s="92" t="s">
        <v>272</v>
      </c>
      <c r="E778" s="92" t="s">
        <v>268</v>
      </c>
      <c r="F778" s="92"/>
    </row>
    <row r="779" spans="1:6">
      <c r="A779" s="92">
        <v>50474</v>
      </c>
      <c r="B779" s="92" t="s">
        <v>70</v>
      </c>
      <c r="C779" s="92">
        <v>2020</v>
      </c>
      <c r="D779" s="92" t="s">
        <v>273</v>
      </c>
      <c r="E779" s="92" t="s">
        <v>268</v>
      </c>
      <c r="F779" s="92">
        <v>47.51</v>
      </c>
    </row>
    <row r="780" spans="1:6">
      <c r="A780" s="92">
        <v>50476</v>
      </c>
      <c r="B780" s="92" t="s">
        <v>70</v>
      </c>
      <c r="C780" s="92">
        <v>2020</v>
      </c>
      <c r="D780" s="92" t="s">
        <v>274</v>
      </c>
      <c r="E780" s="92" t="s">
        <v>268</v>
      </c>
      <c r="F780" s="92"/>
    </row>
    <row r="781" spans="1:6">
      <c r="A781" s="92">
        <v>50477</v>
      </c>
      <c r="B781" s="92" t="s">
        <v>70</v>
      </c>
      <c r="C781" s="92">
        <v>2020</v>
      </c>
      <c r="D781" s="92" t="s">
        <v>275</v>
      </c>
      <c r="E781" s="92" t="s">
        <v>268</v>
      </c>
      <c r="F781" s="92">
        <v>-217.93</v>
      </c>
    </row>
    <row r="782" spans="1:6">
      <c r="A782" s="92">
        <v>51452</v>
      </c>
      <c r="B782" s="92" t="s">
        <v>129</v>
      </c>
      <c r="C782" s="92">
        <v>2020</v>
      </c>
      <c r="D782" s="92" t="s">
        <v>267</v>
      </c>
      <c r="E782" s="92" t="s">
        <v>268</v>
      </c>
      <c r="F782" s="92">
        <v>253.13</v>
      </c>
    </row>
    <row r="783" spans="1:6">
      <c r="A783" s="92">
        <v>51453</v>
      </c>
      <c r="B783" s="92" t="s">
        <v>129</v>
      </c>
      <c r="C783" s="92">
        <v>2020</v>
      </c>
      <c r="D783" s="92" t="s">
        <v>272</v>
      </c>
      <c r="E783" s="92" t="s">
        <v>268</v>
      </c>
      <c r="F783" s="92">
        <v>425.1</v>
      </c>
    </row>
    <row r="784" spans="1:6">
      <c r="A784" s="92">
        <v>51454</v>
      </c>
      <c r="B784" s="92" t="s">
        <v>129</v>
      </c>
      <c r="C784" s="92">
        <v>2020</v>
      </c>
      <c r="D784" s="92" t="s">
        <v>273</v>
      </c>
      <c r="E784" s="92" t="s">
        <v>268</v>
      </c>
      <c r="F784" s="92"/>
    </row>
    <row r="785" spans="1:6">
      <c r="A785" s="92">
        <v>51456</v>
      </c>
      <c r="B785" s="92" t="s">
        <v>129</v>
      </c>
      <c r="C785" s="92">
        <v>2020</v>
      </c>
      <c r="D785" s="92" t="s">
        <v>274</v>
      </c>
      <c r="E785" s="92" t="s">
        <v>268</v>
      </c>
      <c r="F785" s="92">
        <v>-806.58</v>
      </c>
    </row>
    <row r="786" spans="1:6">
      <c r="A786" s="92">
        <v>51736</v>
      </c>
      <c r="B786" s="92" t="s">
        <v>74</v>
      </c>
      <c r="C786" s="92">
        <v>2020</v>
      </c>
      <c r="D786" s="92" t="s">
        <v>274</v>
      </c>
      <c r="E786" s="92" t="s">
        <v>268</v>
      </c>
      <c r="F786" s="92">
        <v>-4.75</v>
      </c>
    </row>
    <row r="787" spans="1:6">
      <c r="A787" s="92">
        <v>67622</v>
      </c>
      <c r="B787" s="92" t="s">
        <v>74</v>
      </c>
      <c r="C787" s="92">
        <v>2020</v>
      </c>
      <c r="D787" s="92" t="s">
        <v>267</v>
      </c>
      <c r="E787" s="92" t="s">
        <v>268</v>
      </c>
      <c r="F787" s="92">
        <v>21.38</v>
      </c>
    </row>
    <row r="788" spans="1:6">
      <c r="A788" s="92">
        <v>67623</v>
      </c>
      <c r="B788" s="92" t="s">
        <v>74</v>
      </c>
      <c r="C788" s="92">
        <v>2020</v>
      </c>
      <c r="D788" s="92" t="s">
        <v>272</v>
      </c>
      <c r="E788" s="92" t="s">
        <v>268</v>
      </c>
      <c r="F788" s="92">
        <v>689.02</v>
      </c>
    </row>
    <row r="789" spans="1:6">
      <c r="A789" s="92">
        <v>67624</v>
      </c>
      <c r="B789" s="92" t="s">
        <v>74</v>
      </c>
      <c r="C789" s="92">
        <v>2020</v>
      </c>
      <c r="D789" s="92" t="s">
        <v>273</v>
      </c>
      <c r="E789" s="92" t="s">
        <v>268</v>
      </c>
      <c r="F789" s="92"/>
    </row>
    <row r="790" spans="1:6">
      <c r="A790" s="92">
        <v>67626</v>
      </c>
      <c r="B790" s="92" t="s">
        <v>134</v>
      </c>
      <c r="C790" s="92">
        <v>2020</v>
      </c>
      <c r="D790" s="92" t="s">
        <v>274</v>
      </c>
      <c r="E790" s="92" t="s">
        <v>268</v>
      </c>
      <c r="F790" s="92">
        <v>-154.98</v>
      </c>
    </row>
    <row r="791" spans="1:6">
      <c r="A791" s="92">
        <v>67906</v>
      </c>
      <c r="B791" s="92" t="s">
        <v>209</v>
      </c>
      <c r="C791" s="92">
        <v>2020</v>
      </c>
      <c r="D791" s="92" t="s">
        <v>274</v>
      </c>
      <c r="E791" s="92" t="s">
        <v>268</v>
      </c>
      <c r="F791" s="92">
        <v>-787.32</v>
      </c>
    </row>
    <row r="792" spans="1:6">
      <c r="A792" s="92">
        <v>83792</v>
      </c>
      <c r="B792" s="92" t="s">
        <v>134</v>
      </c>
      <c r="C792" s="92">
        <v>2020</v>
      </c>
      <c r="D792" s="92" t="s">
        <v>267</v>
      </c>
      <c r="E792" s="92" t="s">
        <v>268</v>
      </c>
      <c r="F792" s="92">
        <v>1085.74</v>
      </c>
    </row>
    <row r="793" spans="1:6">
      <c r="A793" s="92">
        <v>83793</v>
      </c>
      <c r="B793" s="92" t="s">
        <v>134</v>
      </c>
      <c r="C793" s="92">
        <v>2020</v>
      </c>
      <c r="D793" s="92" t="s">
        <v>272</v>
      </c>
      <c r="E793" s="92" t="s">
        <v>268</v>
      </c>
      <c r="F793" s="92">
        <v>1.5</v>
      </c>
    </row>
    <row r="794" spans="1:6">
      <c r="A794" s="92">
        <v>83794</v>
      </c>
      <c r="B794" s="92" t="s">
        <v>134</v>
      </c>
      <c r="C794" s="92">
        <v>2020</v>
      </c>
      <c r="D794" s="92" t="s">
        <v>273</v>
      </c>
      <c r="E794" s="92" t="s">
        <v>268</v>
      </c>
      <c r="F794" s="92"/>
    </row>
    <row r="795" spans="1:6">
      <c r="A795" s="92">
        <v>84042</v>
      </c>
      <c r="B795" s="92" t="s">
        <v>164</v>
      </c>
      <c r="C795" s="92">
        <v>2020</v>
      </c>
      <c r="D795" s="92" t="s">
        <v>274</v>
      </c>
      <c r="E795" s="92" t="s">
        <v>268</v>
      </c>
      <c r="F795" s="92">
        <v>-0.67</v>
      </c>
    </row>
    <row r="796" spans="1:6">
      <c r="A796" s="92">
        <v>84076</v>
      </c>
      <c r="B796" s="92" t="s">
        <v>169</v>
      </c>
      <c r="C796" s="92">
        <v>2020</v>
      </c>
      <c r="D796" s="92" t="s">
        <v>274</v>
      </c>
      <c r="E796" s="92" t="s">
        <v>268</v>
      </c>
      <c r="F796" s="92">
        <v>-149.87</v>
      </c>
    </row>
    <row r="797" spans="1:6">
      <c r="A797" s="92">
        <v>99962</v>
      </c>
      <c r="B797" s="92" t="s">
        <v>209</v>
      </c>
      <c r="C797" s="92">
        <v>2020</v>
      </c>
      <c r="D797" s="92" t="s">
        <v>267</v>
      </c>
      <c r="E797" s="92" t="s">
        <v>268</v>
      </c>
      <c r="F797" s="92">
        <v>886.4</v>
      </c>
    </row>
    <row r="798" spans="1:6">
      <c r="A798" s="92">
        <v>99963</v>
      </c>
      <c r="B798" s="92" t="s">
        <v>209</v>
      </c>
      <c r="C798" s="92">
        <v>2020</v>
      </c>
      <c r="D798" s="92" t="s">
        <v>272</v>
      </c>
      <c r="E798" s="92" t="s">
        <v>268</v>
      </c>
      <c r="F798" s="92">
        <v>375.59</v>
      </c>
    </row>
    <row r="799" spans="1:6">
      <c r="A799" s="92">
        <v>99964</v>
      </c>
      <c r="B799" s="92" t="s">
        <v>209</v>
      </c>
      <c r="C799" s="92">
        <v>2020</v>
      </c>
      <c r="D799" s="92" t="s">
        <v>273</v>
      </c>
      <c r="E799" s="92" t="s">
        <v>268</v>
      </c>
      <c r="F799" s="92"/>
    </row>
    <row r="800" spans="1:6">
      <c r="A800" s="92">
        <v>99966</v>
      </c>
      <c r="B800" s="92" t="s">
        <v>189</v>
      </c>
      <c r="C800" s="92">
        <v>2020</v>
      </c>
      <c r="D800" s="92" t="s">
        <v>274</v>
      </c>
      <c r="E800" s="92" t="s">
        <v>268</v>
      </c>
      <c r="F800" s="92">
        <v>-720.31</v>
      </c>
    </row>
    <row r="801" spans="1:6">
      <c r="A801" s="92">
        <v>100246</v>
      </c>
      <c r="B801" s="92" t="s">
        <v>174</v>
      </c>
      <c r="C801" s="92">
        <v>2020</v>
      </c>
      <c r="D801" s="92" t="s">
        <v>274</v>
      </c>
      <c r="E801" s="92" t="s">
        <v>268</v>
      </c>
      <c r="F801" s="92"/>
    </row>
    <row r="802" spans="1:6">
      <c r="A802" s="92">
        <v>116132</v>
      </c>
      <c r="B802" s="92" t="s">
        <v>164</v>
      </c>
      <c r="C802" s="92">
        <v>2020</v>
      </c>
      <c r="D802" s="92" t="s">
        <v>267</v>
      </c>
      <c r="E802" s="92" t="s">
        <v>268</v>
      </c>
      <c r="F802" s="92">
        <v>1622.79</v>
      </c>
    </row>
    <row r="803" spans="1:6">
      <c r="A803" s="92">
        <v>116133</v>
      </c>
      <c r="B803" s="92" t="s">
        <v>164</v>
      </c>
      <c r="C803" s="92">
        <v>2020</v>
      </c>
      <c r="D803" s="92" t="s">
        <v>272</v>
      </c>
      <c r="E803" s="92" t="s">
        <v>268</v>
      </c>
      <c r="F803" s="92">
        <v>1880.19</v>
      </c>
    </row>
    <row r="804" spans="1:6">
      <c r="A804" s="92">
        <v>116134</v>
      </c>
      <c r="B804" s="92" t="s">
        <v>164</v>
      </c>
      <c r="C804" s="92">
        <v>2020</v>
      </c>
      <c r="D804" s="92" t="s">
        <v>273</v>
      </c>
      <c r="E804" s="92" t="s">
        <v>268</v>
      </c>
      <c r="F804" s="92"/>
    </row>
    <row r="805" spans="1:6">
      <c r="A805" s="92">
        <v>116311</v>
      </c>
      <c r="B805" s="92" t="s">
        <v>84</v>
      </c>
      <c r="C805" s="92">
        <v>2020</v>
      </c>
      <c r="D805" s="92" t="s">
        <v>274</v>
      </c>
      <c r="E805" s="92" t="s">
        <v>268</v>
      </c>
      <c r="F805" s="92">
        <v>-556.64</v>
      </c>
    </row>
    <row r="806" spans="1:6">
      <c r="A806" s="92">
        <v>116487</v>
      </c>
      <c r="B806" s="92" t="s">
        <v>149</v>
      </c>
      <c r="C806" s="92">
        <v>2020</v>
      </c>
      <c r="D806" s="92" t="s">
        <v>274</v>
      </c>
      <c r="E806" s="92" t="s">
        <v>268</v>
      </c>
      <c r="F806" s="92">
        <v>-138.5</v>
      </c>
    </row>
    <row r="807" spans="1:6">
      <c r="A807" s="92">
        <v>132302</v>
      </c>
      <c r="B807" s="92" t="s">
        <v>169</v>
      </c>
      <c r="C807" s="92">
        <v>2020</v>
      </c>
      <c r="D807" s="92" t="s">
        <v>267</v>
      </c>
      <c r="E807" s="92" t="s">
        <v>268</v>
      </c>
      <c r="F807" s="92">
        <v>905.99</v>
      </c>
    </row>
    <row r="808" spans="1:6">
      <c r="A808" s="92">
        <v>132303</v>
      </c>
      <c r="B808" s="92" t="s">
        <v>169</v>
      </c>
      <c r="C808" s="92">
        <v>2020</v>
      </c>
      <c r="D808" s="92" t="s">
        <v>272</v>
      </c>
      <c r="E808" s="92" t="s">
        <v>268</v>
      </c>
      <c r="F808" s="92">
        <v>204.24</v>
      </c>
    </row>
    <row r="809" spans="1:6">
      <c r="A809" s="92">
        <v>132304</v>
      </c>
      <c r="B809" s="92" t="s">
        <v>169</v>
      </c>
      <c r="C809" s="92">
        <v>2020</v>
      </c>
      <c r="D809" s="92" t="s">
        <v>273</v>
      </c>
      <c r="E809" s="92" t="s">
        <v>268</v>
      </c>
      <c r="F809" s="92"/>
    </row>
    <row r="810" spans="1:6">
      <c r="A810" s="92">
        <v>132306</v>
      </c>
      <c r="B810" s="92" t="s">
        <v>109</v>
      </c>
      <c r="C810" s="92">
        <v>2020</v>
      </c>
      <c r="D810" s="92" t="s">
        <v>274</v>
      </c>
      <c r="E810" s="92" t="s">
        <v>268</v>
      </c>
      <c r="F810" s="92">
        <v>-102.17</v>
      </c>
    </row>
    <row r="811" spans="1:6">
      <c r="A811" s="92">
        <v>132586</v>
      </c>
      <c r="B811" s="92" t="s">
        <v>154</v>
      </c>
      <c r="C811" s="92">
        <v>2020</v>
      </c>
      <c r="D811" s="92" t="s">
        <v>274</v>
      </c>
      <c r="E811" s="92" t="s">
        <v>268</v>
      </c>
      <c r="F811" s="92">
        <v>-974.19</v>
      </c>
    </row>
    <row r="812" spans="1:6">
      <c r="A812" s="92">
        <v>148472</v>
      </c>
      <c r="B812" s="92" t="s">
        <v>189</v>
      </c>
      <c r="C812" s="92">
        <v>2020</v>
      </c>
      <c r="D812" s="92" t="s">
        <v>267</v>
      </c>
      <c r="E812" s="92" t="s">
        <v>268</v>
      </c>
      <c r="F812" s="92">
        <v>973.34</v>
      </c>
    </row>
    <row r="813" spans="1:6">
      <c r="A813" s="92">
        <v>148473</v>
      </c>
      <c r="B813" s="92" t="s">
        <v>189</v>
      </c>
      <c r="C813" s="92">
        <v>2020</v>
      </c>
      <c r="D813" s="92" t="s">
        <v>272</v>
      </c>
      <c r="E813" s="92" t="s">
        <v>268</v>
      </c>
      <c r="F813" s="92">
        <v>0.93</v>
      </c>
    </row>
    <row r="814" spans="1:6">
      <c r="A814" s="92">
        <v>148474</v>
      </c>
      <c r="B814" s="92" t="s">
        <v>189</v>
      </c>
      <c r="C814" s="92">
        <v>2020</v>
      </c>
      <c r="D814" s="92" t="s">
        <v>273</v>
      </c>
      <c r="E814" s="92" t="s">
        <v>268</v>
      </c>
      <c r="F814" s="92"/>
    </row>
    <row r="815" spans="1:6">
      <c r="A815" s="92">
        <v>148476</v>
      </c>
      <c r="B815" s="92" t="s">
        <v>159</v>
      </c>
      <c r="C815" s="92">
        <v>2020</v>
      </c>
      <c r="D815" s="92" t="s">
        <v>274</v>
      </c>
      <c r="E815" s="92" t="s">
        <v>268</v>
      </c>
      <c r="F815" s="92"/>
    </row>
    <row r="816" spans="1:6">
      <c r="A816" s="92">
        <v>148756</v>
      </c>
      <c r="B816" s="92" t="s">
        <v>104</v>
      </c>
      <c r="C816" s="92">
        <v>2020</v>
      </c>
      <c r="D816" s="92" t="s">
        <v>274</v>
      </c>
      <c r="E816" s="92" t="s">
        <v>268</v>
      </c>
      <c r="F816" s="92">
        <v>-353.94</v>
      </c>
    </row>
    <row r="817" spans="1:6">
      <c r="A817" s="92">
        <v>164642</v>
      </c>
      <c r="B817" s="92" t="s">
        <v>174</v>
      </c>
      <c r="C817" s="92">
        <v>2020</v>
      </c>
      <c r="D817" s="92" t="s">
        <v>267</v>
      </c>
      <c r="E817" s="92" t="s">
        <v>268</v>
      </c>
      <c r="F817" s="92">
        <v>132.48</v>
      </c>
    </row>
    <row r="818" spans="1:6">
      <c r="A818" s="92">
        <v>164643</v>
      </c>
      <c r="B818" s="92" t="s">
        <v>174</v>
      </c>
      <c r="C818" s="92">
        <v>2020</v>
      </c>
      <c r="D818" s="92" t="s">
        <v>272</v>
      </c>
      <c r="E818" s="92" t="s">
        <v>268</v>
      </c>
      <c r="F818" s="92">
        <v>17.04</v>
      </c>
    </row>
    <row r="819" spans="1:6">
      <c r="A819" s="92">
        <v>164644</v>
      </c>
      <c r="B819" s="92" t="s">
        <v>174</v>
      </c>
      <c r="C819" s="92">
        <v>2020</v>
      </c>
      <c r="D819" s="92" t="s">
        <v>273</v>
      </c>
      <c r="E819" s="92" t="s">
        <v>268</v>
      </c>
      <c r="F819" s="92"/>
    </row>
    <row r="820" spans="1:6">
      <c r="A820" s="92">
        <v>164646</v>
      </c>
      <c r="B820" s="92" t="s">
        <v>119</v>
      </c>
      <c r="C820" s="92">
        <v>2020</v>
      </c>
      <c r="D820" s="92" t="s">
        <v>274</v>
      </c>
      <c r="E820" s="92" t="s">
        <v>268</v>
      </c>
      <c r="F820" s="92">
        <v>-141.56</v>
      </c>
    </row>
    <row r="821" spans="1:6">
      <c r="A821" s="92">
        <v>164926</v>
      </c>
      <c r="B821" s="92" t="s">
        <v>139</v>
      </c>
      <c r="C821" s="92">
        <v>2020</v>
      </c>
      <c r="D821" s="92" t="s">
        <v>274</v>
      </c>
      <c r="E821" s="92" t="s">
        <v>268</v>
      </c>
      <c r="F821" s="92"/>
    </row>
    <row r="822" spans="1:6">
      <c r="A822" s="92">
        <v>180812</v>
      </c>
      <c r="B822" s="92" t="s">
        <v>84</v>
      </c>
      <c r="C822" s="92">
        <v>2020</v>
      </c>
      <c r="D822" s="92" t="s">
        <v>267</v>
      </c>
      <c r="E822" s="92" t="s">
        <v>268</v>
      </c>
      <c r="F822" s="92">
        <v>593.35</v>
      </c>
    </row>
    <row r="823" spans="1:6">
      <c r="A823" s="92">
        <v>180813</v>
      </c>
      <c r="B823" s="92" t="s">
        <v>84</v>
      </c>
      <c r="C823" s="92">
        <v>2020</v>
      </c>
      <c r="D823" s="92" t="s">
        <v>272</v>
      </c>
      <c r="E823" s="92" t="s">
        <v>268</v>
      </c>
      <c r="F823" s="92">
        <v>1215.01</v>
      </c>
    </row>
    <row r="824" spans="1:6">
      <c r="A824" s="92">
        <v>180814</v>
      </c>
      <c r="B824" s="92" t="s">
        <v>84</v>
      </c>
      <c r="C824" s="92">
        <v>2020</v>
      </c>
      <c r="D824" s="92" t="s">
        <v>273</v>
      </c>
      <c r="E824" s="92" t="s">
        <v>268</v>
      </c>
      <c r="F824" s="92"/>
    </row>
    <row r="825" spans="1:6">
      <c r="A825" s="92">
        <v>180816</v>
      </c>
      <c r="B825" s="92" t="s">
        <v>99</v>
      </c>
      <c r="C825" s="92">
        <v>2020</v>
      </c>
      <c r="D825" s="92" t="s">
        <v>274</v>
      </c>
      <c r="E825" s="92" t="s">
        <v>268</v>
      </c>
      <c r="F825" s="92">
        <v>-245.52</v>
      </c>
    </row>
    <row r="826" spans="1:6">
      <c r="A826" s="92">
        <v>181096</v>
      </c>
      <c r="B826" s="92" t="s">
        <v>94</v>
      </c>
      <c r="C826" s="92">
        <v>2020</v>
      </c>
      <c r="D826" s="92" t="s">
        <v>274</v>
      </c>
      <c r="E826" s="92" t="s">
        <v>268</v>
      </c>
      <c r="F826" s="92">
        <v>-2055.94</v>
      </c>
    </row>
    <row r="827" spans="1:6">
      <c r="A827" s="92">
        <v>196982</v>
      </c>
      <c r="B827" s="92" t="s">
        <v>149</v>
      </c>
      <c r="C827" s="92">
        <v>2020</v>
      </c>
      <c r="D827" s="92" t="s">
        <v>267</v>
      </c>
      <c r="E827" s="92" t="s">
        <v>268</v>
      </c>
      <c r="F827" s="92">
        <v>390.98</v>
      </c>
    </row>
    <row r="828" spans="1:6">
      <c r="A828" s="92">
        <v>196983</v>
      </c>
      <c r="B828" s="92" t="s">
        <v>149</v>
      </c>
      <c r="C828" s="92">
        <v>2020</v>
      </c>
      <c r="D828" s="92" t="s">
        <v>272</v>
      </c>
      <c r="E828" s="92" t="s">
        <v>268</v>
      </c>
      <c r="F828" s="92">
        <v>836.56</v>
      </c>
    </row>
    <row r="829" spans="1:6">
      <c r="A829" s="92">
        <v>196984</v>
      </c>
      <c r="B829" s="92" t="s">
        <v>149</v>
      </c>
      <c r="C829" s="92">
        <v>2020</v>
      </c>
      <c r="D829" s="92" t="s">
        <v>273</v>
      </c>
      <c r="E829" s="92" t="s">
        <v>268</v>
      </c>
      <c r="F829" s="92"/>
    </row>
    <row r="830" spans="1:6">
      <c r="A830" s="92">
        <v>196986</v>
      </c>
      <c r="B830" s="92" t="s">
        <v>219</v>
      </c>
      <c r="C830" s="92">
        <v>2020</v>
      </c>
      <c r="D830" s="92" t="s">
        <v>274</v>
      </c>
      <c r="E830" s="92" t="s">
        <v>268</v>
      </c>
      <c r="F830" s="92">
        <v>-1087.11</v>
      </c>
    </row>
    <row r="831" spans="1:6">
      <c r="A831" s="92">
        <v>197266</v>
      </c>
      <c r="B831" s="92" t="s">
        <v>214</v>
      </c>
      <c r="C831" s="92">
        <v>2020</v>
      </c>
      <c r="D831" s="92" t="s">
        <v>274</v>
      </c>
      <c r="E831" s="92" t="s">
        <v>268</v>
      </c>
      <c r="F831" s="92">
        <v>-272.89</v>
      </c>
    </row>
    <row r="832" spans="1:6">
      <c r="A832" s="92">
        <v>213152</v>
      </c>
      <c r="B832" s="92" t="s">
        <v>109</v>
      </c>
      <c r="C832" s="92">
        <v>2020</v>
      </c>
      <c r="D832" s="92" t="s">
        <v>267</v>
      </c>
      <c r="E832" s="92" t="s">
        <v>268</v>
      </c>
      <c r="F832" s="92">
        <v>216.08</v>
      </c>
    </row>
    <row r="833" spans="1:6">
      <c r="A833" s="92">
        <v>213153</v>
      </c>
      <c r="B833" s="92" t="s">
        <v>109</v>
      </c>
      <c r="C833" s="92">
        <v>2020</v>
      </c>
      <c r="D833" s="92" t="s">
        <v>272</v>
      </c>
      <c r="E833" s="92" t="s">
        <v>268</v>
      </c>
      <c r="F833" s="92"/>
    </row>
    <row r="834" spans="1:6">
      <c r="A834" s="92">
        <v>213154</v>
      </c>
      <c r="B834" s="92" t="s">
        <v>109</v>
      </c>
      <c r="C834" s="92">
        <v>2020</v>
      </c>
      <c r="D834" s="92" t="s">
        <v>273</v>
      </c>
      <c r="E834" s="92" t="s">
        <v>268</v>
      </c>
      <c r="F834" s="92"/>
    </row>
    <row r="835" spans="1:6">
      <c r="A835" s="92">
        <v>213156</v>
      </c>
      <c r="B835" s="92" t="s">
        <v>144</v>
      </c>
      <c r="C835" s="92">
        <v>2020</v>
      </c>
      <c r="D835" s="92" t="s">
        <v>274</v>
      </c>
      <c r="E835" s="92" t="s">
        <v>268</v>
      </c>
      <c r="F835" s="92">
        <v>-7.06</v>
      </c>
    </row>
    <row r="836" spans="1:6">
      <c r="A836" s="92">
        <v>213436</v>
      </c>
      <c r="B836" s="92" t="s">
        <v>89</v>
      </c>
      <c r="C836" s="92">
        <v>2020</v>
      </c>
      <c r="D836" s="92" t="s">
        <v>274</v>
      </c>
      <c r="E836" s="92" t="s">
        <v>268</v>
      </c>
      <c r="F836" s="92">
        <v>-1366.04</v>
      </c>
    </row>
    <row r="837" spans="1:6">
      <c r="A837" s="92">
        <v>229322</v>
      </c>
      <c r="B837" s="92" t="s">
        <v>154</v>
      </c>
      <c r="C837" s="92">
        <v>2020</v>
      </c>
      <c r="D837" s="92" t="s">
        <v>267</v>
      </c>
      <c r="E837" s="92" t="s">
        <v>268</v>
      </c>
      <c r="F837" s="92">
        <v>1793.61</v>
      </c>
    </row>
    <row r="838" spans="1:6">
      <c r="A838" s="92">
        <v>229323</v>
      </c>
      <c r="B838" s="92" t="s">
        <v>154</v>
      </c>
      <c r="C838" s="92">
        <v>2020</v>
      </c>
      <c r="D838" s="92" t="s">
        <v>272</v>
      </c>
      <c r="E838" s="92" t="s">
        <v>268</v>
      </c>
      <c r="F838" s="92">
        <v>142.56</v>
      </c>
    </row>
    <row r="839" spans="1:6">
      <c r="A839" s="92">
        <v>229324</v>
      </c>
      <c r="B839" s="92" t="s">
        <v>154</v>
      </c>
      <c r="C839" s="92">
        <v>2020</v>
      </c>
      <c r="D839" s="92" t="s">
        <v>273</v>
      </c>
      <c r="E839" s="92" t="s">
        <v>268</v>
      </c>
      <c r="F839" s="92"/>
    </row>
    <row r="840" spans="1:6">
      <c r="A840" s="92">
        <v>229326</v>
      </c>
      <c r="B840" s="92" t="s">
        <v>204</v>
      </c>
      <c r="C840" s="92">
        <v>2020</v>
      </c>
      <c r="D840" s="92" t="s">
        <v>274</v>
      </c>
      <c r="E840" s="92" t="s">
        <v>268</v>
      </c>
      <c r="F840" s="92">
        <v>-637.72</v>
      </c>
    </row>
    <row r="841" spans="1:6">
      <c r="A841" s="92">
        <v>229606</v>
      </c>
      <c r="B841" s="92" t="s">
        <v>114</v>
      </c>
      <c r="C841" s="92">
        <v>2020</v>
      </c>
      <c r="D841" s="92" t="s">
        <v>274</v>
      </c>
      <c r="E841" s="92" t="s">
        <v>268</v>
      </c>
      <c r="F841" s="92">
        <v>-114.12</v>
      </c>
    </row>
    <row r="842" spans="1:6">
      <c r="A842" s="92">
        <v>245492</v>
      </c>
      <c r="B842" s="92" t="s">
        <v>159</v>
      </c>
      <c r="C842" s="92">
        <v>2020</v>
      </c>
      <c r="D842" s="92" t="s">
        <v>267</v>
      </c>
      <c r="E842" s="92" t="s">
        <v>268</v>
      </c>
      <c r="F842" s="92">
        <v>702.56</v>
      </c>
    </row>
    <row r="843" spans="1:6">
      <c r="A843" s="92">
        <v>245493</v>
      </c>
      <c r="B843" s="92" t="s">
        <v>159</v>
      </c>
      <c r="C843" s="92">
        <v>2020</v>
      </c>
      <c r="D843" s="92" t="s">
        <v>272</v>
      </c>
      <c r="E843" s="92" t="s">
        <v>268</v>
      </c>
      <c r="F843" s="92">
        <v>374.85</v>
      </c>
    </row>
    <row r="844" spans="1:6">
      <c r="A844" s="92">
        <v>245494</v>
      </c>
      <c r="B844" s="92" t="s">
        <v>159</v>
      </c>
      <c r="C844" s="92">
        <v>2020</v>
      </c>
      <c r="D844" s="92" t="s">
        <v>273</v>
      </c>
      <c r="E844" s="92" t="s">
        <v>268</v>
      </c>
      <c r="F844" s="92"/>
    </row>
    <row r="845" spans="1:6">
      <c r="A845" s="92">
        <v>245496</v>
      </c>
      <c r="B845" s="92" t="s">
        <v>184</v>
      </c>
      <c r="C845" s="92">
        <v>2020</v>
      </c>
      <c r="D845" s="92" t="s">
        <v>274</v>
      </c>
      <c r="E845" s="92" t="s">
        <v>268</v>
      </c>
      <c r="F845" s="92">
        <v>-1425.12</v>
      </c>
    </row>
    <row r="846" spans="1:6">
      <c r="A846" s="92">
        <v>245776</v>
      </c>
      <c r="B846" s="92" t="s">
        <v>79</v>
      </c>
      <c r="C846" s="92">
        <v>2020</v>
      </c>
      <c r="D846" s="92" t="s">
        <v>274</v>
      </c>
      <c r="E846" s="92" t="s">
        <v>268</v>
      </c>
      <c r="F846" s="92">
        <v>-1.71</v>
      </c>
    </row>
    <row r="847" spans="1:6">
      <c r="A847" s="92">
        <v>261662</v>
      </c>
      <c r="B847" s="92" t="s">
        <v>104</v>
      </c>
      <c r="C847" s="92">
        <v>2020</v>
      </c>
      <c r="D847" s="92" t="s">
        <v>267</v>
      </c>
      <c r="E847" s="92" t="s">
        <v>268</v>
      </c>
      <c r="F847" s="92">
        <v>268.62</v>
      </c>
    </row>
    <row r="848" spans="1:6">
      <c r="A848" s="92">
        <v>261663</v>
      </c>
      <c r="B848" s="92" t="s">
        <v>104</v>
      </c>
      <c r="C848" s="92">
        <v>2020</v>
      </c>
      <c r="D848" s="92" t="s">
        <v>272</v>
      </c>
      <c r="E848" s="92" t="s">
        <v>268</v>
      </c>
      <c r="F848" s="92">
        <v>140.51</v>
      </c>
    </row>
    <row r="849" spans="1:6">
      <c r="A849" s="92">
        <v>261664</v>
      </c>
      <c r="B849" s="92" t="s">
        <v>104</v>
      </c>
      <c r="C849" s="92">
        <v>2020</v>
      </c>
      <c r="D849" s="92" t="s">
        <v>273</v>
      </c>
      <c r="E849" s="92" t="s">
        <v>268</v>
      </c>
      <c r="F849" s="92"/>
    </row>
    <row r="850" spans="1:6">
      <c r="A850" s="92">
        <v>261666</v>
      </c>
      <c r="B850" s="92" t="s">
        <v>224</v>
      </c>
      <c r="C850" s="92">
        <v>2020</v>
      </c>
      <c r="D850" s="92" t="s">
        <v>274</v>
      </c>
      <c r="E850" s="92" t="s">
        <v>268</v>
      </c>
      <c r="F850" s="92">
        <v>-959.9</v>
      </c>
    </row>
    <row r="851" spans="1:6">
      <c r="A851" s="92">
        <v>261946</v>
      </c>
      <c r="B851" s="92" t="s">
        <v>194</v>
      </c>
      <c r="C851" s="92">
        <v>2020</v>
      </c>
      <c r="D851" s="92" t="s">
        <v>274</v>
      </c>
      <c r="E851" s="92" t="s">
        <v>268</v>
      </c>
      <c r="F851" s="92">
        <v>-1636.22</v>
      </c>
    </row>
    <row r="852" spans="1:6">
      <c r="A852" s="92">
        <v>277832</v>
      </c>
      <c r="B852" s="92" t="s">
        <v>119</v>
      </c>
      <c r="C852" s="92">
        <v>2020</v>
      </c>
      <c r="D852" s="92" t="s">
        <v>267</v>
      </c>
      <c r="E852" s="92" t="s">
        <v>268</v>
      </c>
      <c r="F852" s="92">
        <v>783.62</v>
      </c>
    </row>
    <row r="853" spans="1:6">
      <c r="A853" s="92">
        <v>277833</v>
      </c>
      <c r="B853" s="92" t="s">
        <v>119</v>
      </c>
      <c r="C853" s="92">
        <v>2020</v>
      </c>
      <c r="D853" s="92" t="s">
        <v>272</v>
      </c>
      <c r="E853" s="92" t="s">
        <v>268</v>
      </c>
      <c r="F853" s="92">
        <v>1297.73</v>
      </c>
    </row>
    <row r="854" spans="1:6">
      <c r="A854" s="92">
        <v>277834</v>
      </c>
      <c r="B854" s="92" t="s">
        <v>119</v>
      </c>
      <c r="C854" s="92">
        <v>2020</v>
      </c>
      <c r="D854" s="92" t="s">
        <v>273</v>
      </c>
      <c r="E854" s="92" t="s">
        <v>268</v>
      </c>
      <c r="F854" s="92"/>
    </row>
    <row r="855" spans="1:6">
      <c r="A855" s="92">
        <v>277836</v>
      </c>
      <c r="B855" s="92" t="s">
        <v>124</v>
      </c>
      <c r="C855" s="92">
        <v>2020</v>
      </c>
      <c r="D855" s="92" t="s">
        <v>274</v>
      </c>
      <c r="E855" s="92" t="s">
        <v>268</v>
      </c>
      <c r="F855" s="92">
        <v>-147.7</v>
      </c>
    </row>
    <row r="856" spans="1:6">
      <c r="A856" s="92">
        <v>278116</v>
      </c>
      <c r="B856" s="92" t="s">
        <v>179</v>
      </c>
      <c r="C856" s="92">
        <v>2020</v>
      </c>
      <c r="D856" s="92" t="s">
        <v>274</v>
      </c>
      <c r="E856" s="92" t="s">
        <v>268</v>
      </c>
      <c r="F856" s="92">
        <v>-63.15</v>
      </c>
    </row>
    <row r="857" spans="1:6">
      <c r="A857" s="92">
        <v>294002</v>
      </c>
      <c r="B857" s="92" t="s">
        <v>139</v>
      </c>
      <c r="C857" s="92">
        <v>2020</v>
      </c>
      <c r="D857" s="92" t="s">
        <v>267</v>
      </c>
      <c r="E857" s="92" t="s">
        <v>268</v>
      </c>
      <c r="F857" s="92">
        <v>277.32</v>
      </c>
    </row>
    <row r="858" spans="1:6">
      <c r="A858" s="92">
        <v>294003</v>
      </c>
      <c r="B858" s="92" t="s">
        <v>139</v>
      </c>
      <c r="C858" s="92">
        <v>2020</v>
      </c>
      <c r="D858" s="92" t="s">
        <v>272</v>
      </c>
      <c r="E858" s="92" t="s">
        <v>268</v>
      </c>
      <c r="F858" s="92">
        <v>182.12</v>
      </c>
    </row>
    <row r="859" spans="1:6">
      <c r="A859" s="92">
        <v>294004</v>
      </c>
      <c r="B859" s="92" t="s">
        <v>139</v>
      </c>
      <c r="C859" s="92">
        <v>2020</v>
      </c>
      <c r="D859" s="92" t="s">
        <v>273</v>
      </c>
      <c r="E859" s="92" t="s">
        <v>268</v>
      </c>
      <c r="F859" s="92"/>
    </row>
    <row r="860" spans="1:6">
      <c r="A860" s="92">
        <v>294006</v>
      </c>
      <c r="B860" s="92" t="s">
        <v>129</v>
      </c>
      <c r="C860" s="92">
        <v>2020</v>
      </c>
      <c r="D860" s="92" t="s">
        <v>275</v>
      </c>
      <c r="E860" s="92" t="s">
        <v>268</v>
      </c>
      <c r="F860" s="92"/>
    </row>
    <row r="861" spans="1:6">
      <c r="A861" s="92">
        <v>294286</v>
      </c>
      <c r="B861" s="92" t="s">
        <v>74</v>
      </c>
      <c r="C861" s="92">
        <v>2020</v>
      </c>
      <c r="D861" s="92" t="s">
        <v>275</v>
      </c>
      <c r="E861" s="92" t="s">
        <v>268</v>
      </c>
      <c r="F861" s="92"/>
    </row>
    <row r="862" spans="1:6">
      <c r="A862" s="92">
        <v>310172</v>
      </c>
      <c r="B862" s="92" t="s">
        <v>99</v>
      </c>
      <c r="C862" s="92">
        <v>2020</v>
      </c>
      <c r="D862" s="92" t="s">
        <v>267</v>
      </c>
      <c r="E862" s="92" t="s">
        <v>268</v>
      </c>
      <c r="F862" s="92">
        <v>628.42</v>
      </c>
    </row>
    <row r="863" spans="1:6">
      <c r="A863" s="92">
        <v>310173</v>
      </c>
      <c r="B863" s="92" t="s">
        <v>99</v>
      </c>
      <c r="C863" s="92">
        <v>2020</v>
      </c>
      <c r="D863" s="92" t="s">
        <v>272</v>
      </c>
      <c r="E863" s="92" t="s">
        <v>268</v>
      </c>
      <c r="F863" s="92">
        <v>630.36</v>
      </c>
    </row>
    <row r="864" spans="1:6">
      <c r="A864" s="92">
        <v>310174</v>
      </c>
      <c r="B864" s="92" t="s">
        <v>99</v>
      </c>
      <c r="C864" s="92">
        <v>2020</v>
      </c>
      <c r="D864" s="92" t="s">
        <v>273</v>
      </c>
      <c r="E864" s="92" t="s">
        <v>268</v>
      </c>
      <c r="F864" s="92"/>
    </row>
    <row r="865" spans="1:6">
      <c r="A865" s="92">
        <v>310176</v>
      </c>
      <c r="B865" s="92" t="s">
        <v>134</v>
      </c>
      <c r="C865" s="92">
        <v>2020</v>
      </c>
      <c r="D865" s="92" t="s">
        <v>275</v>
      </c>
      <c r="E865" s="92" t="s">
        <v>268</v>
      </c>
      <c r="F865" s="92"/>
    </row>
    <row r="866" spans="1:6">
      <c r="A866" s="92">
        <v>310456</v>
      </c>
      <c r="B866" s="92" t="s">
        <v>209</v>
      </c>
      <c r="C866" s="92">
        <v>2020</v>
      </c>
      <c r="D866" s="92" t="s">
        <v>275</v>
      </c>
      <c r="E866" s="92" t="s">
        <v>268</v>
      </c>
      <c r="F866" s="92"/>
    </row>
    <row r="867" spans="1:6">
      <c r="A867" s="92">
        <v>326342</v>
      </c>
      <c r="B867" s="92" t="s">
        <v>94</v>
      </c>
      <c r="C867" s="92">
        <v>2020</v>
      </c>
      <c r="D867" s="92" t="s">
        <v>267</v>
      </c>
      <c r="E867" s="92" t="s">
        <v>268</v>
      </c>
      <c r="F867" s="92">
        <v>969.77</v>
      </c>
    </row>
    <row r="868" spans="1:6">
      <c r="A868" s="92">
        <v>326343</v>
      </c>
      <c r="B868" s="92" t="s">
        <v>94</v>
      </c>
      <c r="C868" s="92">
        <v>2020</v>
      </c>
      <c r="D868" s="92" t="s">
        <v>272</v>
      </c>
      <c r="E868" s="92" t="s">
        <v>268</v>
      </c>
      <c r="F868" s="92">
        <v>258.09</v>
      </c>
    </row>
    <row r="869" spans="1:6">
      <c r="A869" s="92">
        <v>326344</v>
      </c>
      <c r="B869" s="92" t="s">
        <v>94</v>
      </c>
      <c r="C869" s="92">
        <v>2020</v>
      </c>
      <c r="D869" s="92" t="s">
        <v>273</v>
      </c>
      <c r="E869" s="92" t="s">
        <v>268</v>
      </c>
      <c r="F869" s="92"/>
    </row>
    <row r="870" spans="1:6">
      <c r="A870" s="92">
        <v>326592</v>
      </c>
      <c r="B870" s="92" t="s">
        <v>164</v>
      </c>
      <c r="C870" s="92">
        <v>2020</v>
      </c>
      <c r="D870" s="92" t="s">
        <v>275</v>
      </c>
      <c r="E870" s="92" t="s">
        <v>268</v>
      </c>
      <c r="F870" s="92">
        <v>-179.31</v>
      </c>
    </row>
    <row r="871" spans="1:6">
      <c r="A871" s="92">
        <v>326626</v>
      </c>
      <c r="B871" s="92" t="s">
        <v>169</v>
      </c>
      <c r="C871" s="92">
        <v>2020</v>
      </c>
      <c r="D871" s="92" t="s">
        <v>275</v>
      </c>
      <c r="E871" s="92" t="s">
        <v>268</v>
      </c>
      <c r="F871" s="92"/>
    </row>
    <row r="872" spans="1:6">
      <c r="A872" s="92">
        <v>342512</v>
      </c>
      <c r="B872" s="92" t="s">
        <v>219</v>
      </c>
      <c r="C872" s="92">
        <v>2020</v>
      </c>
      <c r="D872" s="92" t="s">
        <v>267</v>
      </c>
      <c r="E872" s="92" t="s">
        <v>268</v>
      </c>
      <c r="F872" s="92">
        <v>352.37</v>
      </c>
    </row>
    <row r="873" spans="1:6">
      <c r="A873" s="92">
        <v>342513</v>
      </c>
      <c r="B873" s="92" t="s">
        <v>219</v>
      </c>
      <c r="C873" s="92">
        <v>2020</v>
      </c>
      <c r="D873" s="92" t="s">
        <v>272</v>
      </c>
      <c r="E873" s="92" t="s">
        <v>268</v>
      </c>
      <c r="F873" s="92">
        <v>357.76</v>
      </c>
    </row>
    <row r="874" spans="1:6">
      <c r="A874" s="92">
        <v>342514</v>
      </c>
      <c r="B874" s="92" t="s">
        <v>219</v>
      </c>
      <c r="C874" s="92">
        <v>2020</v>
      </c>
      <c r="D874" s="92" t="s">
        <v>273</v>
      </c>
      <c r="E874" s="92" t="s">
        <v>268</v>
      </c>
      <c r="F874" s="92"/>
    </row>
    <row r="875" spans="1:6">
      <c r="A875" s="92">
        <v>342516</v>
      </c>
      <c r="B875" s="92" t="s">
        <v>189</v>
      </c>
      <c r="C875" s="92">
        <v>2020</v>
      </c>
      <c r="D875" s="92" t="s">
        <v>275</v>
      </c>
      <c r="E875" s="92" t="s">
        <v>268</v>
      </c>
      <c r="F875" s="92"/>
    </row>
    <row r="876" spans="1:6">
      <c r="A876" s="92">
        <v>342796</v>
      </c>
      <c r="B876" s="92" t="s">
        <v>174</v>
      </c>
      <c r="C876" s="92">
        <v>2020</v>
      </c>
      <c r="D876" s="92" t="s">
        <v>275</v>
      </c>
      <c r="E876" s="92" t="s">
        <v>268</v>
      </c>
      <c r="F876" s="92"/>
    </row>
    <row r="877" spans="1:6">
      <c r="A877" s="92">
        <v>358682</v>
      </c>
      <c r="B877" s="92" t="s">
        <v>214</v>
      </c>
      <c r="C877" s="92">
        <v>2020</v>
      </c>
      <c r="D877" s="92" t="s">
        <v>267</v>
      </c>
      <c r="E877" s="92" t="s">
        <v>268</v>
      </c>
      <c r="F877" s="92">
        <v>847.41</v>
      </c>
    </row>
    <row r="878" spans="1:6">
      <c r="A878" s="92">
        <v>358683</v>
      </c>
      <c r="B878" s="92" t="s">
        <v>214</v>
      </c>
      <c r="C878" s="92">
        <v>2020</v>
      </c>
      <c r="D878" s="92" t="s">
        <v>272</v>
      </c>
      <c r="E878" s="92" t="s">
        <v>268</v>
      </c>
      <c r="F878" s="92">
        <v>66.45</v>
      </c>
    </row>
    <row r="879" spans="1:6">
      <c r="A879" s="92">
        <v>358684</v>
      </c>
      <c r="B879" s="92" t="s">
        <v>214</v>
      </c>
      <c r="C879" s="92">
        <v>2020</v>
      </c>
      <c r="D879" s="92" t="s">
        <v>273</v>
      </c>
      <c r="E879" s="92" t="s">
        <v>268</v>
      </c>
      <c r="F879" s="92"/>
    </row>
    <row r="880" spans="1:6">
      <c r="A880" s="92">
        <v>358686</v>
      </c>
      <c r="B880" s="92" t="s">
        <v>84</v>
      </c>
      <c r="C880" s="92">
        <v>2020</v>
      </c>
      <c r="D880" s="92" t="s">
        <v>275</v>
      </c>
      <c r="E880" s="92" t="s">
        <v>268</v>
      </c>
      <c r="F880" s="92"/>
    </row>
    <row r="881" spans="1:6">
      <c r="A881" s="92">
        <v>358966</v>
      </c>
      <c r="B881" s="92" t="s">
        <v>149</v>
      </c>
      <c r="C881" s="92">
        <v>2020</v>
      </c>
      <c r="D881" s="92" t="s">
        <v>275</v>
      </c>
      <c r="E881" s="92" t="s">
        <v>268</v>
      </c>
      <c r="F881" s="92"/>
    </row>
    <row r="882" spans="1:6">
      <c r="A882" s="92">
        <v>374852</v>
      </c>
      <c r="B882" s="92" t="s">
        <v>144</v>
      </c>
      <c r="C882" s="92">
        <v>2020</v>
      </c>
      <c r="D882" s="92" t="s">
        <v>267</v>
      </c>
      <c r="E882" s="92" t="s">
        <v>268</v>
      </c>
      <c r="F882" s="92">
        <v>664.86</v>
      </c>
    </row>
    <row r="883" spans="1:6">
      <c r="A883" s="92">
        <v>374853</v>
      </c>
      <c r="B883" s="92" t="s">
        <v>144</v>
      </c>
      <c r="C883" s="92">
        <v>2020</v>
      </c>
      <c r="D883" s="92" t="s">
        <v>272</v>
      </c>
      <c r="E883" s="92" t="s">
        <v>268</v>
      </c>
      <c r="F883" s="92">
        <v>1165.72</v>
      </c>
    </row>
    <row r="884" spans="1:6">
      <c r="A884" s="92">
        <v>374854</v>
      </c>
      <c r="B884" s="92" t="s">
        <v>144</v>
      </c>
      <c r="C884" s="92">
        <v>2020</v>
      </c>
      <c r="D884" s="92" t="s">
        <v>273</v>
      </c>
      <c r="E884" s="92" t="s">
        <v>268</v>
      </c>
      <c r="F884" s="92"/>
    </row>
    <row r="885" spans="1:6">
      <c r="A885" s="92">
        <v>374856</v>
      </c>
      <c r="B885" s="92" t="s">
        <v>109</v>
      </c>
      <c r="C885" s="92">
        <v>2020</v>
      </c>
      <c r="D885" s="92" t="s">
        <v>275</v>
      </c>
      <c r="E885" s="92" t="s">
        <v>268</v>
      </c>
      <c r="F885" s="92"/>
    </row>
    <row r="886" spans="1:6">
      <c r="A886" s="92">
        <v>375136</v>
      </c>
      <c r="B886" s="92" t="s">
        <v>154</v>
      </c>
      <c r="C886" s="92">
        <v>2020</v>
      </c>
      <c r="D886" s="92" t="s">
        <v>275</v>
      </c>
      <c r="E886" s="92" t="s">
        <v>268</v>
      </c>
      <c r="F886" s="92"/>
    </row>
    <row r="887" spans="1:6">
      <c r="A887" s="92">
        <v>391022</v>
      </c>
      <c r="B887" s="92" t="s">
        <v>89</v>
      </c>
      <c r="C887" s="92">
        <v>2020</v>
      </c>
      <c r="D887" s="92" t="s">
        <v>267</v>
      </c>
      <c r="E887" s="92" t="s">
        <v>268</v>
      </c>
      <c r="F887" s="92">
        <v>471.04</v>
      </c>
    </row>
    <row r="888" spans="1:6">
      <c r="A888" s="92">
        <v>391023</v>
      </c>
      <c r="B888" s="92" t="s">
        <v>89</v>
      </c>
      <c r="C888" s="92">
        <v>2020</v>
      </c>
      <c r="D888" s="92" t="s">
        <v>272</v>
      </c>
      <c r="E888" s="92" t="s">
        <v>268</v>
      </c>
      <c r="F888" s="92">
        <v>312.42</v>
      </c>
    </row>
    <row r="889" spans="1:6">
      <c r="A889" s="92">
        <v>391024</v>
      </c>
      <c r="B889" s="92" t="s">
        <v>89</v>
      </c>
      <c r="C889" s="92">
        <v>2020</v>
      </c>
      <c r="D889" s="92" t="s">
        <v>273</v>
      </c>
      <c r="E889" s="92" t="s">
        <v>268</v>
      </c>
      <c r="F889" s="92"/>
    </row>
    <row r="890" spans="1:6">
      <c r="A890" s="92">
        <v>391026</v>
      </c>
      <c r="B890" s="92" t="s">
        <v>159</v>
      </c>
      <c r="C890" s="92">
        <v>2020</v>
      </c>
      <c r="D890" s="92" t="s">
        <v>275</v>
      </c>
      <c r="E890" s="92" t="s">
        <v>268</v>
      </c>
      <c r="F890" s="92"/>
    </row>
    <row r="891" spans="1:6">
      <c r="A891" s="92">
        <v>391306</v>
      </c>
      <c r="B891" s="92" t="s">
        <v>104</v>
      </c>
      <c r="C891" s="92">
        <v>2020</v>
      </c>
      <c r="D891" s="92" t="s">
        <v>275</v>
      </c>
      <c r="E891" s="92" t="s">
        <v>268</v>
      </c>
      <c r="F891" s="92"/>
    </row>
    <row r="892" spans="1:6">
      <c r="A892" s="92">
        <v>407192</v>
      </c>
      <c r="B892" s="92" t="s">
        <v>204</v>
      </c>
      <c r="C892" s="92">
        <v>2020</v>
      </c>
      <c r="D892" s="92" t="s">
        <v>267</v>
      </c>
      <c r="E892" s="92" t="s">
        <v>268</v>
      </c>
      <c r="F892" s="92">
        <v>341.54</v>
      </c>
    </row>
    <row r="893" spans="1:6">
      <c r="A893" s="92">
        <v>407193</v>
      </c>
      <c r="B893" s="92" t="s">
        <v>204</v>
      </c>
      <c r="C893" s="92">
        <v>2020</v>
      </c>
      <c r="D893" s="92" t="s">
        <v>272</v>
      </c>
      <c r="E893" s="92" t="s">
        <v>268</v>
      </c>
      <c r="F893" s="92">
        <v>239.7</v>
      </c>
    </row>
    <row r="894" spans="1:6">
      <c r="A894" s="92">
        <v>407194</v>
      </c>
      <c r="B894" s="92" t="s">
        <v>204</v>
      </c>
      <c r="C894" s="92">
        <v>2020</v>
      </c>
      <c r="D894" s="92" t="s">
        <v>273</v>
      </c>
      <c r="E894" s="92" t="s">
        <v>268</v>
      </c>
      <c r="F894" s="92"/>
    </row>
    <row r="895" spans="1:6">
      <c r="A895" s="92">
        <v>407196</v>
      </c>
      <c r="B895" s="92" t="s">
        <v>119</v>
      </c>
      <c r="C895" s="92">
        <v>2020</v>
      </c>
      <c r="D895" s="92" t="s">
        <v>275</v>
      </c>
      <c r="E895" s="92" t="s">
        <v>268</v>
      </c>
      <c r="F895" s="92"/>
    </row>
    <row r="896" spans="1:6">
      <c r="A896" s="92">
        <v>407476</v>
      </c>
      <c r="B896" s="92" t="s">
        <v>139</v>
      </c>
      <c r="C896" s="92">
        <v>2020</v>
      </c>
      <c r="D896" s="92" t="s">
        <v>275</v>
      </c>
      <c r="E896" s="92" t="s">
        <v>268</v>
      </c>
      <c r="F896" s="92"/>
    </row>
    <row r="897" spans="1:6">
      <c r="A897" s="92">
        <v>423362</v>
      </c>
      <c r="B897" s="92" t="s">
        <v>114</v>
      </c>
      <c r="C897" s="92">
        <v>2020</v>
      </c>
      <c r="D897" s="92" t="s">
        <v>267</v>
      </c>
      <c r="E897" s="92" t="s">
        <v>268</v>
      </c>
      <c r="F897" s="92">
        <v>28.76</v>
      </c>
    </row>
    <row r="898" spans="1:6">
      <c r="A898" s="92">
        <v>423363</v>
      </c>
      <c r="B898" s="92" t="s">
        <v>114</v>
      </c>
      <c r="C898" s="92">
        <v>2020</v>
      </c>
      <c r="D898" s="92" t="s">
        <v>272</v>
      </c>
      <c r="E898" s="92" t="s">
        <v>268</v>
      </c>
      <c r="F898" s="92">
        <v>826.34</v>
      </c>
    </row>
    <row r="899" spans="1:6">
      <c r="A899" s="92">
        <v>423364</v>
      </c>
      <c r="B899" s="92" t="s">
        <v>114</v>
      </c>
      <c r="C899" s="92">
        <v>2020</v>
      </c>
      <c r="D899" s="92" t="s">
        <v>273</v>
      </c>
      <c r="E899" s="92" t="s">
        <v>268</v>
      </c>
      <c r="F899" s="92"/>
    </row>
    <row r="900" spans="1:6">
      <c r="A900" s="92">
        <v>423366</v>
      </c>
      <c r="B900" s="92" t="s">
        <v>99</v>
      </c>
      <c r="C900" s="92">
        <v>2020</v>
      </c>
      <c r="D900" s="92" t="s">
        <v>275</v>
      </c>
      <c r="E900" s="92" t="s">
        <v>268</v>
      </c>
      <c r="F900" s="92"/>
    </row>
    <row r="901" spans="1:6">
      <c r="A901" s="92">
        <v>423646</v>
      </c>
      <c r="B901" s="92" t="s">
        <v>94</v>
      </c>
      <c r="C901" s="92">
        <v>2020</v>
      </c>
      <c r="D901" s="92" t="s">
        <v>275</v>
      </c>
      <c r="E901" s="92" t="s">
        <v>268</v>
      </c>
      <c r="F901" s="92">
        <v>-13.89</v>
      </c>
    </row>
    <row r="902" spans="1:6">
      <c r="A902" s="92">
        <v>439532</v>
      </c>
      <c r="B902" s="92" t="s">
        <v>184</v>
      </c>
      <c r="C902" s="92">
        <v>2020</v>
      </c>
      <c r="D902" s="92" t="s">
        <v>267</v>
      </c>
      <c r="E902" s="92" t="s">
        <v>268</v>
      </c>
      <c r="F902" s="92">
        <v>3654.63</v>
      </c>
    </row>
    <row r="903" spans="1:6">
      <c r="A903" s="92">
        <v>439533</v>
      </c>
      <c r="B903" s="92" t="s">
        <v>184</v>
      </c>
      <c r="C903" s="92">
        <v>2020</v>
      </c>
      <c r="D903" s="92" t="s">
        <v>272</v>
      </c>
      <c r="E903" s="92" t="s">
        <v>268</v>
      </c>
      <c r="F903" s="92">
        <v>123.02</v>
      </c>
    </row>
    <row r="904" spans="1:6">
      <c r="A904" s="92">
        <v>439534</v>
      </c>
      <c r="B904" s="92" t="s">
        <v>184</v>
      </c>
      <c r="C904" s="92">
        <v>2020</v>
      </c>
      <c r="D904" s="92" t="s">
        <v>273</v>
      </c>
      <c r="E904" s="92" t="s">
        <v>268</v>
      </c>
      <c r="F904" s="92"/>
    </row>
    <row r="905" spans="1:6">
      <c r="A905" s="92">
        <v>439536</v>
      </c>
      <c r="B905" s="92" t="s">
        <v>219</v>
      </c>
      <c r="C905" s="92">
        <v>2020</v>
      </c>
      <c r="D905" s="92" t="s">
        <v>275</v>
      </c>
      <c r="E905" s="92" t="s">
        <v>268</v>
      </c>
      <c r="F905" s="92"/>
    </row>
    <row r="906" spans="1:6">
      <c r="A906" s="92">
        <v>439816</v>
      </c>
      <c r="B906" s="92" t="s">
        <v>214</v>
      </c>
      <c r="C906" s="92">
        <v>2020</v>
      </c>
      <c r="D906" s="92" t="s">
        <v>275</v>
      </c>
      <c r="E906" s="92" t="s">
        <v>268</v>
      </c>
      <c r="F906" s="92"/>
    </row>
    <row r="907" spans="1:6">
      <c r="A907" s="92">
        <v>455702</v>
      </c>
      <c r="B907" s="92" t="s">
        <v>79</v>
      </c>
      <c r="C907" s="92">
        <v>2020</v>
      </c>
      <c r="D907" s="92" t="s">
        <v>267</v>
      </c>
      <c r="E907" s="92" t="s">
        <v>268</v>
      </c>
      <c r="F907" s="92">
        <v>30.57</v>
      </c>
    </row>
    <row r="908" spans="1:6">
      <c r="A908" s="92">
        <v>455703</v>
      </c>
      <c r="B908" s="92" t="s">
        <v>79</v>
      </c>
      <c r="C908" s="92">
        <v>2020</v>
      </c>
      <c r="D908" s="92" t="s">
        <v>272</v>
      </c>
      <c r="E908" s="92" t="s">
        <v>268</v>
      </c>
      <c r="F908" s="92">
        <v>200.78</v>
      </c>
    </row>
    <row r="909" spans="1:6">
      <c r="A909" s="92">
        <v>455704</v>
      </c>
      <c r="B909" s="92" t="s">
        <v>79</v>
      </c>
      <c r="C909" s="92">
        <v>2020</v>
      </c>
      <c r="D909" s="92" t="s">
        <v>273</v>
      </c>
      <c r="E909" s="92" t="s">
        <v>268</v>
      </c>
      <c r="F909" s="92"/>
    </row>
    <row r="910" spans="1:6">
      <c r="A910" s="92">
        <v>455706</v>
      </c>
      <c r="B910" s="92" t="s">
        <v>144</v>
      </c>
      <c r="C910" s="92">
        <v>2020</v>
      </c>
      <c r="D910" s="92" t="s">
        <v>275</v>
      </c>
      <c r="E910" s="92" t="s">
        <v>268</v>
      </c>
      <c r="F910" s="92"/>
    </row>
    <row r="911" spans="1:6">
      <c r="A911" s="92">
        <v>455986</v>
      </c>
      <c r="B911" s="92" t="s">
        <v>89</v>
      </c>
      <c r="C911" s="92">
        <v>2020</v>
      </c>
      <c r="D911" s="92" t="s">
        <v>275</v>
      </c>
      <c r="E911" s="92" t="s">
        <v>268</v>
      </c>
      <c r="F911" s="92"/>
    </row>
    <row r="912" spans="1:6">
      <c r="A912" s="92">
        <v>471872</v>
      </c>
      <c r="B912" s="92" t="s">
        <v>224</v>
      </c>
      <c r="C912" s="92">
        <v>2020</v>
      </c>
      <c r="D912" s="92" t="s">
        <v>267</v>
      </c>
      <c r="E912" s="92" t="s">
        <v>268</v>
      </c>
      <c r="F912" s="92">
        <v>859</v>
      </c>
    </row>
    <row r="913" spans="1:6">
      <c r="A913" s="92">
        <v>471873</v>
      </c>
      <c r="B913" s="92" t="s">
        <v>224</v>
      </c>
      <c r="C913" s="92">
        <v>2020</v>
      </c>
      <c r="D913" s="92" t="s">
        <v>272</v>
      </c>
      <c r="E913" s="92" t="s">
        <v>268</v>
      </c>
      <c r="F913" s="92">
        <v>12.23</v>
      </c>
    </row>
    <row r="914" spans="1:6">
      <c r="A914" s="92">
        <v>471874</v>
      </c>
      <c r="B914" s="92" t="s">
        <v>224</v>
      </c>
      <c r="C914" s="92">
        <v>2020</v>
      </c>
      <c r="D914" s="92" t="s">
        <v>273</v>
      </c>
      <c r="E914" s="92" t="s">
        <v>268</v>
      </c>
      <c r="F914" s="92"/>
    </row>
    <row r="915" spans="1:6">
      <c r="A915" s="92">
        <v>471876</v>
      </c>
      <c r="B915" s="92" t="s">
        <v>204</v>
      </c>
      <c r="C915" s="92">
        <v>2020</v>
      </c>
      <c r="D915" s="92" t="s">
        <v>275</v>
      </c>
      <c r="E915" s="92" t="s">
        <v>268</v>
      </c>
      <c r="F915" s="92"/>
    </row>
    <row r="916" spans="1:6">
      <c r="A916" s="92">
        <v>472156</v>
      </c>
      <c r="B916" s="92" t="s">
        <v>114</v>
      </c>
      <c r="C916" s="92">
        <v>2020</v>
      </c>
      <c r="D916" s="92" t="s">
        <v>275</v>
      </c>
      <c r="E916" s="92" t="s">
        <v>268</v>
      </c>
      <c r="F916" s="92"/>
    </row>
    <row r="917" spans="1:6">
      <c r="A917" s="92">
        <v>488042</v>
      </c>
      <c r="B917" s="92" t="s">
        <v>194</v>
      </c>
      <c r="C917" s="92">
        <v>2020</v>
      </c>
      <c r="D917" s="92" t="s">
        <v>267</v>
      </c>
      <c r="E917" s="92" t="s">
        <v>268</v>
      </c>
      <c r="F917" s="92">
        <v>3259.86</v>
      </c>
    </row>
    <row r="918" spans="1:6">
      <c r="A918" s="92">
        <v>488043</v>
      </c>
      <c r="B918" s="92" t="s">
        <v>194</v>
      </c>
      <c r="C918" s="92">
        <v>2020</v>
      </c>
      <c r="D918" s="92" t="s">
        <v>272</v>
      </c>
      <c r="E918" s="92" t="s">
        <v>268</v>
      </c>
      <c r="F918" s="92">
        <v>0.03</v>
      </c>
    </row>
    <row r="919" spans="1:6">
      <c r="A919" s="92">
        <v>488044</v>
      </c>
      <c r="B919" s="92" t="s">
        <v>194</v>
      </c>
      <c r="C919" s="92">
        <v>2020</v>
      </c>
      <c r="D919" s="92" t="s">
        <v>273</v>
      </c>
      <c r="E919" s="92" t="s">
        <v>268</v>
      </c>
      <c r="F919" s="92">
        <v>14.97</v>
      </c>
    </row>
    <row r="920" spans="1:6">
      <c r="A920" s="92">
        <v>488046</v>
      </c>
      <c r="B920" s="92" t="s">
        <v>184</v>
      </c>
      <c r="C920" s="92">
        <v>2020</v>
      </c>
      <c r="D920" s="92" t="s">
        <v>275</v>
      </c>
      <c r="E920" s="92" t="s">
        <v>268</v>
      </c>
      <c r="F920" s="92"/>
    </row>
    <row r="921" spans="1:6">
      <c r="A921" s="92">
        <v>488326</v>
      </c>
      <c r="B921" s="92" t="s">
        <v>79</v>
      </c>
      <c r="C921" s="92">
        <v>2020</v>
      </c>
      <c r="D921" s="92" t="s">
        <v>275</v>
      </c>
      <c r="E921" s="92" t="s">
        <v>268</v>
      </c>
      <c r="F921" s="92"/>
    </row>
    <row r="922" spans="1:6">
      <c r="A922" s="92">
        <v>504212</v>
      </c>
      <c r="B922" s="92" t="s">
        <v>124</v>
      </c>
      <c r="C922" s="92">
        <v>2020</v>
      </c>
      <c r="D922" s="92" t="s">
        <v>267</v>
      </c>
      <c r="E922" s="92" t="s">
        <v>268</v>
      </c>
      <c r="F922" s="92">
        <v>1088.68</v>
      </c>
    </row>
    <row r="923" spans="1:6">
      <c r="A923" s="92">
        <v>504213</v>
      </c>
      <c r="B923" s="92" t="s">
        <v>124</v>
      </c>
      <c r="C923" s="92">
        <v>2020</v>
      </c>
      <c r="D923" s="92" t="s">
        <v>272</v>
      </c>
      <c r="E923" s="92" t="s">
        <v>268</v>
      </c>
      <c r="F923" s="92">
        <v>1446.06</v>
      </c>
    </row>
    <row r="924" spans="1:6">
      <c r="A924" s="92">
        <v>504214</v>
      </c>
      <c r="B924" s="92" t="s">
        <v>124</v>
      </c>
      <c r="C924" s="92">
        <v>2020</v>
      </c>
      <c r="D924" s="92" t="s">
        <v>273</v>
      </c>
      <c r="E924" s="92" t="s">
        <v>268</v>
      </c>
      <c r="F924" s="92"/>
    </row>
    <row r="925" spans="1:6">
      <c r="A925" s="92">
        <v>504216</v>
      </c>
      <c r="B925" s="92" t="s">
        <v>224</v>
      </c>
      <c r="C925" s="92">
        <v>2020</v>
      </c>
      <c r="D925" s="92" t="s">
        <v>275</v>
      </c>
      <c r="E925" s="92" t="s">
        <v>268</v>
      </c>
      <c r="F925" s="92"/>
    </row>
    <row r="926" spans="1:6">
      <c r="A926" s="92">
        <v>504496</v>
      </c>
      <c r="B926" s="92" t="s">
        <v>194</v>
      </c>
      <c r="C926" s="92">
        <v>2020</v>
      </c>
      <c r="D926" s="92" t="s">
        <v>275</v>
      </c>
      <c r="E926" s="92" t="s">
        <v>268</v>
      </c>
      <c r="F926" s="92">
        <v>-28.09</v>
      </c>
    </row>
    <row r="927" spans="1:6">
      <c r="A927" s="92">
        <v>520382</v>
      </c>
      <c r="B927" s="92" t="s">
        <v>179</v>
      </c>
      <c r="C927" s="92">
        <v>2020</v>
      </c>
      <c r="D927" s="92" t="s">
        <v>267</v>
      </c>
      <c r="E927" s="92" t="s">
        <v>268</v>
      </c>
      <c r="F927" s="92">
        <v>299.03</v>
      </c>
    </row>
    <row r="928" spans="1:6">
      <c r="A928" s="92">
        <v>520383</v>
      </c>
      <c r="B928" s="92" t="s">
        <v>179</v>
      </c>
      <c r="C928" s="92">
        <v>2020</v>
      </c>
      <c r="D928" s="92" t="s">
        <v>272</v>
      </c>
      <c r="E928" s="92" t="s">
        <v>268</v>
      </c>
      <c r="F928" s="92">
        <v>409.15</v>
      </c>
    </row>
    <row r="929" spans="1:6">
      <c r="A929" s="92">
        <v>520384</v>
      </c>
      <c r="B929" s="92" t="s">
        <v>179</v>
      </c>
      <c r="C929" s="92">
        <v>2020</v>
      </c>
      <c r="D929" s="92" t="s">
        <v>273</v>
      </c>
      <c r="E929" s="92" t="s">
        <v>268</v>
      </c>
      <c r="F929" s="92"/>
    </row>
    <row r="930" spans="1:6">
      <c r="A930" s="92">
        <v>520386</v>
      </c>
      <c r="B930" s="92" t="s">
        <v>124</v>
      </c>
      <c r="C930" s="92">
        <v>2020</v>
      </c>
      <c r="D930" s="92" t="s">
        <v>275</v>
      </c>
      <c r="E930" s="92" t="s">
        <v>268</v>
      </c>
      <c r="F930" s="92"/>
    </row>
    <row r="931" spans="1:6">
      <c r="A931" s="92">
        <v>520666</v>
      </c>
      <c r="B931" s="92" t="s">
        <v>179</v>
      </c>
      <c r="C931" s="92">
        <v>2020</v>
      </c>
      <c r="D931" s="92" t="s">
        <v>275</v>
      </c>
      <c r="E931" s="92" t="s">
        <v>268</v>
      </c>
      <c r="F931" s="92"/>
    </row>
    <row r="932" spans="1:6">
      <c r="A932" s="92">
        <v>32552</v>
      </c>
      <c r="B932" s="92" t="s">
        <v>114</v>
      </c>
      <c r="C932" s="92">
        <v>2021</v>
      </c>
      <c r="D932" s="92" t="s">
        <v>267</v>
      </c>
      <c r="E932" s="92" t="s">
        <v>268</v>
      </c>
      <c r="F932" s="92">
        <v>33.69</v>
      </c>
    </row>
    <row r="933" spans="1:6">
      <c r="A933" s="92">
        <v>32553</v>
      </c>
      <c r="B933" s="92" t="s">
        <v>114</v>
      </c>
      <c r="C933" s="92">
        <v>2021</v>
      </c>
      <c r="D933" s="92" t="s">
        <v>272</v>
      </c>
      <c r="E933" s="92" t="s">
        <v>268</v>
      </c>
      <c r="F933" s="92">
        <v>833.51</v>
      </c>
    </row>
    <row r="934" spans="1:6">
      <c r="A934" s="92">
        <v>32554</v>
      </c>
      <c r="B934" s="92" t="s">
        <v>114</v>
      </c>
      <c r="C934" s="92">
        <v>2021</v>
      </c>
      <c r="D934" s="92" t="s">
        <v>273</v>
      </c>
      <c r="E934" s="92" t="s">
        <v>268</v>
      </c>
      <c r="F934" s="92"/>
    </row>
    <row r="935" spans="1:6">
      <c r="A935" s="92">
        <v>32556</v>
      </c>
      <c r="B935" s="92" t="s">
        <v>114</v>
      </c>
      <c r="C935" s="92">
        <v>2021</v>
      </c>
      <c r="D935" s="92" t="s">
        <v>274</v>
      </c>
      <c r="E935" s="92" t="s">
        <v>268</v>
      </c>
      <c r="F935" s="92">
        <v>-90.64</v>
      </c>
    </row>
    <row r="936" spans="1:6">
      <c r="A936" s="92">
        <v>32557</v>
      </c>
      <c r="B936" s="92" t="s">
        <v>114</v>
      </c>
      <c r="C936" s="92">
        <v>2021</v>
      </c>
      <c r="D936" s="92" t="s">
        <v>275</v>
      </c>
      <c r="E936" s="92" t="s">
        <v>268</v>
      </c>
      <c r="F936" s="92"/>
    </row>
    <row r="937" spans="1:6">
      <c r="A937" s="92">
        <v>32587</v>
      </c>
      <c r="B937" s="92" t="s">
        <v>194</v>
      </c>
      <c r="C937" s="92">
        <v>2021</v>
      </c>
      <c r="D937" s="92" t="s">
        <v>267</v>
      </c>
      <c r="E937" s="92" t="s">
        <v>268</v>
      </c>
      <c r="F937" s="92">
        <v>3314.78</v>
      </c>
    </row>
    <row r="938" spans="1:6">
      <c r="A938" s="92">
        <v>32588</v>
      </c>
      <c r="B938" s="92" t="s">
        <v>194</v>
      </c>
      <c r="C938" s="92">
        <v>2021</v>
      </c>
      <c r="D938" s="92" t="s">
        <v>272</v>
      </c>
      <c r="E938" s="92" t="s">
        <v>268</v>
      </c>
      <c r="F938" s="92">
        <v>215.41</v>
      </c>
    </row>
    <row r="939" spans="1:6">
      <c r="A939" s="92">
        <v>32589</v>
      </c>
      <c r="B939" s="92" t="s">
        <v>194</v>
      </c>
      <c r="C939" s="92">
        <v>2021</v>
      </c>
      <c r="D939" s="92" t="s">
        <v>273</v>
      </c>
      <c r="E939" s="92" t="s">
        <v>268</v>
      </c>
      <c r="F939" s="92">
        <v>14.07</v>
      </c>
    </row>
    <row r="940" spans="1:6">
      <c r="A940" s="92">
        <v>32591</v>
      </c>
      <c r="B940" s="92" t="s">
        <v>194</v>
      </c>
      <c r="C940" s="92">
        <v>2021</v>
      </c>
      <c r="D940" s="92" t="s">
        <v>274</v>
      </c>
      <c r="E940" s="92" t="s">
        <v>268</v>
      </c>
      <c r="F940" s="92">
        <v>-1848.67</v>
      </c>
    </row>
    <row r="941" spans="1:6">
      <c r="A941" s="92">
        <v>32592</v>
      </c>
      <c r="B941" s="92" t="s">
        <v>194</v>
      </c>
      <c r="C941" s="92">
        <v>2021</v>
      </c>
      <c r="D941" s="92" t="s">
        <v>275</v>
      </c>
      <c r="E941" s="92" t="s">
        <v>268</v>
      </c>
      <c r="F941" s="92">
        <v>-7.81</v>
      </c>
    </row>
    <row r="942" spans="1:6">
      <c r="A942" s="92">
        <v>32622</v>
      </c>
      <c r="B942" s="92" t="s">
        <v>70</v>
      </c>
      <c r="C942" s="92">
        <v>2021</v>
      </c>
      <c r="D942" s="92" t="s">
        <v>267</v>
      </c>
      <c r="E942" s="92" t="s">
        <v>268</v>
      </c>
      <c r="F942" s="92">
        <v>27283.8</v>
      </c>
    </row>
    <row r="943" spans="1:6">
      <c r="A943" s="92">
        <v>32623</v>
      </c>
      <c r="B943" s="92" t="s">
        <v>70</v>
      </c>
      <c r="C943" s="92">
        <v>2021</v>
      </c>
      <c r="D943" s="92" t="s">
        <v>272</v>
      </c>
      <c r="E943" s="92" t="s">
        <v>268</v>
      </c>
      <c r="F943" s="92"/>
    </row>
    <row r="944" spans="1:6">
      <c r="A944" s="92">
        <v>32624</v>
      </c>
      <c r="B944" s="92" t="s">
        <v>70</v>
      </c>
      <c r="C944" s="92">
        <v>2021</v>
      </c>
      <c r="D944" s="92" t="s">
        <v>273</v>
      </c>
      <c r="E944" s="92" t="s">
        <v>268</v>
      </c>
      <c r="F944" s="92">
        <v>59.38</v>
      </c>
    </row>
    <row r="945" spans="1:6">
      <c r="A945" s="92">
        <v>32626</v>
      </c>
      <c r="B945" s="92" t="s">
        <v>70</v>
      </c>
      <c r="C945" s="92">
        <v>2021</v>
      </c>
      <c r="D945" s="92" t="s">
        <v>274</v>
      </c>
      <c r="E945" s="92" t="s">
        <v>268</v>
      </c>
      <c r="F945" s="92"/>
    </row>
    <row r="946" spans="1:6">
      <c r="A946" s="92">
        <v>32627</v>
      </c>
      <c r="B946" s="92" t="s">
        <v>70</v>
      </c>
      <c r="C946" s="92">
        <v>2021</v>
      </c>
      <c r="D946" s="92" t="s">
        <v>275</v>
      </c>
      <c r="E946" s="92" t="s">
        <v>268</v>
      </c>
      <c r="F946" s="92">
        <v>-201.76</v>
      </c>
    </row>
    <row r="947" spans="1:6">
      <c r="A947" s="92">
        <v>32657</v>
      </c>
      <c r="B947" s="92" t="s">
        <v>94</v>
      </c>
      <c r="C947" s="92">
        <v>2021</v>
      </c>
      <c r="D947" s="92" t="s">
        <v>267</v>
      </c>
      <c r="E947" s="92" t="s">
        <v>268</v>
      </c>
      <c r="F947" s="92">
        <v>1228.13</v>
      </c>
    </row>
    <row r="948" spans="1:6">
      <c r="A948" s="92">
        <v>32658</v>
      </c>
      <c r="B948" s="92" t="s">
        <v>94</v>
      </c>
      <c r="C948" s="92">
        <v>2021</v>
      </c>
      <c r="D948" s="92" t="s">
        <v>272</v>
      </c>
      <c r="E948" s="92" t="s">
        <v>268</v>
      </c>
      <c r="F948" s="92">
        <v>414.74</v>
      </c>
    </row>
    <row r="949" spans="1:6">
      <c r="A949" s="92">
        <v>32659</v>
      </c>
      <c r="B949" s="92" t="s">
        <v>94</v>
      </c>
      <c r="C949" s="92">
        <v>2021</v>
      </c>
      <c r="D949" s="92" t="s">
        <v>273</v>
      </c>
      <c r="E949" s="92" t="s">
        <v>268</v>
      </c>
      <c r="F949" s="92"/>
    </row>
    <row r="950" spans="1:6">
      <c r="A950" s="92">
        <v>32661</v>
      </c>
      <c r="B950" s="92" t="s">
        <v>94</v>
      </c>
      <c r="C950" s="92">
        <v>2021</v>
      </c>
      <c r="D950" s="92" t="s">
        <v>274</v>
      </c>
      <c r="E950" s="92" t="s">
        <v>268</v>
      </c>
      <c r="F950" s="92">
        <v>-2453.3</v>
      </c>
    </row>
    <row r="951" spans="1:6">
      <c r="A951" s="92">
        <v>32662</v>
      </c>
      <c r="B951" s="92" t="s">
        <v>94</v>
      </c>
      <c r="C951" s="92">
        <v>2021</v>
      </c>
      <c r="D951" s="92" t="s">
        <v>275</v>
      </c>
      <c r="E951" s="92" t="s">
        <v>268</v>
      </c>
      <c r="F951" s="92">
        <v>-13.72</v>
      </c>
    </row>
    <row r="952" spans="1:6">
      <c r="A952" s="92">
        <v>32692</v>
      </c>
      <c r="B952" s="92" t="s">
        <v>74</v>
      </c>
      <c r="C952" s="92">
        <v>2021</v>
      </c>
      <c r="D952" s="92" t="s">
        <v>267</v>
      </c>
      <c r="E952" s="92" t="s">
        <v>268</v>
      </c>
      <c r="F952" s="92">
        <v>23.9</v>
      </c>
    </row>
    <row r="953" spans="1:6">
      <c r="A953" s="92">
        <v>32693</v>
      </c>
      <c r="B953" s="92" t="s">
        <v>74</v>
      </c>
      <c r="C953" s="92">
        <v>2021</v>
      </c>
      <c r="D953" s="92" t="s">
        <v>272</v>
      </c>
      <c r="E953" s="92" t="s">
        <v>268</v>
      </c>
      <c r="F953" s="92">
        <v>764.84</v>
      </c>
    </row>
    <row r="954" spans="1:6">
      <c r="A954" s="92">
        <v>32694</v>
      </c>
      <c r="B954" s="92" t="s">
        <v>74</v>
      </c>
      <c r="C954" s="92">
        <v>2021</v>
      </c>
      <c r="D954" s="92" t="s">
        <v>273</v>
      </c>
      <c r="E954" s="92" t="s">
        <v>268</v>
      </c>
      <c r="F954" s="92"/>
    </row>
    <row r="955" spans="1:6">
      <c r="A955" s="92">
        <v>32696</v>
      </c>
      <c r="B955" s="92" t="s">
        <v>74</v>
      </c>
      <c r="C955" s="92">
        <v>2021</v>
      </c>
      <c r="D955" s="92" t="s">
        <v>274</v>
      </c>
      <c r="E955" s="92" t="s">
        <v>268</v>
      </c>
      <c r="F955" s="92">
        <v>-2.64</v>
      </c>
    </row>
    <row r="956" spans="1:6">
      <c r="A956" s="92">
        <v>32697</v>
      </c>
      <c r="B956" s="92" t="s">
        <v>74</v>
      </c>
      <c r="C956" s="92">
        <v>2021</v>
      </c>
      <c r="D956" s="92" t="s">
        <v>275</v>
      </c>
      <c r="E956" s="92" t="s">
        <v>268</v>
      </c>
      <c r="F956" s="92"/>
    </row>
    <row r="957" spans="1:6">
      <c r="A957" s="92">
        <v>32727</v>
      </c>
      <c r="B957" s="92" t="s">
        <v>104</v>
      </c>
      <c r="C957" s="92">
        <v>2021</v>
      </c>
      <c r="D957" s="92" t="s">
        <v>267</v>
      </c>
      <c r="E957" s="92" t="s">
        <v>268</v>
      </c>
      <c r="F957" s="92">
        <v>295.06</v>
      </c>
    </row>
    <row r="958" spans="1:6">
      <c r="A958" s="92">
        <v>32728</v>
      </c>
      <c r="B958" s="92" t="s">
        <v>104</v>
      </c>
      <c r="C958" s="92">
        <v>2021</v>
      </c>
      <c r="D958" s="92" t="s">
        <v>272</v>
      </c>
      <c r="E958" s="92" t="s">
        <v>268</v>
      </c>
      <c r="F958" s="92">
        <v>127</v>
      </c>
    </row>
    <row r="959" spans="1:6">
      <c r="A959" s="92">
        <v>32729</v>
      </c>
      <c r="B959" s="92" t="s">
        <v>104</v>
      </c>
      <c r="C959" s="92">
        <v>2021</v>
      </c>
      <c r="D959" s="92" t="s">
        <v>273</v>
      </c>
      <c r="E959" s="92" t="s">
        <v>268</v>
      </c>
      <c r="F959" s="92"/>
    </row>
    <row r="960" spans="1:6">
      <c r="A960" s="92">
        <v>32731</v>
      </c>
      <c r="B960" s="92" t="s">
        <v>104</v>
      </c>
      <c r="C960" s="92">
        <v>2021</v>
      </c>
      <c r="D960" s="92" t="s">
        <v>274</v>
      </c>
      <c r="E960" s="92" t="s">
        <v>268</v>
      </c>
      <c r="F960" s="92">
        <v>-309.57</v>
      </c>
    </row>
    <row r="961" spans="1:6">
      <c r="A961" s="92">
        <v>32732</v>
      </c>
      <c r="B961" s="92" t="s">
        <v>104</v>
      </c>
      <c r="C961" s="92">
        <v>2021</v>
      </c>
      <c r="D961" s="92" t="s">
        <v>275</v>
      </c>
      <c r="E961" s="92" t="s">
        <v>268</v>
      </c>
      <c r="F961" s="92"/>
    </row>
    <row r="962" spans="1:6">
      <c r="A962" s="92">
        <v>32762</v>
      </c>
      <c r="B962" s="92" t="s">
        <v>184</v>
      </c>
      <c r="C962" s="92">
        <v>2021</v>
      </c>
      <c r="D962" s="92" t="s">
        <v>267</v>
      </c>
      <c r="E962" s="92" t="s">
        <v>268</v>
      </c>
      <c r="F962" s="92">
        <v>3863.54</v>
      </c>
    </row>
    <row r="963" spans="1:6">
      <c r="A963" s="92">
        <v>32763</v>
      </c>
      <c r="B963" s="92" t="s">
        <v>184</v>
      </c>
      <c r="C963" s="92">
        <v>2021</v>
      </c>
      <c r="D963" s="92" t="s">
        <v>272</v>
      </c>
      <c r="E963" s="92" t="s">
        <v>268</v>
      </c>
      <c r="F963" s="92">
        <v>172.28</v>
      </c>
    </row>
    <row r="964" spans="1:6">
      <c r="A964" s="92">
        <v>32764</v>
      </c>
      <c r="B964" s="92" t="s">
        <v>184</v>
      </c>
      <c r="C964" s="92">
        <v>2021</v>
      </c>
      <c r="D964" s="92" t="s">
        <v>273</v>
      </c>
      <c r="E964" s="92" t="s">
        <v>268</v>
      </c>
      <c r="F964" s="92"/>
    </row>
    <row r="965" spans="1:6">
      <c r="A965" s="92">
        <v>32766</v>
      </c>
      <c r="B965" s="92" t="s">
        <v>184</v>
      </c>
      <c r="C965" s="92">
        <v>2021</v>
      </c>
      <c r="D965" s="92" t="s">
        <v>274</v>
      </c>
      <c r="E965" s="92" t="s">
        <v>268</v>
      </c>
      <c r="F965" s="92">
        <v>-1416.34</v>
      </c>
    </row>
    <row r="966" spans="1:6">
      <c r="A966" s="92">
        <v>32767</v>
      </c>
      <c r="B966" s="92" t="s">
        <v>184</v>
      </c>
      <c r="C966" s="92">
        <v>2021</v>
      </c>
      <c r="D966" s="92" t="s">
        <v>275</v>
      </c>
      <c r="E966" s="92" t="s">
        <v>268</v>
      </c>
      <c r="F966" s="92"/>
    </row>
    <row r="967" spans="1:6">
      <c r="A967" s="92">
        <v>32797</v>
      </c>
      <c r="B967" s="92" t="s">
        <v>79</v>
      </c>
      <c r="C967" s="92">
        <v>2021</v>
      </c>
      <c r="D967" s="92" t="s">
        <v>267</v>
      </c>
      <c r="E967" s="92" t="s">
        <v>268</v>
      </c>
      <c r="F967" s="92">
        <v>37.88</v>
      </c>
    </row>
    <row r="968" spans="1:6">
      <c r="A968" s="92">
        <v>32798</v>
      </c>
      <c r="B968" s="92" t="s">
        <v>79</v>
      </c>
      <c r="C968" s="92">
        <v>2021</v>
      </c>
      <c r="D968" s="92" t="s">
        <v>272</v>
      </c>
      <c r="E968" s="92" t="s">
        <v>268</v>
      </c>
      <c r="F968" s="92">
        <v>227.43</v>
      </c>
    </row>
    <row r="969" spans="1:6">
      <c r="A969" s="92">
        <v>32799</v>
      </c>
      <c r="B969" s="92" t="s">
        <v>79</v>
      </c>
      <c r="C969" s="92">
        <v>2021</v>
      </c>
      <c r="D969" s="92" t="s">
        <v>273</v>
      </c>
      <c r="E969" s="92" t="s">
        <v>268</v>
      </c>
      <c r="F969" s="92"/>
    </row>
    <row r="970" spans="1:6">
      <c r="A970" s="92">
        <v>32801</v>
      </c>
      <c r="B970" s="92" t="s">
        <v>79</v>
      </c>
      <c r="C970" s="92">
        <v>2021</v>
      </c>
      <c r="D970" s="92" t="s">
        <v>274</v>
      </c>
      <c r="E970" s="92" t="s">
        <v>268</v>
      </c>
      <c r="F970" s="92">
        <v>-1.29</v>
      </c>
    </row>
    <row r="971" spans="1:6">
      <c r="A971" s="92">
        <v>32802</v>
      </c>
      <c r="B971" s="92" t="s">
        <v>79</v>
      </c>
      <c r="C971" s="92">
        <v>2021</v>
      </c>
      <c r="D971" s="92" t="s">
        <v>275</v>
      </c>
      <c r="E971" s="92" t="s">
        <v>268</v>
      </c>
      <c r="F971" s="92"/>
    </row>
    <row r="972" spans="1:6">
      <c r="A972" s="92">
        <v>32832</v>
      </c>
      <c r="B972" s="92" t="s">
        <v>219</v>
      </c>
      <c r="C972" s="92">
        <v>2021</v>
      </c>
      <c r="D972" s="92" t="s">
        <v>267</v>
      </c>
      <c r="E972" s="92" t="s">
        <v>268</v>
      </c>
      <c r="F972" s="92">
        <v>485.21</v>
      </c>
    </row>
    <row r="973" spans="1:6">
      <c r="A973" s="92">
        <v>32833</v>
      </c>
      <c r="B973" s="92" t="s">
        <v>219</v>
      </c>
      <c r="C973" s="92">
        <v>2021</v>
      </c>
      <c r="D973" s="92" t="s">
        <v>272</v>
      </c>
      <c r="E973" s="92" t="s">
        <v>268</v>
      </c>
      <c r="F973" s="92">
        <v>213.63</v>
      </c>
    </row>
    <row r="974" spans="1:6">
      <c r="A974" s="92">
        <v>32834</v>
      </c>
      <c r="B974" s="92" t="s">
        <v>219</v>
      </c>
      <c r="C974" s="92">
        <v>2021</v>
      </c>
      <c r="D974" s="92" t="s">
        <v>273</v>
      </c>
      <c r="E974" s="92" t="s">
        <v>268</v>
      </c>
      <c r="F974" s="92"/>
    </row>
    <row r="975" spans="1:6">
      <c r="A975" s="92">
        <v>32836</v>
      </c>
      <c r="B975" s="92" t="s">
        <v>219</v>
      </c>
      <c r="C975" s="92">
        <v>2021</v>
      </c>
      <c r="D975" s="92" t="s">
        <v>274</v>
      </c>
      <c r="E975" s="92" t="s">
        <v>268</v>
      </c>
      <c r="F975" s="92">
        <v>-1047.1</v>
      </c>
    </row>
    <row r="976" spans="1:6">
      <c r="A976" s="92">
        <v>32837</v>
      </c>
      <c r="B976" s="92" t="s">
        <v>219</v>
      </c>
      <c r="C976" s="92">
        <v>2021</v>
      </c>
      <c r="D976" s="92" t="s">
        <v>275</v>
      </c>
      <c r="E976" s="92" t="s">
        <v>268</v>
      </c>
      <c r="F976" s="92"/>
    </row>
    <row r="977" spans="1:6">
      <c r="A977" s="92">
        <v>32867</v>
      </c>
      <c r="B977" s="92" t="s">
        <v>129</v>
      </c>
      <c r="C977" s="92">
        <v>2021</v>
      </c>
      <c r="D977" s="92" t="s">
        <v>267</v>
      </c>
      <c r="E977" s="92" t="s">
        <v>268</v>
      </c>
      <c r="F977" s="92">
        <v>342.13</v>
      </c>
    </row>
    <row r="978" spans="1:6">
      <c r="A978" s="92">
        <v>32868</v>
      </c>
      <c r="B978" s="92" t="s">
        <v>129</v>
      </c>
      <c r="C978" s="92">
        <v>2021</v>
      </c>
      <c r="D978" s="92" t="s">
        <v>272</v>
      </c>
      <c r="E978" s="92" t="s">
        <v>268</v>
      </c>
      <c r="F978" s="92">
        <v>537.24</v>
      </c>
    </row>
    <row r="979" spans="1:6">
      <c r="A979" s="92">
        <v>32869</v>
      </c>
      <c r="B979" s="92" t="s">
        <v>129</v>
      </c>
      <c r="C979" s="92">
        <v>2021</v>
      </c>
      <c r="D979" s="92" t="s">
        <v>273</v>
      </c>
      <c r="E979" s="92" t="s">
        <v>268</v>
      </c>
      <c r="F979" s="92"/>
    </row>
    <row r="980" spans="1:6">
      <c r="A980" s="92">
        <v>32871</v>
      </c>
      <c r="B980" s="92" t="s">
        <v>129</v>
      </c>
      <c r="C980" s="92">
        <v>2021</v>
      </c>
      <c r="D980" s="92" t="s">
        <v>274</v>
      </c>
      <c r="E980" s="92" t="s">
        <v>268</v>
      </c>
      <c r="F980" s="92">
        <v>-904.99</v>
      </c>
    </row>
    <row r="981" spans="1:6">
      <c r="A981" s="92">
        <v>32872</v>
      </c>
      <c r="B981" s="92" t="s">
        <v>129</v>
      </c>
      <c r="C981" s="92">
        <v>2021</v>
      </c>
      <c r="D981" s="92" t="s">
        <v>275</v>
      </c>
      <c r="E981" s="92" t="s">
        <v>268</v>
      </c>
      <c r="F981" s="92"/>
    </row>
    <row r="982" spans="1:6">
      <c r="A982" s="92">
        <v>32902</v>
      </c>
      <c r="B982" s="92" t="s">
        <v>144</v>
      </c>
      <c r="C982" s="92">
        <v>2021</v>
      </c>
      <c r="D982" s="92" t="s">
        <v>267</v>
      </c>
      <c r="E982" s="92" t="s">
        <v>268</v>
      </c>
      <c r="F982" s="92">
        <v>929.28</v>
      </c>
    </row>
    <row r="983" spans="1:6">
      <c r="A983" s="92">
        <v>32903</v>
      </c>
      <c r="B983" s="92" t="s">
        <v>144</v>
      </c>
      <c r="C983" s="92">
        <v>2021</v>
      </c>
      <c r="D983" s="92" t="s">
        <v>272</v>
      </c>
      <c r="E983" s="92" t="s">
        <v>268</v>
      </c>
      <c r="F983" s="92">
        <v>1197.08</v>
      </c>
    </row>
    <row r="984" spans="1:6">
      <c r="A984" s="92">
        <v>32904</v>
      </c>
      <c r="B984" s="92" t="s">
        <v>144</v>
      </c>
      <c r="C984" s="92">
        <v>2021</v>
      </c>
      <c r="D984" s="92" t="s">
        <v>273</v>
      </c>
      <c r="E984" s="92" t="s">
        <v>268</v>
      </c>
      <c r="F984" s="92"/>
    </row>
    <row r="985" spans="1:6">
      <c r="A985" s="92">
        <v>32906</v>
      </c>
      <c r="B985" s="92" t="s">
        <v>144</v>
      </c>
      <c r="C985" s="92">
        <v>2021</v>
      </c>
      <c r="D985" s="92" t="s">
        <v>274</v>
      </c>
      <c r="E985" s="92" t="s">
        <v>268</v>
      </c>
      <c r="F985" s="92">
        <v>-9.67</v>
      </c>
    </row>
    <row r="986" spans="1:6">
      <c r="A986" s="92">
        <v>32907</v>
      </c>
      <c r="B986" s="92" t="s">
        <v>144</v>
      </c>
      <c r="C986" s="92">
        <v>2021</v>
      </c>
      <c r="D986" s="92" t="s">
        <v>275</v>
      </c>
      <c r="E986" s="92" t="s">
        <v>268</v>
      </c>
      <c r="F986" s="92"/>
    </row>
    <row r="987" spans="1:6">
      <c r="A987" s="92">
        <v>32937</v>
      </c>
      <c r="B987" s="92" t="s">
        <v>89</v>
      </c>
      <c r="C987" s="92">
        <v>2021</v>
      </c>
      <c r="D987" s="92" t="s">
        <v>267</v>
      </c>
      <c r="E987" s="92" t="s">
        <v>268</v>
      </c>
      <c r="F987" s="92">
        <v>697.15</v>
      </c>
    </row>
    <row r="988" spans="1:6">
      <c r="A988" s="92">
        <v>32938</v>
      </c>
      <c r="B988" s="92" t="s">
        <v>89</v>
      </c>
      <c r="C988" s="92">
        <v>2021</v>
      </c>
      <c r="D988" s="92" t="s">
        <v>272</v>
      </c>
      <c r="E988" s="92" t="s">
        <v>268</v>
      </c>
      <c r="F988" s="92">
        <v>296.97</v>
      </c>
    </row>
    <row r="989" spans="1:6">
      <c r="A989" s="92">
        <v>32939</v>
      </c>
      <c r="B989" s="92" t="s">
        <v>89</v>
      </c>
      <c r="C989" s="92">
        <v>2021</v>
      </c>
      <c r="D989" s="92" t="s">
        <v>273</v>
      </c>
      <c r="E989" s="92" t="s">
        <v>268</v>
      </c>
      <c r="F989" s="92"/>
    </row>
    <row r="990" spans="1:6">
      <c r="A990" s="92">
        <v>32941</v>
      </c>
      <c r="B990" s="92" t="s">
        <v>89</v>
      </c>
      <c r="C990" s="92">
        <v>2021</v>
      </c>
      <c r="D990" s="92" t="s">
        <v>274</v>
      </c>
      <c r="E990" s="92" t="s">
        <v>268</v>
      </c>
      <c r="F990" s="92">
        <v>-1531.62</v>
      </c>
    </row>
    <row r="991" spans="1:6">
      <c r="A991" s="92">
        <v>32942</v>
      </c>
      <c r="B991" s="92" t="s">
        <v>89</v>
      </c>
      <c r="C991" s="92">
        <v>2021</v>
      </c>
      <c r="D991" s="92" t="s">
        <v>275</v>
      </c>
      <c r="E991" s="92" t="s">
        <v>268</v>
      </c>
      <c r="F991" s="92"/>
    </row>
    <row r="992" spans="1:6">
      <c r="A992" s="92">
        <v>32972</v>
      </c>
      <c r="B992" s="92" t="s">
        <v>164</v>
      </c>
      <c r="C992" s="92">
        <v>2021</v>
      </c>
      <c r="D992" s="92" t="s">
        <v>267</v>
      </c>
      <c r="E992" s="92" t="s">
        <v>268</v>
      </c>
      <c r="F992" s="92">
        <v>1667.66</v>
      </c>
    </row>
    <row r="993" spans="1:6">
      <c r="A993" s="92">
        <v>32973</v>
      </c>
      <c r="B993" s="92" t="s">
        <v>164</v>
      </c>
      <c r="C993" s="92">
        <v>2021</v>
      </c>
      <c r="D993" s="92" t="s">
        <v>272</v>
      </c>
      <c r="E993" s="92" t="s">
        <v>268</v>
      </c>
      <c r="F993" s="92">
        <v>1741.26</v>
      </c>
    </row>
    <row r="994" spans="1:6">
      <c r="A994" s="92">
        <v>32974</v>
      </c>
      <c r="B994" s="92" t="s">
        <v>164</v>
      </c>
      <c r="C994" s="92">
        <v>2021</v>
      </c>
      <c r="D994" s="92" t="s">
        <v>273</v>
      </c>
      <c r="E994" s="92" t="s">
        <v>268</v>
      </c>
      <c r="F994" s="92"/>
    </row>
    <row r="995" spans="1:6">
      <c r="A995" s="92">
        <v>32976</v>
      </c>
      <c r="B995" s="92" t="s">
        <v>164</v>
      </c>
      <c r="C995" s="92">
        <v>2021</v>
      </c>
      <c r="D995" s="92" t="s">
        <v>274</v>
      </c>
      <c r="E995" s="92" t="s">
        <v>268</v>
      </c>
      <c r="F995" s="92">
        <v>-180.86</v>
      </c>
    </row>
    <row r="996" spans="1:6">
      <c r="A996" s="92">
        <v>32977</v>
      </c>
      <c r="B996" s="92" t="s">
        <v>164</v>
      </c>
      <c r="C996" s="92">
        <v>2021</v>
      </c>
      <c r="D996" s="92" t="s">
        <v>275</v>
      </c>
      <c r="E996" s="92" t="s">
        <v>268</v>
      </c>
      <c r="F996" s="92"/>
    </row>
    <row r="997" spans="1:6">
      <c r="A997" s="92">
        <v>33007</v>
      </c>
      <c r="B997" s="92" t="s">
        <v>169</v>
      </c>
      <c r="C997" s="92">
        <v>2021</v>
      </c>
      <c r="D997" s="92" t="s">
        <v>267</v>
      </c>
      <c r="E997" s="92" t="s">
        <v>268</v>
      </c>
      <c r="F997" s="92">
        <v>887.32</v>
      </c>
    </row>
    <row r="998" spans="1:6">
      <c r="A998" s="92">
        <v>33008</v>
      </c>
      <c r="B998" s="92" t="s">
        <v>169</v>
      </c>
      <c r="C998" s="92">
        <v>2021</v>
      </c>
      <c r="D998" s="92" t="s">
        <v>272</v>
      </c>
      <c r="E998" s="92" t="s">
        <v>268</v>
      </c>
      <c r="F998" s="92">
        <v>321.77</v>
      </c>
    </row>
    <row r="999" spans="1:6">
      <c r="A999" s="92">
        <v>33009</v>
      </c>
      <c r="B999" s="92" t="s">
        <v>169</v>
      </c>
      <c r="C999" s="92">
        <v>2021</v>
      </c>
      <c r="D999" s="92" t="s">
        <v>273</v>
      </c>
      <c r="E999" s="92" t="s">
        <v>268</v>
      </c>
      <c r="F999" s="92"/>
    </row>
    <row r="1000" spans="1:6">
      <c r="A1000" s="92">
        <v>33011</v>
      </c>
      <c r="B1000" s="92" t="s">
        <v>169</v>
      </c>
      <c r="C1000" s="92">
        <v>2021</v>
      </c>
      <c r="D1000" s="92" t="s">
        <v>274</v>
      </c>
      <c r="E1000" s="92" t="s">
        <v>268</v>
      </c>
      <c r="F1000" s="92">
        <v>-94.6</v>
      </c>
    </row>
    <row r="1001" spans="1:6">
      <c r="A1001" s="92">
        <v>33012</v>
      </c>
      <c r="B1001" s="92" t="s">
        <v>169</v>
      </c>
      <c r="C1001" s="92">
        <v>2021</v>
      </c>
      <c r="D1001" s="92" t="s">
        <v>275</v>
      </c>
      <c r="E1001" s="92" t="s">
        <v>268</v>
      </c>
      <c r="F1001" s="92"/>
    </row>
    <row r="1002" spans="1:6">
      <c r="A1002" s="92">
        <v>33042</v>
      </c>
      <c r="B1002" s="92" t="s">
        <v>224</v>
      </c>
      <c r="C1002" s="92">
        <v>2021</v>
      </c>
      <c r="D1002" s="92" t="s">
        <v>267</v>
      </c>
      <c r="E1002" s="92" t="s">
        <v>268</v>
      </c>
      <c r="F1002" s="92">
        <v>1007.64</v>
      </c>
    </row>
    <row r="1003" spans="1:6">
      <c r="A1003" s="92">
        <v>33043</v>
      </c>
      <c r="B1003" s="92" t="s">
        <v>224</v>
      </c>
      <c r="C1003" s="92">
        <v>2021</v>
      </c>
      <c r="D1003" s="92" t="s">
        <v>272</v>
      </c>
      <c r="E1003" s="92" t="s">
        <v>268</v>
      </c>
      <c r="F1003" s="92">
        <v>8.21</v>
      </c>
    </row>
    <row r="1004" spans="1:6">
      <c r="A1004" s="92">
        <v>33044</v>
      </c>
      <c r="B1004" s="92" t="s">
        <v>224</v>
      </c>
      <c r="C1004" s="92">
        <v>2021</v>
      </c>
      <c r="D1004" s="92" t="s">
        <v>273</v>
      </c>
      <c r="E1004" s="92" t="s">
        <v>268</v>
      </c>
      <c r="F1004" s="92"/>
    </row>
    <row r="1005" spans="1:6">
      <c r="A1005" s="92">
        <v>33046</v>
      </c>
      <c r="B1005" s="92" t="s">
        <v>224</v>
      </c>
      <c r="C1005" s="92">
        <v>2021</v>
      </c>
      <c r="D1005" s="92" t="s">
        <v>274</v>
      </c>
      <c r="E1005" s="92" t="s">
        <v>268</v>
      </c>
      <c r="F1005" s="92">
        <v>-1159.06</v>
      </c>
    </row>
    <row r="1006" spans="1:6">
      <c r="A1006" s="92">
        <v>33047</v>
      </c>
      <c r="B1006" s="92" t="s">
        <v>224</v>
      </c>
      <c r="C1006" s="92">
        <v>2021</v>
      </c>
      <c r="D1006" s="92" t="s">
        <v>275</v>
      </c>
      <c r="E1006" s="92" t="s">
        <v>268</v>
      </c>
      <c r="F1006" s="92"/>
    </row>
    <row r="1007" spans="1:6">
      <c r="A1007" s="92">
        <v>33077</v>
      </c>
      <c r="B1007" s="92" t="s">
        <v>119</v>
      </c>
      <c r="C1007" s="92">
        <v>2021</v>
      </c>
      <c r="D1007" s="92" t="s">
        <v>267</v>
      </c>
      <c r="E1007" s="92" t="s">
        <v>268</v>
      </c>
      <c r="F1007" s="92">
        <v>1127.58</v>
      </c>
    </row>
    <row r="1008" spans="1:6">
      <c r="A1008" s="92">
        <v>33078</v>
      </c>
      <c r="B1008" s="92" t="s">
        <v>119</v>
      </c>
      <c r="C1008" s="92">
        <v>2021</v>
      </c>
      <c r="D1008" s="92" t="s">
        <v>272</v>
      </c>
      <c r="E1008" s="92" t="s">
        <v>268</v>
      </c>
      <c r="F1008" s="92">
        <v>1322.46</v>
      </c>
    </row>
    <row r="1009" spans="1:6">
      <c r="A1009" s="92">
        <v>33079</v>
      </c>
      <c r="B1009" s="92" t="s">
        <v>119</v>
      </c>
      <c r="C1009" s="92">
        <v>2021</v>
      </c>
      <c r="D1009" s="92" t="s">
        <v>273</v>
      </c>
      <c r="E1009" s="92" t="s">
        <v>268</v>
      </c>
      <c r="F1009" s="92"/>
    </row>
    <row r="1010" spans="1:6">
      <c r="A1010" s="92">
        <v>33081</v>
      </c>
      <c r="B1010" s="92" t="s">
        <v>119</v>
      </c>
      <c r="C1010" s="92">
        <v>2021</v>
      </c>
      <c r="D1010" s="92" t="s">
        <v>274</v>
      </c>
      <c r="E1010" s="92" t="s">
        <v>268</v>
      </c>
      <c r="F1010" s="92">
        <v>-190.19</v>
      </c>
    </row>
    <row r="1011" spans="1:6">
      <c r="A1011" s="92">
        <v>33082</v>
      </c>
      <c r="B1011" s="92" t="s">
        <v>119</v>
      </c>
      <c r="C1011" s="92">
        <v>2021</v>
      </c>
      <c r="D1011" s="92" t="s">
        <v>275</v>
      </c>
      <c r="E1011" s="92" t="s">
        <v>268</v>
      </c>
      <c r="F1011" s="92"/>
    </row>
    <row r="1012" spans="1:6">
      <c r="A1012" s="92">
        <v>33112</v>
      </c>
      <c r="B1012" s="92" t="s">
        <v>139</v>
      </c>
      <c r="C1012" s="92">
        <v>2021</v>
      </c>
      <c r="D1012" s="92" t="s">
        <v>267</v>
      </c>
      <c r="E1012" s="92" t="s">
        <v>268</v>
      </c>
      <c r="F1012" s="92">
        <v>319.45</v>
      </c>
    </row>
    <row r="1013" spans="1:6">
      <c r="A1013" s="92">
        <v>33113</v>
      </c>
      <c r="B1013" s="92" t="s">
        <v>139</v>
      </c>
      <c r="C1013" s="92">
        <v>2021</v>
      </c>
      <c r="D1013" s="92" t="s">
        <v>272</v>
      </c>
      <c r="E1013" s="92" t="s">
        <v>268</v>
      </c>
      <c r="F1013" s="92">
        <v>299.25</v>
      </c>
    </row>
    <row r="1014" spans="1:6">
      <c r="A1014" s="92">
        <v>33114</v>
      </c>
      <c r="B1014" s="92" t="s">
        <v>139</v>
      </c>
      <c r="C1014" s="92">
        <v>2021</v>
      </c>
      <c r="D1014" s="92" t="s">
        <v>273</v>
      </c>
      <c r="E1014" s="92" t="s">
        <v>268</v>
      </c>
      <c r="F1014" s="92"/>
    </row>
    <row r="1015" spans="1:6">
      <c r="A1015" s="92">
        <v>33116</v>
      </c>
      <c r="B1015" s="92" t="s">
        <v>139</v>
      </c>
      <c r="C1015" s="92">
        <v>2021</v>
      </c>
      <c r="D1015" s="92" t="s">
        <v>274</v>
      </c>
      <c r="E1015" s="92" t="s">
        <v>268</v>
      </c>
      <c r="F1015" s="92"/>
    </row>
    <row r="1016" spans="1:6">
      <c r="A1016" s="92">
        <v>33117</v>
      </c>
      <c r="B1016" s="92" t="s">
        <v>139</v>
      </c>
      <c r="C1016" s="92">
        <v>2021</v>
      </c>
      <c r="D1016" s="92" t="s">
        <v>275</v>
      </c>
      <c r="E1016" s="92" t="s">
        <v>268</v>
      </c>
      <c r="F1016" s="92"/>
    </row>
    <row r="1017" spans="1:6">
      <c r="A1017" s="92">
        <v>33147</v>
      </c>
      <c r="B1017" s="92" t="s">
        <v>84</v>
      </c>
      <c r="C1017" s="92">
        <v>2021</v>
      </c>
      <c r="D1017" s="92" t="s">
        <v>267</v>
      </c>
      <c r="E1017" s="92" t="s">
        <v>268</v>
      </c>
      <c r="F1017" s="92">
        <v>814.68</v>
      </c>
    </row>
    <row r="1018" spans="1:6">
      <c r="A1018" s="92">
        <v>33148</v>
      </c>
      <c r="B1018" s="92" t="s">
        <v>84</v>
      </c>
      <c r="C1018" s="92">
        <v>2021</v>
      </c>
      <c r="D1018" s="92" t="s">
        <v>272</v>
      </c>
      <c r="E1018" s="92" t="s">
        <v>268</v>
      </c>
      <c r="F1018" s="92">
        <v>1219.96</v>
      </c>
    </row>
    <row r="1019" spans="1:6">
      <c r="A1019" s="92">
        <v>33149</v>
      </c>
      <c r="B1019" s="92" t="s">
        <v>84</v>
      </c>
      <c r="C1019" s="92">
        <v>2021</v>
      </c>
      <c r="D1019" s="92" t="s">
        <v>273</v>
      </c>
      <c r="E1019" s="92" t="s">
        <v>268</v>
      </c>
      <c r="F1019" s="92"/>
    </row>
    <row r="1020" spans="1:6">
      <c r="A1020" s="92">
        <v>33151</v>
      </c>
      <c r="B1020" s="92" t="s">
        <v>84</v>
      </c>
      <c r="C1020" s="92">
        <v>2021</v>
      </c>
      <c r="D1020" s="92" t="s">
        <v>274</v>
      </c>
      <c r="E1020" s="92" t="s">
        <v>268</v>
      </c>
      <c r="F1020" s="92">
        <v>-173.64</v>
      </c>
    </row>
    <row r="1021" spans="1:6">
      <c r="A1021" s="92">
        <v>33152</v>
      </c>
      <c r="B1021" s="92" t="s">
        <v>84</v>
      </c>
      <c r="C1021" s="92">
        <v>2021</v>
      </c>
      <c r="D1021" s="92" t="s">
        <v>275</v>
      </c>
      <c r="E1021" s="92" t="s">
        <v>268</v>
      </c>
      <c r="F1021" s="92"/>
    </row>
    <row r="1022" spans="1:6">
      <c r="A1022" s="92">
        <v>33182</v>
      </c>
      <c r="B1022" s="92" t="s">
        <v>149</v>
      </c>
      <c r="C1022" s="92">
        <v>2021</v>
      </c>
      <c r="D1022" s="92" t="s">
        <v>267</v>
      </c>
      <c r="E1022" s="92" t="s">
        <v>268</v>
      </c>
      <c r="F1022" s="92">
        <v>580.3</v>
      </c>
    </row>
    <row r="1023" spans="1:6">
      <c r="A1023" s="92">
        <v>33183</v>
      </c>
      <c r="B1023" s="92" t="s">
        <v>149</v>
      </c>
      <c r="C1023" s="92">
        <v>2021</v>
      </c>
      <c r="D1023" s="92" t="s">
        <v>272</v>
      </c>
      <c r="E1023" s="92" t="s">
        <v>268</v>
      </c>
      <c r="F1023" s="92">
        <v>783.51</v>
      </c>
    </row>
    <row r="1024" spans="1:6">
      <c r="A1024" s="92">
        <v>33184</v>
      </c>
      <c r="B1024" s="92" t="s">
        <v>149</v>
      </c>
      <c r="C1024" s="92">
        <v>2021</v>
      </c>
      <c r="D1024" s="92" t="s">
        <v>273</v>
      </c>
      <c r="E1024" s="92" t="s">
        <v>268</v>
      </c>
      <c r="F1024" s="92"/>
    </row>
    <row r="1025" spans="1:6">
      <c r="A1025" s="92">
        <v>33186</v>
      </c>
      <c r="B1025" s="92" t="s">
        <v>149</v>
      </c>
      <c r="C1025" s="92">
        <v>2021</v>
      </c>
      <c r="D1025" s="92" t="s">
        <v>274</v>
      </c>
      <c r="E1025" s="92" t="s">
        <v>268</v>
      </c>
      <c r="F1025" s="92">
        <v>-67.1</v>
      </c>
    </row>
    <row r="1026" spans="1:6">
      <c r="A1026" s="92">
        <v>33187</v>
      </c>
      <c r="B1026" s="92" t="s">
        <v>149</v>
      </c>
      <c r="C1026" s="92">
        <v>2021</v>
      </c>
      <c r="D1026" s="92" t="s">
        <v>275</v>
      </c>
      <c r="E1026" s="92" t="s">
        <v>268</v>
      </c>
      <c r="F1026" s="92"/>
    </row>
    <row r="1027" spans="1:6">
      <c r="A1027" s="92">
        <v>33217</v>
      </c>
      <c r="B1027" s="92" t="s">
        <v>124</v>
      </c>
      <c r="C1027" s="92">
        <v>2021</v>
      </c>
      <c r="D1027" s="92" t="s">
        <v>267</v>
      </c>
      <c r="E1027" s="92" t="s">
        <v>268</v>
      </c>
      <c r="F1027" s="92">
        <v>1173.95</v>
      </c>
    </row>
    <row r="1028" spans="1:6">
      <c r="A1028" s="92">
        <v>33218</v>
      </c>
      <c r="B1028" s="92" t="s">
        <v>124</v>
      </c>
      <c r="C1028" s="92">
        <v>2021</v>
      </c>
      <c r="D1028" s="92" t="s">
        <v>272</v>
      </c>
      <c r="E1028" s="92" t="s">
        <v>268</v>
      </c>
      <c r="F1028" s="92">
        <v>1461.28</v>
      </c>
    </row>
    <row r="1029" spans="1:6">
      <c r="A1029" s="92">
        <v>33219</v>
      </c>
      <c r="B1029" s="92" t="s">
        <v>124</v>
      </c>
      <c r="C1029" s="92">
        <v>2021</v>
      </c>
      <c r="D1029" s="92" t="s">
        <v>273</v>
      </c>
      <c r="E1029" s="92" t="s">
        <v>268</v>
      </c>
      <c r="F1029" s="92"/>
    </row>
    <row r="1030" spans="1:6">
      <c r="A1030" s="92">
        <v>33221</v>
      </c>
      <c r="B1030" s="92" t="s">
        <v>124</v>
      </c>
      <c r="C1030" s="92">
        <v>2021</v>
      </c>
      <c r="D1030" s="92" t="s">
        <v>274</v>
      </c>
      <c r="E1030" s="92" t="s">
        <v>268</v>
      </c>
      <c r="F1030" s="92">
        <v>-169.67</v>
      </c>
    </row>
    <row r="1031" spans="1:6">
      <c r="A1031" s="92">
        <v>33222</v>
      </c>
      <c r="B1031" s="92" t="s">
        <v>124</v>
      </c>
      <c r="C1031" s="92">
        <v>2021</v>
      </c>
      <c r="D1031" s="92" t="s">
        <v>275</v>
      </c>
      <c r="E1031" s="92" t="s">
        <v>268</v>
      </c>
      <c r="F1031" s="92"/>
    </row>
    <row r="1032" spans="1:6">
      <c r="A1032" s="92">
        <v>33252</v>
      </c>
      <c r="B1032" s="92" t="s">
        <v>174</v>
      </c>
      <c r="C1032" s="92">
        <v>2021</v>
      </c>
      <c r="D1032" s="92" t="s">
        <v>267</v>
      </c>
      <c r="E1032" s="92" t="s">
        <v>268</v>
      </c>
      <c r="F1032" s="92">
        <v>136.84</v>
      </c>
    </row>
    <row r="1033" spans="1:6">
      <c r="A1033" s="92">
        <v>33253</v>
      </c>
      <c r="B1033" s="92" t="s">
        <v>174</v>
      </c>
      <c r="C1033" s="92">
        <v>2021</v>
      </c>
      <c r="D1033" s="92" t="s">
        <v>272</v>
      </c>
      <c r="E1033" s="92" t="s">
        <v>268</v>
      </c>
      <c r="F1033" s="92">
        <v>15.25</v>
      </c>
    </row>
    <row r="1034" spans="1:6">
      <c r="A1034" s="92">
        <v>33254</v>
      </c>
      <c r="B1034" s="92" t="s">
        <v>174</v>
      </c>
      <c r="C1034" s="92">
        <v>2021</v>
      </c>
      <c r="D1034" s="92" t="s">
        <v>273</v>
      </c>
      <c r="E1034" s="92" t="s">
        <v>268</v>
      </c>
      <c r="F1034" s="92"/>
    </row>
    <row r="1035" spans="1:6">
      <c r="A1035" s="92">
        <v>33256</v>
      </c>
      <c r="B1035" s="92" t="s">
        <v>174</v>
      </c>
      <c r="C1035" s="92">
        <v>2021</v>
      </c>
      <c r="D1035" s="92" t="s">
        <v>274</v>
      </c>
      <c r="E1035" s="92" t="s">
        <v>268</v>
      </c>
      <c r="F1035" s="92">
        <v>-1.01</v>
      </c>
    </row>
    <row r="1036" spans="1:6">
      <c r="A1036" s="92">
        <v>33257</v>
      </c>
      <c r="B1036" s="92" t="s">
        <v>174</v>
      </c>
      <c r="C1036" s="92">
        <v>2021</v>
      </c>
      <c r="D1036" s="92" t="s">
        <v>275</v>
      </c>
      <c r="E1036" s="92" t="s">
        <v>268</v>
      </c>
      <c r="F1036" s="92"/>
    </row>
    <row r="1037" spans="1:6">
      <c r="A1037" s="92">
        <v>33287</v>
      </c>
      <c r="B1037" s="92" t="s">
        <v>154</v>
      </c>
      <c r="C1037" s="92">
        <v>2021</v>
      </c>
      <c r="D1037" s="92" t="s">
        <v>267</v>
      </c>
      <c r="E1037" s="92" t="s">
        <v>268</v>
      </c>
      <c r="F1037" s="92">
        <v>1816.37</v>
      </c>
    </row>
    <row r="1038" spans="1:6">
      <c r="A1038" s="92">
        <v>33288</v>
      </c>
      <c r="B1038" s="92" t="s">
        <v>154</v>
      </c>
      <c r="C1038" s="92">
        <v>2021</v>
      </c>
      <c r="D1038" s="92" t="s">
        <v>272</v>
      </c>
      <c r="E1038" s="92" t="s">
        <v>268</v>
      </c>
      <c r="F1038" s="92">
        <v>123.02</v>
      </c>
    </row>
    <row r="1039" spans="1:6">
      <c r="A1039" s="92">
        <v>33289</v>
      </c>
      <c r="B1039" s="92" t="s">
        <v>154</v>
      </c>
      <c r="C1039" s="92">
        <v>2021</v>
      </c>
      <c r="D1039" s="92" t="s">
        <v>273</v>
      </c>
      <c r="E1039" s="92" t="s">
        <v>268</v>
      </c>
      <c r="F1039" s="92"/>
    </row>
    <row r="1040" spans="1:6">
      <c r="A1040" s="92">
        <v>33291</v>
      </c>
      <c r="B1040" s="92" t="s">
        <v>154</v>
      </c>
      <c r="C1040" s="92">
        <v>2021</v>
      </c>
      <c r="D1040" s="92" t="s">
        <v>274</v>
      </c>
      <c r="E1040" s="92" t="s">
        <v>268</v>
      </c>
      <c r="F1040" s="92">
        <v>-943.86</v>
      </c>
    </row>
    <row r="1041" spans="1:6">
      <c r="A1041" s="92">
        <v>33292</v>
      </c>
      <c r="B1041" s="92" t="s">
        <v>154</v>
      </c>
      <c r="C1041" s="92">
        <v>2021</v>
      </c>
      <c r="D1041" s="92" t="s">
        <v>275</v>
      </c>
      <c r="E1041" s="92" t="s">
        <v>268</v>
      </c>
      <c r="F1041" s="92"/>
    </row>
    <row r="1042" spans="1:6">
      <c r="A1042" s="92">
        <v>33322</v>
      </c>
      <c r="B1042" s="92" t="s">
        <v>159</v>
      </c>
      <c r="C1042" s="92">
        <v>2021</v>
      </c>
      <c r="D1042" s="92" t="s">
        <v>267</v>
      </c>
      <c r="E1042" s="92" t="s">
        <v>268</v>
      </c>
      <c r="F1042" s="92">
        <v>725.16</v>
      </c>
    </row>
    <row r="1043" spans="1:6">
      <c r="A1043" s="92">
        <v>33323</v>
      </c>
      <c r="B1043" s="92" t="s">
        <v>159</v>
      </c>
      <c r="C1043" s="92">
        <v>2021</v>
      </c>
      <c r="D1043" s="92" t="s">
        <v>272</v>
      </c>
      <c r="E1043" s="92" t="s">
        <v>268</v>
      </c>
      <c r="F1043" s="92">
        <v>530.93</v>
      </c>
    </row>
    <row r="1044" spans="1:6">
      <c r="A1044" s="92">
        <v>33324</v>
      </c>
      <c r="B1044" s="92" t="s">
        <v>159</v>
      </c>
      <c r="C1044" s="92">
        <v>2021</v>
      </c>
      <c r="D1044" s="92" t="s">
        <v>273</v>
      </c>
      <c r="E1044" s="92" t="s">
        <v>268</v>
      </c>
      <c r="F1044" s="92"/>
    </row>
    <row r="1045" spans="1:6">
      <c r="A1045" s="92">
        <v>33326</v>
      </c>
      <c r="B1045" s="92" t="s">
        <v>159</v>
      </c>
      <c r="C1045" s="92">
        <v>2021</v>
      </c>
      <c r="D1045" s="92" t="s">
        <v>274</v>
      </c>
      <c r="E1045" s="92" t="s">
        <v>268</v>
      </c>
      <c r="F1045" s="92">
        <v>-118.24</v>
      </c>
    </row>
    <row r="1046" spans="1:6">
      <c r="A1046" s="92">
        <v>33327</v>
      </c>
      <c r="B1046" s="92" t="s">
        <v>159</v>
      </c>
      <c r="C1046" s="92">
        <v>2021</v>
      </c>
      <c r="D1046" s="92" t="s">
        <v>275</v>
      </c>
      <c r="E1046" s="92" t="s">
        <v>268</v>
      </c>
      <c r="F1046" s="92"/>
    </row>
    <row r="1047" spans="1:6">
      <c r="A1047" s="92">
        <v>33357</v>
      </c>
      <c r="B1047" s="92" t="s">
        <v>209</v>
      </c>
      <c r="C1047" s="92">
        <v>2021</v>
      </c>
      <c r="D1047" s="92" t="s">
        <v>267</v>
      </c>
      <c r="E1047" s="92" t="s">
        <v>268</v>
      </c>
      <c r="F1047" s="92">
        <v>890.04</v>
      </c>
    </row>
    <row r="1048" spans="1:6">
      <c r="A1048" s="92">
        <v>33358</v>
      </c>
      <c r="B1048" s="92" t="s">
        <v>209</v>
      </c>
      <c r="C1048" s="92">
        <v>2021</v>
      </c>
      <c r="D1048" s="92" t="s">
        <v>272</v>
      </c>
      <c r="E1048" s="92" t="s">
        <v>268</v>
      </c>
      <c r="F1048" s="92">
        <v>354.96</v>
      </c>
    </row>
    <row r="1049" spans="1:6">
      <c r="A1049" s="92">
        <v>33359</v>
      </c>
      <c r="B1049" s="92" t="s">
        <v>209</v>
      </c>
      <c r="C1049" s="92">
        <v>2021</v>
      </c>
      <c r="D1049" s="92" t="s">
        <v>273</v>
      </c>
      <c r="E1049" s="92" t="s">
        <v>268</v>
      </c>
      <c r="F1049" s="92"/>
    </row>
    <row r="1050" spans="1:6">
      <c r="A1050" s="92">
        <v>33361</v>
      </c>
      <c r="B1050" s="92" t="s">
        <v>209</v>
      </c>
      <c r="C1050" s="92">
        <v>2021</v>
      </c>
      <c r="D1050" s="92" t="s">
        <v>274</v>
      </c>
      <c r="E1050" s="92" t="s">
        <v>268</v>
      </c>
      <c r="F1050" s="92">
        <v>-792.67</v>
      </c>
    </row>
    <row r="1051" spans="1:6">
      <c r="A1051" s="92">
        <v>33362</v>
      </c>
      <c r="B1051" s="92" t="s">
        <v>209</v>
      </c>
      <c r="C1051" s="92">
        <v>2021</v>
      </c>
      <c r="D1051" s="92" t="s">
        <v>275</v>
      </c>
      <c r="E1051" s="92" t="s">
        <v>268</v>
      </c>
      <c r="F1051" s="92"/>
    </row>
    <row r="1052" spans="1:6">
      <c r="A1052" s="92">
        <v>33392</v>
      </c>
      <c r="B1052" s="92" t="s">
        <v>134</v>
      </c>
      <c r="C1052" s="92">
        <v>2021</v>
      </c>
      <c r="D1052" s="92" t="s">
        <v>267</v>
      </c>
      <c r="E1052" s="92" t="s">
        <v>268</v>
      </c>
      <c r="F1052" s="92">
        <v>1228.39</v>
      </c>
    </row>
    <row r="1053" spans="1:6">
      <c r="A1053" s="92">
        <v>33393</v>
      </c>
      <c r="B1053" s="92" t="s">
        <v>134</v>
      </c>
      <c r="C1053" s="92">
        <v>2021</v>
      </c>
      <c r="D1053" s="92" t="s">
        <v>272</v>
      </c>
      <c r="E1053" s="92" t="s">
        <v>268</v>
      </c>
      <c r="F1053" s="92">
        <v>6.15</v>
      </c>
    </row>
    <row r="1054" spans="1:6">
      <c r="A1054" s="92">
        <v>33394</v>
      </c>
      <c r="B1054" s="92" t="s">
        <v>134</v>
      </c>
      <c r="C1054" s="92">
        <v>2021</v>
      </c>
      <c r="D1054" s="92" t="s">
        <v>273</v>
      </c>
      <c r="E1054" s="92" t="s">
        <v>268</v>
      </c>
      <c r="F1054" s="92"/>
    </row>
    <row r="1055" spans="1:6">
      <c r="A1055" s="92">
        <v>33396</v>
      </c>
      <c r="B1055" s="92" t="s">
        <v>134</v>
      </c>
      <c r="C1055" s="92">
        <v>2021</v>
      </c>
      <c r="D1055" s="92" t="s">
        <v>274</v>
      </c>
      <c r="E1055" s="92" t="s">
        <v>268</v>
      </c>
      <c r="F1055" s="92">
        <v>-100.69</v>
      </c>
    </row>
    <row r="1056" spans="1:6">
      <c r="A1056" s="92">
        <v>33397</v>
      </c>
      <c r="B1056" s="92" t="s">
        <v>134</v>
      </c>
      <c r="C1056" s="92">
        <v>2021</v>
      </c>
      <c r="D1056" s="92" t="s">
        <v>275</v>
      </c>
      <c r="E1056" s="92" t="s">
        <v>268</v>
      </c>
      <c r="F1056" s="92"/>
    </row>
    <row r="1057" spans="1:6">
      <c r="A1057" s="92">
        <v>33427</v>
      </c>
      <c r="B1057" s="92" t="s">
        <v>189</v>
      </c>
      <c r="C1057" s="92">
        <v>2021</v>
      </c>
      <c r="D1057" s="92" t="s">
        <v>267</v>
      </c>
      <c r="E1057" s="92" t="s">
        <v>268</v>
      </c>
      <c r="F1057" s="92">
        <v>921.82</v>
      </c>
    </row>
    <row r="1058" spans="1:6">
      <c r="A1058" s="92">
        <v>33428</v>
      </c>
      <c r="B1058" s="92" t="s">
        <v>189</v>
      </c>
      <c r="C1058" s="92">
        <v>2021</v>
      </c>
      <c r="D1058" s="92" t="s">
        <v>272</v>
      </c>
      <c r="E1058" s="92" t="s">
        <v>268</v>
      </c>
      <c r="F1058" s="92">
        <v>0.1</v>
      </c>
    </row>
    <row r="1059" spans="1:6">
      <c r="A1059" s="92">
        <v>33429</v>
      </c>
      <c r="B1059" s="92" t="s">
        <v>189</v>
      </c>
      <c r="C1059" s="92">
        <v>2021</v>
      </c>
      <c r="D1059" s="92" t="s">
        <v>273</v>
      </c>
      <c r="E1059" s="92" t="s">
        <v>268</v>
      </c>
      <c r="F1059" s="92"/>
    </row>
    <row r="1060" spans="1:6">
      <c r="A1060" s="92">
        <v>33431</v>
      </c>
      <c r="B1060" s="92" t="s">
        <v>189</v>
      </c>
      <c r="C1060" s="92">
        <v>2021</v>
      </c>
      <c r="D1060" s="92" t="s">
        <v>274</v>
      </c>
      <c r="E1060" s="92" t="s">
        <v>268</v>
      </c>
      <c r="F1060" s="92">
        <v>-625.75</v>
      </c>
    </row>
    <row r="1061" spans="1:6">
      <c r="A1061" s="92">
        <v>33432</v>
      </c>
      <c r="B1061" s="92" t="s">
        <v>189</v>
      </c>
      <c r="C1061" s="92">
        <v>2021</v>
      </c>
      <c r="D1061" s="92" t="s">
        <v>275</v>
      </c>
      <c r="E1061" s="92" t="s">
        <v>268</v>
      </c>
      <c r="F1061" s="92"/>
    </row>
    <row r="1062" spans="1:6">
      <c r="A1062" s="92">
        <v>33462</v>
      </c>
      <c r="B1062" s="92" t="s">
        <v>99</v>
      </c>
      <c r="C1062" s="92">
        <v>2021</v>
      </c>
      <c r="D1062" s="92" t="s">
        <v>267</v>
      </c>
      <c r="E1062" s="92" t="s">
        <v>268</v>
      </c>
      <c r="F1062" s="92">
        <v>760.8</v>
      </c>
    </row>
    <row r="1063" spans="1:6">
      <c r="A1063" s="92">
        <v>33463</v>
      </c>
      <c r="B1063" s="92" t="s">
        <v>99</v>
      </c>
      <c r="C1063" s="92">
        <v>2021</v>
      </c>
      <c r="D1063" s="92" t="s">
        <v>272</v>
      </c>
      <c r="E1063" s="92" t="s">
        <v>268</v>
      </c>
      <c r="F1063" s="92">
        <v>639.25</v>
      </c>
    </row>
    <row r="1064" spans="1:6">
      <c r="A1064" s="92">
        <v>33464</v>
      </c>
      <c r="B1064" s="92" t="s">
        <v>99</v>
      </c>
      <c r="C1064" s="92">
        <v>2021</v>
      </c>
      <c r="D1064" s="92" t="s">
        <v>273</v>
      </c>
      <c r="E1064" s="92" t="s">
        <v>268</v>
      </c>
      <c r="F1064" s="92"/>
    </row>
    <row r="1065" spans="1:6">
      <c r="A1065" s="92">
        <v>33466</v>
      </c>
      <c r="B1065" s="92" t="s">
        <v>99</v>
      </c>
      <c r="C1065" s="92">
        <v>2021</v>
      </c>
      <c r="D1065" s="92" t="s">
        <v>274</v>
      </c>
      <c r="E1065" s="92" t="s">
        <v>268</v>
      </c>
      <c r="F1065" s="92">
        <v>-223.1</v>
      </c>
    </row>
    <row r="1066" spans="1:6">
      <c r="A1066" s="92">
        <v>33467</v>
      </c>
      <c r="B1066" s="92" t="s">
        <v>99</v>
      </c>
      <c r="C1066" s="92">
        <v>2021</v>
      </c>
      <c r="D1066" s="92" t="s">
        <v>275</v>
      </c>
      <c r="E1066" s="92" t="s">
        <v>268</v>
      </c>
      <c r="F1066" s="92"/>
    </row>
    <row r="1067" spans="1:6">
      <c r="A1067" s="92">
        <v>33497</v>
      </c>
      <c r="B1067" s="92" t="s">
        <v>179</v>
      </c>
      <c r="C1067" s="92">
        <v>2021</v>
      </c>
      <c r="D1067" s="92" t="s">
        <v>267</v>
      </c>
      <c r="E1067" s="92" t="s">
        <v>268</v>
      </c>
      <c r="F1067" s="92">
        <v>310.22</v>
      </c>
    </row>
    <row r="1068" spans="1:6">
      <c r="A1068" s="92">
        <v>33498</v>
      </c>
      <c r="B1068" s="92" t="s">
        <v>179</v>
      </c>
      <c r="C1068" s="92">
        <v>2021</v>
      </c>
      <c r="D1068" s="92" t="s">
        <v>272</v>
      </c>
      <c r="E1068" s="92" t="s">
        <v>268</v>
      </c>
      <c r="F1068" s="92">
        <v>445.21</v>
      </c>
    </row>
    <row r="1069" spans="1:6">
      <c r="A1069" s="92">
        <v>33499</v>
      </c>
      <c r="B1069" s="92" t="s">
        <v>179</v>
      </c>
      <c r="C1069" s="92">
        <v>2021</v>
      </c>
      <c r="D1069" s="92" t="s">
        <v>273</v>
      </c>
      <c r="E1069" s="92" t="s">
        <v>268</v>
      </c>
      <c r="F1069" s="92"/>
    </row>
    <row r="1070" spans="1:6">
      <c r="A1070" s="92">
        <v>33501</v>
      </c>
      <c r="B1070" s="92" t="s">
        <v>179</v>
      </c>
      <c r="C1070" s="92">
        <v>2021</v>
      </c>
      <c r="D1070" s="92" t="s">
        <v>274</v>
      </c>
      <c r="E1070" s="92" t="s">
        <v>268</v>
      </c>
      <c r="F1070" s="92">
        <v>-95.99</v>
      </c>
    </row>
    <row r="1071" spans="1:6">
      <c r="A1071" s="92">
        <v>33502</v>
      </c>
      <c r="B1071" s="92" t="s">
        <v>179</v>
      </c>
      <c r="C1071" s="92">
        <v>2021</v>
      </c>
      <c r="D1071" s="92" t="s">
        <v>275</v>
      </c>
      <c r="E1071" s="92" t="s">
        <v>268</v>
      </c>
      <c r="F1071" s="92"/>
    </row>
    <row r="1072" spans="1:6">
      <c r="A1072" s="92">
        <v>33532</v>
      </c>
      <c r="B1072" s="92" t="s">
        <v>204</v>
      </c>
      <c r="C1072" s="92">
        <v>2021</v>
      </c>
      <c r="D1072" s="92" t="s">
        <v>267</v>
      </c>
      <c r="E1072" s="92" t="s">
        <v>268</v>
      </c>
      <c r="F1072" s="92">
        <v>457.99</v>
      </c>
    </row>
    <row r="1073" spans="1:6">
      <c r="A1073" s="92">
        <v>33533</v>
      </c>
      <c r="B1073" s="92" t="s">
        <v>204</v>
      </c>
      <c r="C1073" s="92">
        <v>2021</v>
      </c>
      <c r="D1073" s="92" t="s">
        <v>272</v>
      </c>
      <c r="E1073" s="92" t="s">
        <v>268</v>
      </c>
      <c r="F1073" s="92">
        <v>234.91</v>
      </c>
    </row>
    <row r="1074" spans="1:6">
      <c r="A1074" s="92">
        <v>33534</v>
      </c>
      <c r="B1074" s="92" t="s">
        <v>204</v>
      </c>
      <c r="C1074" s="92">
        <v>2021</v>
      </c>
      <c r="D1074" s="92" t="s">
        <v>273</v>
      </c>
      <c r="E1074" s="92" t="s">
        <v>268</v>
      </c>
      <c r="F1074" s="92"/>
    </row>
    <row r="1075" spans="1:6">
      <c r="A1075" s="92">
        <v>33536</v>
      </c>
      <c r="B1075" s="92" t="s">
        <v>204</v>
      </c>
      <c r="C1075" s="92">
        <v>2021</v>
      </c>
      <c r="D1075" s="92" t="s">
        <v>274</v>
      </c>
      <c r="E1075" s="92" t="s">
        <v>268</v>
      </c>
      <c r="F1075" s="92">
        <v>-740.35</v>
      </c>
    </row>
    <row r="1076" spans="1:6">
      <c r="A1076" s="92">
        <v>33537</v>
      </c>
      <c r="B1076" s="92" t="s">
        <v>204</v>
      </c>
      <c r="C1076" s="92">
        <v>2021</v>
      </c>
      <c r="D1076" s="92" t="s">
        <v>275</v>
      </c>
      <c r="E1076" s="92" t="s">
        <v>268</v>
      </c>
      <c r="F1076" s="92"/>
    </row>
    <row r="1077" spans="1:6">
      <c r="A1077" s="92">
        <v>33567</v>
      </c>
      <c r="B1077" s="92" t="s">
        <v>214</v>
      </c>
      <c r="C1077" s="92">
        <v>2021</v>
      </c>
      <c r="D1077" s="92" t="s">
        <v>267</v>
      </c>
      <c r="E1077" s="92" t="s">
        <v>268</v>
      </c>
      <c r="F1077" s="92">
        <v>845.7</v>
      </c>
    </row>
    <row r="1078" spans="1:6">
      <c r="A1078" s="92">
        <v>33568</v>
      </c>
      <c r="B1078" s="92" t="s">
        <v>214</v>
      </c>
      <c r="C1078" s="92">
        <v>2021</v>
      </c>
      <c r="D1078" s="92" t="s">
        <v>272</v>
      </c>
      <c r="E1078" s="92" t="s">
        <v>268</v>
      </c>
      <c r="F1078" s="92">
        <v>165.29</v>
      </c>
    </row>
    <row r="1079" spans="1:6">
      <c r="A1079" s="92">
        <v>33569</v>
      </c>
      <c r="B1079" s="92" t="s">
        <v>214</v>
      </c>
      <c r="C1079" s="92">
        <v>2021</v>
      </c>
      <c r="D1079" s="92" t="s">
        <v>273</v>
      </c>
      <c r="E1079" s="92" t="s">
        <v>268</v>
      </c>
      <c r="F1079" s="92"/>
    </row>
    <row r="1080" spans="1:6">
      <c r="A1080" s="92">
        <v>33571</v>
      </c>
      <c r="B1080" s="92" t="s">
        <v>214</v>
      </c>
      <c r="C1080" s="92">
        <v>2021</v>
      </c>
      <c r="D1080" s="92" t="s">
        <v>274</v>
      </c>
      <c r="E1080" s="92" t="s">
        <v>268</v>
      </c>
      <c r="F1080" s="92">
        <v>-296.97</v>
      </c>
    </row>
    <row r="1081" spans="1:6">
      <c r="A1081" s="92">
        <v>33572</v>
      </c>
      <c r="B1081" s="92" t="s">
        <v>214</v>
      </c>
      <c r="C1081" s="92">
        <v>2021</v>
      </c>
      <c r="D1081" s="92" t="s">
        <v>275</v>
      </c>
      <c r="E1081" s="92" t="s">
        <v>268</v>
      </c>
      <c r="F1081" s="92"/>
    </row>
    <row r="1082" spans="1:6">
      <c r="A1082" s="92">
        <v>33602</v>
      </c>
      <c r="B1082" s="92" t="s">
        <v>109</v>
      </c>
      <c r="C1082" s="92">
        <v>2021</v>
      </c>
      <c r="D1082" s="92" t="s">
        <v>267</v>
      </c>
      <c r="E1082" s="92" t="s">
        <v>268</v>
      </c>
      <c r="F1082" s="92">
        <v>251.88</v>
      </c>
    </row>
    <row r="1083" spans="1:6">
      <c r="A1083" s="92">
        <v>33603</v>
      </c>
      <c r="B1083" s="92" t="s">
        <v>109</v>
      </c>
      <c r="C1083" s="92">
        <v>2021</v>
      </c>
      <c r="D1083" s="92" t="s">
        <v>272</v>
      </c>
      <c r="E1083" s="92" t="s">
        <v>268</v>
      </c>
      <c r="F1083" s="92">
        <v>104.93</v>
      </c>
    </row>
    <row r="1084" spans="1:6">
      <c r="A1084" s="92">
        <v>33604</v>
      </c>
      <c r="B1084" s="92" t="s">
        <v>109</v>
      </c>
      <c r="C1084" s="92">
        <v>2021</v>
      </c>
      <c r="D1084" s="92" t="s">
        <v>273</v>
      </c>
      <c r="E1084" s="92" t="s">
        <v>268</v>
      </c>
      <c r="F1084" s="92">
        <v>39.32</v>
      </c>
    </row>
    <row r="1085" spans="1:6">
      <c r="A1085" s="92">
        <v>33606</v>
      </c>
      <c r="B1085" s="92" t="s">
        <v>109</v>
      </c>
      <c r="C1085" s="92">
        <v>2021</v>
      </c>
      <c r="D1085" s="92" t="s">
        <v>274</v>
      </c>
      <c r="E1085" s="92" t="s">
        <v>268</v>
      </c>
      <c r="F1085" s="92">
        <v>-200.34</v>
      </c>
    </row>
    <row r="1086" spans="1:6">
      <c r="A1086" s="92">
        <v>33607</v>
      </c>
      <c r="B1086" s="92" t="s">
        <v>109</v>
      </c>
      <c r="C1086" s="92">
        <v>2021</v>
      </c>
      <c r="D1086" s="92" t="s">
        <v>275</v>
      </c>
      <c r="E1086" s="92" t="s">
        <v>268</v>
      </c>
      <c r="F1086" s="92"/>
    </row>
    <row r="1087" spans="1:6">
      <c r="A1087" s="96"/>
      <c r="B1087" s="96" t="s">
        <v>129</v>
      </c>
      <c r="C1087" s="96">
        <v>2022</v>
      </c>
      <c r="D1087" s="96" t="s">
        <v>267</v>
      </c>
      <c r="E1087" s="96" t="s">
        <v>268</v>
      </c>
      <c r="F1087" s="96">
        <v>395.48</v>
      </c>
    </row>
    <row r="1088" spans="1:6">
      <c r="A1088" s="96"/>
      <c r="B1088" s="96" t="s">
        <v>129</v>
      </c>
      <c r="C1088" s="96">
        <v>2022</v>
      </c>
      <c r="D1088" s="96" t="s">
        <v>272</v>
      </c>
      <c r="E1088" s="96" t="s">
        <v>268</v>
      </c>
      <c r="F1088" s="96">
        <v>586.45</v>
      </c>
    </row>
    <row r="1089" spans="1:6">
      <c r="A1089" s="96"/>
      <c r="B1089" s="96" t="s">
        <v>129</v>
      </c>
      <c r="C1089" s="96">
        <v>2022</v>
      </c>
      <c r="D1089" s="96" t="s">
        <v>273</v>
      </c>
      <c r="E1089" s="96" t="s">
        <v>268</v>
      </c>
      <c r="F1089" s="96" t="s">
        <v>276</v>
      </c>
    </row>
    <row r="1090" spans="1:6">
      <c r="A1090" s="96"/>
      <c r="B1090" s="96" t="s">
        <v>129</v>
      </c>
      <c r="C1090" s="96">
        <v>2022</v>
      </c>
      <c r="D1090" s="96" t="s">
        <v>274</v>
      </c>
      <c r="E1090" s="96" t="s">
        <v>268</v>
      </c>
      <c r="F1090" s="96">
        <v>-891.99</v>
      </c>
    </row>
    <row r="1091" spans="1:6">
      <c r="A1091" s="96"/>
      <c r="B1091" s="96" t="s">
        <v>129</v>
      </c>
      <c r="C1091" s="96">
        <v>2022</v>
      </c>
      <c r="D1091" s="96" t="s">
        <v>275</v>
      </c>
      <c r="E1091" s="96" t="s">
        <v>268</v>
      </c>
      <c r="F1091" s="96" t="s">
        <v>276</v>
      </c>
    </row>
    <row r="1092" spans="1:6">
      <c r="A1092" s="96"/>
      <c r="B1092" s="96" t="s">
        <v>70</v>
      </c>
      <c r="C1092" s="96">
        <v>2022</v>
      </c>
      <c r="D1092" s="96" t="s">
        <v>267</v>
      </c>
      <c r="E1092" s="96" t="s">
        <v>268</v>
      </c>
      <c r="F1092" s="96">
        <v>29599.17</v>
      </c>
    </row>
    <row r="1093" spans="1:6">
      <c r="A1093" s="96"/>
      <c r="B1093" s="96" t="s">
        <v>70</v>
      </c>
      <c r="C1093" s="96">
        <v>2022</v>
      </c>
      <c r="D1093" s="96" t="s">
        <v>273</v>
      </c>
      <c r="E1093" s="96" t="s">
        <v>268</v>
      </c>
      <c r="F1093" s="96">
        <v>71.38</v>
      </c>
    </row>
    <row r="1094" spans="1:6">
      <c r="A1094" s="96"/>
      <c r="B1094" s="96" t="s">
        <v>224</v>
      </c>
      <c r="C1094" s="96">
        <v>2022</v>
      </c>
      <c r="D1094" s="96" t="s">
        <v>267</v>
      </c>
      <c r="E1094" s="96" t="s">
        <v>268</v>
      </c>
      <c r="F1094" s="96">
        <v>1125.63</v>
      </c>
    </row>
    <row r="1095" spans="1:6">
      <c r="A1095" s="96"/>
      <c r="B1095" s="96" t="s">
        <v>224</v>
      </c>
      <c r="C1095" s="96">
        <v>2022</v>
      </c>
      <c r="D1095" s="96" t="s">
        <v>272</v>
      </c>
      <c r="E1095" s="96" t="s">
        <v>268</v>
      </c>
      <c r="F1095" s="96">
        <v>7.92</v>
      </c>
    </row>
    <row r="1096" spans="1:6">
      <c r="A1096" s="96"/>
      <c r="B1096" s="96" t="s">
        <v>224</v>
      </c>
      <c r="C1096" s="96">
        <v>2022</v>
      </c>
      <c r="D1096" s="96" t="s">
        <v>273</v>
      </c>
      <c r="E1096" s="96" t="s">
        <v>268</v>
      </c>
      <c r="F1096" s="96" t="s">
        <v>276</v>
      </c>
    </row>
    <row r="1097" spans="1:6">
      <c r="A1097" s="96"/>
      <c r="B1097" s="96" t="s">
        <v>224</v>
      </c>
      <c r="C1097" s="96">
        <v>2022</v>
      </c>
      <c r="D1097" s="96" t="s">
        <v>274</v>
      </c>
      <c r="E1097" s="96" t="s">
        <v>268</v>
      </c>
      <c r="F1097" s="96">
        <v>-1215.88</v>
      </c>
    </row>
    <row r="1098" spans="1:6">
      <c r="A1098" s="96"/>
      <c r="B1098" s="96" t="s">
        <v>224</v>
      </c>
      <c r="C1098" s="96">
        <v>2022</v>
      </c>
      <c r="D1098" s="96" t="s">
        <v>275</v>
      </c>
      <c r="E1098" s="96" t="s">
        <v>268</v>
      </c>
      <c r="F1098" s="96" t="s">
        <v>276</v>
      </c>
    </row>
    <row r="1099" spans="1:6">
      <c r="A1099" s="96"/>
      <c r="B1099" s="96" t="s">
        <v>74</v>
      </c>
      <c r="C1099" s="96">
        <v>2022</v>
      </c>
      <c r="D1099" s="96" t="s">
        <v>267</v>
      </c>
      <c r="E1099" s="96" t="s">
        <v>268</v>
      </c>
      <c r="F1099" s="96">
        <v>23.52</v>
      </c>
    </row>
    <row r="1100" spans="1:6">
      <c r="A1100" s="96"/>
      <c r="B1100" s="96" t="s">
        <v>74</v>
      </c>
      <c r="C1100" s="96">
        <v>2022</v>
      </c>
      <c r="D1100" s="96" t="s">
        <v>272</v>
      </c>
      <c r="E1100" s="96" t="s">
        <v>268</v>
      </c>
      <c r="F1100" s="96">
        <v>817.09</v>
      </c>
    </row>
    <row r="1101" spans="1:6">
      <c r="A1101" s="96"/>
      <c r="B1101" s="96" t="s">
        <v>74</v>
      </c>
      <c r="C1101" s="96">
        <v>2022</v>
      </c>
      <c r="D1101" s="96" t="s">
        <v>273</v>
      </c>
      <c r="E1101" s="96" t="s">
        <v>268</v>
      </c>
      <c r="F1101" s="96" t="s">
        <v>276</v>
      </c>
    </row>
    <row r="1102" spans="1:6">
      <c r="A1102" s="96"/>
      <c r="B1102" s="96" t="s">
        <v>74</v>
      </c>
      <c r="C1102" s="96">
        <v>2022</v>
      </c>
      <c r="D1102" s="96" t="s">
        <v>274</v>
      </c>
      <c r="E1102" s="96" t="s">
        <v>268</v>
      </c>
      <c r="F1102" s="96">
        <v>-1.72</v>
      </c>
    </row>
    <row r="1103" spans="1:6">
      <c r="A1103" s="96"/>
      <c r="B1103" s="96" t="s">
        <v>74</v>
      </c>
      <c r="C1103" s="96">
        <v>2022</v>
      </c>
      <c r="D1103" s="96" t="s">
        <v>275</v>
      </c>
      <c r="E1103" s="96" t="s">
        <v>268</v>
      </c>
      <c r="F1103" s="96" t="s">
        <v>276</v>
      </c>
    </row>
    <row r="1104" spans="1:6">
      <c r="A1104" s="96"/>
      <c r="B1104" s="96" t="s">
        <v>134</v>
      </c>
      <c r="C1104" s="96">
        <v>2022</v>
      </c>
      <c r="D1104" s="96" t="s">
        <v>267</v>
      </c>
      <c r="E1104" s="96" t="s">
        <v>268</v>
      </c>
      <c r="F1104" s="96">
        <v>1487.67</v>
      </c>
    </row>
    <row r="1105" spans="1:6">
      <c r="A1105" s="96"/>
      <c r="B1105" s="96" t="s">
        <v>134</v>
      </c>
      <c r="C1105" s="96">
        <v>2022</v>
      </c>
      <c r="D1105" s="96" t="s">
        <v>272</v>
      </c>
      <c r="E1105" s="96" t="s">
        <v>268</v>
      </c>
      <c r="F1105" s="96">
        <v>5.2</v>
      </c>
    </row>
    <row r="1106" spans="1:6">
      <c r="A1106" s="96"/>
      <c r="B1106" s="96" t="s">
        <v>134</v>
      </c>
      <c r="C1106" s="96">
        <v>2022</v>
      </c>
      <c r="D1106" s="96" t="s">
        <v>273</v>
      </c>
      <c r="E1106" s="96" t="s">
        <v>268</v>
      </c>
      <c r="F1106" s="96" t="s">
        <v>276</v>
      </c>
    </row>
    <row r="1107" spans="1:6">
      <c r="A1107" s="96"/>
      <c r="B1107" s="96" t="s">
        <v>134</v>
      </c>
      <c r="C1107" s="96">
        <v>2022</v>
      </c>
      <c r="D1107" s="96" t="s">
        <v>274</v>
      </c>
      <c r="E1107" s="96" t="s">
        <v>268</v>
      </c>
      <c r="F1107" s="96">
        <v>-179.55</v>
      </c>
    </row>
    <row r="1108" spans="1:6">
      <c r="A1108" s="96"/>
      <c r="B1108" s="96" t="s">
        <v>134</v>
      </c>
      <c r="C1108" s="96">
        <v>2022</v>
      </c>
      <c r="D1108" s="96" t="s">
        <v>275</v>
      </c>
      <c r="E1108" s="96" t="s">
        <v>268</v>
      </c>
      <c r="F1108" s="96" t="s">
        <v>276</v>
      </c>
    </row>
    <row r="1109" spans="1:6">
      <c r="A1109" s="96"/>
      <c r="B1109" s="96" t="s">
        <v>209</v>
      </c>
      <c r="C1109" s="96">
        <v>2022</v>
      </c>
      <c r="D1109" s="96" t="s">
        <v>267</v>
      </c>
      <c r="E1109" s="96" t="s">
        <v>268</v>
      </c>
      <c r="F1109" s="96">
        <v>902.86</v>
      </c>
    </row>
    <row r="1110" spans="1:6">
      <c r="A1110" s="96"/>
      <c r="B1110" s="96" t="s">
        <v>209</v>
      </c>
      <c r="C1110" s="96">
        <v>2022</v>
      </c>
      <c r="D1110" s="96" t="s">
        <v>272</v>
      </c>
      <c r="E1110" s="96" t="s">
        <v>268</v>
      </c>
      <c r="F1110" s="96">
        <v>364.68</v>
      </c>
    </row>
    <row r="1111" spans="1:6">
      <c r="A1111" s="96"/>
      <c r="B1111" s="96" t="s">
        <v>209</v>
      </c>
      <c r="C1111" s="96">
        <v>2022</v>
      </c>
      <c r="D1111" s="96" t="s">
        <v>273</v>
      </c>
      <c r="E1111" s="96" t="s">
        <v>268</v>
      </c>
      <c r="F1111" s="96" t="s">
        <v>276</v>
      </c>
    </row>
    <row r="1112" spans="1:6">
      <c r="A1112" s="96"/>
      <c r="B1112" s="96" t="s">
        <v>209</v>
      </c>
      <c r="C1112" s="96">
        <v>2022</v>
      </c>
      <c r="D1112" s="96" t="s">
        <v>274</v>
      </c>
      <c r="E1112" s="96" t="s">
        <v>268</v>
      </c>
      <c r="F1112" s="96">
        <v>-834.06</v>
      </c>
    </row>
    <row r="1113" spans="1:6">
      <c r="A1113" s="96"/>
      <c r="B1113" s="96" t="s">
        <v>209</v>
      </c>
      <c r="C1113" s="96">
        <v>2022</v>
      </c>
      <c r="D1113" s="96" t="s">
        <v>275</v>
      </c>
      <c r="E1113" s="96" t="s">
        <v>268</v>
      </c>
      <c r="F1113" s="96" t="s">
        <v>276</v>
      </c>
    </row>
    <row r="1114" spans="1:6">
      <c r="A1114" s="96"/>
      <c r="B1114" s="96" t="s">
        <v>164</v>
      </c>
      <c r="C1114" s="96">
        <v>2022</v>
      </c>
      <c r="D1114" s="96" t="s">
        <v>267</v>
      </c>
      <c r="E1114" s="96" t="s">
        <v>268</v>
      </c>
      <c r="F1114" s="96">
        <v>1896.53</v>
      </c>
    </row>
    <row r="1115" spans="1:6">
      <c r="A1115" s="96"/>
      <c r="B1115" s="96" t="s">
        <v>164</v>
      </c>
      <c r="C1115" s="96">
        <v>2022</v>
      </c>
      <c r="D1115" s="96" t="s">
        <v>272</v>
      </c>
      <c r="E1115" s="96" t="s">
        <v>268</v>
      </c>
      <c r="F1115" s="96">
        <v>1557.68</v>
      </c>
    </row>
    <row r="1116" spans="1:6">
      <c r="A1116" s="96"/>
      <c r="B1116" s="96" t="s">
        <v>164</v>
      </c>
      <c r="C1116" s="96">
        <v>2022</v>
      </c>
      <c r="D1116" s="96" t="s">
        <v>273</v>
      </c>
      <c r="E1116" s="96" t="s">
        <v>268</v>
      </c>
      <c r="F1116" s="96" t="s">
        <v>276</v>
      </c>
    </row>
    <row r="1117" spans="1:6">
      <c r="A1117" s="96"/>
      <c r="B1117" s="96" t="s">
        <v>164</v>
      </c>
      <c r="C1117" s="96">
        <v>2022</v>
      </c>
      <c r="D1117" s="96" t="s">
        <v>274</v>
      </c>
      <c r="E1117" s="96" t="s">
        <v>268</v>
      </c>
      <c r="F1117" s="96">
        <v>-53.04</v>
      </c>
    </row>
    <row r="1118" spans="1:6">
      <c r="A1118" s="96"/>
      <c r="B1118" s="96" t="s">
        <v>164</v>
      </c>
      <c r="C1118" s="96">
        <v>2022</v>
      </c>
      <c r="D1118" s="96" t="s">
        <v>275</v>
      </c>
      <c r="E1118" s="96" t="s">
        <v>268</v>
      </c>
      <c r="F1118" s="96" t="s">
        <v>276</v>
      </c>
    </row>
    <row r="1119" spans="1:6">
      <c r="A1119" s="96"/>
      <c r="B1119" s="96" t="s">
        <v>169</v>
      </c>
      <c r="C1119" s="96">
        <v>2022</v>
      </c>
      <c r="D1119" s="96" t="s">
        <v>267</v>
      </c>
      <c r="E1119" s="96" t="s">
        <v>268</v>
      </c>
      <c r="F1119" s="96">
        <v>1025.13</v>
      </c>
    </row>
    <row r="1120" spans="1:6">
      <c r="A1120" s="96"/>
      <c r="B1120" s="96" t="s">
        <v>169</v>
      </c>
      <c r="C1120" s="96">
        <v>2022</v>
      </c>
      <c r="D1120" s="96" t="s">
        <v>272</v>
      </c>
      <c r="E1120" s="96" t="s">
        <v>268</v>
      </c>
      <c r="F1120" s="96">
        <v>310.41</v>
      </c>
    </row>
    <row r="1121" spans="1:6">
      <c r="A1121" s="96"/>
      <c r="B1121" s="96" t="s">
        <v>169</v>
      </c>
      <c r="C1121" s="96">
        <v>2022</v>
      </c>
      <c r="D1121" s="96" t="s">
        <v>273</v>
      </c>
      <c r="E1121" s="96" t="s">
        <v>268</v>
      </c>
      <c r="F1121" s="96" t="s">
        <v>276</v>
      </c>
    </row>
    <row r="1122" spans="1:6">
      <c r="A1122" s="96"/>
      <c r="B1122" s="96" t="s">
        <v>169</v>
      </c>
      <c r="C1122" s="96">
        <v>2022</v>
      </c>
      <c r="D1122" s="96" t="s">
        <v>274</v>
      </c>
      <c r="E1122" s="96" t="s">
        <v>268</v>
      </c>
      <c r="F1122" s="96">
        <v>-209.44</v>
      </c>
    </row>
    <row r="1123" spans="1:6">
      <c r="A1123" s="96"/>
      <c r="B1123" s="96" t="s">
        <v>169</v>
      </c>
      <c r="C1123" s="96">
        <v>2022</v>
      </c>
      <c r="D1123" s="96" t="s">
        <v>275</v>
      </c>
      <c r="E1123" s="96" t="s">
        <v>268</v>
      </c>
      <c r="F1123" s="96" t="s">
        <v>276</v>
      </c>
    </row>
    <row r="1124" spans="1:6">
      <c r="A1124" s="96"/>
      <c r="B1124" s="96" t="s">
        <v>189</v>
      </c>
      <c r="C1124" s="96">
        <v>2022</v>
      </c>
      <c r="D1124" s="96" t="s">
        <v>267</v>
      </c>
      <c r="E1124" s="96" t="s">
        <v>268</v>
      </c>
      <c r="F1124" s="96">
        <v>897.05</v>
      </c>
    </row>
    <row r="1125" spans="1:6">
      <c r="A1125" s="96"/>
      <c r="B1125" s="96" t="s">
        <v>189</v>
      </c>
      <c r="C1125" s="96">
        <v>2022</v>
      </c>
      <c r="D1125" s="96" t="s">
        <v>272</v>
      </c>
      <c r="E1125" s="96" t="s">
        <v>268</v>
      </c>
      <c r="F1125" s="96" t="s">
        <v>276</v>
      </c>
    </row>
    <row r="1126" spans="1:6">
      <c r="A1126" s="96"/>
      <c r="B1126" s="96" t="s">
        <v>189</v>
      </c>
      <c r="C1126" s="96">
        <v>2022</v>
      </c>
      <c r="D1126" s="96" t="s">
        <v>273</v>
      </c>
      <c r="E1126" s="96" t="s">
        <v>268</v>
      </c>
      <c r="F1126" s="96" t="s">
        <v>276</v>
      </c>
    </row>
    <row r="1127" spans="1:6">
      <c r="A1127" s="96"/>
      <c r="B1127" s="96" t="s">
        <v>189</v>
      </c>
      <c r="C1127" s="96">
        <v>2022</v>
      </c>
      <c r="D1127" s="96" t="s">
        <v>274</v>
      </c>
      <c r="E1127" s="96" t="s">
        <v>268</v>
      </c>
      <c r="F1127" s="96">
        <v>-555.05</v>
      </c>
    </row>
    <row r="1128" spans="1:6">
      <c r="A1128" s="96"/>
      <c r="B1128" s="96" t="s">
        <v>189</v>
      </c>
      <c r="C1128" s="96">
        <v>2022</v>
      </c>
      <c r="D1128" s="96" t="s">
        <v>275</v>
      </c>
      <c r="E1128" s="96" t="s">
        <v>268</v>
      </c>
      <c r="F1128" s="96" t="s">
        <v>276</v>
      </c>
    </row>
    <row r="1129" spans="1:6">
      <c r="A1129" s="96"/>
      <c r="B1129" s="96" t="s">
        <v>174</v>
      </c>
      <c r="C1129" s="96">
        <v>2022</v>
      </c>
      <c r="D1129" s="96" t="s">
        <v>267</v>
      </c>
      <c r="E1129" s="96" t="s">
        <v>268</v>
      </c>
      <c r="F1129" s="96">
        <v>160.43</v>
      </c>
    </row>
    <row r="1130" spans="1:6">
      <c r="A1130" s="96"/>
      <c r="B1130" s="96" t="s">
        <v>174</v>
      </c>
      <c r="C1130" s="96">
        <v>2022</v>
      </c>
      <c r="D1130" s="96" t="s">
        <v>272</v>
      </c>
      <c r="E1130" s="96" t="s">
        <v>268</v>
      </c>
      <c r="F1130" s="96">
        <v>9.15</v>
      </c>
    </row>
    <row r="1131" spans="1:6">
      <c r="A1131" s="96"/>
      <c r="B1131" s="96" t="s">
        <v>174</v>
      </c>
      <c r="C1131" s="96">
        <v>2022</v>
      </c>
      <c r="D1131" s="96" t="s">
        <v>273</v>
      </c>
      <c r="E1131" s="96" t="s">
        <v>268</v>
      </c>
      <c r="F1131" s="96" t="s">
        <v>276</v>
      </c>
    </row>
    <row r="1132" spans="1:6">
      <c r="A1132" s="96"/>
      <c r="B1132" s="96" t="s">
        <v>174</v>
      </c>
      <c r="C1132" s="96">
        <v>2022</v>
      </c>
      <c r="D1132" s="96" t="s">
        <v>274</v>
      </c>
      <c r="E1132" s="96" t="s">
        <v>268</v>
      </c>
      <c r="F1132" s="96">
        <v>-2.04</v>
      </c>
    </row>
    <row r="1133" spans="1:6">
      <c r="A1133" s="96"/>
      <c r="B1133" s="96" t="s">
        <v>174</v>
      </c>
      <c r="C1133" s="96">
        <v>2022</v>
      </c>
      <c r="D1133" s="96" t="s">
        <v>275</v>
      </c>
      <c r="E1133" s="96" t="s">
        <v>268</v>
      </c>
      <c r="F1133" s="96" t="s">
        <v>276</v>
      </c>
    </row>
    <row r="1134" spans="1:6">
      <c r="A1134" s="96"/>
      <c r="B1134" s="96" t="s">
        <v>84</v>
      </c>
      <c r="C1134" s="96">
        <v>2022</v>
      </c>
      <c r="D1134" s="96" t="s">
        <v>267</v>
      </c>
      <c r="E1134" s="96" t="s">
        <v>268</v>
      </c>
      <c r="F1134" s="96">
        <v>1067.31</v>
      </c>
    </row>
    <row r="1135" spans="1:6">
      <c r="A1135" s="96"/>
      <c r="B1135" s="96" t="s">
        <v>84</v>
      </c>
      <c r="C1135" s="96">
        <v>2022</v>
      </c>
      <c r="D1135" s="96" t="s">
        <v>272</v>
      </c>
      <c r="E1135" s="96" t="s">
        <v>268</v>
      </c>
      <c r="F1135" s="96">
        <v>1008.2</v>
      </c>
    </row>
    <row r="1136" spans="1:6">
      <c r="A1136" s="96"/>
      <c r="B1136" s="96" t="s">
        <v>84</v>
      </c>
      <c r="C1136" s="96">
        <v>2022</v>
      </c>
      <c r="D1136" s="96" t="s">
        <v>273</v>
      </c>
      <c r="E1136" s="96" t="s">
        <v>268</v>
      </c>
      <c r="F1136" s="96" t="s">
        <v>276</v>
      </c>
    </row>
    <row r="1137" spans="1:6">
      <c r="A1137" s="96"/>
      <c r="B1137" s="96" t="s">
        <v>84</v>
      </c>
      <c r="C1137" s="96">
        <v>2022</v>
      </c>
      <c r="D1137" s="96" t="s">
        <v>274</v>
      </c>
      <c r="E1137" s="96" t="s">
        <v>268</v>
      </c>
      <c r="F1137" s="96">
        <v>-241.32</v>
      </c>
    </row>
    <row r="1138" spans="1:6">
      <c r="A1138" s="96"/>
      <c r="B1138" s="96" t="s">
        <v>84</v>
      </c>
      <c r="C1138" s="96">
        <v>2022</v>
      </c>
      <c r="D1138" s="96" t="s">
        <v>275</v>
      </c>
      <c r="E1138" s="96" t="s">
        <v>268</v>
      </c>
      <c r="F1138" s="96" t="s">
        <v>276</v>
      </c>
    </row>
    <row r="1139" spans="1:6">
      <c r="A1139" s="96"/>
      <c r="B1139" s="96" t="s">
        <v>149</v>
      </c>
      <c r="C1139" s="96">
        <v>2022</v>
      </c>
      <c r="D1139" s="96" t="s">
        <v>267</v>
      </c>
      <c r="E1139" s="96" t="s">
        <v>268</v>
      </c>
      <c r="F1139" s="96">
        <v>709.85</v>
      </c>
    </row>
    <row r="1140" spans="1:6">
      <c r="A1140" s="96"/>
      <c r="B1140" s="96" t="s">
        <v>149</v>
      </c>
      <c r="C1140" s="96">
        <v>2022</v>
      </c>
      <c r="D1140" s="96" t="s">
        <v>272</v>
      </c>
      <c r="E1140" s="96" t="s">
        <v>268</v>
      </c>
      <c r="F1140" s="96">
        <v>670.27</v>
      </c>
    </row>
    <row r="1141" spans="1:6">
      <c r="A1141" s="96"/>
      <c r="B1141" s="96" t="s">
        <v>149</v>
      </c>
      <c r="C1141" s="96">
        <v>2022</v>
      </c>
      <c r="D1141" s="96" t="s">
        <v>273</v>
      </c>
      <c r="E1141" s="96" t="s">
        <v>268</v>
      </c>
      <c r="F1141" s="96" t="s">
        <v>276</v>
      </c>
    </row>
    <row r="1142" spans="1:6">
      <c r="A1142" s="96"/>
      <c r="B1142" s="96" t="s">
        <v>149</v>
      </c>
      <c r="C1142" s="96">
        <v>2022</v>
      </c>
      <c r="D1142" s="96" t="s">
        <v>274</v>
      </c>
      <c r="E1142" s="96" t="s">
        <v>268</v>
      </c>
      <c r="F1142" s="96">
        <v>-179.59</v>
      </c>
    </row>
    <row r="1143" spans="1:6">
      <c r="A1143" s="96"/>
      <c r="B1143" s="96" t="s">
        <v>149</v>
      </c>
      <c r="C1143" s="96">
        <v>2022</v>
      </c>
      <c r="D1143" s="96" t="s">
        <v>275</v>
      </c>
      <c r="E1143" s="96" t="s">
        <v>268</v>
      </c>
      <c r="F1143" s="96" t="s">
        <v>276</v>
      </c>
    </row>
    <row r="1144" spans="1:6">
      <c r="A1144" s="96"/>
      <c r="B1144" s="96" t="s">
        <v>109</v>
      </c>
      <c r="C1144" s="96">
        <v>2022</v>
      </c>
      <c r="D1144" s="96" t="s">
        <v>267</v>
      </c>
      <c r="E1144" s="96" t="s">
        <v>268</v>
      </c>
      <c r="F1144" s="96">
        <v>338.66</v>
      </c>
    </row>
    <row r="1145" spans="1:6">
      <c r="A1145" s="96"/>
      <c r="B1145" s="96" t="s">
        <v>109</v>
      </c>
      <c r="C1145" s="96">
        <v>2022</v>
      </c>
      <c r="D1145" s="96" t="s">
        <v>272</v>
      </c>
      <c r="E1145" s="96" t="s">
        <v>268</v>
      </c>
      <c r="F1145" s="96">
        <v>135.78</v>
      </c>
    </row>
    <row r="1146" spans="1:6">
      <c r="A1146" s="96"/>
      <c r="B1146" s="96" t="s">
        <v>109</v>
      </c>
      <c r="C1146" s="96">
        <v>2022</v>
      </c>
      <c r="D1146" s="96" t="s">
        <v>273</v>
      </c>
      <c r="E1146" s="96" t="s">
        <v>268</v>
      </c>
      <c r="F1146" s="96">
        <v>46.46</v>
      </c>
    </row>
    <row r="1147" spans="1:6">
      <c r="A1147" s="96"/>
      <c r="B1147" s="96" t="s">
        <v>109</v>
      </c>
      <c r="C1147" s="96">
        <v>2022</v>
      </c>
      <c r="D1147" s="96" t="s">
        <v>274</v>
      </c>
      <c r="E1147" s="96" t="s">
        <v>268</v>
      </c>
      <c r="F1147" s="96">
        <v>-220.02</v>
      </c>
    </row>
    <row r="1148" spans="1:6">
      <c r="A1148" s="96"/>
      <c r="B1148" s="96" t="s">
        <v>109</v>
      </c>
      <c r="C1148" s="96">
        <v>2022</v>
      </c>
      <c r="D1148" s="96" t="s">
        <v>275</v>
      </c>
      <c r="E1148" s="96" t="s">
        <v>268</v>
      </c>
      <c r="F1148" s="96" t="s">
        <v>276</v>
      </c>
    </row>
    <row r="1149" spans="1:6">
      <c r="A1149" s="96"/>
      <c r="B1149" s="96" t="s">
        <v>154</v>
      </c>
      <c r="C1149" s="96">
        <v>2022</v>
      </c>
      <c r="D1149" s="96" t="s">
        <v>267</v>
      </c>
      <c r="E1149" s="96" t="s">
        <v>268</v>
      </c>
      <c r="F1149" s="96">
        <v>1513.2</v>
      </c>
    </row>
    <row r="1150" spans="1:6">
      <c r="A1150" s="96"/>
      <c r="B1150" s="96" t="s">
        <v>154</v>
      </c>
      <c r="C1150" s="96">
        <v>2022</v>
      </c>
      <c r="D1150" s="96" t="s">
        <v>272</v>
      </c>
      <c r="E1150" s="96" t="s">
        <v>268</v>
      </c>
      <c r="F1150" s="96">
        <v>262.66</v>
      </c>
    </row>
    <row r="1151" spans="1:6">
      <c r="A1151" s="96"/>
      <c r="B1151" s="96" t="s">
        <v>154</v>
      </c>
      <c r="C1151" s="96">
        <v>2022</v>
      </c>
      <c r="D1151" s="96" t="s">
        <v>273</v>
      </c>
      <c r="E1151" s="96" t="s">
        <v>268</v>
      </c>
      <c r="F1151" s="96" t="s">
        <v>276</v>
      </c>
    </row>
    <row r="1152" spans="1:6">
      <c r="A1152" s="96"/>
      <c r="B1152" s="96" t="s">
        <v>154</v>
      </c>
      <c r="C1152" s="96">
        <v>2022</v>
      </c>
      <c r="D1152" s="96" t="s">
        <v>274</v>
      </c>
      <c r="E1152" s="96" t="s">
        <v>268</v>
      </c>
      <c r="F1152" s="96">
        <v>-723.58</v>
      </c>
    </row>
    <row r="1153" spans="1:6">
      <c r="A1153" s="96"/>
      <c r="B1153" s="96" t="s">
        <v>154</v>
      </c>
      <c r="C1153" s="96">
        <v>2022</v>
      </c>
      <c r="D1153" s="96" t="s">
        <v>275</v>
      </c>
      <c r="E1153" s="96" t="s">
        <v>268</v>
      </c>
      <c r="F1153" s="96" t="s">
        <v>276</v>
      </c>
    </row>
    <row r="1154" spans="1:6">
      <c r="A1154" s="96"/>
      <c r="B1154" s="96" t="s">
        <v>159</v>
      </c>
      <c r="C1154" s="96">
        <v>2022</v>
      </c>
      <c r="D1154" s="96" t="s">
        <v>267</v>
      </c>
      <c r="E1154" s="96" t="s">
        <v>268</v>
      </c>
      <c r="F1154" s="96">
        <v>740.68</v>
      </c>
    </row>
    <row r="1155" spans="1:6">
      <c r="A1155" s="96"/>
      <c r="B1155" s="96" t="s">
        <v>159</v>
      </c>
      <c r="C1155" s="96">
        <v>2022</v>
      </c>
      <c r="D1155" s="96" t="s">
        <v>272</v>
      </c>
      <c r="E1155" s="96" t="s">
        <v>268</v>
      </c>
      <c r="F1155" s="96">
        <v>594.69</v>
      </c>
    </row>
    <row r="1156" spans="1:6">
      <c r="A1156" s="96"/>
      <c r="B1156" s="96" t="s">
        <v>159</v>
      </c>
      <c r="C1156" s="96">
        <v>2022</v>
      </c>
      <c r="D1156" s="96" t="s">
        <v>273</v>
      </c>
      <c r="E1156" s="96" t="s">
        <v>268</v>
      </c>
      <c r="F1156" s="96" t="s">
        <v>276</v>
      </c>
    </row>
    <row r="1157" spans="1:6">
      <c r="A1157" s="96"/>
      <c r="B1157" s="96" t="s">
        <v>159</v>
      </c>
      <c r="C1157" s="96">
        <v>2022</v>
      </c>
      <c r="D1157" s="96" t="s">
        <v>274</v>
      </c>
      <c r="E1157" s="96" t="s">
        <v>268</v>
      </c>
      <c r="F1157" s="96">
        <v>-127.27</v>
      </c>
    </row>
    <row r="1158" spans="1:6">
      <c r="A1158" s="96"/>
      <c r="B1158" s="96" t="s">
        <v>159</v>
      </c>
      <c r="C1158" s="96">
        <v>2022</v>
      </c>
      <c r="D1158" s="96" t="s">
        <v>275</v>
      </c>
      <c r="E1158" s="96" t="s">
        <v>268</v>
      </c>
      <c r="F1158" s="96" t="s">
        <v>276</v>
      </c>
    </row>
    <row r="1159" spans="1:6">
      <c r="A1159" s="96"/>
      <c r="B1159" s="96" t="s">
        <v>104</v>
      </c>
      <c r="C1159" s="96">
        <v>2022</v>
      </c>
      <c r="D1159" s="96" t="s">
        <v>267</v>
      </c>
      <c r="E1159" s="96" t="s">
        <v>268</v>
      </c>
      <c r="F1159" s="96">
        <v>378.1</v>
      </c>
    </row>
    <row r="1160" spans="1:6">
      <c r="A1160" s="96"/>
      <c r="B1160" s="96" t="s">
        <v>104</v>
      </c>
      <c r="C1160" s="96">
        <v>2022</v>
      </c>
      <c r="D1160" s="96" t="s">
        <v>272</v>
      </c>
      <c r="E1160" s="96" t="s">
        <v>268</v>
      </c>
      <c r="F1160" s="96">
        <v>161.52</v>
      </c>
    </row>
    <row r="1161" spans="1:6">
      <c r="A1161" s="96"/>
      <c r="B1161" s="96" t="s">
        <v>104</v>
      </c>
      <c r="C1161" s="96">
        <v>2022</v>
      </c>
      <c r="D1161" s="96" t="s">
        <v>273</v>
      </c>
      <c r="E1161" s="96" t="s">
        <v>268</v>
      </c>
      <c r="F1161" s="96" t="s">
        <v>276</v>
      </c>
    </row>
    <row r="1162" spans="1:6">
      <c r="A1162" s="96"/>
      <c r="B1162" s="96" t="s">
        <v>104</v>
      </c>
      <c r="C1162" s="96">
        <v>2022</v>
      </c>
      <c r="D1162" s="96" t="s">
        <v>274</v>
      </c>
      <c r="E1162" s="96" t="s">
        <v>268</v>
      </c>
      <c r="F1162" s="96">
        <v>-331.27</v>
      </c>
    </row>
    <row r="1163" spans="1:6">
      <c r="A1163" s="96"/>
      <c r="B1163" s="96" t="s">
        <v>104</v>
      </c>
      <c r="C1163" s="96">
        <v>2022</v>
      </c>
      <c r="D1163" s="96" t="s">
        <v>275</v>
      </c>
      <c r="E1163" s="96" t="s">
        <v>268</v>
      </c>
      <c r="F1163" s="96" t="s">
        <v>276</v>
      </c>
    </row>
    <row r="1164" spans="1:6">
      <c r="A1164" s="96"/>
      <c r="B1164" s="96" t="s">
        <v>119</v>
      </c>
      <c r="C1164" s="96">
        <v>2022</v>
      </c>
      <c r="D1164" s="96" t="s">
        <v>267</v>
      </c>
      <c r="E1164" s="96" t="s">
        <v>268</v>
      </c>
      <c r="F1164" s="96">
        <v>1324.63</v>
      </c>
    </row>
    <row r="1165" spans="1:6">
      <c r="A1165" s="96"/>
      <c r="B1165" s="96" t="s">
        <v>119</v>
      </c>
      <c r="C1165" s="96">
        <v>2022</v>
      </c>
      <c r="D1165" s="96" t="s">
        <v>272</v>
      </c>
      <c r="E1165" s="96" t="s">
        <v>268</v>
      </c>
      <c r="F1165" s="96">
        <v>1571.3</v>
      </c>
    </row>
    <row r="1166" spans="1:6">
      <c r="A1166" s="96"/>
      <c r="B1166" s="96" t="s">
        <v>119</v>
      </c>
      <c r="C1166" s="96">
        <v>2022</v>
      </c>
      <c r="D1166" s="96" t="s">
        <v>273</v>
      </c>
      <c r="E1166" s="96" t="s">
        <v>268</v>
      </c>
      <c r="F1166" s="96" t="s">
        <v>276</v>
      </c>
    </row>
    <row r="1167" spans="1:6">
      <c r="A1167" s="96"/>
      <c r="B1167" s="96" t="s">
        <v>119</v>
      </c>
      <c r="C1167" s="96">
        <v>2022</v>
      </c>
      <c r="D1167" s="96" t="s">
        <v>274</v>
      </c>
      <c r="E1167" s="96" t="s">
        <v>268</v>
      </c>
      <c r="F1167" s="96">
        <v>-249.07</v>
      </c>
    </row>
    <row r="1168" spans="1:6">
      <c r="A1168" s="96"/>
      <c r="B1168" s="96" t="s">
        <v>119</v>
      </c>
      <c r="C1168" s="96">
        <v>2022</v>
      </c>
      <c r="D1168" s="96" t="s">
        <v>275</v>
      </c>
      <c r="E1168" s="96" t="s">
        <v>268</v>
      </c>
      <c r="F1168" s="96" t="s">
        <v>276</v>
      </c>
    </row>
    <row r="1169" spans="1:6">
      <c r="A1169" s="96"/>
      <c r="B1169" s="96" t="s">
        <v>139</v>
      </c>
      <c r="C1169" s="96">
        <v>2022</v>
      </c>
      <c r="D1169" s="96" t="s">
        <v>267</v>
      </c>
      <c r="E1169" s="96" t="s">
        <v>268</v>
      </c>
      <c r="F1169" s="96">
        <v>392.42</v>
      </c>
    </row>
    <row r="1170" spans="1:6">
      <c r="A1170" s="96"/>
      <c r="B1170" s="96" t="s">
        <v>139</v>
      </c>
      <c r="C1170" s="96">
        <v>2022</v>
      </c>
      <c r="D1170" s="96" t="s">
        <v>272</v>
      </c>
      <c r="E1170" s="96" t="s">
        <v>268</v>
      </c>
      <c r="F1170" s="96">
        <v>257.93</v>
      </c>
    </row>
    <row r="1171" spans="1:6">
      <c r="A1171" s="96"/>
      <c r="B1171" s="96" t="s">
        <v>139</v>
      </c>
      <c r="C1171" s="96">
        <v>2022</v>
      </c>
      <c r="D1171" s="96" t="s">
        <v>273</v>
      </c>
      <c r="E1171" s="96" t="s">
        <v>268</v>
      </c>
      <c r="F1171" s="96" t="s">
        <v>276</v>
      </c>
    </row>
    <row r="1172" spans="1:6">
      <c r="A1172" s="96"/>
      <c r="B1172" s="96" t="s">
        <v>139</v>
      </c>
      <c r="C1172" s="96">
        <v>2022</v>
      </c>
      <c r="D1172" s="96" t="s">
        <v>274</v>
      </c>
      <c r="E1172" s="96" t="s">
        <v>268</v>
      </c>
      <c r="F1172" s="96" t="s">
        <v>276</v>
      </c>
    </row>
    <row r="1173" spans="1:6">
      <c r="A1173" s="96"/>
      <c r="B1173" s="96" t="s">
        <v>139</v>
      </c>
      <c r="C1173" s="96">
        <v>2022</v>
      </c>
      <c r="D1173" s="96" t="s">
        <v>275</v>
      </c>
      <c r="E1173" s="96" t="s">
        <v>268</v>
      </c>
      <c r="F1173" s="96" t="s">
        <v>276</v>
      </c>
    </row>
    <row r="1174" spans="1:6">
      <c r="A1174" s="96"/>
      <c r="B1174" s="96" t="s">
        <v>99</v>
      </c>
      <c r="C1174" s="96">
        <v>2022</v>
      </c>
      <c r="D1174" s="96" t="s">
        <v>267</v>
      </c>
      <c r="E1174" s="96" t="s">
        <v>268</v>
      </c>
      <c r="F1174" s="96">
        <v>862.66</v>
      </c>
    </row>
    <row r="1175" spans="1:6">
      <c r="A1175" s="96"/>
      <c r="B1175" s="96" t="s">
        <v>99</v>
      </c>
      <c r="C1175" s="96">
        <v>2022</v>
      </c>
      <c r="D1175" s="96" t="s">
        <v>272</v>
      </c>
      <c r="E1175" s="96" t="s">
        <v>268</v>
      </c>
      <c r="F1175" s="96">
        <v>617.07</v>
      </c>
    </row>
    <row r="1176" spans="1:6">
      <c r="A1176" s="96"/>
      <c r="B1176" s="96" t="s">
        <v>99</v>
      </c>
      <c r="C1176" s="96">
        <v>2022</v>
      </c>
      <c r="D1176" s="96" t="s">
        <v>273</v>
      </c>
      <c r="E1176" s="96" t="s">
        <v>268</v>
      </c>
      <c r="F1176" s="96" t="s">
        <v>276</v>
      </c>
    </row>
    <row r="1177" spans="1:6">
      <c r="A1177" s="96"/>
      <c r="B1177" s="96" t="s">
        <v>99</v>
      </c>
      <c r="C1177" s="96">
        <v>2022</v>
      </c>
      <c r="D1177" s="96" t="s">
        <v>274</v>
      </c>
      <c r="E1177" s="96" t="s">
        <v>268</v>
      </c>
      <c r="F1177" s="96">
        <v>-214.63</v>
      </c>
    </row>
    <row r="1178" spans="1:6">
      <c r="A1178" s="96"/>
      <c r="B1178" s="96" t="s">
        <v>99</v>
      </c>
      <c r="C1178" s="96">
        <v>2022</v>
      </c>
      <c r="D1178" s="96" t="s">
        <v>275</v>
      </c>
      <c r="E1178" s="96" t="s">
        <v>268</v>
      </c>
      <c r="F1178" s="96" t="s">
        <v>276</v>
      </c>
    </row>
    <row r="1179" spans="1:6">
      <c r="A1179" s="96"/>
      <c r="B1179" s="96" t="s">
        <v>94</v>
      </c>
      <c r="C1179" s="96">
        <v>2022</v>
      </c>
      <c r="D1179" s="96" t="s">
        <v>267</v>
      </c>
      <c r="E1179" s="96" t="s">
        <v>268</v>
      </c>
      <c r="F1179" s="96">
        <v>1364.39</v>
      </c>
    </row>
    <row r="1180" spans="1:6">
      <c r="A1180" s="96"/>
      <c r="B1180" s="96" t="s">
        <v>94</v>
      </c>
      <c r="C1180" s="96">
        <v>2022</v>
      </c>
      <c r="D1180" s="96" t="s">
        <v>272</v>
      </c>
      <c r="E1180" s="96" t="s">
        <v>268</v>
      </c>
      <c r="F1180" s="96">
        <v>351.46</v>
      </c>
    </row>
    <row r="1181" spans="1:6">
      <c r="A1181" s="96"/>
      <c r="B1181" s="96" t="s">
        <v>94</v>
      </c>
      <c r="C1181" s="96">
        <v>2022</v>
      </c>
      <c r="D1181" s="96" t="s">
        <v>273</v>
      </c>
      <c r="E1181" s="96" t="s">
        <v>268</v>
      </c>
      <c r="F1181" s="96" t="s">
        <v>276</v>
      </c>
    </row>
    <row r="1182" spans="1:6">
      <c r="A1182" s="96"/>
      <c r="B1182" s="96" t="s">
        <v>94</v>
      </c>
      <c r="C1182" s="96">
        <v>2022</v>
      </c>
      <c r="D1182" s="96" t="s">
        <v>274</v>
      </c>
      <c r="E1182" s="96" t="s">
        <v>268</v>
      </c>
      <c r="F1182" s="96">
        <v>-2546.13</v>
      </c>
    </row>
    <row r="1183" spans="1:6">
      <c r="A1183" s="96"/>
      <c r="B1183" s="96" t="s">
        <v>94</v>
      </c>
      <c r="C1183" s="96">
        <v>2022</v>
      </c>
      <c r="D1183" s="96" t="s">
        <v>275</v>
      </c>
      <c r="E1183" s="96" t="s">
        <v>268</v>
      </c>
      <c r="F1183" s="96">
        <v>-132.55</v>
      </c>
    </row>
    <row r="1184" spans="1:6">
      <c r="A1184" s="96"/>
      <c r="B1184" s="96" t="s">
        <v>219</v>
      </c>
      <c r="C1184" s="96">
        <v>2022</v>
      </c>
      <c r="D1184" s="96" t="s">
        <v>267</v>
      </c>
      <c r="E1184" s="96" t="s">
        <v>268</v>
      </c>
      <c r="F1184" s="96">
        <v>513.97</v>
      </c>
    </row>
    <row r="1185" spans="1:6">
      <c r="A1185" s="96"/>
      <c r="B1185" s="96" t="s">
        <v>219</v>
      </c>
      <c r="C1185" s="96">
        <v>2022</v>
      </c>
      <c r="D1185" s="96" t="s">
        <v>272</v>
      </c>
      <c r="E1185" s="96" t="s">
        <v>268</v>
      </c>
      <c r="F1185" s="96">
        <v>112.76</v>
      </c>
    </row>
    <row r="1186" spans="1:6">
      <c r="A1186" s="96"/>
      <c r="B1186" s="96" t="s">
        <v>219</v>
      </c>
      <c r="C1186" s="96">
        <v>2022</v>
      </c>
      <c r="D1186" s="96" t="s">
        <v>273</v>
      </c>
      <c r="E1186" s="96" t="s">
        <v>268</v>
      </c>
      <c r="F1186" s="96" t="s">
        <v>276</v>
      </c>
    </row>
    <row r="1187" spans="1:6">
      <c r="A1187" s="96"/>
      <c r="B1187" s="96" t="s">
        <v>219</v>
      </c>
      <c r="C1187" s="96">
        <v>2022</v>
      </c>
      <c r="D1187" s="96" t="s">
        <v>274</v>
      </c>
      <c r="E1187" s="96" t="s">
        <v>268</v>
      </c>
      <c r="F1187" s="96">
        <v>-986.44</v>
      </c>
    </row>
    <row r="1188" spans="1:6">
      <c r="A1188" s="96"/>
      <c r="B1188" s="96" t="s">
        <v>219</v>
      </c>
      <c r="C1188" s="96">
        <v>2022</v>
      </c>
      <c r="D1188" s="96" t="s">
        <v>275</v>
      </c>
      <c r="E1188" s="96" t="s">
        <v>268</v>
      </c>
      <c r="F1188" s="96" t="s">
        <v>276</v>
      </c>
    </row>
    <row r="1189" spans="1:6">
      <c r="A1189" s="96"/>
      <c r="B1189" s="96" t="s">
        <v>214</v>
      </c>
      <c r="C1189" s="96">
        <v>2022</v>
      </c>
      <c r="D1189" s="96" t="s">
        <v>267</v>
      </c>
      <c r="E1189" s="96" t="s">
        <v>268</v>
      </c>
      <c r="F1189" s="96">
        <v>838.51</v>
      </c>
    </row>
    <row r="1190" spans="1:6">
      <c r="A1190" s="96"/>
      <c r="B1190" s="96" t="s">
        <v>214</v>
      </c>
      <c r="C1190" s="96">
        <v>2022</v>
      </c>
      <c r="D1190" s="96" t="s">
        <v>272</v>
      </c>
      <c r="E1190" s="96" t="s">
        <v>268</v>
      </c>
      <c r="F1190" s="96">
        <v>141.19</v>
      </c>
    </row>
    <row r="1191" spans="1:6">
      <c r="A1191" s="96"/>
      <c r="B1191" s="96" t="s">
        <v>214</v>
      </c>
      <c r="C1191" s="96">
        <v>2022</v>
      </c>
      <c r="D1191" s="96" t="s">
        <v>273</v>
      </c>
      <c r="E1191" s="96" t="s">
        <v>268</v>
      </c>
      <c r="F1191" s="96" t="s">
        <v>276</v>
      </c>
    </row>
    <row r="1192" spans="1:6">
      <c r="A1192" s="96"/>
      <c r="B1192" s="96" t="s">
        <v>214</v>
      </c>
      <c r="C1192" s="96">
        <v>2022</v>
      </c>
      <c r="D1192" s="96" t="s">
        <v>274</v>
      </c>
      <c r="E1192" s="96" t="s">
        <v>268</v>
      </c>
      <c r="F1192" s="96">
        <v>-208.7</v>
      </c>
    </row>
    <row r="1193" spans="1:6">
      <c r="A1193" s="96"/>
      <c r="B1193" s="96" t="s">
        <v>214</v>
      </c>
      <c r="C1193" s="96">
        <v>2022</v>
      </c>
      <c r="D1193" s="96" t="s">
        <v>275</v>
      </c>
      <c r="E1193" s="96" t="s">
        <v>268</v>
      </c>
      <c r="F1193" s="96" t="s">
        <v>276</v>
      </c>
    </row>
    <row r="1194" spans="1:6">
      <c r="A1194" s="96"/>
      <c r="B1194" s="96" t="s">
        <v>144</v>
      </c>
      <c r="C1194" s="96">
        <v>2022</v>
      </c>
      <c r="D1194" s="96" t="s">
        <v>267</v>
      </c>
      <c r="E1194" s="96" t="s">
        <v>268</v>
      </c>
      <c r="F1194" s="96">
        <v>1112.01</v>
      </c>
    </row>
    <row r="1195" spans="1:6">
      <c r="A1195" s="96"/>
      <c r="B1195" s="96" t="s">
        <v>144</v>
      </c>
      <c r="C1195" s="96">
        <v>2022</v>
      </c>
      <c r="D1195" s="96" t="s">
        <v>272</v>
      </c>
      <c r="E1195" s="96" t="s">
        <v>268</v>
      </c>
      <c r="F1195" s="96">
        <v>1319.93</v>
      </c>
    </row>
    <row r="1196" spans="1:6">
      <c r="A1196" s="96"/>
      <c r="B1196" s="96" t="s">
        <v>144</v>
      </c>
      <c r="C1196" s="96">
        <v>2022</v>
      </c>
      <c r="D1196" s="96" t="s">
        <v>273</v>
      </c>
      <c r="E1196" s="96" t="s">
        <v>268</v>
      </c>
      <c r="F1196" s="96" t="s">
        <v>276</v>
      </c>
    </row>
    <row r="1197" spans="1:6">
      <c r="A1197" s="96"/>
      <c r="B1197" s="96" t="s">
        <v>144</v>
      </c>
      <c r="C1197" s="96">
        <v>2022</v>
      </c>
      <c r="D1197" s="96" t="s">
        <v>274</v>
      </c>
      <c r="E1197" s="96" t="s">
        <v>268</v>
      </c>
      <c r="F1197" s="96">
        <v>-1.7</v>
      </c>
    </row>
    <row r="1198" spans="1:6">
      <c r="A1198" s="96"/>
      <c r="B1198" s="96" t="s">
        <v>144</v>
      </c>
      <c r="C1198" s="96">
        <v>2022</v>
      </c>
      <c r="D1198" s="96" t="s">
        <v>275</v>
      </c>
      <c r="E1198" s="96" t="s">
        <v>268</v>
      </c>
      <c r="F1198" s="96" t="s">
        <v>276</v>
      </c>
    </row>
    <row r="1199" spans="1:6">
      <c r="A1199" s="96"/>
      <c r="B1199" s="96" t="s">
        <v>89</v>
      </c>
      <c r="C1199" s="96">
        <v>2022</v>
      </c>
      <c r="D1199" s="96" t="s">
        <v>267</v>
      </c>
      <c r="E1199" s="96" t="s">
        <v>268</v>
      </c>
      <c r="F1199" s="96">
        <v>721.91</v>
      </c>
    </row>
    <row r="1200" spans="1:6">
      <c r="A1200" s="96"/>
      <c r="B1200" s="96" t="s">
        <v>89</v>
      </c>
      <c r="C1200" s="96">
        <v>2022</v>
      </c>
      <c r="D1200" s="96" t="s">
        <v>272</v>
      </c>
      <c r="E1200" s="96" t="s">
        <v>268</v>
      </c>
      <c r="F1200" s="96">
        <v>374.56</v>
      </c>
    </row>
    <row r="1201" spans="1:6">
      <c r="A1201" s="96"/>
      <c r="B1201" s="96" t="s">
        <v>89</v>
      </c>
      <c r="C1201" s="96">
        <v>2022</v>
      </c>
      <c r="D1201" s="96" t="s">
        <v>273</v>
      </c>
      <c r="E1201" s="96" t="s">
        <v>268</v>
      </c>
      <c r="F1201" s="96" t="s">
        <v>276</v>
      </c>
    </row>
    <row r="1202" spans="1:6">
      <c r="A1202" s="96"/>
      <c r="B1202" s="96" t="s">
        <v>89</v>
      </c>
      <c r="C1202" s="96">
        <v>2022</v>
      </c>
      <c r="D1202" s="96" t="s">
        <v>274</v>
      </c>
      <c r="E1202" s="96" t="s">
        <v>268</v>
      </c>
      <c r="F1202" s="96">
        <v>-1838.24</v>
      </c>
    </row>
    <row r="1203" spans="1:6">
      <c r="A1203" s="96"/>
      <c r="B1203" s="96" t="s">
        <v>89</v>
      </c>
      <c r="C1203" s="96">
        <v>2022</v>
      </c>
      <c r="D1203" s="96" t="s">
        <v>275</v>
      </c>
      <c r="E1203" s="96" t="s">
        <v>268</v>
      </c>
      <c r="F1203" s="96" t="s">
        <v>276</v>
      </c>
    </row>
    <row r="1204" spans="1:6">
      <c r="A1204" s="96"/>
      <c r="B1204" s="96" t="s">
        <v>204</v>
      </c>
      <c r="C1204" s="96">
        <v>2022</v>
      </c>
      <c r="D1204" s="96" t="s">
        <v>267</v>
      </c>
      <c r="E1204" s="96" t="s">
        <v>268</v>
      </c>
      <c r="F1204" s="96">
        <v>456.21</v>
      </c>
    </row>
    <row r="1205" spans="1:6">
      <c r="A1205" s="96"/>
      <c r="B1205" s="96" t="s">
        <v>204</v>
      </c>
      <c r="C1205" s="96">
        <v>2022</v>
      </c>
      <c r="D1205" s="96" t="s">
        <v>272</v>
      </c>
      <c r="E1205" s="96" t="s">
        <v>268</v>
      </c>
      <c r="F1205" s="96">
        <v>124.8</v>
      </c>
    </row>
    <row r="1206" spans="1:6">
      <c r="A1206" s="96"/>
      <c r="B1206" s="96" t="s">
        <v>204</v>
      </c>
      <c r="C1206" s="96">
        <v>2022</v>
      </c>
      <c r="D1206" s="96" t="s">
        <v>273</v>
      </c>
      <c r="E1206" s="96" t="s">
        <v>268</v>
      </c>
      <c r="F1206" s="96" t="s">
        <v>276</v>
      </c>
    </row>
    <row r="1207" spans="1:6">
      <c r="A1207" s="96"/>
      <c r="B1207" s="96" t="s">
        <v>204</v>
      </c>
      <c r="C1207" s="96">
        <v>2022</v>
      </c>
      <c r="D1207" s="96" t="s">
        <v>274</v>
      </c>
      <c r="E1207" s="96" t="s">
        <v>268</v>
      </c>
      <c r="F1207" s="96">
        <v>-600.99</v>
      </c>
    </row>
    <row r="1208" spans="1:6">
      <c r="A1208" s="96"/>
      <c r="B1208" s="96" t="s">
        <v>204</v>
      </c>
      <c r="C1208" s="96">
        <v>2022</v>
      </c>
      <c r="D1208" s="96" t="s">
        <v>275</v>
      </c>
      <c r="E1208" s="96" t="s">
        <v>268</v>
      </c>
      <c r="F1208" s="96" t="s">
        <v>276</v>
      </c>
    </row>
    <row r="1209" spans="1:6">
      <c r="A1209" s="96"/>
      <c r="B1209" s="96" t="s">
        <v>114</v>
      </c>
      <c r="C1209" s="96">
        <v>2022</v>
      </c>
      <c r="D1209" s="96" t="s">
        <v>267</v>
      </c>
      <c r="E1209" s="96" t="s">
        <v>268</v>
      </c>
      <c r="F1209" s="96">
        <v>42.38</v>
      </c>
    </row>
    <row r="1210" spans="1:6">
      <c r="A1210" s="96"/>
      <c r="B1210" s="96" t="s">
        <v>114</v>
      </c>
      <c r="C1210" s="96">
        <v>2022</v>
      </c>
      <c r="D1210" s="96" t="s">
        <v>272</v>
      </c>
      <c r="E1210" s="96" t="s">
        <v>268</v>
      </c>
      <c r="F1210" s="96">
        <v>842.5</v>
      </c>
    </row>
    <row r="1211" spans="1:6">
      <c r="A1211" s="96"/>
      <c r="B1211" s="96" t="s">
        <v>114</v>
      </c>
      <c r="C1211" s="96">
        <v>2022</v>
      </c>
      <c r="D1211" s="96" t="s">
        <v>273</v>
      </c>
      <c r="E1211" s="96" t="s">
        <v>268</v>
      </c>
      <c r="F1211" s="96" t="s">
        <v>276</v>
      </c>
    </row>
    <row r="1212" spans="1:6">
      <c r="A1212" s="96"/>
      <c r="B1212" s="96" t="s">
        <v>114</v>
      </c>
      <c r="C1212" s="96">
        <v>2022</v>
      </c>
      <c r="D1212" s="96" t="s">
        <v>274</v>
      </c>
      <c r="E1212" s="96" t="s">
        <v>268</v>
      </c>
      <c r="F1212" s="96">
        <v>-60.4</v>
      </c>
    </row>
    <row r="1213" spans="1:6">
      <c r="A1213" s="96"/>
      <c r="B1213" s="96" t="s">
        <v>114</v>
      </c>
      <c r="C1213" s="96">
        <v>2022</v>
      </c>
      <c r="D1213" s="96" t="s">
        <v>275</v>
      </c>
      <c r="E1213" s="96" t="s">
        <v>268</v>
      </c>
      <c r="F1213" s="96" t="s">
        <v>276</v>
      </c>
    </row>
    <row r="1214" spans="1:6">
      <c r="A1214" s="96"/>
      <c r="B1214" s="96" t="s">
        <v>184</v>
      </c>
      <c r="C1214" s="96">
        <v>2022</v>
      </c>
      <c r="D1214" s="96" t="s">
        <v>267</v>
      </c>
      <c r="E1214" s="96" t="s">
        <v>268</v>
      </c>
      <c r="F1214" s="96">
        <v>4051.55</v>
      </c>
    </row>
    <row r="1215" spans="1:6">
      <c r="A1215" s="96"/>
      <c r="B1215" s="96" t="s">
        <v>184</v>
      </c>
      <c r="C1215" s="96">
        <v>2022</v>
      </c>
      <c r="D1215" s="96" t="s">
        <v>272</v>
      </c>
      <c r="E1215" s="96" t="s">
        <v>268</v>
      </c>
      <c r="F1215" s="96">
        <v>159.01</v>
      </c>
    </row>
    <row r="1216" spans="1:6">
      <c r="A1216" s="96"/>
      <c r="B1216" s="96" t="s">
        <v>184</v>
      </c>
      <c r="C1216" s="96">
        <v>2022</v>
      </c>
      <c r="D1216" s="96" t="s">
        <v>273</v>
      </c>
      <c r="E1216" s="96" t="s">
        <v>268</v>
      </c>
      <c r="F1216" s="96" t="s">
        <v>276</v>
      </c>
    </row>
    <row r="1217" spans="1:6">
      <c r="A1217" s="96"/>
      <c r="B1217" s="96" t="s">
        <v>184</v>
      </c>
      <c r="C1217" s="96">
        <v>2022</v>
      </c>
      <c r="D1217" s="96" t="s">
        <v>274</v>
      </c>
      <c r="E1217" s="96" t="s">
        <v>268</v>
      </c>
      <c r="F1217" s="96">
        <v>-1558.05</v>
      </c>
    </row>
    <row r="1218" spans="1:6">
      <c r="A1218" s="96"/>
      <c r="B1218" s="96" t="s">
        <v>184</v>
      </c>
      <c r="C1218" s="96">
        <v>2022</v>
      </c>
      <c r="D1218" s="96" t="s">
        <v>275</v>
      </c>
      <c r="E1218" s="96" t="s">
        <v>268</v>
      </c>
      <c r="F1218" s="96" t="s">
        <v>276</v>
      </c>
    </row>
    <row r="1219" spans="1:6">
      <c r="A1219" s="96"/>
      <c r="B1219" s="96" t="s">
        <v>79</v>
      </c>
      <c r="C1219" s="96">
        <v>2022</v>
      </c>
      <c r="D1219" s="96" t="s">
        <v>267</v>
      </c>
      <c r="E1219" s="96" t="s">
        <v>268</v>
      </c>
      <c r="F1219" s="96">
        <v>49.17</v>
      </c>
    </row>
    <row r="1220" spans="1:6">
      <c r="A1220" s="96"/>
      <c r="B1220" s="96" t="s">
        <v>79</v>
      </c>
      <c r="C1220" s="96">
        <v>2022</v>
      </c>
      <c r="D1220" s="96" t="s">
        <v>272</v>
      </c>
      <c r="E1220" s="96" t="s">
        <v>268</v>
      </c>
      <c r="F1220" s="96">
        <v>293.07</v>
      </c>
    </row>
    <row r="1221" spans="1:6">
      <c r="A1221" s="96"/>
      <c r="B1221" s="96" t="s">
        <v>79</v>
      </c>
      <c r="C1221" s="96">
        <v>2022</v>
      </c>
      <c r="D1221" s="96" t="s">
        <v>273</v>
      </c>
      <c r="E1221" s="96" t="s">
        <v>268</v>
      </c>
      <c r="F1221" s="96" t="s">
        <v>276</v>
      </c>
    </row>
    <row r="1222" spans="1:6">
      <c r="A1222" s="96"/>
      <c r="B1222" s="96" t="s">
        <v>79</v>
      </c>
      <c r="C1222" s="96">
        <v>2022</v>
      </c>
      <c r="D1222" s="96" t="s">
        <v>274</v>
      </c>
      <c r="E1222" s="96" t="s">
        <v>268</v>
      </c>
      <c r="F1222" s="96">
        <v>-0.79</v>
      </c>
    </row>
    <row r="1223" spans="1:6">
      <c r="A1223" s="96"/>
      <c r="B1223" s="96" t="s">
        <v>79</v>
      </c>
      <c r="C1223" s="96">
        <v>2022</v>
      </c>
      <c r="D1223" s="96" t="s">
        <v>275</v>
      </c>
      <c r="E1223" s="96" t="s">
        <v>268</v>
      </c>
      <c r="F1223" s="96" t="s">
        <v>276</v>
      </c>
    </row>
    <row r="1224" spans="1:6">
      <c r="A1224" s="96"/>
      <c r="B1224" s="96" t="s">
        <v>194</v>
      </c>
      <c r="C1224" s="96">
        <v>2022</v>
      </c>
      <c r="D1224" s="96" t="s">
        <v>267</v>
      </c>
      <c r="E1224" s="96" t="s">
        <v>268</v>
      </c>
      <c r="F1224" s="96">
        <v>3552.12</v>
      </c>
    </row>
    <row r="1225" spans="1:6">
      <c r="A1225" s="96"/>
      <c r="B1225" s="96" t="s">
        <v>194</v>
      </c>
      <c r="C1225" s="96">
        <v>2022</v>
      </c>
      <c r="D1225" s="96" t="s">
        <v>272</v>
      </c>
      <c r="E1225" s="96" t="s">
        <v>268</v>
      </c>
      <c r="F1225" s="96">
        <v>183.06</v>
      </c>
    </row>
    <row r="1226" spans="1:6">
      <c r="A1226" s="96"/>
      <c r="B1226" s="96" t="s">
        <v>194</v>
      </c>
      <c r="C1226" s="96">
        <v>2022</v>
      </c>
      <c r="D1226" s="96" t="s">
        <v>273</v>
      </c>
      <c r="E1226" s="96" t="s">
        <v>268</v>
      </c>
      <c r="F1226" s="96">
        <v>17.31</v>
      </c>
    </row>
    <row r="1227" spans="1:6">
      <c r="A1227" s="96"/>
      <c r="B1227" s="96" t="s">
        <v>194</v>
      </c>
      <c r="C1227" s="96">
        <v>2022</v>
      </c>
      <c r="D1227" s="96" t="s">
        <v>274</v>
      </c>
      <c r="E1227" s="96" t="s">
        <v>268</v>
      </c>
      <c r="F1227" s="96">
        <v>-1805.29</v>
      </c>
    </row>
    <row r="1228" spans="1:6">
      <c r="A1228" s="96"/>
      <c r="B1228" s="96" t="s">
        <v>194</v>
      </c>
      <c r="C1228" s="96">
        <v>2022</v>
      </c>
      <c r="D1228" s="96" t="s">
        <v>275</v>
      </c>
      <c r="E1228" s="96" t="s">
        <v>268</v>
      </c>
      <c r="F1228" s="96">
        <v>-14.69</v>
      </c>
    </row>
    <row r="1229" spans="1:6">
      <c r="A1229" s="96"/>
      <c r="B1229" s="96" t="s">
        <v>124</v>
      </c>
      <c r="C1229" s="96">
        <v>2022</v>
      </c>
      <c r="D1229" s="96" t="s">
        <v>267</v>
      </c>
      <c r="E1229" s="96" t="s">
        <v>268</v>
      </c>
      <c r="F1229" s="96">
        <v>1287.43</v>
      </c>
    </row>
    <row r="1230" spans="1:6">
      <c r="A1230" s="96"/>
      <c r="B1230" s="96" t="s">
        <v>124</v>
      </c>
      <c r="C1230" s="96">
        <v>2022</v>
      </c>
      <c r="D1230" s="96" t="s">
        <v>272</v>
      </c>
      <c r="E1230" s="96" t="s">
        <v>268</v>
      </c>
      <c r="F1230" s="96">
        <v>1614.79</v>
      </c>
    </row>
    <row r="1231" spans="1:6">
      <c r="A1231" s="96"/>
      <c r="B1231" s="96" t="s">
        <v>124</v>
      </c>
      <c r="C1231" s="96">
        <v>2022</v>
      </c>
      <c r="D1231" s="96" t="s">
        <v>273</v>
      </c>
      <c r="E1231" s="96" t="s">
        <v>268</v>
      </c>
      <c r="F1231" s="96" t="s">
        <v>276</v>
      </c>
    </row>
    <row r="1232" spans="1:6">
      <c r="A1232" s="96"/>
      <c r="B1232" s="96" t="s">
        <v>124</v>
      </c>
      <c r="C1232" s="96">
        <v>2022</v>
      </c>
      <c r="D1232" s="96" t="s">
        <v>274</v>
      </c>
      <c r="E1232" s="96" t="s">
        <v>268</v>
      </c>
      <c r="F1232" s="96">
        <v>-165.34</v>
      </c>
    </row>
    <row r="1233" spans="1:6">
      <c r="A1233" s="96"/>
      <c r="B1233" s="96" t="s">
        <v>124</v>
      </c>
      <c r="C1233" s="96">
        <v>2022</v>
      </c>
      <c r="D1233" s="96" t="s">
        <v>275</v>
      </c>
      <c r="E1233" s="96" t="s">
        <v>268</v>
      </c>
      <c r="F1233" s="96" t="s">
        <v>276</v>
      </c>
    </row>
    <row r="1234" spans="1:6">
      <c r="A1234" s="96"/>
      <c r="B1234" s="96" t="s">
        <v>179</v>
      </c>
      <c r="C1234" s="96">
        <v>2022</v>
      </c>
      <c r="D1234" s="96" t="s">
        <v>267</v>
      </c>
      <c r="E1234" s="96" t="s">
        <v>268</v>
      </c>
      <c r="F1234" s="96">
        <v>242.69</v>
      </c>
    </row>
    <row r="1235" spans="1:6">
      <c r="A1235" s="96"/>
      <c r="B1235" s="96" t="s">
        <v>179</v>
      </c>
      <c r="C1235" s="96">
        <v>2022</v>
      </c>
      <c r="D1235" s="96" t="s">
        <v>272</v>
      </c>
      <c r="E1235" s="96" t="s">
        <v>268</v>
      </c>
      <c r="F1235" s="96">
        <v>436.38</v>
      </c>
    </row>
    <row r="1236" spans="1:6">
      <c r="A1236" s="96"/>
      <c r="B1236" s="96" t="s">
        <v>179</v>
      </c>
      <c r="C1236" s="96">
        <v>2022</v>
      </c>
      <c r="D1236" s="96" t="s">
        <v>273</v>
      </c>
      <c r="E1236" s="96" t="s">
        <v>268</v>
      </c>
      <c r="F1236" s="96" t="s">
        <v>276</v>
      </c>
    </row>
    <row r="1237" spans="1:6">
      <c r="A1237" s="96"/>
      <c r="B1237" s="96" t="s">
        <v>179</v>
      </c>
      <c r="C1237" s="96">
        <v>2022</v>
      </c>
      <c r="D1237" s="96" t="s">
        <v>274</v>
      </c>
      <c r="E1237" s="96" t="s">
        <v>268</v>
      </c>
      <c r="F1237" s="96">
        <v>-29.93</v>
      </c>
    </row>
    <row r="1238" spans="1:6">
      <c r="A1238" s="96"/>
      <c r="B1238" s="96" t="s">
        <v>179</v>
      </c>
      <c r="C1238" s="96">
        <v>2022</v>
      </c>
      <c r="D1238" s="96" t="s">
        <v>275</v>
      </c>
      <c r="E1238" s="96" t="s">
        <v>268</v>
      </c>
      <c r="F1238" s="96" t="s">
        <v>276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"/>
  <sheetViews>
    <sheetView workbookViewId="0">
      <selection activeCell="L19" sqref="L19"/>
    </sheetView>
  </sheetViews>
  <sheetFormatPr defaultColWidth="9" defaultRowHeight="13.85"/>
  <cols>
    <col min="3" max="24" width="8" customWidth="1"/>
  </cols>
  <sheetData>
    <row r="1" spans="1:24">
      <c r="B1" s="80" t="s">
        <v>277</v>
      </c>
      <c r="C1" s="81"/>
      <c r="D1" s="81"/>
      <c r="E1" s="81"/>
      <c r="F1" s="81"/>
      <c r="G1" s="81"/>
      <c r="H1" s="81"/>
      <c r="I1" s="81"/>
      <c r="J1" s="81"/>
      <c r="K1" s="81"/>
      <c r="L1" s="82"/>
      <c r="M1" s="78"/>
      <c r="N1" s="80" t="s">
        <v>278</v>
      </c>
      <c r="O1" s="81"/>
      <c r="P1" s="81"/>
      <c r="Q1" s="81"/>
      <c r="R1" s="81"/>
      <c r="S1" s="81"/>
      <c r="T1" s="81"/>
      <c r="U1" s="81"/>
      <c r="V1" s="81"/>
      <c r="W1" s="81"/>
      <c r="X1" s="82"/>
    </row>
    <row r="2" spans="1:24">
      <c r="B2" s="75" t="s">
        <v>279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8"/>
      <c r="N2" s="83" t="s">
        <v>280</v>
      </c>
      <c r="O2" s="83"/>
      <c r="P2" s="83"/>
      <c r="Q2" s="83"/>
      <c r="R2" s="83"/>
      <c r="S2" s="83"/>
      <c r="T2" s="83"/>
      <c r="U2" s="83"/>
      <c r="V2" s="83"/>
      <c r="W2" s="83"/>
      <c r="X2" s="83"/>
    </row>
    <row r="3" ht="13.9" spans="1:24">
      <c r="A3" t="s">
        <v>281</v>
      </c>
      <c r="B3" s="84" t="s">
        <v>282</v>
      </c>
      <c r="C3" s="84">
        <v>2021</v>
      </c>
      <c r="D3" s="84">
        <v>2022</v>
      </c>
      <c r="E3" s="84">
        <v>2023</v>
      </c>
      <c r="F3" s="84">
        <v>2024</v>
      </c>
      <c r="G3" s="84">
        <v>2025</v>
      </c>
      <c r="H3" s="84">
        <v>2026</v>
      </c>
      <c r="I3" s="84">
        <v>2027</v>
      </c>
      <c r="J3" s="84">
        <v>2028</v>
      </c>
      <c r="K3" s="84">
        <v>2029</v>
      </c>
      <c r="L3" s="84">
        <v>2030</v>
      </c>
      <c r="N3" s="85" t="s">
        <v>282</v>
      </c>
      <c r="O3" s="85">
        <v>2021</v>
      </c>
      <c r="P3" s="85">
        <v>2022</v>
      </c>
      <c r="Q3" s="85">
        <v>2023</v>
      </c>
      <c r="R3" s="85">
        <v>2024</v>
      </c>
      <c r="S3" s="85">
        <v>2025</v>
      </c>
      <c r="T3" s="85">
        <v>2026</v>
      </c>
      <c r="U3" s="85">
        <v>2027</v>
      </c>
      <c r="V3" s="85">
        <v>2028</v>
      </c>
      <c r="W3" s="85">
        <v>2029</v>
      </c>
      <c r="X3" s="85">
        <v>2030</v>
      </c>
    </row>
    <row r="4" spans="1:24">
      <c r="A4">
        <f>C4-O4</f>
        <v>0.16</v>
      </c>
      <c r="B4" s="86" t="s">
        <v>70</v>
      </c>
      <c r="C4" s="85">
        <v>0.287</v>
      </c>
      <c r="D4" s="85">
        <v>0.299</v>
      </c>
      <c r="E4" s="85">
        <v>0.311</v>
      </c>
      <c r="F4" s="85">
        <v>0.324</v>
      </c>
      <c r="G4" s="85">
        <v>0.336</v>
      </c>
      <c r="H4" s="85">
        <v>0.349</v>
      </c>
      <c r="I4" s="85">
        <v>0.361</v>
      </c>
      <c r="J4" s="85">
        <v>0.374</v>
      </c>
      <c r="K4" s="85">
        <v>0.386</v>
      </c>
      <c r="L4" s="85">
        <v>0.4</v>
      </c>
      <c r="N4" s="86" t="s">
        <v>70</v>
      </c>
      <c r="O4" s="85">
        <v>0.127</v>
      </c>
      <c r="P4" s="85">
        <v>0.142</v>
      </c>
      <c r="Q4" s="85">
        <v>0.156</v>
      </c>
      <c r="R4" s="85">
        <v>0.171</v>
      </c>
      <c r="S4" s="85">
        <v>0.186</v>
      </c>
      <c r="T4" s="85">
        <v>0.2</v>
      </c>
      <c r="U4" s="85">
        <v>0.215</v>
      </c>
      <c r="V4" s="85">
        <v>0.23</v>
      </c>
      <c r="W4" s="85">
        <v>0.244</v>
      </c>
      <c r="X4" s="85">
        <v>0.259</v>
      </c>
    </row>
    <row r="5" spans="1:24">
      <c r="A5">
        <f t="shared" ref="A5:A34" si="0">C5-O5</f>
        <v>0.005</v>
      </c>
      <c r="B5" s="86" t="s">
        <v>75</v>
      </c>
      <c r="C5" s="85">
        <v>0.18</v>
      </c>
      <c r="D5" s="85">
        <v>0.204</v>
      </c>
      <c r="E5" s="85">
        <v>0.229</v>
      </c>
      <c r="F5" s="85">
        <v>0.253</v>
      </c>
      <c r="G5" s="85">
        <v>0.278</v>
      </c>
      <c r="H5" s="85">
        <v>0.302</v>
      </c>
      <c r="I5" s="85">
        <v>0.327</v>
      </c>
      <c r="J5" s="85">
        <v>0.351</v>
      </c>
      <c r="K5" s="85">
        <v>0.376</v>
      </c>
      <c r="L5" s="85">
        <v>0.4</v>
      </c>
      <c r="N5" s="86" t="s">
        <v>75</v>
      </c>
      <c r="O5" s="85">
        <v>0.175</v>
      </c>
      <c r="P5" s="85">
        <v>0.19</v>
      </c>
      <c r="Q5" s="85">
        <v>0.204</v>
      </c>
      <c r="R5" s="85">
        <v>0.219</v>
      </c>
      <c r="S5" s="85">
        <v>0.234</v>
      </c>
      <c r="T5" s="85">
        <v>0.248</v>
      </c>
      <c r="U5" s="85">
        <v>0.263</v>
      </c>
      <c r="V5" s="85">
        <v>0.278</v>
      </c>
      <c r="W5" s="85">
        <v>0.292</v>
      </c>
      <c r="X5" s="85">
        <v>0.307</v>
      </c>
    </row>
    <row r="6" spans="1:24">
      <c r="A6">
        <f t="shared" si="0"/>
        <v>0.00999999999999998</v>
      </c>
      <c r="B6" s="86" t="s">
        <v>80</v>
      </c>
      <c r="C6" s="85">
        <v>0.18</v>
      </c>
      <c r="D6" s="85">
        <v>0.204</v>
      </c>
      <c r="E6" s="85">
        <v>0.229</v>
      </c>
      <c r="F6" s="85">
        <v>0.253</v>
      </c>
      <c r="G6" s="85">
        <v>0.278</v>
      </c>
      <c r="H6" s="85">
        <v>0.302</v>
      </c>
      <c r="I6" s="85">
        <v>0.327</v>
      </c>
      <c r="J6" s="85">
        <v>0.351</v>
      </c>
      <c r="K6" s="85">
        <v>0.376</v>
      </c>
      <c r="L6" s="85">
        <v>0.4</v>
      </c>
      <c r="N6" s="86" t="s">
        <v>80</v>
      </c>
      <c r="O6" s="85">
        <v>0.17</v>
      </c>
      <c r="P6" s="85">
        <v>0.185</v>
      </c>
      <c r="Q6" s="85">
        <v>0.199</v>
      </c>
      <c r="R6" s="85">
        <v>0.214</v>
      </c>
      <c r="S6" s="85">
        <v>0.229</v>
      </c>
      <c r="T6" s="85">
        <v>0.243</v>
      </c>
      <c r="U6" s="85">
        <v>0.258</v>
      </c>
      <c r="V6" s="85">
        <v>0.273</v>
      </c>
      <c r="W6" s="85">
        <v>0.287</v>
      </c>
      <c r="X6" s="85">
        <v>0.302</v>
      </c>
    </row>
    <row r="7" spans="1:24">
      <c r="A7">
        <f t="shared" si="0"/>
        <v>0.005</v>
      </c>
      <c r="B7" s="86" t="s">
        <v>85</v>
      </c>
      <c r="C7" s="85">
        <v>0.165</v>
      </c>
      <c r="D7" s="85">
        <v>0.191</v>
      </c>
      <c r="E7" s="85">
        <v>0.217</v>
      </c>
      <c r="F7" s="85">
        <v>0.243</v>
      </c>
      <c r="G7" s="85">
        <v>0.269</v>
      </c>
      <c r="H7" s="85">
        <v>0.296</v>
      </c>
      <c r="I7" s="85">
        <v>0.322</v>
      </c>
      <c r="J7" s="85">
        <v>0.348</v>
      </c>
      <c r="K7" s="85">
        <v>0.374</v>
      </c>
      <c r="L7" s="85">
        <v>0.4</v>
      </c>
      <c r="N7" s="86" t="s">
        <v>85</v>
      </c>
      <c r="O7" s="85">
        <v>0.16</v>
      </c>
      <c r="P7" s="85">
        <v>0.175</v>
      </c>
      <c r="Q7" s="85">
        <v>0.189</v>
      </c>
      <c r="R7" s="85">
        <v>0.204</v>
      </c>
      <c r="S7" s="85">
        <v>0.219</v>
      </c>
      <c r="T7" s="85">
        <v>0.233</v>
      </c>
      <c r="U7" s="85">
        <v>0.248</v>
      </c>
      <c r="V7" s="85">
        <v>0.263</v>
      </c>
      <c r="W7" s="85">
        <v>0.277</v>
      </c>
      <c r="X7" s="85">
        <v>0.292</v>
      </c>
    </row>
    <row r="8" spans="1:24">
      <c r="A8">
        <f t="shared" si="0"/>
        <v>0.00499999999999998</v>
      </c>
      <c r="B8" s="86" t="s">
        <v>90</v>
      </c>
      <c r="C8" s="85">
        <v>0.205</v>
      </c>
      <c r="D8" s="85">
        <v>0.227</v>
      </c>
      <c r="E8" s="85">
        <v>0.248</v>
      </c>
      <c r="F8" s="85">
        <v>0.27</v>
      </c>
      <c r="G8" s="85">
        <v>0.292</v>
      </c>
      <c r="H8" s="85">
        <v>0.313</v>
      </c>
      <c r="I8" s="85">
        <v>0.335</v>
      </c>
      <c r="J8" s="85">
        <v>0.357</v>
      </c>
      <c r="K8" s="85">
        <v>0.378</v>
      </c>
      <c r="L8" s="85">
        <v>0.4</v>
      </c>
      <c r="N8" s="86" t="s">
        <v>90</v>
      </c>
      <c r="O8" s="85">
        <v>0.2</v>
      </c>
      <c r="P8" s="85">
        <v>0.215</v>
      </c>
      <c r="Q8" s="85">
        <v>0.229</v>
      </c>
      <c r="R8" s="85">
        <v>0.244</v>
      </c>
      <c r="S8" s="85">
        <v>0.259</v>
      </c>
      <c r="T8" s="85">
        <v>0.273</v>
      </c>
      <c r="U8" s="85">
        <v>0.288</v>
      </c>
      <c r="V8" s="85">
        <v>0.303</v>
      </c>
      <c r="W8" s="85">
        <v>0.317</v>
      </c>
      <c r="X8" s="85">
        <v>0.332</v>
      </c>
    </row>
    <row r="9" spans="1:24">
      <c r="A9">
        <f t="shared" si="0"/>
        <v>0.005</v>
      </c>
      <c r="B9" s="86" t="s">
        <v>145</v>
      </c>
      <c r="C9" s="85">
        <v>0.13</v>
      </c>
      <c r="D9" s="85">
        <v>0.16</v>
      </c>
      <c r="E9" s="85">
        <v>0.19</v>
      </c>
      <c r="F9" s="85">
        <v>0.22</v>
      </c>
      <c r="G9" s="85">
        <v>0.25</v>
      </c>
      <c r="H9" s="85">
        <v>0.28</v>
      </c>
      <c r="I9" s="85">
        <v>0.31</v>
      </c>
      <c r="J9" s="85">
        <v>0.34</v>
      </c>
      <c r="K9" s="85">
        <v>0.37</v>
      </c>
      <c r="L9" s="85">
        <v>0.4</v>
      </c>
      <c r="N9" s="86" t="s">
        <v>145</v>
      </c>
      <c r="O9" s="85">
        <v>0.125</v>
      </c>
      <c r="P9" s="85">
        <v>0.14</v>
      </c>
      <c r="Q9" s="85">
        <v>0.154</v>
      </c>
      <c r="R9" s="85">
        <v>0.169</v>
      </c>
      <c r="S9" s="85">
        <v>0.184</v>
      </c>
      <c r="T9" s="85">
        <v>0.198</v>
      </c>
      <c r="U9" s="85">
        <v>0.213</v>
      </c>
      <c r="V9" s="85">
        <v>0.228</v>
      </c>
      <c r="W9" s="85">
        <v>0.242</v>
      </c>
      <c r="X9" s="85">
        <v>0.257</v>
      </c>
    </row>
    <row r="10" spans="1:24">
      <c r="A10">
        <f t="shared" si="0"/>
        <v>0.005</v>
      </c>
      <c r="B10" s="86" t="s">
        <v>95</v>
      </c>
      <c r="C10" s="85">
        <v>0.21</v>
      </c>
      <c r="D10" s="85">
        <v>0.231</v>
      </c>
      <c r="E10" s="85">
        <v>0.252</v>
      </c>
      <c r="F10" s="85">
        <v>0.273</v>
      </c>
      <c r="G10" s="85">
        <v>0.294</v>
      </c>
      <c r="H10" s="85">
        <v>0.316</v>
      </c>
      <c r="I10" s="85">
        <v>0.337</v>
      </c>
      <c r="J10" s="85">
        <v>0.358</v>
      </c>
      <c r="K10" s="85">
        <v>0.379</v>
      </c>
      <c r="L10" s="85">
        <v>0.4</v>
      </c>
      <c r="N10" s="86" t="s">
        <v>95</v>
      </c>
      <c r="O10" s="85">
        <v>0.205</v>
      </c>
      <c r="P10" s="85">
        <v>0.22</v>
      </c>
      <c r="Q10" s="85">
        <v>0.234</v>
      </c>
      <c r="R10" s="85">
        <v>0.249</v>
      </c>
      <c r="S10" s="85">
        <v>0.264</v>
      </c>
      <c r="T10" s="85">
        <v>0.278</v>
      </c>
      <c r="U10" s="85">
        <v>0.293</v>
      </c>
      <c r="V10" s="85">
        <v>0.308</v>
      </c>
      <c r="W10" s="85">
        <v>0.322</v>
      </c>
      <c r="X10" s="85">
        <v>0.337</v>
      </c>
    </row>
    <row r="11" spans="1:24">
      <c r="A11">
        <f t="shared" si="0"/>
        <v>0.02</v>
      </c>
      <c r="B11" s="86" t="s">
        <v>100</v>
      </c>
      <c r="C11" s="85">
        <v>0.155</v>
      </c>
      <c r="D11" s="85">
        <v>0.182</v>
      </c>
      <c r="E11" s="85">
        <v>0.209</v>
      </c>
      <c r="F11" s="85">
        <v>0.237</v>
      </c>
      <c r="G11" s="85">
        <v>0.264</v>
      </c>
      <c r="H11" s="85">
        <v>0.291</v>
      </c>
      <c r="I11" s="85">
        <v>0.318</v>
      </c>
      <c r="J11" s="85">
        <v>0.346</v>
      </c>
      <c r="K11" s="85">
        <v>0.373</v>
      </c>
      <c r="L11" s="85">
        <v>0.4</v>
      </c>
      <c r="N11" s="86" t="s">
        <v>100</v>
      </c>
      <c r="O11" s="85">
        <v>0.135</v>
      </c>
      <c r="P11" s="85">
        <v>0.15</v>
      </c>
      <c r="Q11" s="85">
        <v>0.164</v>
      </c>
      <c r="R11" s="85">
        <v>0.179</v>
      </c>
      <c r="S11" s="85">
        <v>0.194</v>
      </c>
      <c r="T11" s="85">
        <v>0.208</v>
      </c>
      <c r="U11" s="85">
        <v>0.223</v>
      </c>
      <c r="V11" s="85">
        <v>0.238</v>
      </c>
      <c r="W11" s="85">
        <v>0.252</v>
      </c>
      <c r="X11" s="85">
        <v>0.267</v>
      </c>
    </row>
    <row r="12" spans="1:24">
      <c r="A12">
        <f t="shared" si="0"/>
        <v>0.07</v>
      </c>
      <c r="B12" s="86" t="s">
        <v>105</v>
      </c>
      <c r="C12" s="85">
        <v>0.28</v>
      </c>
      <c r="D12" s="85">
        <v>0.293</v>
      </c>
      <c r="E12" s="85">
        <v>0.307</v>
      </c>
      <c r="F12" s="85">
        <v>0.32</v>
      </c>
      <c r="G12" s="85">
        <v>0.333</v>
      </c>
      <c r="H12" s="85">
        <v>0.347</v>
      </c>
      <c r="I12" s="85">
        <v>0.36</v>
      </c>
      <c r="J12" s="85">
        <v>0.373</v>
      </c>
      <c r="K12" s="85">
        <v>0.387</v>
      </c>
      <c r="L12" s="85">
        <v>0.4</v>
      </c>
      <c r="N12" s="86" t="s">
        <v>105</v>
      </c>
      <c r="O12" s="85">
        <v>0.21</v>
      </c>
      <c r="P12" s="85">
        <v>0.225</v>
      </c>
      <c r="Q12" s="85">
        <v>0.239</v>
      </c>
      <c r="R12" s="85">
        <v>0.254</v>
      </c>
      <c r="S12" s="85">
        <v>0.269</v>
      </c>
      <c r="T12" s="85">
        <v>0.283</v>
      </c>
      <c r="U12" s="85">
        <v>0.298</v>
      </c>
      <c r="V12" s="85">
        <v>0.313</v>
      </c>
      <c r="W12" s="85">
        <v>0.327</v>
      </c>
      <c r="X12" s="85">
        <v>0.342</v>
      </c>
    </row>
    <row r="13" spans="1:24">
      <c r="A13">
        <f t="shared" si="0"/>
        <v>0.015</v>
      </c>
      <c r="B13" s="86" t="s">
        <v>110</v>
      </c>
      <c r="C13" s="85">
        <v>0.225</v>
      </c>
      <c r="D13" s="85">
        <v>0.244</v>
      </c>
      <c r="E13" s="85">
        <v>0.264</v>
      </c>
      <c r="F13" s="85">
        <v>0.283</v>
      </c>
      <c r="G13" s="85">
        <v>0.303</v>
      </c>
      <c r="H13" s="85">
        <v>0.322</v>
      </c>
      <c r="I13" s="85">
        <v>0.342</v>
      </c>
      <c r="J13" s="85">
        <v>0.361</v>
      </c>
      <c r="K13" s="85">
        <v>0.381</v>
      </c>
      <c r="L13" s="85">
        <v>0.4</v>
      </c>
      <c r="N13" s="86" t="s">
        <v>110</v>
      </c>
      <c r="O13" s="85">
        <v>0.21</v>
      </c>
      <c r="P13" s="85">
        <v>0.225</v>
      </c>
      <c r="Q13" s="85">
        <v>0.239</v>
      </c>
      <c r="R13" s="85">
        <v>0.254</v>
      </c>
      <c r="S13" s="85">
        <v>0.269</v>
      </c>
      <c r="T13" s="85">
        <v>0.283</v>
      </c>
      <c r="U13" s="85">
        <v>0.298</v>
      </c>
      <c r="V13" s="85">
        <v>0.313</v>
      </c>
      <c r="W13" s="85">
        <v>0.327</v>
      </c>
      <c r="X13" s="85">
        <v>0.342</v>
      </c>
    </row>
    <row r="14" spans="1:24">
      <c r="A14">
        <f t="shared" si="0"/>
        <v>0.285</v>
      </c>
      <c r="B14" s="86" t="s">
        <v>115</v>
      </c>
      <c r="C14" s="85">
        <v>0.33</v>
      </c>
      <c r="D14" s="85">
        <v>0.338</v>
      </c>
      <c r="E14" s="85">
        <v>0.346</v>
      </c>
      <c r="F14" s="85">
        <v>0.353</v>
      </c>
      <c r="G14" s="85">
        <v>0.361</v>
      </c>
      <c r="H14" s="85">
        <v>0.369</v>
      </c>
      <c r="I14" s="85">
        <v>0.377</v>
      </c>
      <c r="J14" s="85">
        <v>0.384</v>
      </c>
      <c r="K14" s="85">
        <v>0.392</v>
      </c>
      <c r="L14" s="85">
        <v>0.4</v>
      </c>
      <c r="N14" s="86" t="s">
        <v>115</v>
      </c>
      <c r="O14" s="85">
        <v>0.045</v>
      </c>
      <c r="P14" s="85">
        <v>0.06</v>
      </c>
      <c r="Q14" s="85">
        <v>0.074</v>
      </c>
      <c r="R14" s="85">
        <v>0.089</v>
      </c>
      <c r="S14" s="85">
        <v>0.104</v>
      </c>
      <c r="T14" s="85">
        <v>0.118</v>
      </c>
      <c r="U14" s="85">
        <v>0.133</v>
      </c>
      <c r="V14" s="85">
        <v>0.148</v>
      </c>
      <c r="W14" s="85">
        <v>0.162</v>
      </c>
      <c r="X14" s="85">
        <v>0.177</v>
      </c>
    </row>
    <row r="15" spans="1:24">
      <c r="A15">
        <f t="shared" si="0"/>
        <v>0.075</v>
      </c>
      <c r="B15" s="86" t="s">
        <v>120</v>
      </c>
      <c r="C15" s="85">
        <v>0.185</v>
      </c>
      <c r="D15" s="85">
        <v>0.209</v>
      </c>
      <c r="E15" s="85">
        <v>0.233</v>
      </c>
      <c r="F15" s="85">
        <v>0.257</v>
      </c>
      <c r="G15" s="85">
        <v>0.281</v>
      </c>
      <c r="H15" s="85">
        <v>0.304</v>
      </c>
      <c r="I15" s="85">
        <v>0.328</v>
      </c>
      <c r="J15" s="85">
        <v>0.352</v>
      </c>
      <c r="K15" s="85">
        <v>0.376</v>
      </c>
      <c r="L15" s="85">
        <v>0.4</v>
      </c>
      <c r="N15" s="86" t="s">
        <v>120</v>
      </c>
      <c r="O15" s="85">
        <v>0.11</v>
      </c>
      <c r="P15" s="85">
        <v>0.125</v>
      </c>
      <c r="Q15" s="85">
        <v>0.139</v>
      </c>
      <c r="R15" s="85">
        <v>0.154</v>
      </c>
      <c r="S15" s="85">
        <v>0.169</v>
      </c>
      <c r="T15" s="85">
        <v>0.183</v>
      </c>
      <c r="U15" s="85">
        <v>0.198</v>
      </c>
      <c r="V15" s="85">
        <v>0.213</v>
      </c>
      <c r="W15" s="85">
        <v>0.227</v>
      </c>
      <c r="X15" s="85">
        <v>0.242</v>
      </c>
    </row>
    <row r="16" spans="1:24">
      <c r="A16">
        <f t="shared" si="0"/>
        <v>0.105</v>
      </c>
      <c r="B16" s="86" t="s">
        <v>125</v>
      </c>
      <c r="C16" s="85">
        <v>0.19</v>
      </c>
      <c r="D16" s="85">
        <v>0.213</v>
      </c>
      <c r="E16" s="85">
        <v>0.237</v>
      </c>
      <c r="F16" s="85">
        <v>0.26</v>
      </c>
      <c r="G16" s="85">
        <v>0.283</v>
      </c>
      <c r="H16" s="85">
        <v>0.307</v>
      </c>
      <c r="I16" s="85">
        <v>0.33</v>
      </c>
      <c r="J16" s="85">
        <v>0.353</v>
      </c>
      <c r="K16" s="85">
        <v>0.377</v>
      </c>
      <c r="L16" s="85">
        <v>0.4</v>
      </c>
      <c r="N16" s="86" t="s">
        <v>125</v>
      </c>
      <c r="O16" s="85">
        <v>0.085</v>
      </c>
      <c r="P16" s="85">
        <v>0.1</v>
      </c>
      <c r="Q16" s="85">
        <v>0.114</v>
      </c>
      <c r="R16" s="85">
        <v>0.129</v>
      </c>
      <c r="S16" s="85">
        <v>0.144</v>
      </c>
      <c r="T16" s="85">
        <v>0.158</v>
      </c>
      <c r="U16" s="85">
        <v>0.173</v>
      </c>
      <c r="V16" s="85">
        <v>0.188</v>
      </c>
      <c r="W16" s="85">
        <v>0.202</v>
      </c>
      <c r="X16" s="85">
        <v>0.217</v>
      </c>
    </row>
    <row r="17" spans="1:24">
      <c r="A17">
        <f t="shared" si="0"/>
        <v>0.025</v>
      </c>
      <c r="B17" s="86" t="s">
        <v>130</v>
      </c>
      <c r="C17" s="85">
        <v>0.17</v>
      </c>
      <c r="D17" s="85">
        <v>0.196</v>
      </c>
      <c r="E17" s="85">
        <v>0.221</v>
      </c>
      <c r="F17" s="85">
        <v>0.247</v>
      </c>
      <c r="G17" s="85">
        <v>0.272</v>
      </c>
      <c r="H17" s="85">
        <v>0.298</v>
      </c>
      <c r="I17" s="85">
        <v>0.323</v>
      </c>
      <c r="J17" s="85">
        <v>0.349</v>
      </c>
      <c r="K17" s="85">
        <v>0.374</v>
      </c>
      <c r="L17" s="85">
        <v>0.4</v>
      </c>
      <c r="N17" s="86" t="s">
        <v>130</v>
      </c>
      <c r="O17" s="85">
        <v>0.145</v>
      </c>
      <c r="P17" s="85">
        <v>0.16</v>
      </c>
      <c r="Q17" s="85">
        <v>0.174</v>
      </c>
      <c r="R17" s="85">
        <v>0.189</v>
      </c>
      <c r="S17" s="85">
        <v>0.204</v>
      </c>
      <c r="T17" s="85">
        <v>0.218</v>
      </c>
      <c r="U17" s="85">
        <v>0.233</v>
      </c>
      <c r="V17" s="85">
        <v>0.248</v>
      </c>
      <c r="W17" s="85">
        <v>0.262</v>
      </c>
      <c r="X17" s="85">
        <v>0.277</v>
      </c>
    </row>
    <row r="18" spans="1:24">
      <c r="A18">
        <f t="shared" si="0"/>
        <v>0.11</v>
      </c>
      <c r="B18" s="85" t="s">
        <v>135</v>
      </c>
      <c r="C18" s="85">
        <v>0.18</v>
      </c>
      <c r="D18" s="85">
        <v>0.204</v>
      </c>
      <c r="E18" s="85">
        <v>0.229</v>
      </c>
      <c r="F18" s="85">
        <v>0.253</v>
      </c>
      <c r="G18" s="85">
        <v>0.278</v>
      </c>
      <c r="H18" s="85">
        <v>0.302</v>
      </c>
      <c r="I18" s="85">
        <v>0.327</v>
      </c>
      <c r="J18" s="85">
        <v>0.351</v>
      </c>
      <c r="K18" s="85">
        <v>0.376</v>
      </c>
      <c r="L18" s="85">
        <v>0.4</v>
      </c>
      <c r="N18" s="85" t="s">
        <v>135</v>
      </c>
      <c r="O18" s="85">
        <v>0.07</v>
      </c>
      <c r="P18" s="85">
        <v>0.085</v>
      </c>
      <c r="Q18" s="85">
        <v>0.099</v>
      </c>
      <c r="R18" s="85">
        <v>0.114</v>
      </c>
      <c r="S18" s="85">
        <v>0.129</v>
      </c>
      <c r="T18" s="85">
        <v>0.143</v>
      </c>
      <c r="U18" s="85">
        <v>0.158</v>
      </c>
      <c r="V18" s="85">
        <v>0.173</v>
      </c>
      <c r="W18" s="85">
        <v>0.187</v>
      </c>
      <c r="X18" s="85">
        <v>0.202</v>
      </c>
    </row>
    <row r="19" spans="1:24">
      <c r="A19">
        <f t="shared" si="0"/>
        <v>0.15</v>
      </c>
      <c r="B19" s="86" t="s">
        <v>140</v>
      </c>
      <c r="C19" s="85">
        <v>0.275</v>
      </c>
      <c r="D19" s="85">
        <v>0.289</v>
      </c>
      <c r="E19" s="85">
        <v>0.303</v>
      </c>
      <c r="F19" s="85">
        <v>0.317</v>
      </c>
      <c r="G19" s="85">
        <v>0.331</v>
      </c>
      <c r="H19" s="85">
        <v>0.344</v>
      </c>
      <c r="I19" s="85">
        <v>0.358</v>
      </c>
      <c r="J19" s="85">
        <v>0.372</v>
      </c>
      <c r="K19" s="85">
        <v>0.386</v>
      </c>
      <c r="L19" s="85">
        <v>0.4</v>
      </c>
      <c r="N19" s="86" t="s">
        <v>140</v>
      </c>
      <c r="O19" s="85">
        <v>0.125</v>
      </c>
      <c r="P19" s="85">
        <v>0.14</v>
      </c>
      <c r="Q19" s="85">
        <v>0.154</v>
      </c>
      <c r="R19" s="85">
        <v>0.169</v>
      </c>
      <c r="S19" s="85">
        <v>0.184</v>
      </c>
      <c r="T19" s="85">
        <v>0.198</v>
      </c>
      <c r="U19" s="85">
        <v>0.213</v>
      </c>
      <c r="V19" s="85">
        <v>0.228</v>
      </c>
      <c r="W19" s="85">
        <v>0.242</v>
      </c>
      <c r="X19" s="85">
        <v>0.257</v>
      </c>
    </row>
    <row r="20" spans="1:24">
      <c r="A20">
        <f t="shared" si="0"/>
        <v>0.06</v>
      </c>
      <c r="B20" s="86" t="s">
        <v>150</v>
      </c>
      <c r="C20" s="85">
        <v>0.26</v>
      </c>
      <c r="D20" s="85">
        <v>0.276</v>
      </c>
      <c r="E20" s="85">
        <v>0.291</v>
      </c>
      <c r="F20" s="85">
        <v>0.307</v>
      </c>
      <c r="G20" s="85">
        <v>0.322</v>
      </c>
      <c r="H20" s="85">
        <v>0.338</v>
      </c>
      <c r="I20" s="85">
        <v>0.353</v>
      </c>
      <c r="J20" s="85">
        <v>0.369</v>
      </c>
      <c r="K20" s="85">
        <v>0.384</v>
      </c>
      <c r="L20" s="85">
        <v>0.4</v>
      </c>
      <c r="N20" s="86" t="s">
        <v>150</v>
      </c>
      <c r="O20" s="85">
        <v>0.2</v>
      </c>
      <c r="P20" s="85">
        <v>0.215</v>
      </c>
      <c r="Q20" s="85">
        <v>0.229</v>
      </c>
      <c r="R20" s="85">
        <v>0.244</v>
      </c>
      <c r="S20" s="85">
        <v>0.259</v>
      </c>
      <c r="T20" s="85">
        <v>0.273</v>
      </c>
      <c r="U20" s="85">
        <v>0.288</v>
      </c>
      <c r="V20" s="85">
        <v>0.303</v>
      </c>
      <c r="W20" s="85">
        <v>0.317</v>
      </c>
      <c r="X20" s="85">
        <v>0.332</v>
      </c>
    </row>
    <row r="21" spans="1:24">
      <c r="A21">
        <f t="shared" si="0"/>
        <v>0.305</v>
      </c>
      <c r="B21" s="87" t="s">
        <v>85</v>
      </c>
      <c r="C21" s="88">
        <v>0.405</v>
      </c>
      <c r="D21" s="89">
        <f>C21</f>
        <v>0.405</v>
      </c>
      <c r="E21" s="89">
        <f t="shared" ref="E21:L21" si="1">D21</f>
        <v>0.405</v>
      </c>
      <c r="F21" s="89">
        <f t="shared" si="1"/>
        <v>0.405</v>
      </c>
      <c r="G21" s="89">
        <f t="shared" si="1"/>
        <v>0.405</v>
      </c>
      <c r="H21" s="89">
        <f t="shared" si="1"/>
        <v>0.405</v>
      </c>
      <c r="I21" s="89">
        <f t="shared" si="1"/>
        <v>0.405</v>
      </c>
      <c r="J21" s="89">
        <f t="shared" si="1"/>
        <v>0.405</v>
      </c>
      <c r="K21" s="89">
        <f t="shared" si="1"/>
        <v>0.405</v>
      </c>
      <c r="L21" s="89">
        <f t="shared" si="1"/>
        <v>0.405</v>
      </c>
      <c r="N21" s="87" t="s">
        <v>85</v>
      </c>
      <c r="O21" s="85">
        <v>0.1</v>
      </c>
      <c r="P21" s="85">
        <v>0.115</v>
      </c>
      <c r="Q21" s="85">
        <v>0.129</v>
      </c>
      <c r="R21" s="85">
        <v>0.144</v>
      </c>
      <c r="S21" s="85">
        <v>0.159</v>
      </c>
      <c r="T21" s="85">
        <v>0.173</v>
      </c>
      <c r="U21" s="85">
        <v>0.188</v>
      </c>
      <c r="V21" s="85">
        <v>0.203</v>
      </c>
      <c r="W21" s="85">
        <v>0.217</v>
      </c>
      <c r="X21" s="85">
        <v>0.232</v>
      </c>
    </row>
    <row r="22" spans="1:24">
      <c r="A22">
        <f t="shared" si="0"/>
        <v>0.325</v>
      </c>
      <c r="B22" s="87" t="s">
        <v>160</v>
      </c>
      <c r="C22" s="88">
        <v>0.47</v>
      </c>
      <c r="D22" s="89">
        <f t="shared" ref="D22:L22" si="2">C22</f>
        <v>0.47</v>
      </c>
      <c r="E22" s="89">
        <f t="shared" si="2"/>
        <v>0.47</v>
      </c>
      <c r="F22" s="89">
        <f t="shared" si="2"/>
        <v>0.47</v>
      </c>
      <c r="G22" s="89">
        <f t="shared" si="2"/>
        <v>0.47</v>
      </c>
      <c r="H22" s="89">
        <f t="shared" si="2"/>
        <v>0.47</v>
      </c>
      <c r="I22" s="89">
        <f t="shared" si="2"/>
        <v>0.47</v>
      </c>
      <c r="J22" s="89">
        <f t="shared" si="2"/>
        <v>0.47</v>
      </c>
      <c r="K22" s="89">
        <f t="shared" si="2"/>
        <v>0.47</v>
      </c>
      <c r="L22" s="89">
        <f t="shared" si="2"/>
        <v>0.47</v>
      </c>
      <c r="N22" s="87" t="s">
        <v>160</v>
      </c>
      <c r="O22" s="85">
        <v>0.145</v>
      </c>
      <c r="P22" s="85">
        <v>0.16</v>
      </c>
      <c r="Q22" s="85">
        <v>0.174</v>
      </c>
      <c r="R22" s="85">
        <v>0.189</v>
      </c>
      <c r="S22" s="85">
        <v>0.204</v>
      </c>
      <c r="T22" s="85">
        <v>0.218</v>
      </c>
      <c r="U22" s="85">
        <v>0.233</v>
      </c>
      <c r="V22" s="85">
        <v>0.248</v>
      </c>
      <c r="W22" s="85">
        <v>0.262</v>
      </c>
      <c r="X22" s="85">
        <v>0.277</v>
      </c>
    </row>
    <row r="23" spans="1:24">
      <c r="A23">
        <f t="shared" si="0"/>
        <v>0.445</v>
      </c>
      <c r="B23" s="87" t="s">
        <v>180</v>
      </c>
      <c r="C23" s="88">
        <v>0.485</v>
      </c>
      <c r="D23" s="89">
        <f t="shared" ref="D23:L23" si="3">C23</f>
        <v>0.485</v>
      </c>
      <c r="E23" s="89">
        <f t="shared" si="3"/>
        <v>0.485</v>
      </c>
      <c r="F23" s="89">
        <f t="shared" si="3"/>
        <v>0.485</v>
      </c>
      <c r="G23" s="89">
        <f t="shared" si="3"/>
        <v>0.485</v>
      </c>
      <c r="H23" s="89">
        <f t="shared" si="3"/>
        <v>0.485</v>
      </c>
      <c r="I23" s="89">
        <f t="shared" si="3"/>
        <v>0.485</v>
      </c>
      <c r="J23" s="89">
        <f t="shared" si="3"/>
        <v>0.485</v>
      </c>
      <c r="K23" s="89">
        <f t="shared" si="3"/>
        <v>0.485</v>
      </c>
      <c r="L23" s="89">
        <f t="shared" si="3"/>
        <v>0.485</v>
      </c>
      <c r="N23" s="87" t="s">
        <v>180</v>
      </c>
      <c r="O23" s="85">
        <v>0.04</v>
      </c>
      <c r="P23" s="85">
        <v>0.055</v>
      </c>
      <c r="Q23" s="85">
        <v>0.069</v>
      </c>
      <c r="R23" s="85">
        <v>0.084</v>
      </c>
      <c r="S23" s="85">
        <v>0.099</v>
      </c>
      <c r="T23" s="85">
        <v>0.113</v>
      </c>
      <c r="U23" s="85">
        <v>0.128</v>
      </c>
      <c r="V23" s="85">
        <v>0.143</v>
      </c>
      <c r="W23" s="85">
        <v>0.157</v>
      </c>
      <c r="X23" s="85">
        <v>0.172</v>
      </c>
    </row>
    <row r="24" spans="1:24">
      <c r="A24">
        <f t="shared" si="0"/>
        <v>0.73</v>
      </c>
      <c r="B24" s="87" t="s">
        <v>185</v>
      </c>
      <c r="C24" s="88">
        <v>0.79</v>
      </c>
      <c r="D24" s="89">
        <f t="shared" ref="D24:L27" si="4">C24</f>
        <v>0.79</v>
      </c>
      <c r="E24" s="89">
        <f t="shared" si="4"/>
        <v>0.79</v>
      </c>
      <c r="F24" s="89">
        <f t="shared" si="4"/>
        <v>0.79</v>
      </c>
      <c r="G24" s="89">
        <f t="shared" si="4"/>
        <v>0.79</v>
      </c>
      <c r="H24" s="89">
        <f t="shared" si="4"/>
        <v>0.79</v>
      </c>
      <c r="I24" s="89">
        <f t="shared" si="4"/>
        <v>0.79</v>
      </c>
      <c r="J24" s="89">
        <f t="shared" si="4"/>
        <v>0.79</v>
      </c>
      <c r="K24" s="89">
        <f t="shared" si="4"/>
        <v>0.79</v>
      </c>
      <c r="L24" s="89">
        <f t="shared" si="4"/>
        <v>0.79</v>
      </c>
      <c r="N24" s="87" t="s">
        <v>185</v>
      </c>
      <c r="O24" s="85">
        <v>0.06</v>
      </c>
      <c r="P24" s="85">
        <v>0.075</v>
      </c>
      <c r="Q24" s="85">
        <v>0.089</v>
      </c>
      <c r="R24" s="85">
        <v>0.104</v>
      </c>
      <c r="S24" s="85">
        <v>0.119</v>
      </c>
      <c r="T24" s="85">
        <v>0.133</v>
      </c>
      <c r="U24" s="85">
        <v>0.148</v>
      </c>
      <c r="V24" s="85">
        <v>0.163</v>
      </c>
      <c r="W24" s="85">
        <v>0.177</v>
      </c>
      <c r="X24" s="85">
        <v>0.192</v>
      </c>
    </row>
    <row r="25" spans="1:24">
      <c r="A25">
        <f t="shared" si="0"/>
        <v>0.11</v>
      </c>
      <c r="B25" s="90" t="s">
        <v>205</v>
      </c>
      <c r="C25" s="91">
        <v>0.26</v>
      </c>
      <c r="D25" s="91">
        <v>0.276</v>
      </c>
      <c r="E25" s="91">
        <v>0.291</v>
      </c>
      <c r="F25" s="91">
        <v>0.307</v>
      </c>
      <c r="G25" s="91">
        <v>0.322</v>
      </c>
      <c r="H25" s="91">
        <v>0.338</v>
      </c>
      <c r="I25" s="91">
        <v>0.353</v>
      </c>
      <c r="J25" s="91">
        <v>0.369</v>
      </c>
      <c r="K25" s="91">
        <v>0.384</v>
      </c>
      <c r="L25" s="91">
        <v>0.4</v>
      </c>
      <c r="N25" s="90" t="s">
        <v>205</v>
      </c>
      <c r="O25" s="85">
        <v>0.15</v>
      </c>
      <c r="P25" s="85">
        <v>0.165</v>
      </c>
      <c r="Q25" s="85">
        <v>0.179</v>
      </c>
      <c r="R25" s="85">
        <v>0.194</v>
      </c>
      <c r="S25" s="85">
        <v>0.209</v>
      </c>
      <c r="T25" s="85">
        <v>0.223</v>
      </c>
      <c r="U25" s="85">
        <v>0.238</v>
      </c>
      <c r="V25" s="85">
        <v>0.253</v>
      </c>
      <c r="W25" s="85">
        <v>0.267</v>
      </c>
      <c r="X25" s="85">
        <v>0.282</v>
      </c>
    </row>
    <row r="26" spans="1:24">
      <c r="A26">
        <f t="shared" si="0"/>
        <v>0.295</v>
      </c>
      <c r="B26" s="87" t="s">
        <v>210</v>
      </c>
      <c r="C26" s="88">
        <v>0.495</v>
      </c>
      <c r="D26" s="89">
        <f t="shared" si="4"/>
        <v>0.495</v>
      </c>
      <c r="E26" s="89">
        <f t="shared" si="4"/>
        <v>0.495</v>
      </c>
      <c r="F26" s="89">
        <f t="shared" si="4"/>
        <v>0.495</v>
      </c>
      <c r="G26" s="89">
        <f t="shared" si="4"/>
        <v>0.495</v>
      </c>
      <c r="H26" s="89">
        <f t="shared" si="4"/>
        <v>0.495</v>
      </c>
      <c r="I26" s="89">
        <f t="shared" si="4"/>
        <v>0.495</v>
      </c>
      <c r="J26" s="89">
        <f t="shared" si="4"/>
        <v>0.495</v>
      </c>
      <c r="K26" s="89">
        <f t="shared" si="4"/>
        <v>0.495</v>
      </c>
      <c r="L26" s="89">
        <f t="shared" si="4"/>
        <v>0.495</v>
      </c>
      <c r="N26" s="87" t="s">
        <v>210</v>
      </c>
      <c r="O26" s="85">
        <v>0.2</v>
      </c>
      <c r="P26" s="85">
        <v>0.215</v>
      </c>
      <c r="Q26" s="85">
        <v>0.229</v>
      </c>
      <c r="R26" s="85">
        <v>0.244</v>
      </c>
      <c r="S26" s="85">
        <v>0.259</v>
      </c>
      <c r="T26" s="85">
        <v>0.273</v>
      </c>
      <c r="U26" s="85">
        <v>0.288</v>
      </c>
      <c r="V26" s="85">
        <v>0.303</v>
      </c>
      <c r="W26" s="85">
        <v>0.317</v>
      </c>
      <c r="X26" s="85">
        <v>0.332</v>
      </c>
    </row>
    <row r="27" spans="1:24">
      <c r="A27">
        <f t="shared" si="0"/>
        <v>0.44</v>
      </c>
      <c r="B27" s="87" t="s">
        <v>215</v>
      </c>
      <c r="C27" s="88">
        <v>0.7</v>
      </c>
      <c r="D27" s="89">
        <f t="shared" si="4"/>
        <v>0.7</v>
      </c>
      <c r="E27" s="89">
        <f t="shared" si="4"/>
        <v>0.7</v>
      </c>
      <c r="F27" s="89">
        <f t="shared" si="4"/>
        <v>0.7</v>
      </c>
      <c r="G27" s="89">
        <f t="shared" si="4"/>
        <v>0.7</v>
      </c>
      <c r="H27" s="89">
        <f t="shared" si="4"/>
        <v>0.7</v>
      </c>
      <c r="I27" s="89">
        <f t="shared" si="4"/>
        <v>0.7</v>
      </c>
      <c r="J27" s="89">
        <f t="shared" si="4"/>
        <v>0.7</v>
      </c>
      <c r="K27" s="89">
        <f t="shared" si="4"/>
        <v>0.7</v>
      </c>
      <c r="L27" s="89">
        <f t="shared" si="4"/>
        <v>0.7</v>
      </c>
      <c r="N27" s="87" t="s">
        <v>215</v>
      </c>
      <c r="O27" s="85">
        <v>0.26</v>
      </c>
      <c r="P27" s="85">
        <v>0.275</v>
      </c>
      <c r="Q27" s="85">
        <v>0.289</v>
      </c>
      <c r="R27" s="85">
        <v>0.304</v>
      </c>
      <c r="S27" s="85">
        <v>0.319</v>
      </c>
      <c r="T27" s="85">
        <v>0.333</v>
      </c>
      <c r="U27" s="85">
        <v>0.348</v>
      </c>
      <c r="V27" s="85">
        <v>0.363</v>
      </c>
      <c r="W27" s="85">
        <v>0.377</v>
      </c>
      <c r="X27" s="85">
        <v>0.392</v>
      </c>
    </row>
    <row r="28" spans="1:24">
      <c r="A28">
        <f t="shared" si="0"/>
        <v>0.045</v>
      </c>
      <c r="B28" s="90" t="s">
        <v>220</v>
      </c>
      <c r="C28" s="91">
        <v>0.265</v>
      </c>
      <c r="D28" s="91">
        <v>0.28</v>
      </c>
      <c r="E28" s="91">
        <v>0.295</v>
      </c>
      <c r="F28" s="91">
        <v>0.31</v>
      </c>
      <c r="G28" s="91">
        <v>0.325</v>
      </c>
      <c r="H28" s="91">
        <v>0.34</v>
      </c>
      <c r="I28" s="91">
        <v>0.355</v>
      </c>
      <c r="J28" s="91">
        <v>0.37</v>
      </c>
      <c r="K28" s="91">
        <v>0.385</v>
      </c>
      <c r="L28" s="91">
        <v>0.4</v>
      </c>
      <c r="N28" s="90" t="s">
        <v>220</v>
      </c>
      <c r="O28" s="85">
        <v>0.22</v>
      </c>
      <c r="P28" s="85">
        <v>0.235</v>
      </c>
      <c r="Q28" s="85">
        <v>0.249</v>
      </c>
      <c r="R28" s="85">
        <v>0.264</v>
      </c>
      <c r="S28" s="85">
        <v>0.279</v>
      </c>
      <c r="T28" s="85">
        <v>0.293</v>
      </c>
      <c r="U28" s="85">
        <v>0.308</v>
      </c>
      <c r="V28" s="85">
        <v>0.323</v>
      </c>
      <c r="W28" s="85">
        <v>0.337</v>
      </c>
      <c r="X28" s="85">
        <v>0.352</v>
      </c>
    </row>
    <row r="29" spans="1:24">
      <c r="A29">
        <f t="shared" si="0"/>
        <v>0.09</v>
      </c>
      <c r="B29" s="86" t="s">
        <v>225</v>
      </c>
      <c r="C29" s="85">
        <v>0.23</v>
      </c>
      <c r="D29" s="85">
        <v>0.249</v>
      </c>
      <c r="E29" s="85">
        <v>0.268</v>
      </c>
      <c r="F29" s="85">
        <v>0.287</v>
      </c>
      <c r="G29" s="85">
        <v>0.306</v>
      </c>
      <c r="H29" s="85">
        <v>0.324</v>
      </c>
      <c r="I29" s="85">
        <v>0.343</v>
      </c>
      <c r="J29" s="85">
        <v>0.362</v>
      </c>
      <c r="K29" s="85">
        <v>0.381</v>
      </c>
      <c r="L29" s="85">
        <v>0.4</v>
      </c>
      <c r="N29" s="86" t="s">
        <v>225</v>
      </c>
      <c r="O29" s="85">
        <v>0.14</v>
      </c>
      <c r="P29" s="85">
        <v>0.155</v>
      </c>
      <c r="Q29" s="85">
        <v>0.169</v>
      </c>
      <c r="R29" s="85">
        <v>0.184</v>
      </c>
      <c r="S29" s="85">
        <v>0.199</v>
      </c>
      <c r="T29" s="85">
        <v>0.213</v>
      </c>
      <c r="U29" s="85">
        <v>0.228</v>
      </c>
      <c r="V29" s="85">
        <v>0.243</v>
      </c>
      <c r="W29" s="85">
        <v>0.257</v>
      </c>
      <c r="X29" s="85">
        <v>0.272</v>
      </c>
    </row>
    <row r="30" spans="1:24">
      <c r="A30">
        <f t="shared" si="0"/>
        <v>0.245</v>
      </c>
      <c r="B30" s="90" t="s">
        <v>165</v>
      </c>
      <c r="C30" s="91">
        <v>0.3</v>
      </c>
      <c r="D30" s="91">
        <v>0.311</v>
      </c>
      <c r="E30" s="91">
        <v>0.322</v>
      </c>
      <c r="F30" s="91">
        <v>0.333</v>
      </c>
      <c r="G30" s="91">
        <v>0.344</v>
      </c>
      <c r="H30" s="91">
        <v>0.356</v>
      </c>
      <c r="I30" s="91">
        <v>0.367</v>
      </c>
      <c r="J30" s="91">
        <v>0.378</v>
      </c>
      <c r="K30" s="91">
        <v>0.389</v>
      </c>
      <c r="L30" s="91">
        <v>0.4</v>
      </c>
      <c r="N30" s="90" t="s">
        <v>165</v>
      </c>
      <c r="O30" s="85">
        <v>0.055</v>
      </c>
      <c r="P30" s="85">
        <v>0.07</v>
      </c>
      <c r="Q30" s="85">
        <v>0.084</v>
      </c>
      <c r="R30" s="85">
        <v>0.099</v>
      </c>
      <c r="S30" s="85">
        <v>0.114</v>
      </c>
      <c r="T30" s="85">
        <v>0.128</v>
      </c>
      <c r="U30" s="85">
        <v>0.143</v>
      </c>
      <c r="V30" s="85">
        <v>0.158</v>
      </c>
      <c r="W30" s="85">
        <v>0.172</v>
      </c>
      <c r="X30" s="85">
        <v>0.187</v>
      </c>
    </row>
    <row r="31" spans="1:24">
      <c r="A31">
        <f t="shared" si="0"/>
        <v>0.335</v>
      </c>
      <c r="B31" s="90" t="s">
        <v>170</v>
      </c>
      <c r="C31" s="91">
        <v>0.435</v>
      </c>
      <c r="D31" s="89">
        <f t="shared" ref="D31:L31" si="5">C31</f>
        <v>0.435</v>
      </c>
      <c r="E31" s="89">
        <f t="shared" si="5"/>
        <v>0.435</v>
      </c>
      <c r="F31" s="89">
        <f t="shared" si="5"/>
        <v>0.435</v>
      </c>
      <c r="G31" s="89">
        <f t="shared" si="5"/>
        <v>0.435</v>
      </c>
      <c r="H31" s="89">
        <f t="shared" si="5"/>
        <v>0.435</v>
      </c>
      <c r="I31" s="89">
        <f t="shared" si="5"/>
        <v>0.435</v>
      </c>
      <c r="J31" s="89">
        <f t="shared" si="5"/>
        <v>0.435</v>
      </c>
      <c r="K31" s="89">
        <f t="shared" si="5"/>
        <v>0.435</v>
      </c>
      <c r="L31" s="89">
        <f t="shared" si="5"/>
        <v>0.435</v>
      </c>
      <c r="N31" s="90" t="s">
        <v>170</v>
      </c>
      <c r="O31" s="85">
        <v>0.1</v>
      </c>
      <c r="P31" s="85">
        <v>0.115</v>
      </c>
      <c r="Q31" s="85">
        <v>0.129</v>
      </c>
      <c r="R31" s="85">
        <v>0.144</v>
      </c>
      <c r="S31" s="85">
        <v>0.159</v>
      </c>
      <c r="T31" s="85">
        <v>0.173</v>
      </c>
      <c r="U31" s="85">
        <v>0.188</v>
      </c>
      <c r="V31" s="85">
        <v>0.203</v>
      </c>
      <c r="W31" s="85">
        <v>0.217</v>
      </c>
      <c r="X31" s="85">
        <v>0.232</v>
      </c>
    </row>
    <row r="32" spans="1:24">
      <c r="A32">
        <f t="shared" si="0"/>
        <v>0.08</v>
      </c>
      <c r="B32" s="90" t="s">
        <v>175</v>
      </c>
      <c r="C32" s="91">
        <v>0.16</v>
      </c>
      <c r="D32" s="91">
        <v>0.187</v>
      </c>
      <c r="E32" s="91">
        <v>0.213</v>
      </c>
      <c r="F32" s="91">
        <v>0.24</v>
      </c>
      <c r="G32" s="91">
        <v>0.267</v>
      </c>
      <c r="H32" s="91">
        <v>0.293</v>
      </c>
      <c r="I32" s="91">
        <v>0.32</v>
      </c>
      <c r="J32" s="91">
        <v>0.347</v>
      </c>
      <c r="K32" s="91">
        <v>0.373</v>
      </c>
      <c r="L32" s="91">
        <v>0.4</v>
      </c>
      <c r="N32" s="90" t="s">
        <v>175</v>
      </c>
      <c r="O32" s="85">
        <v>0.08</v>
      </c>
      <c r="P32" s="85">
        <v>0.095</v>
      </c>
      <c r="Q32" s="85">
        <v>0.109</v>
      </c>
      <c r="R32" s="85">
        <v>0.124</v>
      </c>
      <c r="S32" s="85">
        <v>0.139</v>
      </c>
      <c r="T32" s="85">
        <v>0.153</v>
      </c>
      <c r="U32" s="85">
        <v>0.168</v>
      </c>
      <c r="V32" s="85">
        <v>0.183</v>
      </c>
      <c r="W32" s="85">
        <v>0.197</v>
      </c>
      <c r="X32" s="85">
        <v>0.212</v>
      </c>
    </row>
    <row r="33" spans="1:24">
      <c r="A33">
        <f t="shared" si="0"/>
        <v>0.285</v>
      </c>
      <c r="B33" s="91" t="s">
        <v>190</v>
      </c>
      <c r="C33" s="91">
        <v>0.38</v>
      </c>
      <c r="D33" s="91">
        <v>0.382</v>
      </c>
      <c r="E33" s="91">
        <v>0.384</v>
      </c>
      <c r="F33" s="91">
        <v>0.387</v>
      </c>
      <c r="G33" s="91">
        <v>0.389</v>
      </c>
      <c r="H33" s="91">
        <v>0.391</v>
      </c>
      <c r="I33" s="91">
        <v>0.393</v>
      </c>
      <c r="J33" s="91">
        <v>0.396</v>
      </c>
      <c r="K33" s="91">
        <v>0.398</v>
      </c>
      <c r="L33" s="91">
        <v>0.4</v>
      </c>
      <c r="N33" s="91" t="s">
        <v>190</v>
      </c>
      <c r="O33" s="85">
        <v>0.095</v>
      </c>
      <c r="P33" s="85">
        <v>0.11</v>
      </c>
      <c r="Q33" s="85">
        <v>0.124</v>
      </c>
      <c r="R33" s="85">
        <v>0.139</v>
      </c>
      <c r="S33" s="85">
        <v>0.154</v>
      </c>
      <c r="T33" s="85">
        <v>0.168</v>
      </c>
      <c r="U33" s="85">
        <v>0.183</v>
      </c>
      <c r="V33" s="85">
        <v>0.198</v>
      </c>
      <c r="W33" s="85">
        <v>0.212</v>
      </c>
      <c r="X33" s="85">
        <v>0.227</v>
      </c>
    </row>
    <row r="34" spans="1:24">
      <c r="A34">
        <f t="shared" si="0"/>
        <v>0.6</v>
      </c>
      <c r="B34" s="87" t="s">
        <v>195</v>
      </c>
      <c r="C34" s="88">
        <v>0.75</v>
      </c>
      <c r="D34" s="89">
        <f t="shared" ref="D34:L34" si="6">C34</f>
        <v>0.75</v>
      </c>
      <c r="E34" s="89">
        <f t="shared" si="6"/>
        <v>0.75</v>
      </c>
      <c r="F34" s="89">
        <f t="shared" si="6"/>
        <v>0.75</v>
      </c>
      <c r="G34" s="89">
        <f t="shared" si="6"/>
        <v>0.75</v>
      </c>
      <c r="H34" s="89">
        <f t="shared" si="6"/>
        <v>0.75</v>
      </c>
      <c r="I34" s="89">
        <f t="shared" si="6"/>
        <v>0.75</v>
      </c>
      <c r="J34" s="89">
        <f t="shared" si="6"/>
        <v>0.75</v>
      </c>
      <c r="K34" s="89">
        <f t="shared" si="6"/>
        <v>0.75</v>
      </c>
      <c r="L34" s="89">
        <f t="shared" si="6"/>
        <v>0.75</v>
      </c>
      <c r="N34" s="87" t="s">
        <v>195</v>
      </c>
      <c r="O34" s="85">
        <v>0.15</v>
      </c>
      <c r="P34" s="85">
        <v>0.165</v>
      </c>
      <c r="Q34" s="85">
        <v>0.179</v>
      </c>
      <c r="R34" s="85">
        <v>0.194</v>
      </c>
      <c r="S34" s="85">
        <v>0.209</v>
      </c>
      <c r="T34" s="85">
        <v>0.223</v>
      </c>
      <c r="U34" s="85">
        <v>0.238</v>
      </c>
      <c r="V34" s="85">
        <v>0.253</v>
      </c>
      <c r="W34" s="85">
        <v>0.267</v>
      </c>
      <c r="X34" s="85">
        <v>0.282</v>
      </c>
    </row>
    <row r="36" spans="1:24">
      <c r="C36" t="s">
        <v>283</v>
      </c>
    </row>
  </sheetData>
  <mergeCells count="4">
    <mergeCell ref="B1:L1"/>
    <mergeCell ref="N1:X1"/>
    <mergeCell ref="B2:L2"/>
    <mergeCell ref="N2:X2"/>
  </mergeCells>
  <conditionalFormatting sqref="A4:A3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4:X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4"/>
  <sheetViews>
    <sheetView workbookViewId="0">
      <selection activeCell="N8" sqref="N8"/>
    </sheetView>
  </sheetViews>
  <sheetFormatPr defaultColWidth="9" defaultRowHeight="13.85"/>
  <cols>
    <col min="2" max="23" width="9.24778761061947" customWidth="1"/>
  </cols>
  <sheetData>
    <row r="1" spans="1:23">
      <c r="A1" s="74" t="s">
        <v>284</v>
      </c>
      <c r="B1" s="75" t="s">
        <v>285</v>
      </c>
      <c r="C1" s="75"/>
      <c r="D1" s="75"/>
      <c r="E1" s="75"/>
      <c r="F1" s="75"/>
      <c r="G1" s="75"/>
      <c r="H1" s="75"/>
      <c r="I1" s="75" t="s">
        <v>286</v>
      </c>
      <c r="J1" s="75"/>
      <c r="K1" s="75"/>
      <c r="L1" s="75"/>
      <c r="M1" s="75"/>
      <c r="N1" s="75"/>
      <c r="O1" s="75"/>
      <c r="P1" s="75" t="s">
        <v>287</v>
      </c>
      <c r="Q1" s="75"/>
      <c r="R1" s="75"/>
      <c r="S1" s="75"/>
      <c r="T1" s="75" t="s">
        <v>288</v>
      </c>
      <c r="U1" s="75"/>
      <c r="V1" s="75"/>
      <c r="W1" s="75"/>
    </row>
    <row r="2" ht="14.25" customHeight="1" spans="1:23">
      <c r="A2" s="74"/>
      <c r="B2" s="75" t="s">
        <v>289</v>
      </c>
      <c r="C2" s="75"/>
      <c r="D2" s="75"/>
      <c r="E2" s="75"/>
      <c r="F2" s="75"/>
      <c r="G2" s="75"/>
      <c r="H2" s="75"/>
      <c r="I2" s="75" t="s">
        <v>290</v>
      </c>
      <c r="J2" s="75"/>
      <c r="K2" s="75"/>
      <c r="L2" s="75"/>
      <c r="M2" s="75"/>
      <c r="N2" s="75"/>
      <c r="O2" s="75"/>
      <c r="P2" s="75" t="s">
        <v>291</v>
      </c>
      <c r="Q2" s="75"/>
      <c r="R2" s="75"/>
      <c r="S2" s="75"/>
      <c r="T2" s="75" t="s">
        <v>292</v>
      </c>
      <c r="U2" s="75"/>
      <c r="V2" s="75"/>
      <c r="W2" s="75"/>
    </row>
    <row r="3" s="74" customFormat="1" spans="1:23">
      <c r="A3" s="76"/>
      <c r="B3" s="77">
        <v>2018</v>
      </c>
      <c r="C3" s="77">
        <v>2019</v>
      </c>
      <c r="D3" s="77">
        <v>2020</v>
      </c>
      <c r="E3" s="77">
        <v>2021</v>
      </c>
      <c r="F3" s="77">
        <v>2022</v>
      </c>
      <c r="G3" s="77">
        <v>2023</v>
      </c>
      <c r="H3" s="77">
        <v>2024</v>
      </c>
      <c r="I3" s="77">
        <v>2018</v>
      </c>
      <c r="J3" s="77">
        <v>2019</v>
      </c>
      <c r="K3" s="77">
        <v>2020</v>
      </c>
      <c r="L3" s="77">
        <v>2021</v>
      </c>
      <c r="M3" s="77">
        <v>2022</v>
      </c>
      <c r="N3" s="77">
        <v>2023</v>
      </c>
      <c r="O3" s="77">
        <v>2024</v>
      </c>
      <c r="P3" s="77">
        <v>2018</v>
      </c>
      <c r="Q3" s="77">
        <v>2019</v>
      </c>
      <c r="R3" s="77">
        <v>2020</v>
      </c>
      <c r="S3" s="77">
        <v>2021</v>
      </c>
      <c r="T3" s="77">
        <v>2018</v>
      </c>
      <c r="U3" s="77">
        <v>2019</v>
      </c>
      <c r="V3" s="77">
        <v>2020</v>
      </c>
      <c r="W3" s="77">
        <v>2021</v>
      </c>
    </row>
    <row r="4" spans="1:23">
      <c r="A4" s="78" t="s">
        <v>75</v>
      </c>
      <c r="B4" s="79">
        <v>0.11</v>
      </c>
      <c r="C4" s="79">
        <v>0.135</v>
      </c>
      <c r="D4" s="79">
        <v>0.155</v>
      </c>
      <c r="E4" s="79">
        <v>0.18</v>
      </c>
      <c r="F4" s="79">
        <v>0.1944</v>
      </c>
      <c r="G4" s="79">
        <v>0.201</v>
      </c>
      <c r="H4" s="79">
        <v>0.217</v>
      </c>
      <c r="I4" s="79">
        <v>0.105</v>
      </c>
      <c r="J4" s="79">
        <v>0.135</v>
      </c>
      <c r="K4" s="79">
        <v>0.15</v>
      </c>
      <c r="L4" s="79">
        <v>0.175</v>
      </c>
      <c r="M4" s="79">
        <v>0.1875</v>
      </c>
      <c r="N4" s="79">
        <v>0.2</v>
      </c>
      <c r="O4" s="79">
        <v>0.217</v>
      </c>
      <c r="P4" s="79">
        <v>0.121</v>
      </c>
      <c r="Q4" s="79">
        <v>0.149</v>
      </c>
      <c r="R4" s="79">
        <v>0.169</v>
      </c>
      <c r="S4" s="79">
        <v>0.198</v>
      </c>
      <c r="T4" s="79">
        <v>0.116</v>
      </c>
      <c r="U4" s="79">
        <v>0.149</v>
      </c>
      <c r="V4" s="79">
        <v>0.165</v>
      </c>
      <c r="W4" s="79">
        <v>0.193</v>
      </c>
    </row>
    <row r="5" spans="1:23">
      <c r="A5" s="78" t="s">
        <v>80</v>
      </c>
      <c r="B5" s="79">
        <v>0.11</v>
      </c>
      <c r="C5" s="79">
        <v>0.135</v>
      </c>
      <c r="D5" s="79">
        <v>0.145</v>
      </c>
      <c r="E5" s="79">
        <v>0.17</v>
      </c>
      <c r="F5" s="79">
        <v>0.1842</v>
      </c>
      <c r="G5" s="79">
        <v>0.195</v>
      </c>
      <c r="H5" s="79">
        <v>0.205</v>
      </c>
      <c r="I5" s="79">
        <v>0.105</v>
      </c>
      <c r="J5" s="79">
        <v>0.135</v>
      </c>
      <c r="K5" s="79">
        <v>0.14</v>
      </c>
      <c r="L5" s="79">
        <v>0.16</v>
      </c>
      <c r="M5" s="79">
        <v>0.1725</v>
      </c>
      <c r="N5" s="79">
        <v>0.187</v>
      </c>
      <c r="O5" s="79">
        <v>0.204</v>
      </c>
      <c r="P5" s="79">
        <v>0.121</v>
      </c>
      <c r="Q5" s="79">
        <v>0.149</v>
      </c>
      <c r="R5" s="79">
        <v>0.159</v>
      </c>
      <c r="S5" s="79">
        <v>0.187</v>
      </c>
      <c r="T5" s="79">
        <v>0.116</v>
      </c>
      <c r="U5" s="79">
        <v>0.149</v>
      </c>
      <c r="V5" s="79">
        <v>0.154</v>
      </c>
      <c r="W5" s="79">
        <v>0.176</v>
      </c>
    </row>
    <row r="6" spans="1:23">
      <c r="A6" s="78" t="s">
        <v>85</v>
      </c>
      <c r="B6" s="79">
        <v>0.11</v>
      </c>
      <c r="C6" s="79">
        <v>0.135</v>
      </c>
      <c r="D6" s="79">
        <v>0.13</v>
      </c>
      <c r="E6" s="79">
        <v>0.165</v>
      </c>
      <c r="F6" s="79">
        <v>0.1793</v>
      </c>
      <c r="G6" s="79">
        <v>0.191</v>
      </c>
      <c r="H6" s="79">
        <v>0.207</v>
      </c>
      <c r="I6" s="79">
        <v>0.105</v>
      </c>
      <c r="J6" s="79">
        <v>0.135</v>
      </c>
      <c r="K6" s="79">
        <v>0.125</v>
      </c>
      <c r="L6" s="79">
        <v>0.16</v>
      </c>
      <c r="M6" s="79">
        <v>0.1725</v>
      </c>
      <c r="N6" s="79">
        <v>0.19</v>
      </c>
      <c r="O6" s="79">
        <v>0.207</v>
      </c>
      <c r="P6" s="79">
        <v>0.121</v>
      </c>
      <c r="Q6" s="79">
        <v>0.149</v>
      </c>
      <c r="R6" s="79">
        <v>0.144</v>
      </c>
      <c r="S6" s="79">
        <v>0.182</v>
      </c>
      <c r="T6" s="79">
        <v>0.116</v>
      </c>
      <c r="U6" s="79">
        <v>0.149</v>
      </c>
      <c r="V6" s="79">
        <v>0.138</v>
      </c>
      <c r="W6" s="79">
        <v>0.176</v>
      </c>
    </row>
    <row r="7" spans="1:23">
      <c r="A7" s="78" t="s">
        <v>90</v>
      </c>
      <c r="B7" s="79">
        <v>0.15</v>
      </c>
      <c r="C7" s="79">
        <v>0.155</v>
      </c>
      <c r="D7" s="79">
        <v>0.17</v>
      </c>
      <c r="E7" s="79">
        <v>0.2</v>
      </c>
      <c r="F7" s="79">
        <v>0.2141</v>
      </c>
      <c r="G7" s="79">
        <v>0.225</v>
      </c>
      <c r="H7" s="79">
        <v>0.235</v>
      </c>
      <c r="I7" s="79">
        <v>0.125</v>
      </c>
      <c r="J7" s="79">
        <v>0.135</v>
      </c>
      <c r="K7" s="79">
        <v>0.16</v>
      </c>
      <c r="L7" s="79">
        <v>0.19</v>
      </c>
      <c r="M7" s="79">
        <v>0.2025</v>
      </c>
      <c r="N7" s="79">
        <v>0.215</v>
      </c>
      <c r="O7" s="79">
        <v>0.232</v>
      </c>
      <c r="P7" s="79">
        <v>0.165</v>
      </c>
      <c r="Q7" s="79">
        <v>0.171</v>
      </c>
      <c r="R7" s="79">
        <v>0.188</v>
      </c>
      <c r="S7" s="79">
        <v>0.22</v>
      </c>
      <c r="T7" s="79">
        <v>0.138</v>
      </c>
      <c r="U7" s="79">
        <v>0.149</v>
      </c>
      <c r="V7" s="79">
        <v>0.176</v>
      </c>
      <c r="W7" s="79">
        <v>0.209</v>
      </c>
    </row>
    <row r="8" spans="1:23">
      <c r="A8" s="78" t="s">
        <v>95</v>
      </c>
      <c r="B8" s="79">
        <v>0.185</v>
      </c>
      <c r="C8" s="79">
        <v>0.185</v>
      </c>
      <c r="D8" s="79">
        <v>0.18</v>
      </c>
      <c r="E8" s="79">
        <v>0.205</v>
      </c>
      <c r="F8" s="79">
        <v>0.2187</v>
      </c>
      <c r="G8" s="79">
        <v>0.23</v>
      </c>
      <c r="H8" s="79">
        <v>0.24</v>
      </c>
      <c r="I8" s="79">
        <v>0.18</v>
      </c>
      <c r="J8" s="79">
        <v>0.18</v>
      </c>
      <c r="K8" s="79">
        <v>0.165</v>
      </c>
      <c r="L8" s="79">
        <v>0.195</v>
      </c>
      <c r="M8" s="79">
        <v>0.2075</v>
      </c>
      <c r="N8" s="79">
        <v>0.22</v>
      </c>
      <c r="O8" s="79">
        <v>0.237</v>
      </c>
      <c r="P8" s="79">
        <v>0.204</v>
      </c>
      <c r="Q8" s="79">
        <v>0.204</v>
      </c>
      <c r="R8" s="79">
        <v>0.197</v>
      </c>
      <c r="S8" s="79">
        <v>0.226</v>
      </c>
      <c r="T8" s="79">
        <v>0.198</v>
      </c>
      <c r="U8" s="79">
        <v>0.198</v>
      </c>
      <c r="V8" s="79">
        <v>0.182</v>
      </c>
      <c r="W8" s="79">
        <v>0.215</v>
      </c>
    </row>
    <row r="9" spans="1:23">
      <c r="A9" s="78" t="s">
        <v>100</v>
      </c>
      <c r="B9" s="79">
        <v>0.12</v>
      </c>
      <c r="C9" s="79">
        <v>0.12</v>
      </c>
      <c r="D9" s="79">
        <v>0.15</v>
      </c>
      <c r="E9" s="79">
        <v>0.155</v>
      </c>
      <c r="F9" s="79">
        <v>0.169</v>
      </c>
      <c r="G9" s="79">
        <v>0.192</v>
      </c>
      <c r="H9" s="79">
        <v>0.202</v>
      </c>
      <c r="I9" s="79">
        <v>0.1</v>
      </c>
      <c r="J9" s="79">
        <v>0.1</v>
      </c>
      <c r="K9" s="79">
        <v>0.125</v>
      </c>
      <c r="L9" s="79">
        <v>0.135</v>
      </c>
      <c r="M9" s="79">
        <v>0.1475</v>
      </c>
      <c r="N9" s="79">
        <v>0.16</v>
      </c>
      <c r="O9" s="79">
        <v>0.177</v>
      </c>
      <c r="P9" s="79">
        <v>0.132</v>
      </c>
      <c r="Q9" s="79">
        <v>0.132</v>
      </c>
      <c r="R9" s="79">
        <v>0.166</v>
      </c>
      <c r="S9" s="79">
        <v>0.171</v>
      </c>
      <c r="T9" s="79">
        <v>0.11</v>
      </c>
      <c r="U9" s="79">
        <v>0.11</v>
      </c>
      <c r="V9" s="79">
        <v>0.138</v>
      </c>
      <c r="W9" s="79">
        <v>0.149</v>
      </c>
    </row>
    <row r="10" spans="1:23">
      <c r="A10" s="78" t="s">
        <v>105</v>
      </c>
      <c r="B10" s="79">
        <v>0.2</v>
      </c>
      <c r="C10" s="79">
        <v>0.215</v>
      </c>
      <c r="D10" s="79">
        <v>0.24</v>
      </c>
      <c r="E10" s="79">
        <v>0.28</v>
      </c>
      <c r="F10" s="79">
        <v>0.2929</v>
      </c>
      <c r="G10" s="79">
        <v>0.313</v>
      </c>
      <c r="H10" s="79">
        <v>0.323</v>
      </c>
      <c r="I10" s="79">
        <v>0.15</v>
      </c>
      <c r="J10" s="79">
        <v>0.155</v>
      </c>
      <c r="K10" s="79">
        <v>0.185</v>
      </c>
      <c r="L10" s="79">
        <v>0.21</v>
      </c>
      <c r="M10" s="79">
        <v>0.2225</v>
      </c>
      <c r="N10" s="79">
        <v>0.235</v>
      </c>
      <c r="O10" s="79">
        <v>0.252</v>
      </c>
      <c r="P10" s="79">
        <v>0.22</v>
      </c>
      <c r="Q10" s="79">
        <v>0.237</v>
      </c>
      <c r="R10" s="79">
        <v>0.266</v>
      </c>
      <c r="S10" s="79">
        <v>0.309</v>
      </c>
      <c r="T10" s="79">
        <v>0.165</v>
      </c>
      <c r="U10" s="79">
        <v>0.171</v>
      </c>
      <c r="V10" s="79">
        <v>0.204</v>
      </c>
      <c r="W10" s="79">
        <v>0.231</v>
      </c>
    </row>
    <row r="11" spans="1:23">
      <c r="A11" s="78" t="s">
        <v>110</v>
      </c>
      <c r="B11" s="79">
        <v>0.195</v>
      </c>
      <c r="C11" s="79">
        <v>0.215</v>
      </c>
      <c r="D11" s="79">
        <v>0.22</v>
      </c>
      <c r="E11" s="79">
        <v>0.22</v>
      </c>
      <c r="F11" s="79">
        <v>0.234</v>
      </c>
      <c r="G11" s="79">
        <v>0.245</v>
      </c>
      <c r="H11" s="79">
        <v>0.255</v>
      </c>
      <c r="I11" s="79">
        <v>0.15</v>
      </c>
      <c r="J11" s="79">
        <v>0.175</v>
      </c>
      <c r="K11" s="79">
        <v>0.2</v>
      </c>
      <c r="L11" s="79">
        <v>0.2</v>
      </c>
      <c r="M11" s="79">
        <v>0.2125</v>
      </c>
      <c r="N11" s="79">
        <v>0.227</v>
      </c>
      <c r="O11" s="79">
        <v>0.244</v>
      </c>
      <c r="P11" s="79">
        <v>0.215</v>
      </c>
      <c r="Q11" s="79">
        <v>0.237</v>
      </c>
      <c r="R11" s="79">
        <v>0.244</v>
      </c>
      <c r="S11" s="79">
        <v>0.242</v>
      </c>
      <c r="T11" s="79">
        <v>0.165</v>
      </c>
      <c r="U11" s="79">
        <v>0.193</v>
      </c>
      <c r="V11" s="79">
        <v>0.22</v>
      </c>
      <c r="W11" s="79">
        <v>0.22</v>
      </c>
    </row>
    <row r="12" spans="1:23">
      <c r="A12" s="78" t="s">
        <v>115</v>
      </c>
      <c r="B12" s="79">
        <v>0.315</v>
      </c>
      <c r="C12" s="79">
        <v>0.32</v>
      </c>
      <c r="D12" s="79">
        <v>0.325</v>
      </c>
      <c r="E12" s="79">
        <v>0.315</v>
      </c>
      <c r="F12" s="79">
        <v>0.3245</v>
      </c>
      <c r="G12" s="79">
        <v>0.3</v>
      </c>
      <c r="H12" s="79">
        <v>0.31</v>
      </c>
      <c r="I12" s="79">
        <v>0.025</v>
      </c>
      <c r="J12" s="79">
        <v>0.03</v>
      </c>
      <c r="K12" s="79">
        <v>0.04</v>
      </c>
      <c r="L12" s="79">
        <v>0.04</v>
      </c>
      <c r="M12" s="79">
        <v>0.0525</v>
      </c>
      <c r="N12" s="79">
        <v>0.06</v>
      </c>
      <c r="O12" s="79">
        <v>0.077</v>
      </c>
      <c r="P12" s="79">
        <v>0.349</v>
      </c>
      <c r="Q12" s="79">
        <v>0.352</v>
      </c>
      <c r="R12" s="79">
        <v>0.363</v>
      </c>
      <c r="S12" s="79">
        <v>0.35</v>
      </c>
      <c r="T12" s="79">
        <v>0.028</v>
      </c>
      <c r="U12" s="79">
        <v>0.033</v>
      </c>
      <c r="V12" s="79">
        <v>0.044</v>
      </c>
      <c r="W12" s="79">
        <v>0.044</v>
      </c>
    </row>
    <row r="13" spans="1:23">
      <c r="A13" s="78" t="s">
        <v>120</v>
      </c>
      <c r="B13" s="79">
        <v>0.125</v>
      </c>
      <c r="C13" s="79">
        <v>0.135</v>
      </c>
      <c r="D13" s="79">
        <v>0.14</v>
      </c>
      <c r="E13" s="79">
        <v>0.165</v>
      </c>
      <c r="F13" s="79">
        <v>0.1771</v>
      </c>
      <c r="G13" s="79">
        <v>0.209</v>
      </c>
      <c r="H13" s="79">
        <v>0.219</v>
      </c>
      <c r="I13" s="79">
        <v>0.055</v>
      </c>
      <c r="J13" s="79">
        <v>0.065</v>
      </c>
      <c r="K13" s="79">
        <v>0.075</v>
      </c>
      <c r="L13" s="79">
        <v>0.105</v>
      </c>
      <c r="M13" s="79">
        <v>0.1175</v>
      </c>
      <c r="N13" s="79">
        <v>0.13</v>
      </c>
      <c r="O13" s="79">
        <v>0.147</v>
      </c>
      <c r="P13" s="79">
        <v>0.137</v>
      </c>
      <c r="Q13" s="79">
        <v>0.149</v>
      </c>
      <c r="R13" s="79">
        <v>0.154</v>
      </c>
      <c r="S13" s="79">
        <v>0.182</v>
      </c>
      <c r="T13" s="79">
        <v>0.061</v>
      </c>
      <c r="U13" s="79">
        <v>0.072</v>
      </c>
      <c r="V13" s="79">
        <v>0.083</v>
      </c>
      <c r="W13" s="79">
        <v>0.116</v>
      </c>
    </row>
    <row r="14" spans="1:23">
      <c r="A14" s="78" t="s">
        <v>125</v>
      </c>
      <c r="B14" s="79">
        <v>0.18</v>
      </c>
      <c r="C14" s="79">
        <v>0.175</v>
      </c>
      <c r="D14" s="79">
        <v>0.175</v>
      </c>
      <c r="E14" s="79">
        <v>0.185</v>
      </c>
      <c r="F14" s="79">
        <v>0.1946</v>
      </c>
      <c r="G14" s="79">
        <v>0.216</v>
      </c>
      <c r="H14" s="79">
        <v>0.226</v>
      </c>
      <c r="I14" s="79">
        <v>0.05</v>
      </c>
      <c r="J14" s="79">
        <v>0.065</v>
      </c>
      <c r="K14" s="79">
        <v>0.075</v>
      </c>
      <c r="L14" s="79">
        <v>0.085</v>
      </c>
      <c r="M14" s="79">
        <v>0.0975</v>
      </c>
      <c r="N14" s="79">
        <v>0.11</v>
      </c>
      <c r="O14" s="79">
        <v>0.127</v>
      </c>
      <c r="P14" s="79">
        <v>0.198</v>
      </c>
      <c r="Q14" s="79">
        <v>0.193</v>
      </c>
      <c r="R14" s="79">
        <v>0.196</v>
      </c>
      <c r="S14" s="79">
        <v>0.205</v>
      </c>
      <c r="T14" s="79">
        <v>0.055</v>
      </c>
      <c r="U14" s="79">
        <v>0.072</v>
      </c>
      <c r="V14" s="79">
        <v>0.083</v>
      </c>
      <c r="W14" s="79">
        <v>0.094</v>
      </c>
    </row>
    <row r="15" spans="1:23">
      <c r="A15" s="78" t="s">
        <v>130</v>
      </c>
      <c r="B15" s="79">
        <v>0.13</v>
      </c>
      <c r="C15" s="79">
        <v>0.135</v>
      </c>
      <c r="D15" s="79">
        <v>0.15</v>
      </c>
      <c r="E15" s="79">
        <v>0.16</v>
      </c>
      <c r="F15" s="79">
        <v>0.1734</v>
      </c>
      <c r="G15" s="79">
        <v>0.196</v>
      </c>
      <c r="H15" s="79">
        <v>0.206</v>
      </c>
      <c r="I15" s="79">
        <v>0.095</v>
      </c>
      <c r="J15" s="79">
        <v>0.105</v>
      </c>
      <c r="K15" s="79">
        <v>0.125</v>
      </c>
      <c r="L15" s="79">
        <v>0.14</v>
      </c>
      <c r="M15" s="79">
        <v>0.1525</v>
      </c>
      <c r="N15" s="79">
        <v>0.165</v>
      </c>
      <c r="O15" s="79">
        <v>0.182</v>
      </c>
      <c r="P15" s="79">
        <v>0.143</v>
      </c>
      <c r="Q15" s="79">
        <v>0.149</v>
      </c>
      <c r="R15" s="79">
        <v>0.167</v>
      </c>
      <c r="S15" s="79">
        <v>0.176</v>
      </c>
      <c r="T15" s="79">
        <v>0.105</v>
      </c>
      <c r="U15" s="79">
        <v>0.116</v>
      </c>
      <c r="V15" s="79">
        <v>0.138</v>
      </c>
      <c r="W15" s="79">
        <v>0.154</v>
      </c>
    </row>
    <row r="16" spans="1:23">
      <c r="A16" s="78" t="s">
        <v>135</v>
      </c>
      <c r="B16" s="79">
        <v>0.17</v>
      </c>
      <c r="C16" s="79">
        <v>0.185</v>
      </c>
      <c r="D16" s="79">
        <v>0.195</v>
      </c>
      <c r="E16" s="79">
        <v>0.19</v>
      </c>
      <c r="F16" s="79">
        <v>0.1996</v>
      </c>
      <c r="G16" s="79">
        <v>0.206</v>
      </c>
      <c r="H16" s="79">
        <v>0.216</v>
      </c>
      <c r="I16" s="79">
        <v>0.045</v>
      </c>
      <c r="J16" s="79">
        <v>0.05</v>
      </c>
      <c r="K16" s="79">
        <v>0.06</v>
      </c>
      <c r="L16" s="79">
        <v>0.075</v>
      </c>
      <c r="M16" s="79">
        <v>0.0875</v>
      </c>
      <c r="N16" s="79">
        <v>0.1</v>
      </c>
      <c r="O16" s="79">
        <v>0.117</v>
      </c>
      <c r="P16" s="79">
        <v>0.187</v>
      </c>
      <c r="Q16" s="79">
        <v>0.204</v>
      </c>
      <c r="R16" s="79">
        <v>0.218</v>
      </c>
      <c r="S16" s="79">
        <v>0.21</v>
      </c>
      <c r="T16" s="79">
        <v>0.05</v>
      </c>
      <c r="U16" s="79">
        <v>0.055</v>
      </c>
      <c r="V16" s="79">
        <v>0.066</v>
      </c>
      <c r="W16" s="79">
        <v>0.083</v>
      </c>
    </row>
    <row r="17" spans="1:23">
      <c r="A17" s="78" t="s">
        <v>140</v>
      </c>
      <c r="B17" s="79">
        <v>0.23</v>
      </c>
      <c r="C17" s="79">
        <v>0.255</v>
      </c>
      <c r="D17" s="79">
        <v>0.22</v>
      </c>
      <c r="E17" s="79">
        <v>0.265</v>
      </c>
      <c r="F17" s="79">
        <v>0.3239</v>
      </c>
      <c r="G17" s="79">
        <v>0.264</v>
      </c>
      <c r="H17" s="79">
        <v>0.274</v>
      </c>
      <c r="I17" s="79">
        <v>0.065</v>
      </c>
      <c r="J17" s="79">
        <v>0.07</v>
      </c>
      <c r="K17" s="79">
        <v>0.09</v>
      </c>
      <c r="L17" s="79">
        <v>0.12</v>
      </c>
      <c r="M17" s="79">
        <v>0.1325</v>
      </c>
      <c r="N17" s="79">
        <v>0.145</v>
      </c>
      <c r="O17" s="79">
        <v>0.162</v>
      </c>
      <c r="P17" s="79">
        <v>0.251</v>
      </c>
      <c r="Q17" s="79">
        <v>0.281</v>
      </c>
      <c r="R17" s="79">
        <v>0.244</v>
      </c>
      <c r="S17" s="79">
        <v>0.293</v>
      </c>
      <c r="T17" s="79">
        <v>0.072</v>
      </c>
      <c r="U17" s="79">
        <v>0.077</v>
      </c>
      <c r="V17" s="79">
        <v>0.099</v>
      </c>
      <c r="W17" s="79">
        <v>0.132</v>
      </c>
    </row>
    <row r="18" spans="1:23">
      <c r="A18" s="78" t="s">
        <v>145</v>
      </c>
      <c r="B18" s="79">
        <v>0.095</v>
      </c>
      <c r="C18" s="79">
        <v>0.1</v>
      </c>
      <c r="D18" s="79">
        <v>0.115</v>
      </c>
      <c r="E18" s="79">
        <v>0.13</v>
      </c>
      <c r="F18" s="79">
        <v>0.1444</v>
      </c>
      <c r="G18" s="79">
        <v>0.171</v>
      </c>
      <c r="H18" s="79">
        <v>0.181</v>
      </c>
      <c r="I18" s="79">
        <v>0.09</v>
      </c>
      <c r="J18" s="79">
        <v>0.1</v>
      </c>
      <c r="K18" s="79">
        <v>0.11</v>
      </c>
      <c r="L18" s="79">
        <v>0.125</v>
      </c>
      <c r="M18" s="79">
        <v>0.1375</v>
      </c>
      <c r="N18" s="79">
        <v>0.157</v>
      </c>
      <c r="O18" s="79">
        <v>0.174</v>
      </c>
      <c r="P18" s="79">
        <v>0.104</v>
      </c>
      <c r="Q18" s="79">
        <v>0.11</v>
      </c>
      <c r="R18" s="79">
        <v>0.126</v>
      </c>
      <c r="S18" s="79">
        <v>0.143</v>
      </c>
      <c r="T18" s="79">
        <v>0.099</v>
      </c>
      <c r="U18" s="79">
        <v>0.11</v>
      </c>
      <c r="V18" s="79">
        <v>0.121</v>
      </c>
      <c r="W18" s="79">
        <v>0.138</v>
      </c>
    </row>
    <row r="19" spans="1:23">
      <c r="A19" s="78" t="s">
        <v>150</v>
      </c>
      <c r="B19" s="79">
        <v>0.135</v>
      </c>
      <c r="C19" s="79">
        <v>0.135</v>
      </c>
      <c r="D19" s="79">
        <v>0.175</v>
      </c>
      <c r="E19" s="79">
        <v>0.215</v>
      </c>
      <c r="F19" s="79">
        <v>0.2277</v>
      </c>
      <c r="G19" s="79">
        <v>0.269</v>
      </c>
      <c r="H19" s="79">
        <v>0.279</v>
      </c>
      <c r="I19" s="79">
        <v>0.09</v>
      </c>
      <c r="J19" s="79">
        <v>0.095</v>
      </c>
      <c r="K19" s="79">
        <v>0.125</v>
      </c>
      <c r="L19" s="79">
        <v>0.18</v>
      </c>
      <c r="M19" s="79">
        <v>0.1925</v>
      </c>
      <c r="N19" s="79">
        <v>0.21</v>
      </c>
      <c r="O19" s="79">
        <v>0.227</v>
      </c>
      <c r="P19" s="79">
        <v>0.149</v>
      </c>
      <c r="Q19" s="79">
        <v>0.149</v>
      </c>
      <c r="R19" s="79">
        <v>0.194</v>
      </c>
      <c r="S19" s="79">
        <v>0.237</v>
      </c>
      <c r="T19" s="79">
        <v>0.099</v>
      </c>
      <c r="U19" s="79">
        <v>0.105</v>
      </c>
      <c r="V19" s="79">
        <v>0.138</v>
      </c>
      <c r="W19" s="79">
        <v>0.198</v>
      </c>
    </row>
    <row r="20" spans="1:23">
      <c r="A20" s="78" t="s">
        <v>155</v>
      </c>
      <c r="B20" s="79">
        <v>0.39</v>
      </c>
      <c r="C20" s="79">
        <v>0.375</v>
      </c>
      <c r="D20" s="79">
        <v>0.325</v>
      </c>
      <c r="E20" s="79">
        <v>0.37</v>
      </c>
      <c r="F20" s="79">
        <v>0.375</v>
      </c>
      <c r="G20" s="79">
        <v>0.38</v>
      </c>
      <c r="H20" s="79">
        <v>0.39</v>
      </c>
      <c r="I20" s="79">
        <v>0.075</v>
      </c>
      <c r="J20" s="79">
        <v>0.09</v>
      </c>
      <c r="K20" s="79">
        <v>0.08</v>
      </c>
      <c r="L20" s="79">
        <v>0.1</v>
      </c>
      <c r="M20" s="79">
        <v>0.1125</v>
      </c>
      <c r="N20" s="79">
        <v>0.125</v>
      </c>
      <c r="O20" s="79">
        <v>0.142</v>
      </c>
      <c r="P20" s="79">
        <v>0.43</v>
      </c>
      <c r="Q20" s="79">
        <v>0.413</v>
      </c>
      <c r="R20" s="79">
        <v>0.356</v>
      </c>
      <c r="S20" s="79">
        <v>0.41</v>
      </c>
      <c r="T20" s="79">
        <v>0.083</v>
      </c>
      <c r="U20" s="79">
        <v>0.099</v>
      </c>
      <c r="V20" s="79">
        <v>0.088</v>
      </c>
      <c r="W20" s="79">
        <v>0.11</v>
      </c>
    </row>
    <row r="21" spans="1:23">
      <c r="A21" s="78" t="s">
        <v>160</v>
      </c>
      <c r="B21" s="79">
        <v>0.46</v>
      </c>
      <c r="C21" s="79">
        <v>0.47</v>
      </c>
      <c r="D21" s="79">
        <v>0.4</v>
      </c>
      <c r="E21" s="79">
        <v>0.45</v>
      </c>
      <c r="F21" s="79">
        <v>0.4949</v>
      </c>
      <c r="G21" s="79">
        <v>0.468</v>
      </c>
      <c r="H21" s="79">
        <v>0.478</v>
      </c>
      <c r="I21" s="79">
        <v>0.09</v>
      </c>
      <c r="J21" s="79">
        <v>0.115</v>
      </c>
      <c r="K21" s="79">
        <v>0.09</v>
      </c>
      <c r="L21" s="79">
        <v>0.135</v>
      </c>
      <c r="M21" s="79">
        <v>0.1475</v>
      </c>
      <c r="N21" s="79">
        <v>0.16</v>
      </c>
      <c r="O21" s="79">
        <v>0.177</v>
      </c>
      <c r="P21" s="79">
        <v>0.505</v>
      </c>
      <c r="Q21" s="79">
        <v>0.517</v>
      </c>
      <c r="R21" s="79">
        <v>0.443</v>
      </c>
      <c r="S21" s="79">
        <v>0.499</v>
      </c>
      <c r="T21" s="79">
        <v>0.099</v>
      </c>
      <c r="U21" s="79">
        <v>0.127</v>
      </c>
      <c r="V21" s="79">
        <v>0.099</v>
      </c>
      <c r="W21" s="79">
        <v>0.149</v>
      </c>
    </row>
    <row r="22" spans="1:23">
      <c r="A22" s="78" t="s">
        <v>165</v>
      </c>
      <c r="B22" s="79">
        <v>0.31</v>
      </c>
      <c r="C22" s="79">
        <v>0.285</v>
      </c>
      <c r="D22" s="79">
        <v>0.285</v>
      </c>
      <c r="E22" s="79">
        <v>0.29</v>
      </c>
      <c r="F22" s="79">
        <v>0.3109</v>
      </c>
      <c r="G22" s="79">
        <v>0.296</v>
      </c>
      <c r="H22" s="79">
        <v>0.306</v>
      </c>
      <c r="I22" s="79">
        <v>0.035</v>
      </c>
      <c r="J22" s="79">
        <v>0.035</v>
      </c>
      <c r="K22" s="79">
        <v>0.045</v>
      </c>
      <c r="L22" s="79">
        <v>0.05</v>
      </c>
      <c r="M22" s="79">
        <v>0.0625</v>
      </c>
      <c r="N22" s="79">
        <v>0.075</v>
      </c>
      <c r="O22" s="79">
        <v>0.092</v>
      </c>
      <c r="P22" s="79">
        <v>0.342</v>
      </c>
      <c r="Q22" s="79">
        <v>0.314</v>
      </c>
      <c r="R22" s="79">
        <v>0.32</v>
      </c>
      <c r="S22" s="79">
        <v>0.322</v>
      </c>
      <c r="T22" s="79">
        <v>0.039</v>
      </c>
      <c r="U22" s="79">
        <v>0.039</v>
      </c>
      <c r="V22" s="79">
        <v>0.05</v>
      </c>
      <c r="W22" s="79">
        <v>0.055</v>
      </c>
    </row>
    <row r="23" spans="1:23">
      <c r="A23" s="78" t="s">
        <v>170</v>
      </c>
      <c r="B23" s="79">
        <v>0.51</v>
      </c>
      <c r="C23" s="79">
        <v>0.455</v>
      </c>
      <c r="D23" s="79">
        <v>0.395</v>
      </c>
      <c r="E23" s="79">
        <v>0.43</v>
      </c>
      <c r="F23" s="79">
        <v>0.4792</v>
      </c>
      <c r="G23" s="79">
        <v>0.451</v>
      </c>
      <c r="H23" s="79">
        <v>0.461</v>
      </c>
      <c r="I23" s="79">
        <v>0.04</v>
      </c>
      <c r="J23" s="79">
        <v>0.045</v>
      </c>
      <c r="K23" s="79">
        <v>0.07</v>
      </c>
      <c r="L23" s="79">
        <v>0.1</v>
      </c>
      <c r="M23" s="79">
        <v>0.1125</v>
      </c>
      <c r="N23" s="79">
        <v>0.125</v>
      </c>
      <c r="O23" s="79">
        <v>0.142</v>
      </c>
      <c r="P23" s="79">
        <v>0.562</v>
      </c>
      <c r="Q23" s="79">
        <v>0.501</v>
      </c>
      <c r="R23" s="79">
        <v>0.439</v>
      </c>
      <c r="S23" s="79">
        <v>0.477</v>
      </c>
      <c r="T23" s="79">
        <v>0.044</v>
      </c>
      <c r="U23" s="79">
        <v>0.05</v>
      </c>
      <c r="V23" s="79">
        <v>0.077</v>
      </c>
      <c r="W23" s="79">
        <v>0.11</v>
      </c>
    </row>
    <row r="24" spans="1:23">
      <c r="A24" s="78" t="s">
        <v>175</v>
      </c>
      <c r="B24" s="79">
        <v>0.11</v>
      </c>
      <c r="C24" s="79">
        <v>0.11</v>
      </c>
      <c r="D24" s="79">
        <v>0.135</v>
      </c>
      <c r="E24" s="79">
        <v>0.16</v>
      </c>
      <c r="F24" s="79">
        <v>0.1665</v>
      </c>
      <c r="G24" s="79">
        <v>0.178</v>
      </c>
      <c r="H24" s="79">
        <v>0.188</v>
      </c>
      <c r="I24" s="79">
        <v>0.045</v>
      </c>
      <c r="J24" s="79">
        <v>0.05</v>
      </c>
      <c r="K24" s="79">
        <v>0.065</v>
      </c>
      <c r="L24" s="79">
        <v>0.08</v>
      </c>
      <c r="M24" s="79">
        <v>0.0925</v>
      </c>
      <c r="N24" s="79">
        <v>0.105</v>
      </c>
      <c r="O24" s="79">
        <v>0.122</v>
      </c>
      <c r="P24" s="79">
        <v>0.121</v>
      </c>
      <c r="Q24" s="79">
        <v>0.121</v>
      </c>
      <c r="R24" s="79">
        <v>0.149</v>
      </c>
      <c r="S24" s="79">
        <v>0.177</v>
      </c>
      <c r="T24" s="79">
        <v>0.05</v>
      </c>
      <c r="U24" s="79">
        <v>0.055</v>
      </c>
      <c r="V24" s="79">
        <v>0.072</v>
      </c>
      <c r="W24" s="79">
        <v>0.088</v>
      </c>
    </row>
    <row r="25" spans="1:23">
      <c r="A25" s="78" t="s">
        <v>180</v>
      </c>
      <c r="B25" s="79">
        <v>0.475</v>
      </c>
      <c r="C25" s="79">
        <v>0.425</v>
      </c>
      <c r="D25" s="79">
        <v>0.4</v>
      </c>
      <c r="E25" s="79">
        <v>0.435</v>
      </c>
      <c r="F25" s="79">
        <v>0.455</v>
      </c>
      <c r="G25" s="79">
        <v>0.407</v>
      </c>
      <c r="H25" s="79">
        <v>0.417</v>
      </c>
      <c r="I25" s="79">
        <v>0.02</v>
      </c>
      <c r="J25" s="79">
        <v>0.025</v>
      </c>
      <c r="K25" s="79">
        <v>0.035</v>
      </c>
      <c r="L25" s="79">
        <v>0.04</v>
      </c>
      <c r="M25" s="79">
        <v>0.0525</v>
      </c>
      <c r="N25" s="79">
        <v>0.065</v>
      </c>
      <c r="O25" s="79">
        <v>0.077</v>
      </c>
      <c r="P25" s="79">
        <v>0.521</v>
      </c>
      <c r="Q25" s="79">
        <v>0.468</v>
      </c>
      <c r="R25" s="79">
        <v>0.445</v>
      </c>
      <c r="S25" s="79">
        <v>0.483</v>
      </c>
      <c r="T25" s="79">
        <v>0.022</v>
      </c>
      <c r="U25" s="79">
        <v>0.028</v>
      </c>
      <c r="V25" s="79">
        <v>0.039</v>
      </c>
      <c r="W25" s="79">
        <v>0.044</v>
      </c>
    </row>
    <row r="26" spans="1:23">
      <c r="A26" s="78" t="s">
        <v>185</v>
      </c>
      <c r="B26" s="79">
        <v>0.8</v>
      </c>
      <c r="C26" s="79">
        <v>0.8</v>
      </c>
      <c r="D26" s="79">
        <v>0.8</v>
      </c>
      <c r="E26" s="79">
        <v>0.74</v>
      </c>
      <c r="F26" s="79">
        <v>0.7</v>
      </c>
      <c r="G26" s="79">
        <v>0.7</v>
      </c>
      <c r="H26" s="79">
        <v>0.7</v>
      </c>
      <c r="I26" s="79">
        <v>0.035</v>
      </c>
      <c r="J26" s="79">
        <v>0.035</v>
      </c>
      <c r="K26" s="79">
        <v>0.06</v>
      </c>
      <c r="L26" s="79">
        <v>0.06</v>
      </c>
      <c r="M26" s="79">
        <v>0.0725</v>
      </c>
      <c r="N26" s="79">
        <v>0.08</v>
      </c>
      <c r="O26" s="79">
        <v>0.097</v>
      </c>
      <c r="P26" s="79">
        <v>0.88</v>
      </c>
      <c r="Q26" s="79">
        <v>0.88</v>
      </c>
      <c r="R26" s="79">
        <v>0.893</v>
      </c>
      <c r="S26" s="79">
        <v>0.82</v>
      </c>
      <c r="T26" s="79">
        <v>0.039</v>
      </c>
      <c r="U26" s="79">
        <v>0.039</v>
      </c>
      <c r="V26" s="79">
        <v>0.066</v>
      </c>
      <c r="W26" s="79">
        <v>0.066</v>
      </c>
    </row>
    <row r="27" spans="1:23">
      <c r="A27" s="78" t="s">
        <v>190</v>
      </c>
      <c r="B27" s="79">
        <v>0.335</v>
      </c>
      <c r="C27" s="79">
        <v>0.315</v>
      </c>
      <c r="D27" s="79">
        <v>0.3</v>
      </c>
      <c r="E27" s="79">
        <v>0.355</v>
      </c>
      <c r="F27" s="79">
        <v>0.36</v>
      </c>
      <c r="G27" s="79">
        <v>0.368</v>
      </c>
      <c r="H27" s="79">
        <v>0.378</v>
      </c>
      <c r="I27" s="79">
        <v>0.045</v>
      </c>
      <c r="J27" s="79">
        <v>0.05</v>
      </c>
      <c r="K27" s="79">
        <v>0.06</v>
      </c>
      <c r="L27" s="79">
        <v>0.085</v>
      </c>
      <c r="M27" s="79">
        <v>0.0975</v>
      </c>
      <c r="N27" s="79">
        <v>0.11</v>
      </c>
      <c r="O27" s="79">
        <v>0.127</v>
      </c>
      <c r="P27" s="79">
        <v>0.369</v>
      </c>
      <c r="Q27" s="79">
        <v>0.347</v>
      </c>
      <c r="R27" s="79">
        <v>0.333</v>
      </c>
      <c r="S27" s="79">
        <v>0.394</v>
      </c>
      <c r="T27" s="79">
        <v>0.05</v>
      </c>
      <c r="U27" s="79">
        <v>0.055</v>
      </c>
      <c r="V27" s="79">
        <v>0.066</v>
      </c>
      <c r="W27" s="79">
        <v>0.094</v>
      </c>
    </row>
    <row r="28" spans="1:23">
      <c r="A28" s="78" t="s">
        <v>195</v>
      </c>
      <c r="B28" s="79">
        <v>0.8</v>
      </c>
      <c r="C28" s="79">
        <v>0.8</v>
      </c>
      <c r="D28" s="79">
        <v>0.8</v>
      </c>
      <c r="E28" s="79">
        <v>0.75</v>
      </c>
      <c r="F28" s="79">
        <v>0.7</v>
      </c>
      <c r="G28" s="79">
        <v>0.7</v>
      </c>
      <c r="H28" s="79">
        <v>0.7</v>
      </c>
      <c r="I28" s="79">
        <v>0.115</v>
      </c>
      <c r="J28" s="79">
        <v>0.115</v>
      </c>
      <c r="K28" s="79">
        <v>0.15</v>
      </c>
      <c r="L28" s="79">
        <v>0.15</v>
      </c>
      <c r="M28" s="79">
        <v>0.1625</v>
      </c>
      <c r="N28" s="79">
        <v>0.17</v>
      </c>
      <c r="O28" s="79">
        <v>0.192</v>
      </c>
      <c r="P28" s="79">
        <v>0.88</v>
      </c>
      <c r="Q28" s="79">
        <v>0.88</v>
      </c>
      <c r="R28" s="79">
        <v>0.89</v>
      </c>
      <c r="S28" s="79">
        <v>0.83</v>
      </c>
      <c r="T28" s="79">
        <v>0.127</v>
      </c>
      <c r="U28" s="79">
        <v>0.127</v>
      </c>
      <c r="V28" s="79">
        <v>0.165</v>
      </c>
      <c r="W28" s="79">
        <v>0.165</v>
      </c>
    </row>
    <row r="29" spans="1:23">
      <c r="A29" s="78" t="s">
        <v>200</v>
      </c>
      <c r="B29" s="79" t="s">
        <v>293</v>
      </c>
      <c r="C29" s="79" t="s">
        <v>293</v>
      </c>
      <c r="D29" s="79" t="s">
        <v>293</v>
      </c>
      <c r="E29" s="79" t="s">
        <v>293</v>
      </c>
      <c r="F29" s="79" t="s">
        <v>293</v>
      </c>
      <c r="G29" s="79" t="s">
        <v>293</v>
      </c>
      <c r="H29" s="79" t="s">
        <v>293</v>
      </c>
      <c r="I29" s="79" t="s">
        <v>293</v>
      </c>
      <c r="J29" s="79" t="s">
        <v>293</v>
      </c>
      <c r="K29" s="79" t="s">
        <v>293</v>
      </c>
      <c r="L29" s="79" t="s">
        <v>293</v>
      </c>
      <c r="M29" s="79" t="s">
        <v>293</v>
      </c>
      <c r="N29" s="79" t="s">
        <v>293</v>
      </c>
      <c r="O29" s="79" t="s">
        <v>293</v>
      </c>
      <c r="P29" s="79" t="s">
        <v>293</v>
      </c>
      <c r="Q29" s="79" t="s">
        <v>293</v>
      </c>
      <c r="R29" s="79" t="s">
        <v>293</v>
      </c>
      <c r="S29" s="79" t="s">
        <v>293</v>
      </c>
      <c r="T29" s="79" t="s">
        <v>293</v>
      </c>
      <c r="U29" s="79" t="s">
        <v>293</v>
      </c>
      <c r="V29" s="79" t="s">
        <v>293</v>
      </c>
      <c r="W29" s="79" t="s">
        <v>293</v>
      </c>
    </row>
    <row r="30" spans="1:23">
      <c r="A30" s="78" t="s">
        <v>205</v>
      </c>
      <c r="B30" s="79">
        <v>0.175</v>
      </c>
      <c r="C30" s="79">
        <v>0.185</v>
      </c>
      <c r="D30" s="79">
        <v>0.17</v>
      </c>
      <c r="E30" s="79">
        <v>0.25</v>
      </c>
      <c r="F30" s="79">
        <v>0.2589</v>
      </c>
      <c r="G30" s="79">
        <v>0.23</v>
      </c>
      <c r="H30" s="79">
        <v>0.26</v>
      </c>
      <c r="I30" s="79">
        <v>0.09</v>
      </c>
      <c r="J30" s="79">
        <v>0.105</v>
      </c>
      <c r="K30" s="79">
        <v>0.12</v>
      </c>
      <c r="L30" s="79">
        <v>0.15</v>
      </c>
      <c r="M30" s="79">
        <v>0.1625</v>
      </c>
      <c r="N30" s="79">
        <v>0.185</v>
      </c>
      <c r="O30" s="79">
        <v>0.202</v>
      </c>
      <c r="P30" s="79">
        <v>0.192</v>
      </c>
      <c r="Q30" s="79">
        <v>0.204</v>
      </c>
      <c r="R30" s="79">
        <v>0.188</v>
      </c>
      <c r="S30" s="79">
        <v>0.276</v>
      </c>
      <c r="T30" s="79">
        <v>0.099</v>
      </c>
      <c r="U30" s="79">
        <v>0.116</v>
      </c>
      <c r="V30" s="79">
        <v>0.132</v>
      </c>
      <c r="W30" s="79">
        <v>0.165</v>
      </c>
    </row>
    <row r="31" spans="1:23">
      <c r="A31" s="78" t="s">
        <v>210</v>
      </c>
      <c r="B31" s="79">
        <v>0.44</v>
      </c>
      <c r="C31" s="79">
        <v>0.44</v>
      </c>
      <c r="D31" s="79">
        <v>0.445</v>
      </c>
      <c r="E31" s="79">
        <v>0.495</v>
      </c>
      <c r="F31" s="79">
        <v>0.5</v>
      </c>
      <c r="G31" s="79">
        <v>0.5</v>
      </c>
      <c r="H31" s="79">
        <v>0.51</v>
      </c>
      <c r="I31" s="79">
        <v>0.145</v>
      </c>
      <c r="J31" s="79">
        <v>0.17</v>
      </c>
      <c r="K31" s="79">
        <v>0.165</v>
      </c>
      <c r="L31" s="79">
        <v>0.18</v>
      </c>
      <c r="M31" s="79">
        <v>0.1925</v>
      </c>
      <c r="N31" s="79">
        <v>0.215</v>
      </c>
      <c r="O31" s="79">
        <v>0.232</v>
      </c>
      <c r="P31" s="79">
        <v>0.484</v>
      </c>
      <c r="Q31" s="79">
        <v>0.484</v>
      </c>
      <c r="R31" s="79">
        <v>0.488</v>
      </c>
      <c r="S31" s="79">
        <v>0.548</v>
      </c>
      <c r="T31" s="79">
        <v>0.16</v>
      </c>
      <c r="U31" s="79">
        <v>0.187</v>
      </c>
      <c r="V31" s="79">
        <v>0.182</v>
      </c>
      <c r="W31" s="79">
        <v>0.198</v>
      </c>
    </row>
    <row r="32" spans="1:23">
      <c r="A32" s="78" t="s">
        <v>215</v>
      </c>
      <c r="B32" s="79">
        <v>0.7</v>
      </c>
      <c r="C32" s="79">
        <v>0.695</v>
      </c>
      <c r="D32" s="79">
        <v>0.635</v>
      </c>
      <c r="E32" s="79">
        <v>0.695</v>
      </c>
      <c r="F32" s="79">
        <v>0.7</v>
      </c>
      <c r="G32" s="79">
        <v>0.7</v>
      </c>
      <c r="H32" s="79">
        <v>0.7</v>
      </c>
      <c r="I32" s="79">
        <v>0.19</v>
      </c>
      <c r="J32" s="79">
        <v>0.23</v>
      </c>
      <c r="K32" s="79">
        <v>0.25</v>
      </c>
      <c r="L32" s="79">
        <v>0.245</v>
      </c>
      <c r="M32" s="79">
        <v>0.2575</v>
      </c>
      <c r="N32" s="79">
        <v>0.272</v>
      </c>
      <c r="O32" s="79">
        <v>0.289</v>
      </c>
      <c r="P32" s="79">
        <v>0.77</v>
      </c>
      <c r="Q32" s="79">
        <v>0.765</v>
      </c>
      <c r="R32" s="79">
        <v>0.707</v>
      </c>
      <c r="S32" s="79">
        <v>0.77</v>
      </c>
      <c r="T32" s="79">
        <v>0.209</v>
      </c>
      <c r="U32" s="79">
        <v>0.253</v>
      </c>
      <c r="V32" s="79">
        <v>0.275</v>
      </c>
      <c r="W32" s="79">
        <v>0.27</v>
      </c>
    </row>
    <row r="33" spans="1:23">
      <c r="A33" s="78" t="s">
        <v>220</v>
      </c>
      <c r="B33" s="79">
        <v>0.2</v>
      </c>
      <c r="C33" s="79">
        <v>0.2</v>
      </c>
      <c r="D33" s="79">
        <v>0.22</v>
      </c>
      <c r="E33" s="79">
        <v>0.24</v>
      </c>
      <c r="F33" s="79">
        <v>0.254</v>
      </c>
      <c r="G33" s="79">
        <v>0.265</v>
      </c>
      <c r="H33" s="79">
        <v>0.275</v>
      </c>
      <c r="I33" s="79">
        <v>0.18</v>
      </c>
      <c r="J33" s="79">
        <v>0.18</v>
      </c>
      <c r="K33" s="79">
        <v>0.2</v>
      </c>
      <c r="L33" s="79">
        <v>0.22</v>
      </c>
      <c r="M33" s="79">
        <v>0.2325</v>
      </c>
      <c r="N33" s="79">
        <v>0.245</v>
      </c>
      <c r="O33" s="79">
        <v>0.262</v>
      </c>
      <c r="P33" s="79">
        <v>0.222</v>
      </c>
      <c r="Q33" s="79">
        <v>0.22</v>
      </c>
      <c r="R33" s="79">
        <v>0.241</v>
      </c>
      <c r="S33" s="79">
        <v>0.264</v>
      </c>
      <c r="T33" s="79">
        <v>0.198</v>
      </c>
      <c r="U33" s="79">
        <v>0.198</v>
      </c>
      <c r="V33" s="79">
        <v>0.22</v>
      </c>
      <c r="W33" s="79">
        <v>0.242</v>
      </c>
    </row>
    <row r="34" spans="1:23">
      <c r="A34" s="78" t="s">
        <v>225</v>
      </c>
      <c r="B34" s="79">
        <v>0.21</v>
      </c>
      <c r="C34" s="79">
        <v>0.21</v>
      </c>
      <c r="D34" s="79">
        <v>0.2</v>
      </c>
      <c r="E34" s="79">
        <v>0.22</v>
      </c>
      <c r="F34" s="79">
        <v>0.2288</v>
      </c>
      <c r="G34" s="79">
        <v>0.235</v>
      </c>
      <c r="H34" s="79" t="s">
        <v>294</v>
      </c>
      <c r="I34" s="79">
        <v>0.115</v>
      </c>
      <c r="J34" s="79">
        <v>0.12</v>
      </c>
      <c r="K34" s="79">
        <v>0.105</v>
      </c>
      <c r="L34" s="79">
        <v>0.125</v>
      </c>
      <c r="M34" s="79">
        <v>0.1375</v>
      </c>
      <c r="N34" s="79">
        <v>0.128</v>
      </c>
      <c r="O34" s="79" t="s">
        <v>294</v>
      </c>
      <c r="P34" s="79">
        <v>0.231</v>
      </c>
      <c r="Q34" s="79">
        <v>0.231</v>
      </c>
      <c r="R34" s="79">
        <v>0.221</v>
      </c>
      <c r="S34" s="79">
        <v>0.243</v>
      </c>
      <c r="T34" s="79">
        <v>0.127</v>
      </c>
      <c r="U34" s="79">
        <v>0.132</v>
      </c>
      <c r="V34" s="79">
        <v>0.116</v>
      </c>
      <c r="W34" s="79">
        <v>0.138</v>
      </c>
    </row>
  </sheetData>
  <mergeCells count="9">
    <mergeCell ref="B1:H1"/>
    <mergeCell ref="I1:O1"/>
    <mergeCell ref="P1:S1"/>
    <mergeCell ref="T1:W1"/>
    <mergeCell ref="B2:H2"/>
    <mergeCell ref="I2:O2"/>
    <mergeCell ref="P2:S2"/>
    <mergeCell ref="T2:W2"/>
    <mergeCell ref="A1:A3"/>
  </mergeCells>
  <conditionalFormatting sqref="B4:W3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8" sqref="L8"/>
    </sheetView>
  </sheetViews>
  <sheetFormatPr defaultColWidth="9" defaultRowHeight="13.85"/>
  <sheetData>
    <row r="1" spans="1:1">
      <c r="A1" t="s">
        <v>295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35"/>
  <sheetViews>
    <sheetView topLeftCell="A58" workbookViewId="0">
      <selection activeCell="A65" sqref="A65"/>
    </sheetView>
  </sheetViews>
  <sheetFormatPr defaultColWidth="9" defaultRowHeight="13.85"/>
  <cols>
    <col min="1" max="1" width="25" customWidth="1"/>
    <col min="2" max="8" width="9" customWidth="1"/>
  </cols>
  <sheetData>
    <row r="1" spans="1:42">
      <c r="A1" t="s">
        <v>296</v>
      </c>
    </row>
    <row r="2" spans="1:42">
      <c r="A2" t="s">
        <v>297</v>
      </c>
    </row>
    <row r="3" spans="1:42">
      <c r="A3" s="60" t="s">
        <v>298</v>
      </c>
      <c r="B3" s="60"/>
      <c r="C3" s="60"/>
      <c r="D3" s="60"/>
      <c r="E3" s="60"/>
      <c r="F3" s="60"/>
      <c r="G3" s="60"/>
      <c r="I3" s="60" t="s">
        <v>299</v>
      </c>
      <c r="J3" s="60"/>
      <c r="K3" s="60"/>
      <c r="L3" s="60"/>
      <c r="M3" s="60"/>
      <c r="N3" s="60"/>
      <c r="O3" s="60"/>
    </row>
    <row r="4" spans="1:42">
      <c r="A4" s="61" t="s">
        <v>300</v>
      </c>
      <c r="B4" s="61"/>
      <c r="C4" s="61"/>
      <c r="D4" s="61"/>
      <c r="E4" s="61"/>
      <c r="F4" s="61"/>
      <c r="G4" s="61"/>
      <c r="H4" s="62"/>
      <c r="I4" s="63" t="s">
        <v>301</v>
      </c>
      <c r="J4" s="64"/>
      <c r="K4" s="64"/>
      <c r="L4" s="64"/>
      <c r="M4" s="64"/>
      <c r="N4" s="64"/>
      <c r="O4" s="64"/>
      <c r="P4" s="65">
        <v>2030</v>
      </c>
    </row>
    <row r="5" spans="1:42">
      <c r="A5" s="61" t="s">
        <v>302</v>
      </c>
      <c r="B5" s="61"/>
      <c r="C5" s="61"/>
      <c r="D5" s="61"/>
      <c r="E5" s="61"/>
      <c r="F5" s="61"/>
      <c r="G5" s="61"/>
      <c r="H5" s="62"/>
      <c r="I5" s="64"/>
      <c r="J5" s="64"/>
      <c r="K5" s="64"/>
      <c r="L5" s="64"/>
      <c r="M5" s="64"/>
      <c r="N5" s="64"/>
      <c r="O5" s="64"/>
      <c r="P5" s="65">
        <v>0.5</v>
      </c>
    </row>
    <row r="6" spans="1:42">
      <c r="A6" s="61" t="s">
        <v>303</v>
      </c>
      <c r="B6" s="61"/>
      <c r="C6" s="61"/>
      <c r="D6" s="61"/>
      <c r="E6" s="61"/>
      <c r="F6" s="61"/>
      <c r="G6" s="61"/>
      <c r="H6" s="62"/>
      <c r="I6" s="64"/>
      <c r="J6" s="64"/>
      <c r="K6" s="64"/>
      <c r="L6" s="64"/>
      <c r="M6" s="64"/>
      <c r="N6" s="64"/>
      <c r="O6" s="64"/>
      <c r="P6" s="65">
        <v>2025</v>
      </c>
    </row>
    <row r="7" spans="1:42">
      <c r="A7" s="66" t="s">
        <v>304</v>
      </c>
      <c r="B7" s="67"/>
      <c r="C7" s="67"/>
      <c r="D7" s="67"/>
      <c r="E7" s="67"/>
      <c r="F7" s="67"/>
      <c r="G7" s="67"/>
      <c r="H7" s="62"/>
      <c r="I7" s="64"/>
      <c r="J7" s="64"/>
      <c r="K7" s="64"/>
      <c r="L7" s="64"/>
      <c r="M7" s="64"/>
      <c r="N7" s="64"/>
      <c r="O7" s="64"/>
      <c r="P7" s="65">
        <v>0.35</v>
      </c>
    </row>
    <row r="8" spans="1:42">
      <c r="L8" s="68"/>
    </row>
    <row r="11" s="1" customFormat="1" spans="1:42">
      <c r="A11" s="2" t="s">
        <v>228</v>
      </c>
      <c r="B11" s="3">
        <v>2020</v>
      </c>
      <c r="C11" s="3">
        <v>2021</v>
      </c>
      <c r="D11" s="3">
        <v>2022</v>
      </c>
      <c r="E11" s="3">
        <v>2023</v>
      </c>
      <c r="F11" s="3">
        <v>2024</v>
      </c>
      <c r="G11" s="3">
        <v>2025</v>
      </c>
      <c r="H11" s="3">
        <v>2026</v>
      </c>
      <c r="I11" s="3">
        <v>2027</v>
      </c>
      <c r="J11" s="3">
        <v>2028</v>
      </c>
      <c r="K11" s="3">
        <v>2029</v>
      </c>
      <c r="L11" s="3">
        <v>2030</v>
      </c>
      <c r="M11" s="3">
        <v>2031</v>
      </c>
      <c r="N11" s="3">
        <v>2032</v>
      </c>
      <c r="O11" s="3">
        <v>2033</v>
      </c>
      <c r="P11" s="3">
        <v>2034</v>
      </c>
      <c r="Q11" s="3">
        <v>2035</v>
      </c>
      <c r="R11" s="3">
        <v>2036</v>
      </c>
      <c r="S11" s="3">
        <v>2037</v>
      </c>
      <c r="T11" s="3">
        <v>2038</v>
      </c>
      <c r="U11" s="3">
        <v>2039</v>
      </c>
      <c r="V11" s="3">
        <v>2040</v>
      </c>
      <c r="W11" s="3">
        <v>2041</v>
      </c>
      <c r="X11" s="3">
        <v>2042</v>
      </c>
      <c r="Y11" s="3">
        <v>2043</v>
      </c>
      <c r="Z11" s="3">
        <v>2044</v>
      </c>
      <c r="AA11" s="3">
        <v>2045</v>
      </c>
      <c r="AB11" s="3">
        <v>2046</v>
      </c>
      <c r="AC11" s="3">
        <v>2047</v>
      </c>
      <c r="AD11" s="3">
        <v>2048</v>
      </c>
      <c r="AE11" s="3">
        <v>2049</v>
      </c>
      <c r="AF11" s="3">
        <v>2050</v>
      </c>
      <c r="AG11" s="3">
        <v>2051</v>
      </c>
      <c r="AH11" s="3">
        <v>2052</v>
      </c>
      <c r="AI11" s="3">
        <v>2053</v>
      </c>
      <c r="AJ11" s="3">
        <v>2054</v>
      </c>
      <c r="AK11" s="3">
        <v>2055</v>
      </c>
      <c r="AL11" s="3">
        <v>2056</v>
      </c>
      <c r="AM11" s="3">
        <v>2057</v>
      </c>
      <c r="AN11" s="3">
        <v>2058</v>
      </c>
      <c r="AO11" s="3">
        <v>2059</v>
      </c>
      <c r="AP11" s="3">
        <v>2060</v>
      </c>
    </row>
    <row r="12" s="1" customFormat="1" ht="13.9" spans="1:42">
      <c r="A12" s="69" t="s">
        <v>305</v>
      </c>
      <c r="B12" s="70">
        <f>BRPSPTY!B2</f>
        <v>0.326608797717998</v>
      </c>
      <c r="C12" s="70">
        <f>BRPSPTY!C2</f>
        <v>0.326608797717998</v>
      </c>
      <c r="D12" s="70">
        <f>BRPSPTY!D2</f>
        <v>0.326608797717998</v>
      </c>
      <c r="E12" s="70">
        <f>BRPSPTY!E2</f>
        <v>0.326608797717998</v>
      </c>
      <c r="F12" s="70">
        <f>BRPSPTY!F2</f>
        <v>0.326608797717998</v>
      </c>
      <c r="G12" s="70">
        <f>BRPSPTY!G2</f>
        <v>0.326608797717998</v>
      </c>
      <c r="H12" s="70">
        <f>BRPSPTY!H2</f>
        <v>0.326608797717998</v>
      </c>
      <c r="I12" s="70">
        <f>BRPSPTY!I2</f>
        <v>0.326608797717998</v>
      </c>
      <c r="J12" s="70">
        <f>BRPSPTY!J2</f>
        <v>0.326608797717998</v>
      </c>
      <c r="K12" s="70">
        <f>BRPSPTY!K2</f>
        <v>0.326608797717998</v>
      </c>
      <c r="L12" s="70">
        <f>BRPSPTY!L2</f>
        <v>0.326608797717998</v>
      </c>
      <c r="M12" s="70">
        <f>BRPSPTY!M2</f>
        <v>0.326608797717998</v>
      </c>
      <c r="N12" s="70">
        <f>BRPSPTY!N2</f>
        <v>0.326608797717998</v>
      </c>
      <c r="O12" s="70">
        <f>BRPSPTY!O2</f>
        <v>0.326608797717998</v>
      </c>
      <c r="P12" s="70">
        <f>BRPSPTY!P2</f>
        <v>0.326608797717998</v>
      </c>
      <c r="Q12" s="70">
        <f>BRPSPTY!Q2</f>
        <v>0.326608797717998</v>
      </c>
      <c r="R12" s="70">
        <f>BRPSPTY!R2</f>
        <v>0.326608797717998</v>
      </c>
      <c r="S12" s="70">
        <f>BRPSPTY!S2</f>
        <v>0.326608797717998</v>
      </c>
      <c r="T12" s="70">
        <f>BRPSPTY!T2</f>
        <v>0.326608797717998</v>
      </c>
      <c r="U12" s="70">
        <f>BRPSPTY!U2</f>
        <v>0.326608797717998</v>
      </c>
      <c r="V12" s="70">
        <f>BRPSPTY!V2</f>
        <v>0.326608797717998</v>
      </c>
      <c r="W12" s="70">
        <f>BRPSPTY!W2</f>
        <v>0.326608797717998</v>
      </c>
      <c r="X12" s="70">
        <f>BRPSPTY!X2</f>
        <v>0.326608797717998</v>
      </c>
      <c r="Y12" s="70">
        <f>BRPSPTY!Y2</f>
        <v>0.326608797717998</v>
      </c>
      <c r="Z12" s="70">
        <f>BRPSPTY!Z2</f>
        <v>0.326608797717998</v>
      </c>
      <c r="AA12" s="70">
        <f>BRPSPTY!AA2</f>
        <v>0.326608797717998</v>
      </c>
      <c r="AB12" s="70">
        <f>BRPSPTY!AB2</f>
        <v>0.326608797717998</v>
      </c>
      <c r="AC12" s="70">
        <f>BRPSPTY!AC2</f>
        <v>0.326608797717998</v>
      </c>
      <c r="AD12" s="70">
        <f>BRPSPTY!AD2</f>
        <v>0.326608797717998</v>
      </c>
      <c r="AE12" s="70">
        <f>BRPSPTY!AE2</f>
        <v>0.326608797717998</v>
      </c>
      <c r="AF12" s="70">
        <f>BRPSPTY!AF2</f>
        <v>0.326608797717998</v>
      </c>
      <c r="AG12" s="70">
        <f>BRPSPTY!AG2</f>
        <v>0.326608797717998</v>
      </c>
      <c r="AH12" s="70">
        <f>BRPSPTY!AH2</f>
        <v>0.326608797717998</v>
      </c>
      <c r="AI12" s="70">
        <f>BRPSPTY!AI2</f>
        <v>0.326608797717998</v>
      </c>
      <c r="AJ12" s="70">
        <f>BRPSPTY!AJ2</f>
        <v>0.326608797717998</v>
      </c>
      <c r="AK12" s="70">
        <f>BRPSPTY!AK2</f>
        <v>0.326608797717998</v>
      </c>
      <c r="AL12" s="70">
        <f>BRPSPTY!AL2</f>
        <v>0.326608797717998</v>
      </c>
      <c r="AM12" s="70">
        <f>BRPSPTY!AM2</f>
        <v>0.326608797717998</v>
      </c>
      <c r="AN12" s="70">
        <f>BRPSPTY!AN2</f>
        <v>0.326608797717998</v>
      </c>
      <c r="AO12" s="70">
        <f>BRPSPTY!AO2</f>
        <v>0.326608797717998</v>
      </c>
      <c r="AP12" s="70">
        <f>BRPSPTY!AP2</f>
        <v>0.326608797717998</v>
      </c>
    </row>
    <row r="13" s="1" customFormat="1" spans="1:42">
      <c r="A13" s="71" t="s">
        <v>306</v>
      </c>
      <c r="B13" s="72">
        <f>B12</f>
        <v>0.326608797717998</v>
      </c>
      <c r="C13" s="72">
        <f t="shared" ref="C13:D13" si="0">C12</f>
        <v>0.326608797717998</v>
      </c>
      <c r="D13" s="72">
        <f t="shared" si="0"/>
        <v>0.326608797717998</v>
      </c>
      <c r="E13" s="72">
        <f>($G13-$G12)/3*(E11-$D11)+E12</f>
        <v>0.334405865145332</v>
      </c>
      <c r="F13" s="72">
        <f>($G13-$G12)/3*(F11-$D11)+F12</f>
        <v>0.342202932572666</v>
      </c>
      <c r="G13" s="72">
        <f>P7</f>
        <v>0.35</v>
      </c>
      <c r="H13" s="72">
        <f>($L13-$L12-$G13+$G12)/5*(H11-$G11)+H12+($G13-$G12)</f>
        <v>0.38</v>
      </c>
      <c r="I13" s="72">
        <f t="shared" ref="I13:K13" si="1">($L13-$L12-$G13+$G12)/5*(I11-$G11)+I12+($G13-$G12)</f>
        <v>0.41</v>
      </c>
      <c r="J13" s="72">
        <f t="shared" si="1"/>
        <v>0.44</v>
      </c>
      <c r="K13" s="72">
        <f t="shared" si="1"/>
        <v>0.47</v>
      </c>
      <c r="L13" s="72">
        <v>0.5</v>
      </c>
      <c r="M13" s="72">
        <f t="shared" ref="M13:T13" si="2">$L13-$L12+M12</f>
        <v>0.5</v>
      </c>
      <c r="N13" s="72">
        <f t="shared" si="2"/>
        <v>0.5</v>
      </c>
      <c r="O13" s="72">
        <f t="shared" si="2"/>
        <v>0.5</v>
      </c>
      <c r="P13" s="72">
        <f t="shared" si="2"/>
        <v>0.5</v>
      </c>
      <c r="Q13" s="72">
        <f t="shared" si="2"/>
        <v>0.5</v>
      </c>
      <c r="R13" s="72">
        <f t="shared" si="2"/>
        <v>0.5</v>
      </c>
      <c r="S13" s="72">
        <f t="shared" si="2"/>
        <v>0.5</v>
      </c>
      <c r="T13" s="72">
        <f t="shared" si="2"/>
        <v>0.5</v>
      </c>
      <c r="U13" s="72">
        <f t="shared" ref="U13:AP13" si="3">$Q13-$Q12+U12</f>
        <v>0.5</v>
      </c>
      <c r="V13" s="72">
        <f t="shared" si="3"/>
        <v>0.5</v>
      </c>
      <c r="W13" s="72">
        <f t="shared" si="3"/>
        <v>0.5</v>
      </c>
      <c r="X13" s="72">
        <f t="shared" si="3"/>
        <v>0.5</v>
      </c>
      <c r="Y13" s="72">
        <f t="shared" si="3"/>
        <v>0.5</v>
      </c>
      <c r="Z13" s="72">
        <f t="shared" si="3"/>
        <v>0.5</v>
      </c>
      <c r="AA13" s="72">
        <f t="shared" si="3"/>
        <v>0.5</v>
      </c>
      <c r="AB13" s="72">
        <f t="shared" si="3"/>
        <v>0.5</v>
      </c>
      <c r="AC13" s="72">
        <f t="shared" si="3"/>
        <v>0.5</v>
      </c>
      <c r="AD13" s="72">
        <f t="shared" si="3"/>
        <v>0.5</v>
      </c>
      <c r="AE13" s="72">
        <f t="shared" si="3"/>
        <v>0.5</v>
      </c>
      <c r="AF13" s="72">
        <f t="shared" si="3"/>
        <v>0.5</v>
      </c>
      <c r="AG13" s="72">
        <f t="shared" si="3"/>
        <v>0.5</v>
      </c>
      <c r="AH13" s="72">
        <f t="shared" si="3"/>
        <v>0.5</v>
      </c>
      <c r="AI13" s="72">
        <f t="shared" si="3"/>
        <v>0.5</v>
      </c>
      <c r="AJ13" s="72">
        <f t="shared" si="3"/>
        <v>0.5</v>
      </c>
      <c r="AK13" s="72">
        <f t="shared" si="3"/>
        <v>0.5</v>
      </c>
      <c r="AL13" s="72">
        <f t="shared" si="3"/>
        <v>0.5</v>
      </c>
      <c r="AM13" s="72">
        <f t="shared" si="3"/>
        <v>0.5</v>
      </c>
      <c r="AN13" s="72">
        <f t="shared" si="3"/>
        <v>0.5</v>
      </c>
      <c r="AO13" s="72">
        <f t="shared" si="3"/>
        <v>0.5</v>
      </c>
      <c r="AP13" s="72">
        <f t="shared" si="3"/>
        <v>0.5</v>
      </c>
    </row>
    <row r="14" spans="1:42">
      <c r="A14" t="s">
        <v>307</v>
      </c>
      <c r="B14">
        <v>0</v>
      </c>
      <c r="C14">
        <v>0</v>
      </c>
      <c r="D14">
        <v>0</v>
      </c>
      <c r="E14">
        <f>ROUND(E13/MAX(13:13),3)</f>
        <v>0.669</v>
      </c>
      <c r="F14">
        <f t="shared" ref="F14:M14" si="4">ROUND(F13/MAX(13:13),3)</f>
        <v>0.684</v>
      </c>
      <c r="G14">
        <f t="shared" si="4"/>
        <v>0.7</v>
      </c>
      <c r="H14">
        <f t="shared" si="4"/>
        <v>0.76</v>
      </c>
      <c r="I14">
        <f t="shared" si="4"/>
        <v>0.82</v>
      </c>
      <c r="J14">
        <f t="shared" si="4"/>
        <v>0.88</v>
      </c>
      <c r="K14">
        <f t="shared" si="4"/>
        <v>0.94</v>
      </c>
      <c r="L14">
        <f t="shared" si="4"/>
        <v>1</v>
      </c>
      <c r="M14">
        <f t="shared" si="4"/>
        <v>1</v>
      </c>
      <c r="N14">
        <f t="shared" ref="N14" si="5">ROUND(N13/MAX(13:13),3)</f>
        <v>1</v>
      </c>
      <c r="O14">
        <f t="shared" ref="O14" si="6">ROUND(O13/MAX(13:13),3)</f>
        <v>1</v>
      </c>
      <c r="P14">
        <f t="shared" ref="P14" si="7">ROUND(P13/MAX(13:13),3)</f>
        <v>1</v>
      </c>
      <c r="Q14">
        <f t="shared" ref="Q14" si="8">ROUND(Q13/MAX(13:13),3)</f>
        <v>1</v>
      </c>
      <c r="R14">
        <f t="shared" ref="R14" si="9">ROUND(R13/MAX(13:13),3)</f>
        <v>1</v>
      </c>
      <c r="S14">
        <f t="shared" ref="S14" si="10">ROUND(S13/MAX(13:13),3)</f>
        <v>1</v>
      </c>
      <c r="T14">
        <f t="shared" ref="T14" si="11">ROUND(T13/MAX(13:13),3)</f>
        <v>1</v>
      </c>
      <c r="U14">
        <f t="shared" ref="U14" si="12">ROUND(U13/MAX(13:13),3)</f>
        <v>1</v>
      </c>
      <c r="V14">
        <f t="shared" ref="V14" si="13">ROUND(V13/MAX(13:13),3)</f>
        <v>1</v>
      </c>
      <c r="W14">
        <f t="shared" ref="W14" si="14">ROUND(W13/MAX(13:13),3)</f>
        <v>1</v>
      </c>
      <c r="X14">
        <f t="shared" ref="X14" si="15">ROUND(X13/MAX(13:13),3)</f>
        <v>1</v>
      </c>
      <c r="Y14">
        <f t="shared" ref="Y14" si="16">ROUND(Y13/MAX(13:13),3)</f>
        <v>1</v>
      </c>
      <c r="Z14">
        <f t="shared" ref="Z14" si="17">ROUND(Z13/MAX(13:13),3)</f>
        <v>1</v>
      </c>
      <c r="AA14">
        <f t="shared" ref="AA14" si="18">ROUND(AA13/MAX(13:13),3)</f>
        <v>1</v>
      </c>
      <c r="AB14">
        <f t="shared" ref="AB14" si="19">ROUND(AB13/MAX(13:13),3)</f>
        <v>1</v>
      </c>
      <c r="AC14">
        <f t="shared" ref="AC14" si="20">ROUND(AC13/MAX(13:13),3)</f>
        <v>1</v>
      </c>
      <c r="AD14">
        <f t="shared" ref="AD14" si="21">ROUND(AD13/MAX(13:13),3)</f>
        <v>1</v>
      </c>
      <c r="AE14">
        <f t="shared" ref="AE14" si="22">ROUND(AE13/MAX(13:13),3)</f>
        <v>1</v>
      </c>
      <c r="AF14">
        <f t="shared" ref="AF14" si="23">ROUND(AF13/MAX(13:13),3)</f>
        <v>1</v>
      </c>
      <c r="AG14">
        <f t="shared" ref="AG14" si="24">ROUND(AG13/MAX(13:13),3)</f>
        <v>1</v>
      </c>
      <c r="AH14">
        <f t="shared" ref="AH14" si="25">ROUND(AH13/MAX(13:13),3)</f>
        <v>1</v>
      </c>
      <c r="AI14">
        <f t="shared" ref="AI14" si="26">ROUND(AI13/MAX(13:13),3)</f>
        <v>1</v>
      </c>
      <c r="AJ14">
        <f t="shared" ref="AJ14" si="27">ROUND(AJ13/MAX(13:13),3)</f>
        <v>1</v>
      </c>
      <c r="AK14">
        <f t="shared" ref="AK14" si="28">ROUND(AK13/MAX(13:13),3)</f>
        <v>1</v>
      </c>
      <c r="AL14">
        <f t="shared" ref="AL14" si="29">ROUND(AL13/MAX(13:13),3)</f>
        <v>1</v>
      </c>
      <c r="AM14">
        <f t="shared" ref="AM14" si="30">ROUND(AM13/MAX(13:13),3)</f>
        <v>1</v>
      </c>
      <c r="AN14">
        <f t="shared" ref="AN14" si="31">ROUND(AN13/MAX(13:13),3)</f>
        <v>1</v>
      </c>
      <c r="AO14">
        <f t="shared" ref="AO14" si="32">ROUND(AO13/MAX(13:13),3)</f>
        <v>1</v>
      </c>
      <c r="AP14">
        <f t="shared" ref="AP14" si="33">ROUND(AP13/MAX(13:13),3)</f>
        <v>1</v>
      </c>
    </row>
    <row r="17" spans="1:42">
      <c r="A17" t="s">
        <v>308</v>
      </c>
      <c r="B17">
        <v>2020</v>
      </c>
      <c r="C17">
        <v>2021</v>
      </c>
      <c r="D17">
        <v>2022</v>
      </c>
      <c r="E17">
        <v>2023</v>
      </c>
      <c r="F17">
        <v>2024</v>
      </c>
      <c r="G17">
        <v>2025</v>
      </c>
      <c r="H17">
        <v>2026</v>
      </c>
      <c r="I17">
        <v>2027</v>
      </c>
      <c r="J17">
        <v>2028</v>
      </c>
      <c r="K17">
        <v>2029</v>
      </c>
      <c r="L17">
        <v>2030</v>
      </c>
      <c r="M17">
        <v>2031</v>
      </c>
      <c r="N17">
        <v>2032</v>
      </c>
      <c r="O17">
        <v>2033</v>
      </c>
      <c r="P17">
        <v>2034</v>
      </c>
      <c r="Q17">
        <v>2035</v>
      </c>
      <c r="R17">
        <v>2036</v>
      </c>
      <c r="S17">
        <v>2037</v>
      </c>
      <c r="T17">
        <v>2038</v>
      </c>
      <c r="U17">
        <v>2039</v>
      </c>
      <c r="V17">
        <v>2040</v>
      </c>
      <c r="W17">
        <v>2041</v>
      </c>
      <c r="X17">
        <v>2042</v>
      </c>
      <c r="Y17">
        <v>2043</v>
      </c>
      <c r="Z17">
        <v>2044</v>
      </c>
      <c r="AA17">
        <v>2045</v>
      </c>
      <c r="AB17">
        <v>2046</v>
      </c>
      <c r="AC17">
        <v>2047</v>
      </c>
      <c r="AD17">
        <v>2048</v>
      </c>
      <c r="AE17">
        <v>2049</v>
      </c>
      <c r="AF17">
        <v>2050</v>
      </c>
      <c r="AG17">
        <v>2051</v>
      </c>
      <c r="AH17">
        <v>2052</v>
      </c>
      <c r="AI17">
        <v>2053</v>
      </c>
      <c r="AJ17">
        <v>2054</v>
      </c>
      <c r="AK17">
        <v>2055</v>
      </c>
      <c r="AL17">
        <v>2056</v>
      </c>
      <c r="AM17">
        <v>2057</v>
      </c>
      <c r="AN17">
        <v>2058</v>
      </c>
      <c r="AO17">
        <v>2059</v>
      </c>
      <c r="AP17">
        <v>2060</v>
      </c>
    </row>
    <row r="18" spans="1:42">
      <c r="A18" t="s">
        <v>309</v>
      </c>
      <c r="B18">
        <v>79300000</v>
      </c>
      <c r="C18">
        <v>81500000</v>
      </c>
      <c r="D18">
        <v>80100000</v>
      </c>
      <c r="E18">
        <v>89600000</v>
      </c>
      <c r="F18">
        <v>98800000</v>
      </c>
      <c r="G18">
        <v>108000000</v>
      </c>
      <c r="H18">
        <v>127000000</v>
      </c>
      <c r="I18">
        <v>145000000</v>
      </c>
      <c r="J18">
        <v>164000000</v>
      </c>
      <c r="K18">
        <v>182000000</v>
      </c>
      <c r="L18">
        <v>200000000</v>
      </c>
      <c r="M18">
        <v>205000000</v>
      </c>
      <c r="N18">
        <v>209000000</v>
      </c>
      <c r="O18">
        <v>213000000</v>
      </c>
      <c r="P18">
        <v>217000000</v>
      </c>
      <c r="Q18">
        <v>221000000</v>
      </c>
      <c r="R18">
        <v>224000000</v>
      </c>
      <c r="S18">
        <v>228000000</v>
      </c>
      <c r="T18">
        <v>231000000</v>
      </c>
      <c r="U18">
        <v>235000000</v>
      </c>
      <c r="V18">
        <v>235273000</v>
      </c>
      <c r="W18">
        <v>235545000</v>
      </c>
      <c r="X18">
        <v>235818000</v>
      </c>
      <c r="Y18">
        <v>236091000</v>
      </c>
      <c r="Z18">
        <v>236364000</v>
      </c>
      <c r="AA18">
        <v>236636000</v>
      </c>
      <c r="AB18">
        <v>236909000</v>
      </c>
      <c r="AC18">
        <v>237182000</v>
      </c>
      <c r="AD18">
        <v>237455000</v>
      </c>
      <c r="AE18">
        <v>237727000</v>
      </c>
      <c r="AF18">
        <v>238000000</v>
      </c>
      <c r="AG18">
        <v>241000000</v>
      </c>
      <c r="AH18">
        <v>244000000</v>
      </c>
      <c r="AI18">
        <v>248000000</v>
      </c>
      <c r="AJ18">
        <v>251000000</v>
      </c>
      <c r="AK18">
        <v>254000000</v>
      </c>
      <c r="AL18">
        <v>256000000</v>
      </c>
      <c r="AM18">
        <v>259000000</v>
      </c>
      <c r="AN18">
        <v>262000000</v>
      </c>
      <c r="AO18">
        <v>265000000</v>
      </c>
      <c r="AP18">
        <v>267000000</v>
      </c>
    </row>
    <row r="19" spans="1:42">
      <c r="A19" t="s">
        <v>310</v>
      </c>
      <c r="B19">
        <v>926000</v>
      </c>
      <c r="C19">
        <v>950000</v>
      </c>
      <c r="D19">
        <v>935000</v>
      </c>
      <c r="E19">
        <v>1050000</v>
      </c>
      <c r="F19">
        <v>1155000</v>
      </c>
      <c r="G19">
        <v>1260000</v>
      </c>
      <c r="H19">
        <v>1480000</v>
      </c>
      <c r="I19">
        <v>1690000</v>
      </c>
      <c r="J19">
        <v>1910000</v>
      </c>
      <c r="K19">
        <v>2120000</v>
      </c>
      <c r="L19">
        <v>2340000</v>
      </c>
      <c r="M19">
        <v>2390000</v>
      </c>
      <c r="N19">
        <v>2440000</v>
      </c>
      <c r="O19">
        <v>2490000</v>
      </c>
      <c r="P19">
        <v>2535000</v>
      </c>
      <c r="Q19">
        <v>2580000</v>
      </c>
      <c r="R19">
        <v>2620000</v>
      </c>
      <c r="S19">
        <v>2660000</v>
      </c>
      <c r="T19">
        <v>2700000</v>
      </c>
      <c r="U19">
        <v>2740000</v>
      </c>
      <c r="V19">
        <v>2743640</v>
      </c>
      <c r="W19">
        <v>2747270</v>
      </c>
      <c r="X19">
        <v>2750910</v>
      </c>
      <c r="Y19">
        <v>2754550</v>
      </c>
      <c r="Z19">
        <v>2758180</v>
      </c>
      <c r="AA19">
        <v>2761820</v>
      </c>
      <c r="AB19">
        <v>2765450</v>
      </c>
      <c r="AC19">
        <v>2769090</v>
      </c>
      <c r="AD19">
        <v>2772730</v>
      </c>
      <c r="AE19">
        <v>2776360</v>
      </c>
      <c r="AF19">
        <v>2780000</v>
      </c>
      <c r="AG19">
        <v>2820000</v>
      </c>
      <c r="AH19">
        <v>2850000</v>
      </c>
      <c r="AI19">
        <v>2890000</v>
      </c>
      <c r="AJ19">
        <v>2925000</v>
      </c>
      <c r="AK19">
        <v>2960000</v>
      </c>
      <c r="AL19">
        <v>2990000</v>
      </c>
      <c r="AM19">
        <v>3020000</v>
      </c>
      <c r="AN19">
        <v>3060000</v>
      </c>
      <c r="AO19">
        <v>3090000</v>
      </c>
      <c r="AP19">
        <v>3120000</v>
      </c>
    </row>
    <row r="20" spans="1:42">
      <c r="A20" t="s">
        <v>311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312</v>
      </c>
      <c r="B21">
        <v>3260000</v>
      </c>
      <c r="C21">
        <v>3350000</v>
      </c>
      <c r="D21">
        <v>3300000</v>
      </c>
      <c r="E21">
        <v>3690000</v>
      </c>
      <c r="F21">
        <v>4070000</v>
      </c>
      <c r="G21">
        <v>4450000</v>
      </c>
      <c r="H21">
        <v>5210000</v>
      </c>
      <c r="I21">
        <v>5970000</v>
      </c>
      <c r="J21">
        <v>6730000</v>
      </c>
      <c r="K21">
        <v>7490000</v>
      </c>
      <c r="L21">
        <v>8250000</v>
      </c>
      <c r="M21">
        <v>8430000</v>
      </c>
      <c r="N21">
        <v>8600000</v>
      </c>
      <c r="O21">
        <v>8760000</v>
      </c>
      <c r="P21">
        <v>8920000</v>
      </c>
      <c r="Q21">
        <v>9080000</v>
      </c>
      <c r="R21">
        <v>9230000</v>
      </c>
      <c r="S21">
        <v>9380000</v>
      </c>
      <c r="T21">
        <v>9520000</v>
      </c>
      <c r="U21">
        <v>9660000</v>
      </c>
      <c r="V21">
        <v>9672730</v>
      </c>
      <c r="W21">
        <v>9685460</v>
      </c>
      <c r="X21">
        <v>9698180</v>
      </c>
      <c r="Y21">
        <v>9710910</v>
      </c>
      <c r="Z21">
        <v>9723640</v>
      </c>
      <c r="AA21">
        <v>9736360</v>
      </c>
      <c r="AB21">
        <v>9749090</v>
      </c>
      <c r="AC21">
        <v>9761820</v>
      </c>
      <c r="AD21">
        <v>9774550</v>
      </c>
      <c r="AE21">
        <v>9787270</v>
      </c>
      <c r="AF21">
        <v>9800000</v>
      </c>
      <c r="AG21">
        <v>9930000</v>
      </c>
      <c r="AH21">
        <v>10100000</v>
      </c>
      <c r="AI21">
        <v>10200000</v>
      </c>
      <c r="AJ21">
        <v>10300000</v>
      </c>
      <c r="AK21">
        <v>10400000</v>
      </c>
      <c r="AL21">
        <v>10500000</v>
      </c>
      <c r="AM21">
        <v>10700000</v>
      </c>
      <c r="AN21">
        <v>10800000</v>
      </c>
      <c r="AO21">
        <v>10900000</v>
      </c>
      <c r="AP21">
        <v>11000000</v>
      </c>
    </row>
    <row r="22" spans="1:42">
      <c r="A22" t="s">
        <v>313</v>
      </c>
      <c r="B22">
        <v>19300000</v>
      </c>
      <c r="C22">
        <v>19800000</v>
      </c>
      <c r="D22">
        <v>19500000</v>
      </c>
      <c r="E22">
        <v>21800000</v>
      </c>
      <c r="F22">
        <v>24050000</v>
      </c>
      <c r="G22">
        <v>26300000</v>
      </c>
      <c r="H22">
        <v>30800000</v>
      </c>
      <c r="I22">
        <v>35300000</v>
      </c>
      <c r="J22">
        <v>39800000</v>
      </c>
      <c r="K22">
        <v>44300000</v>
      </c>
      <c r="L22">
        <v>48800000</v>
      </c>
      <c r="M22">
        <v>49900000</v>
      </c>
      <c r="N22">
        <v>50900000</v>
      </c>
      <c r="O22">
        <v>51900000</v>
      </c>
      <c r="P22">
        <v>52800000</v>
      </c>
      <c r="Q22">
        <v>53700000</v>
      </c>
      <c r="R22">
        <v>54600000</v>
      </c>
      <c r="S22">
        <v>55500000</v>
      </c>
      <c r="T22">
        <v>56300000</v>
      </c>
      <c r="U22">
        <v>57200000</v>
      </c>
      <c r="V22">
        <v>57272700</v>
      </c>
      <c r="W22">
        <v>57345500</v>
      </c>
      <c r="X22">
        <v>57418200</v>
      </c>
      <c r="Y22">
        <v>57490900</v>
      </c>
      <c r="Z22">
        <v>57563600</v>
      </c>
      <c r="AA22">
        <v>57636400</v>
      </c>
      <c r="AB22">
        <v>57709100</v>
      </c>
      <c r="AC22">
        <v>57781800</v>
      </c>
      <c r="AD22">
        <v>57854500</v>
      </c>
      <c r="AE22">
        <v>57927300</v>
      </c>
      <c r="AF22">
        <v>58000000</v>
      </c>
      <c r="AG22">
        <v>58700000</v>
      </c>
      <c r="AH22">
        <v>59500000</v>
      </c>
      <c r="AI22">
        <v>60300000</v>
      </c>
      <c r="AJ22">
        <v>61000000</v>
      </c>
      <c r="AK22">
        <v>61700000</v>
      </c>
      <c r="AL22">
        <v>62400000</v>
      </c>
      <c r="AM22">
        <v>63100000</v>
      </c>
      <c r="AN22">
        <v>63800000</v>
      </c>
      <c r="AO22">
        <v>64400000</v>
      </c>
      <c r="AP22">
        <v>65100000</v>
      </c>
    </row>
    <row r="23" spans="1:42">
      <c r="A23" t="s">
        <v>314</v>
      </c>
      <c r="B23">
        <v>10300000</v>
      </c>
      <c r="C23">
        <v>10600000</v>
      </c>
      <c r="D23">
        <v>10400000</v>
      </c>
      <c r="E23">
        <v>11700000</v>
      </c>
      <c r="F23">
        <v>12900000</v>
      </c>
      <c r="G23">
        <v>14100000</v>
      </c>
      <c r="H23">
        <v>16500000</v>
      </c>
      <c r="I23">
        <v>18900000</v>
      </c>
      <c r="J23">
        <v>21300000</v>
      </c>
      <c r="K23">
        <v>23700000</v>
      </c>
      <c r="L23">
        <v>26100000</v>
      </c>
      <c r="M23">
        <v>26700000</v>
      </c>
      <c r="N23">
        <v>27200000</v>
      </c>
      <c r="O23">
        <v>27700000</v>
      </c>
      <c r="P23">
        <v>28250000</v>
      </c>
      <c r="Q23">
        <v>28800000</v>
      </c>
      <c r="R23">
        <v>29200000</v>
      </c>
      <c r="S23">
        <v>29700000</v>
      </c>
      <c r="T23">
        <v>30100000</v>
      </c>
      <c r="U23">
        <v>30600000</v>
      </c>
      <c r="V23">
        <v>30636400</v>
      </c>
      <c r="W23">
        <v>30672700</v>
      </c>
      <c r="X23">
        <v>30709100</v>
      </c>
      <c r="Y23">
        <v>30745500</v>
      </c>
      <c r="Z23">
        <v>30781800</v>
      </c>
      <c r="AA23">
        <v>30818200</v>
      </c>
      <c r="AB23">
        <v>30854500</v>
      </c>
      <c r="AC23">
        <v>30890900</v>
      </c>
      <c r="AD23">
        <v>30927300</v>
      </c>
      <c r="AE23">
        <v>30963600</v>
      </c>
      <c r="AF23">
        <v>31000000</v>
      </c>
      <c r="AG23">
        <v>31400000</v>
      </c>
      <c r="AH23">
        <v>31800000</v>
      </c>
      <c r="AI23">
        <v>32200000</v>
      </c>
      <c r="AJ23">
        <v>32600000</v>
      </c>
      <c r="AK23">
        <v>33000000</v>
      </c>
      <c r="AL23">
        <v>33400000</v>
      </c>
      <c r="AM23">
        <v>33800000</v>
      </c>
      <c r="AN23">
        <v>34100000</v>
      </c>
      <c r="AO23">
        <v>34500000</v>
      </c>
      <c r="AP23">
        <v>34800000</v>
      </c>
    </row>
    <row r="24" spans="1:42">
      <c r="A24" t="s">
        <v>315</v>
      </c>
      <c r="B24">
        <v>15</v>
      </c>
      <c r="C24">
        <v>16</v>
      </c>
      <c r="D24">
        <v>17</v>
      </c>
      <c r="E24">
        <v>18</v>
      </c>
      <c r="F24">
        <v>19</v>
      </c>
      <c r="G24">
        <v>20</v>
      </c>
      <c r="H24">
        <v>21</v>
      </c>
      <c r="I24">
        <v>22</v>
      </c>
      <c r="J24">
        <v>23</v>
      </c>
      <c r="K24">
        <v>24</v>
      </c>
      <c r="L24">
        <v>25</v>
      </c>
      <c r="M24">
        <v>26</v>
      </c>
      <c r="N24">
        <v>27</v>
      </c>
      <c r="O24">
        <v>28</v>
      </c>
      <c r="P24">
        <v>29</v>
      </c>
      <c r="Q24">
        <v>30</v>
      </c>
      <c r="R24">
        <v>31</v>
      </c>
      <c r="S24">
        <v>32</v>
      </c>
      <c r="T24">
        <v>33</v>
      </c>
      <c r="U24">
        <v>34</v>
      </c>
      <c r="V24">
        <v>34.0909</v>
      </c>
      <c r="W24">
        <v>34.1818</v>
      </c>
      <c r="X24">
        <v>34.2727</v>
      </c>
      <c r="Y24">
        <v>34.3636</v>
      </c>
      <c r="Z24">
        <v>34.4545</v>
      </c>
      <c r="AA24">
        <v>34.5455</v>
      </c>
      <c r="AB24">
        <v>34.6364</v>
      </c>
      <c r="AC24">
        <v>34.7273</v>
      </c>
      <c r="AD24">
        <v>34.8182</v>
      </c>
      <c r="AE24">
        <v>34.9091</v>
      </c>
      <c r="AF24">
        <v>35</v>
      </c>
      <c r="AG24">
        <v>36</v>
      </c>
      <c r="AH24">
        <v>37</v>
      </c>
      <c r="AI24">
        <v>38</v>
      </c>
      <c r="AJ24">
        <v>39</v>
      </c>
      <c r="AK24">
        <v>40</v>
      </c>
      <c r="AL24">
        <v>41</v>
      </c>
      <c r="AM24">
        <v>42</v>
      </c>
      <c r="AN24">
        <v>43</v>
      </c>
      <c r="AO24">
        <v>44</v>
      </c>
      <c r="AP24">
        <v>45</v>
      </c>
    </row>
    <row r="25" spans="1:42">
      <c r="A25" t="s">
        <v>316</v>
      </c>
      <c r="B25">
        <v>3470000</v>
      </c>
      <c r="C25">
        <v>3560000</v>
      </c>
      <c r="D25">
        <v>3500000</v>
      </c>
      <c r="E25">
        <v>3920000</v>
      </c>
      <c r="F25">
        <v>4325000</v>
      </c>
      <c r="G25">
        <v>4730000</v>
      </c>
      <c r="H25">
        <v>5530000</v>
      </c>
      <c r="I25">
        <v>6340000</v>
      </c>
      <c r="J25">
        <v>7150000</v>
      </c>
      <c r="K25">
        <v>7960000</v>
      </c>
      <c r="L25">
        <v>8760000</v>
      </c>
      <c r="M25">
        <v>8960000</v>
      </c>
      <c r="N25">
        <v>9140000</v>
      </c>
      <c r="O25">
        <v>9310000</v>
      </c>
      <c r="P25">
        <v>9480000</v>
      </c>
      <c r="Q25">
        <v>9650000</v>
      </c>
      <c r="R25">
        <v>9810000</v>
      </c>
      <c r="S25">
        <v>9970000</v>
      </c>
      <c r="T25">
        <v>10100000</v>
      </c>
      <c r="U25">
        <v>10300000</v>
      </c>
      <c r="V25">
        <v>10309100</v>
      </c>
      <c r="W25">
        <v>10318200</v>
      </c>
      <c r="X25">
        <v>10327300</v>
      </c>
      <c r="Y25">
        <v>10336400</v>
      </c>
      <c r="Z25">
        <v>10345500</v>
      </c>
      <c r="AA25">
        <v>10354500</v>
      </c>
      <c r="AB25">
        <v>10363600</v>
      </c>
      <c r="AC25">
        <v>10372700</v>
      </c>
      <c r="AD25">
        <v>10381800</v>
      </c>
      <c r="AE25">
        <v>10390900</v>
      </c>
      <c r="AF25">
        <v>10400000</v>
      </c>
      <c r="AG25">
        <v>10600000</v>
      </c>
      <c r="AH25">
        <v>10700000</v>
      </c>
      <c r="AI25">
        <v>10800000</v>
      </c>
      <c r="AJ25">
        <v>10950000</v>
      </c>
      <c r="AK25">
        <v>11100000</v>
      </c>
      <c r="AL25">
        <v>11200000</v>
      </c>
      <c r="AM25">
        <v>11300000</v>
      </c>
      <c r="AN25">
        <v>11500000</v>
      </c>
      <c r="AO25">
        <v>11600000</v>
      </c>
      <c r="AP25">
        <v>11700000</v>
      </c>
    </row>
    <row r="26" spans="1:42">
      <c r="A26" t="s">
        <v>317</v>
      </c>
      <c r="B26">
        <v>15</v>
      </c>
      <c r="C26">
        <v>16</v>
      </c>
      <c r="D26">
        <v>17</v>
      </c>
      <c r="E26">
        <v>18</v>
      </c>
      <c r="F26">
        <v>19</v>
      </c>
      <c r="G26">
        <v>20</v>
      </c>
      <c r="H26">
        <v>21</v>
      </c>
      <c r="I26">
        <v>22</v>
      </c>
      <c r="J26">
        <v>23</v>
      </c>
      <c r="K26">
        <v>24</v>
      </c>
      <c r="L26">
        <v>25</v>
      </c>
      <c r="M26">
        <v>26</v>
      </c>
      <c r="N26">
        <v>27</v>
      </c>
      <c r="O26">
        <v>28</v>
      </c>
      <c r="P26">
        <v>29</v>
      </c>
      <c r="Q26">
        <v>30</v>
      </c>
      <c r="R26">
        <v>31</v>
      </c>
      <c r="S26">
        <v>32</v>
      </c>
      <c r="T26">
        <v>33</v>
      </c>
      <c r="U26">
        <v>34</v>
      </c>
      <c r="V26">
        <v>34.0909</v>
      </c>
      <c r="W26">
        <v>34.1818</v>
      </c>
      <c r="X26">
        <v>34.2727</v>
      </c>
      <c r="Y26">
        <v>34.3636</v>
      </c>
      <c r="Z26">
        <v>34.4545</v>
      </c>
      <c r="AA26">
        <v>34.5455</v>
      </c>
      <c r="AB26">
        <v>34.6364</v>
      </c>
      <c r="AC26">
        <v>34.7273</v>
      </c>
      <c r="AD26">
        <v>34.8182</v>
      </c>
      <c r="AE26">
        <v>34.9091</v>
      </c>
      <c r="AF26">
        <v>35</v>
      </c>
      <c r="AG26">
        <v>36</v>
      </c>
      <c r="AH26">
        <v>37</v>
      </c>
      <c r="AI26">
        <v>38</v>
      </c>
      <c r="AJ26">
        <v>39</v>
      </c>
      <c r="AK26">
        <v>40</v>
      </c>
      <c r="AL26">
        <v>41</v>
      </c>
      <c r="AM26">
        <v>42</v>
      </c>
      <c r="AN26">
        <v>43</v>
      </c>
      <c r="AO26">
        <v>44</v>
      </c>
      <c r="AP26">
        <v>45</v>
      </c>
    </row>
    <row r="27" spans="1:42">
      <c r="A27" t="s">
        <v>318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319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320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321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322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323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324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325</v>
      </c>
      <c r="B34">
        <v>706000</v>
      </c>
      <c r="C34">
        <v>967000</v>
      </c>
      <c r="D34">
        <v>1060000</v>
      </c>
      <c r="E34">
        <v>921000</v>
      </c>
      <c r="F34">
        <v>1045500</v>
      </c>
      <c r="G34">
        <v>1170000</v>
      </c>
      <c r="H34">
        <v>1200000</v>
      </c>
      <c r="I34">
        <v>1260000</v>
      </c>
      <c r="J34">
        <v>1380000</v>
      </c>
      <c r="K34">
        <v>1410000</v>
      </c>
      <c r="L34">
        <v>1480000</v>
      </c>
      <c r="M34">
        <v>1560000</v>
      </c>
      <c r="N34">
        <v>1630000</v>
      </c>
      <c r="O34">
        <v>1690000</v>
      </c>
      <c r="P34">
        <v>1765000</v>
      </c>
      <c r="Q34">
        <v>1840000</v>
      </c>
      <c r="R34">
        <v>1910000</v>
      </c>
      <c r="S34">
        <v>1980000</v>
      </c>
      <c r="T34">
        <v>2050000</v>
      </c>
      <c r="U34">
        <v>2120000</v>
      </c>
      <c r="V34">
        <v>2190000</v>
      </c>
      <c r="W34">
        <v>2260000</v>
      </c>
      <c r="X34">
        <v>2330000</v>
      </c>
      <c r="Y34">
        <v>2400000</v>
      </c>
      <c r="Z34">
        <v>2470000</v>
      </c>
      <c r="AA34">
        <v>2540000</v>
      </c>
      <c r="AB34">
        <v>2610000</v>
      </c>
      <c r="AC34">
        <v>2680000</v>
      </c>
      <c r="AD34">
        <v>2750000</v>
      </c>
      <c r="AE34">
        <v>2820000</v>
      </c>
      <c r="AF34">
        <v>2890000</v>
      </c>
      <c r="AG34">
        <v>2960000</v>
      </c>
      <c r="AH34">
        <v>3030000</v>
      </c>
      <c r="AI34">
        <v>3100000</v>
      </c>
      <c r="AJ34">
        <v>3170000</v>
      </c>
      <c r="AK34">
        <v>3240000</v>
      </c>
      <c r="AL34">
        <v>3310000</v>
      </c>
      <c r="AM34">
        <v>3380000</v>
      </c>
      <c r="AN34">
        <v>3460000</v>
      </c>
      <c r="AO34">
        <v>3530000</v>
      </c>
      <c r="AP34">
        <v>3600000</v>
      </c>
    </row>
    <row r="35" spans="1:42">
      <c r="A35" t="s">
        <v>326</v>
      </c>
      <c r="B35">
        <v>551995000</v>
      </c>
      <c r="C35">
        <v>577055000</v>
      </c>
      <c r="D35">
        <v>618412000</v>
      </c>
      <c r="E35">
        <v>637258000</v>
      </c>
      <c r="F35">
        <v>654316000</v>
      </c>
      <c r="G35">
        <v>669001000</v>
      </c>
      <c r="H35">
        <v>668327000</v>
      </c>
      <c r="I35">
        <v>666128000</v>
      </c>
      <c r="J35">
        <v>661321000</v>
      </c>
      <c r="K35">
        <v>656515000</v>
      </c>
      <c r="L35">
        <v>650242000</v>
      </c>
      <c r="M35">
        <v>663871000</v>
      </c>
      <c r="N35">
        <v>676651000</v>
      </c>
      <c r="O35">
        <v>688697000</v>
      </c>
      <c r="P35">
        <v>700538000</v>
      </c>
      <c r="Q35">
        <v>711617000</v>
      </c>
      <c r="R35">
        <v>724338000</v>
      </c>
      <c r="S35">
        <v>734245000</v>
      </c>
      <c r="T35">
        <v>744972000</v>
      </c>
      <c r="U35">
        <v>754029000</v>
      </c>
      <c r="V35">
        <v>768039000</v>
      </c>
      <c r="W35">
        <v>782636000</v>
      </c>
      <c r="X35">
        <v>795913000</v>
      </c>
      <c r="Y35">
        <v>808927000</v>
      </c>
      <c r="Z35">
        <v>821676000</v>
      </c>
      <c r="AA35">
        <v>833723000</v>
      </c>
      <c r="AB35">
        <v>846825000</v>
      </c>
      <c r="AC35">
        <v>858255000</v>
      </c>
      <c r="AD35">
        <v>869716000</v>
      </c>
      <c r="AE35">
        <v>880560000</v>
      </c>
      <c r="AF35">
        <v>892724000</v>
      </c>
      <c r="AG35">
        <v>900462000</v>
      </c>
      <c r="AH35">
        <v>907906000</v>
      </c>
      <c r="AI35">
        <v>914355000</v>
      </c>
      <c r="AJ35">
        <v>922063000</v>
      </c>
      <c r="AK35">
        <v>929361000</v>
      </c>
      <c r="AL35">
        <v>937510000</v>
      </c>
      <c r="AM35">
        <v>944573000</v>
      </c>
      <c r="AN35">
        <v>951666000</v>
      </c>
      <c r="AO35">
        <v>958730000</v>
      </c>
      <c r="AP35">
        <v>966263000</v>
      </c>
    </row>
    <row r="36" spans="1:42">
      <c r="B36" t="s">
        <v>327</v>
      </c>
    </row>
    <row r="38" spans="1:42">
      <c r="A38" t="s">
        <v>308</v>
      </c>
      <c r="B38">
        <v>2020</v>
      </c>
      <c r="C38">
        <v>2021</v>
      </c>
      <c r="D38">
        <v>2022</v>
      </c>
      <c r="E38">
        <v>2023</v>
      </c>
      <c r="F38">
        <v>2024</v>
      </c>
      <c r="G38">
        <v>2025</v>
      </c>
      <c r="H38">
        <v>2026</v>
      </c>
      <c r="I38">
        <v>2027</v>
      </c>
      <c r="J38">
        <v>2028</v>
      </c>
      <c r="K38">
        <v>2029</v>
      </c>
      <c r="L38">
        <v>2030</v>
      </c>
      <c r="M38">
        <v>2031</v>
      </c>
      <c r="N38">
        <v>2032</v>
      </c>
      <c r="O38">
        <v>2033</v>
      </c>
      <c r="P38">
        <v>2034</v>
      </c>
      <c r="Q38">
        <v>2035</v>
      </c>
      <c r="R38">
        <v>2036</v>
      </c>
      <c r="S38">
        <v>2037</v>
      </c>
      <c r="T38">
        <v>2038</v>
      </c>
      <c r="U38">
        <v>2039</v>
      </c>
      <c r="V38">
        <v>2040</v>
      </c>
      <c r="W38">
        <v>2041</v>
      </c>
      <c r="X38">
        <v>2042</v>
      </c>
      <c r="Y38">
        <v>2043</v>
      </c>
      <c r="Z38">
        <v>2044</v>
      </c>
      <c r="AA38">
        <v>2045</v>
      </c>
      <c r="AB38">
        <v>2046</v>
      </c>
      <c r="AC38">
        <v>2047</v>
      </c>
      <c r="AD38">
        <v>2048</v>
      </c>
      <c r="AE38">
        <v>2049</v>
      </c>
      <c r="AF38">
        <v>2050</v>
      </c>
      <c r="AG38">
        <v>2051</v>
      </c>
      <c r="AH38">
        <v>2052</v>
      </c>
      <c r="AI38">
        <v>2053</v>
      </c>
      <c r="AJ38">
        <v>2054</v>
      </c>
      <c r="AK38">
        <v>2055</v>
      </c>
      <c r="AL38">
        <v>2056</v>
      </c>
      <c r="AM38">
        <v>2057</v>
      </c>
      <c r="AN38">
        <v>2058</v>
      </c>
      <c r="AO38">
        <v>2059</v>
      </c>
      <c r="AP38">
        <v>2060</v>
      </c>
    </row>
    <row r="39" spans="1:42">
      <c r="A39" t="s">
        <v>309</v>
      </c>
      <c r="B39">
        <v>79300000</v>
      </c>
      <c r="C39">
        <v>83044800</v>
      </c>
      <c r="D39">
        <v>81618300</v>
      </c>
      <c r="E39">
        <v>95092800</v>
      </c>
      <c r="F39">
        <v>107621000</v>
      </c>
      <c r="G39">
        <v>120550000</v>
      </c>
      <c r="H39">
        <v>145065000</v>
      </c>
      <c r="I39">
        <v>169643000</v>
      </c>
      <c r="J39">
        <v>196712000</v>
      </c>
      <c r="K39">
        <v>222814000</v>
      </c>
      <c r="L39">
        <v>248520000</v>
      </c>
      <c r="M39">
        <v>253742000</v>
      </c>
      <c r="N39">
        <v>258114000</v>
      </c>
      <c r="O39">
        <v>262487000</v>
      </c>
      <c r="P39">
        <v>267241000</v>
      </c>
      <c r="Q39">
        <v>270540000</v>
      </c>
      <c r="R39">
        <v>270379000</v>
      </c>
      <c r="S39">
        <v>270516000</v>
      </c>
      <c r="T39">
        <v>270472000</v>
      </c>
      <c r="U39">
        <v>270580000</v>
      </c>
      <c r="V39">
        <v>270628000</v>
      </c>
      <c r="W39">
        <v>270676000</v>
      </c>
      <c r="X39">
        <v>270724000</v>
      </c>
      <c r="Y39">
        <v>270772000</v>
      </c>
      <c r="Z39">
        <v>270819000</v>
      </c>
      <c r="AA39">
        <v>270868000</v>
      </c>
      <c r="AB39">
        <v>270915000</v>
      </c>
      <c r="AC39">
        <v>270962000</v>
      </c>
      <c r="AD39">
        <v>271010000</v>
      </c>
      <c r="AE39">
        <v>271058000</v>
      </c>
      <c r="AF39">
        <v>271105000</v>
      </c>
      <c r="AG39">
        <v>271085000</v>
      </c>
      <c r="AH39">
        <v>271044000</v>
      </c>
      <c r="AI39">
        <v>271392000</v>
      </c>
      <c r="AJ39">
        <v>271434000</v>
      </c>
      <c r="AK39">
        <v>271474000</v>
      </c>
      <c r="AL39">
        <v>271221000</v>
      </c>
      <c r="AM39">
        <v>271231000</v>
      </c>
      <c r="AN39">
        <v>271311000</v>
      </c>
      <c r="AO39">
        <v>271460000</v>
      </c>
      <c r="AP39">
        <v>271288000</v>
      </c>
    </row>
    <row r="40" spans="1:42">
      <c r="A40" t="s">
        <v>310</v>
      </c>
      <c r="B40">
        <v>926000</v>
      </c>
      <c r="C40">
        <v>968007</v>
      </c>
      <c r="D40">
        <v>952723</v>
      </c>
      <c r="E40">
        <v>1114370</v>
      </c>
      <c r="F40">
        <v>1258120</v>
      </c>
      <c r="G40">
        <v>1406420</v>
      </c>
      <c r="H40">
        <v>1690520</v>
      </c>
      <c r="I40">
        <v>1977220</v>
      </c>
      <c r="J40">
        <v>2290980</v>
      </c>
      <c r="K40">
        <v>2595420</v>
      </c>
      <c r="L40">
        <v>2907690</v>
      </c>
      <c r="M40">
        <v>2958260</v>
      </c>
      <c r="N40">
        <v>3013380</v>
      </c>
      <c r="O40">
        <v>3068510</v>
      </c>
      <c r="P40">
        <v>3121920</v>
      </c>
      <c r="Q40">
        <v>3158350</v>
      </c>
      <c r="R40">
        <v>3162470</v>
      </c>
      <c r="S40">
        <v>3156020</v>
      </c>
      <c r="T40">
        <v>3161360</v>
      </c>
      <c r="U40">
        <v>3154840</v>
      </c>
      <c r="V40">
        <v>3155930</v>
      </c>
      <c r="W40">
        <v>3157020</v>
      </c>
      <c r="X40">
        <v>3158100</v>
      </c>
      <c r="Y40">
        <v>3159180</v>
      </c>
      <c r="Z40">
        <v>3160250</v>
      </c>
      <c r="AA40">
        <v>3161340</v>
      </c>
      <c r="AB40">
        <v>3162410</v>
      </c>
      <c r="AC40">
        <v>3163480</v>
      </c>
      <c r="AD40">
        <v>3164550</v>
      </c>
      <c r="AE40">
        <v>3165620</v>
      </c>
      <c r="AF40">
        <v>3166680</v>
      </c>
      <c r="AG40">
        <v>3172040</v>
      </c>
      <c r="AH40">
        <v>3165880</v>
      </c>
      <c r="AI40">
        <v>3162600</v>
      </c>
      <c r="AJ40">
        <v>3163120</v>
      </c>
      <c r="AK40">
        <v>3163630</v>
      </c>
      <c r="AL40">
        <v>3167780</v>
      </c>
      <c r="AM40">
        <v>3162610</v>
      </c>
      <c r="AN40">
        <v>3168750</v>
      </c>
      <c r="AO40">
        <v>3165320</v>
      </c>
      <c r="AP40">
        <v>3170100</v>
      </c>
    </row>
    <row r="41" spans="1:42">
      <c r="A41" t="s">
        <v>311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312</v>
      </c>
      <c r="B42">
        <v>3260000</v>
      </c>
      <c r="C42">
        <v>3413500</v>
      </c>
      <c r="D42">
        <v>3362550</v>
      </c>
      <c r="E42">
        <v>3916210</v>
      </c>
      <c r="F42">
        <v>4433380</v>
      </c>
      <c r="G42">
        <v>4967130</v>
      </c>
      <c r="H42">
        <v>5951100</v>
      </c>
      <c r="I42">
        <v>6984610</v>
      </c>
      <c r="J42">
        <v>8072400</v>
      </c>
      <c r="K42">
        <v>9169670</v>
      </c>
      <c r="L42">
        <v>10251500</v>
      </c>
      <c r="M42">
        <v>10434400</v>
      </c>
      <c r="N42">
        <v>10620900</v>
      </c>
      <c r="O42">
        <v>10795200</v>
      </c>
      <c r="P42">
        <v>10985200</v>
      </c>
      <c r="Q42">
        <v>11115400</v>
      </c>
      <c r="R42">
        <v>11141100</v>
      </c>
      <c r="S42">
        <v>11129100</v>
      </c>
      <c r="T42">
        <v>11146700</v>
      </c>
      <c r="U42">
        <v>11122500</v>
      </c>
      <c r="V42">
        <v>11126300</v>
      </c>
      <c r="W42">
        <v>11130000</v>
      </c>
      <c r="X42">
        <v>11133700</v>
      </c>
      <c r="Y42">
        <v>11137400</v>
      </c>
      <c r="Z42">
        <v>11141100</v>
      </c>
      <c r="AA42">
        <v>11144800</v>
      </c>
      <c r="AB42">
        <v>11148500</v>
      </c>
      <c r="AC42">
        <v>11152100</v>
      </c>
      <c r="AD42">
        <v>11155800</v>
      </c>
      <c r="AE42">
        <v>11159500</v>
      </c>
      <c r="AF42">
        <v>11163100</v>
      </c>
      <c r="AG42">
        <v>11169600</v>
      </c>
      <c r="AH42">
        <v>11219400</v>
      </c>
      <c r="AI42">
        <v>11162100</v>
      </c>
      <c r="AJ42">
        <v>11138500</v>
      </c>
      <c r="AK42">
        <v>11115500</v>
      </c>
      <c r="AL42">
        <v>11124300</v>
      </c>
      <c r="AM42">
        <v>11205300</v>
      </c>
      <c r="AN42">
        <v>11183800</v>
      </c>
      <c r="AO42">
        <v>11165700</v>
      </c>
      <c r="AP42">
        <v>11176600</v>
      </c>
    </row>
    <row r="43" spans="1:42">
      <c r="A43" t="s">
        <v>313</v>
      </c>
      <c r="B43">
        <v>19300000</v>
      </c>
      <c r="C43">
        <v>20175300</v>
      </c>
      <c r="D43">
        <v>19869600</v>
      </c>
      <c r="E43">
        <v>23136400</v>
      </c>
      <c r="F43">
        <v>26197200</v>
      </c>
      <c r="G43">
        <v>29356300</v>
      </c>
      <c r="H43">
        <v>35181200</v>
      </c>
      <c r="I43">
        <v>41299300</v>
      </c>
      <c r="J43">
        <v>47738700</v>
      </c>
      <c r="K43">
        <v>54234500</v>
      </c>
      <c r="L43">
        <v>60639000</v>
      </c>
      <c r="M43">
        <v>61764600</v>
      </c>
      <c r="N43">
        <v>62861100</v>
      </c>
      <c r="O43">
        <v>63958100</v>
      </c>
      <c r="P43">
        <v>65024600</v>
      </c>
      <c r="Q43">
        <v>65737600</v>
      </c>
      <c r="R43">
        <v>65904800</v>
      </c>
      <c r="S43">
        <v>65849300</v>
      </c>
      <c r="T43">
        <v>65920100</v>
      </c>
      <c r="U43">
        <v>65860200</v>
      </c>
      <c r="V43">
        <v>65879200</v>
      </c>
      <c r="W43">
        <v>65898300</v>
      </c>
      <c r="X43">
        <v>65917200</v>
      </c>
      <c r="Y43">
        <v>65936100</v>
      </c>
      <c r="Z43">
        <v>65954900</v>
      </c>
      <c r="AA43">
        <v>65973900</v>
      </c>
      <c r="AB43">
        <v>65992700</v>
      </c>
      <c r="AC43">
        <v>66011400</v>
      </c>
      <c r="AD43">
        <v>66030100</v>
      </c>
      <c r="AE43">
        <v>66048900</v>
      </c>
      <c r="AF43">
        <v>66067500</v>
      </c>
      <c r="AG43">
        <v>66027900</v>
      </c>
      <c r="AH43">
        <v>66094700</v>
      </c>
      <c r="AI43">
        <v>65987800</v>
      </c>
      <c r="AJ43">
        <v>65965900</v>
      </c>
      <c r="AK43">
        <v>65944600</v>
      </c>
      <c r="AL43">
        <v>66110200</v>
      </c>
      <c r="AM43">
        <v>66079800</v>
      </c>
      <c r="AN43">
        <v>66067300</v>
      </c>
      <c r="AO43">
        <v>65969900</v>
      </c>
      <c r="AP43">
        <v>66145400</v>
      </c>
    </row>
    <row r="44" spans="1:42">
      <c r="A44" t="s">
        <v>314</v>
      </c>
      <c r="B44">
        <v>10300000</v>
      </c>
      <c r="C44">
        <v>10800900</v>
      </c>
      <c r="D44">
        <v>10597100</v>
      </c>
      <c r="E44">
        <v>12417300</v>
      </c>
      <c r="F44">
        <v>14051700</v>
      </c>
      <c r="G44">
        <v>15738500</v>
      </c>
      <c r="H44">
        <v>18847100</v>
      </c>
      <c r="I44">
        <v>22112100</v>
      </c>
      <c r="J44">
        <v>25548600</v>
      </c>
      <c r="K44">
        <v>29014800</v>
      </c>
      <c r="L44">
        <v>32431900</v>
      </c>
      <c r="M44">
        <v>33048400</v>
      </c>
      <c r="N44">
        <v>33591800</v>
      </c>
      <c r="O44">
        <v>34135600</v>
      </c>
      <c r="P44">
        <v>34790600</v>
      </c>
      <c r="Q44">
        <v>35255900</v>
      </c>
      <c r="R44">
        <v>35245800</v>
      </c>
      <c r="S44">
        <v>35238300</v>
      </c>
      <c r="T44">
        <v>35243300</v>
      </c>
      <c r="U44">
        <v>35232900</v>
      </c>
      <c r="V44">
        <v>35240100</v>
      </c>
      <c r="W44">
        <v>35247400</v>
      </c>
      <c r="X44">
        <v>35254700</v>
      </c>
      <c r="Y44">
        <v>35261800</v>
      </c>
      <c r="Z44">
        <v>35269000</v>
      </c>
      <c r="AA44">
        <v>35276300</v>
      </c>
      <c r="AB44">
        <v>35283400</v>
      </c>
      <c r="AC44">
        <v>35290500</v>
      </c>
      <c r="AD44">
        <v>35297700</v>
      </c>
      <c r="AE44">
        <v>35304900</v>
      </c>
      <c r="AF44">
        <v>35311900</v>
      </c>
      <c r="AG44">
        <v>35319800</v>
      </c>
      <c r="AH44">
        <v>35324600</v>
      </c>
      <c r="AI44">
        <v>35237200</v>
      </c>
      <c r="AJ44">
        <v>35253900</v>
      </c>
      <c r="AK44">
        <v>35270200</v>
      </c>
      <c r="AL44">
        <v>35385900</v>
      </c>
      <c r="AM44">
        <v>35396100</v>
      </c>
      <c r="AN44">
        <v>35311900</v>
      </c>
      <c r="AO44">
        <v>35341000</v>
      </c>
      <c r="AP44">
        <v>35358800</v>
      </c>
    </row>
    <row r="45" spans="1:42">
      <c r="A45" t="s">
        <v>315</v>
      </c>
      <c r="B45">
        <v>15</v>
      </c>
      <c r="C45">
        <v>16.3033</v>
      </c>
      <c r="D45">
        <v>17.3222</v>
      </c>
      <c r="E45">
        <v>19.1035</v>
      </c>
      <c r="F45">
        <v>20.6964</v>
      </c>
      <c r="G45">
        <v>22.3242</v>
      </c>
      <c r="H45">
        <v>23.9872</v>
      </c>
      <c r="I45">
        <v>25.7389</v>
      </c>
      <c r="J45">
        <v>27.5877</v>
      </c>
      <c r="K45">
        <v>29.3821</v>
      </c>
      <c r="L45">
        <v>31.0651</v>
      </c>
      <c r="M45">
        <v>32.182</v>
      </c>
      <c r="N45">
        <v>33.3448</v>
      </c>
      <c r="O45">
        <v>34.5053</v>
      </c>
      <c r="P45">
        <v>35.7143</v>
      </c>
      <c r="Q45">
        <v>36.7249</v>
      </c>
      <c r="R45">
        <v>37.4185</v>
      </c>
      <c r="S45">
        <v>37.9671</v>
      </c>
      <c r="T45">
        <v>38.6388</v>
      </c>
      <c r="U45">
        <v>39.1477</v>
      </c>
      <c r="V45">
        <v>39.2138</v>
      </c>
      <c r="W45">
        <v>39.2799</v>
      </c>
      <c r="X45">
        <v>39.3458</v>
      </c>
      <c r="Y45">
        <v>39.4115</v>
      </c>
      <c r="Z45">
        <v>39.4771</v>
      </c>
      <c r="AA45">
        <v>39.5427</v>
      </c>
      <c r="AB45">
        <v>39.6081</v>
      </c>
      <c r="AC45">
        <v>39.6733</v>
      </c>
      <c r="AD45">
        <v>39.7384</v>
      </c>
      <c r="AE45">
        <v>39.8035</v>
      </c>
      <c r="AF45">
        <v>39.8683</v>
      </c>
      <c r="AG45">
        <v>40.4941</v>
      </c>
      <c r="AH45">
        <v>41.1009</v>
      </c>
      <c r="AI45">
        <v>41.5843</v>
      </c>
      <c r="AJ45">
        <v>42.1749</v>
      </c>
      <c r="AK45">
        <v>42.7518</v>
      </c>
      <c r="AL45">
        <v>43.4378</v>
      </c>
      <c r="AM45">
        <v>43.9834</v>
      </c>
      <c r="AN45">
        <v>44.5281</v>
      </c>
      <c r="AO45">
        <v>45.0726</v>
      </c>
      <c r="AP45">
        <v>45.7226</v>
      </c>
    </row>
    <row r="46" spans="1:42">
      <c r="A46" t="s">
        <v>316</v>
      </c>
      <c r="B46">
        <v>3470000</v>
      </c>
      <c r="C46">
        <v>3627480</v>
      </c>
      <c r="D46">
        <v>3566340</v>
      </c>
      <c r="E46">
        <v>4160310</v>
      </c>
      <c r="F46">
        <v>4711150</v>
      </c>
      <c r="G46">
        <v>5279660</v>
      </c>
      <c r="H46">
        <v>6316620</v>
      </c>
      <c r="I46">
        <v>7417500</v>
      </c>
      <c r="J46">
        <v>8576170</v>
      </c>
      <c r="K46">
        <v>9745070</v>
      </c>
      <c r="L46">
        <v>10885200</v>
      </c>
      <c r="M46">
        <v>11090400</v>
      </c>
      <c r="N46">
        <v>11287800</v>
      </c>
      <c r="O46">
        <v>11473000</v>
      </c>
      <c r="P46">
        <v>11674900</v>
      </c>
      <c r="Q46">
        <v>11813200</v>
      </c>
      <c r="R46">
        <v>11841100</v>
      </c>
      <c r="S46">
        <v>11829100</v>
      </c>
      <c r="T46">
        <v>11825800</v>
      </c>
      <c r="U46">
        <v>11859400</v>
      </c>
      <c r="V46">
        <v>11858300</v>
      </c>
      <c r="W46">
        <v>11857100</v>
      </c>
      <c r="X46">
        <v>11855900</v>
      </c>
      <c r="Y46">
        <v>11854700</v>
      </c>
      <c r="Z46">
        <v>11853600</v>
      </c>
      <c r="AA46">
        <v>11852400</v>
      </c>
      <c r="AB46">
        <v>11851200</v>
      </c>
      <c r="AC46">
        <v>11850100</v>
      </c>
      <c r="AD46">
        <v>11848900</v>
      </c>
      <c r="AE46">
        <v>11847800</v>
      </c>
      <c r="AF46">
        <v>11846600</v>
      </c>
      <c r="AG46">
        <v>11923300</v>
      </c>
      <c r="AH46">
        <v>11885900</v>
      </c>
      <c r="AI46">
        <v>11818700</v>
      </c>
      <c r="AJ46">
        <v>11841400</v>
      </c>
      <c r="AK46">
        <v>11863600</v>
      </c>
      <c r="AL46">
        <v>11865900</v>
      </c>
      <c r="AM46">
        <v>11833600</v>
      </c>
      <c r="AN46">
        <v>11908700</v>
      </c>
      <c r="AO46">
        <v>11882800</v>
      </c>
      <c r="AP46">
        <v>11887900</v>
      </c>
    </row>
    <row r="47" spans="1:42">
      <c r="A47" t="s">
        <v>317</v>
      </c>
      <c r="B47">
        <v>15</v>
      </c>
      <c r="C47">
        <v>16.3033</v>
      </c>
      <c r="D47">
        <v>17.3222</v>
      </c>
      <c r="E47">
        <v>19.1035</v>
      </c>
      <c r="F47">
        <v>20.6964</v>
      </c>
      <c r="G47">
        <v>22.3242</v>
      </c>
      <c r="H47">
        <v>23.9872</v>
      </c>
      <c r="I47">
        <v>25.7389</v>
      </c>
      <c r="J47">
        <v>27.5877</v>
      </c>
      <c r="K47">
        <v>29.3821</v>
      </c>
      <c r="L47">
        <v>31.0651</v>
      </c>
      <c r="M47">
        <v>32.182</v>
      </c>
      <c r="N47">
        <v>33.3448</v>
      </c>
      <c r="O47">
        <v>34.5053</v>
      </c>
      <c r="P47">
        <v>35.7143</v>
      </c>
      <c r="Q47">
        <v>36.7249</v>
      </c>
      <c r="R47">
        <v>37.4185</v>
      </c>
      <c r="S47">
        <v>37.9671</v>
      </c>
      <c r="T47">
        <v>38.6388</v>
      </c>
      <c r="U47">
        <v>39.1477</v>
      </c>
      <c r="V47">
        <v>39.2138</v>
      </c>
      <c r="W47">
        <v>39.2799</v>
      </c>
      <c r="X47">
        <v>39.3458</v>
      </c>
      <c r="Y47">
        <v>39.4115</v>
      </c>
      <c r="Z47">
        <v>39.4771</v>
      </c>
      <c r="AA47">
        <v>39.5427</v>
      </c>
      <c r="AB47">
        <v>39.6081</v>
      </c>
      <c r="AC47">
        <v>39.6733</v>
      </c>
      <c r="AD47">
        <v>39.7384</v>
      </c>
      <c r="AE47">
        <v>39.8035</v>
      </c>
      <c r="AF47">
        <v>39.8683</v>
      </c>
      <c r="AG47">
        <v>40.4941</v>
      </c>
      <c r="AH47">
        <v>41.1009</v>
      </c>
      <c r="AI47">
        <v>41.5843</v>
      </c>
      <c r="AJ47">
        <v>42.1749</v>
      </c>
      <c r="AK47">
        <v>42.7518</v>
      </c>
      <c r="AL47">
        <v>43.4378</v>
      </c>
      <c r="AM47">
        <v>43.9834</v>
      </c>
      <c r="AN47">
        <v>44.5281</v>
      </c>
      <c r="AO47">
        <v>45.0726</v>
      </c>
      <c r="AP47">
        <v>45.7226</v>
      </c>
    </row>
    <row r="48" spans="1:42">
      <c r="A48" t="s">
        <v>318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319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320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321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322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323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324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325</v>
      </c>
      <c r="B55">
        <v>706000</v>
      </c>
      <c r="C55">
        <v>967000</v>
      </c>
      <c r="D55">
        <v>1060000</v>
      </c>
      <c r="E55">
        <v>921000</v>
      </c>
      <c r="F55">
        <v>1045500</v>
      </c>
      <c r="G55">
        <v>1170000</v>
      </c>
      <c r="H55">
        <v>1200000</v>
      </c>
      <c r="I55">
        <v>1260000</v>
      </c>
      <c r="J55">
        <v>1380000</v>
      </c>
      <c r="K55">
        <v>1410000</v>
      </c>
      <c r="L55">
        <v>1480000</v>
      </c>
      <c r="M55">
        <v>1560000</v>
      </c>
      <c r="N55">
        <v>1630000</v>
      </c>
      <c r="O55">
        <v>1690000</v>
      </c>
      <c r="P55">
        <v>1765000</v>
      </c>
      <c r="Q55">
        <v>1840000</v>
      </c>
      <c r="R55">
        <v>1910000</v>
      </c>
      <c r="S55">
        <v>1980000</v>
      </c>
      <c r="T55">
        <v>2050000</v>
      </c>
      <c r="U55">
        <v>2120000</v>
      </c>
      <c r="V55">
        <v>2190000</v>
      </c>
      <c r="W55">
        <v>2260000</v>
      </c>
      <c r="X55">
        <v>2330000</v>
      </c>
      <c r="Y55">
        <v>2400000</v>
      </c>
      <c r="Z55">
        <v>2470000</v>
      </c>
      <c r="AA55">
        <v>2540000</v>
      </c>
      <c r="AB55">
        <v>2610000</v>
      </c>
      <c r="AC55">
        <v>2680000</v>
      </c>
      <c r="AD55">
        <v>2750000</v>
      </c>
      <c r="AE55">
        <v>2820000</v>
      </c>
      <c r="AF55">
        <v>2890000</v>
      </c>
      <c r="AG55">
        <v>2960000</v>
      </c>
      <c r="AH55">
        <v>3030000</v>
      </c>
      <c r="AI55">
        <v>3100000</v>
      </c>
      <c r="AJ55">
        <v>3170000</v>
      </c>
      <c r="AK55">
        <v>3240000</v>
      </c>
      <c r="AL55">
        <v>3310000</v>
      </c>
      <c r="AM55">
        <v>3380000</v>
      </c>
      <c r="AN55">
        <v>3460000</v>
      </c>
      <c r="AO55">
        <v>3530000</v>
      </c>
      <c r="AP55">
        <v>3600000</v>
      </c>
    </row>
    <row r="56" spans="1:42">
      <c r="A56" t="s">
        <v>326</v>
      </c>
      <c r="B56">
        <v>551995000</v>
      </c>
      <c r="C56">
        <v>587959000</v>
      </c>
      <c r="D56">
        <v>643501000</v>
      </c>
      <c r="E56">
        <v>667828000</v>
      </c>
      <c r="F56">
        <v>695673000</v>
      </c>
      <c r="G56">
        <v>721143000</v>
      </c>
      <c r="H56">
        <v>731519000</v>
      </c>
      <c r="I56">
        <v>741133000</v>
      </c>
      <c r="J56">
        <v>748900000</v>
      </c>
      <c r="K56">
        <v>753179000</v>
      </c>
      <c r="L56">
        <v>751274000</v>
      </c>
      <c r="M56">
        <v>756315000</v>
      </c>
      <c r="N56">
        <v>762119000</v>
      </c>
      <c r="O56">
        <v>767101000</v>
      </c>
      <c r="P56">
        <v>773315000</v>
      </c>
      <c r="Q56">
        <v>781053000</v>
      </c>
      <c r="R56">
        <v>793598000</v>
      </c>
      <c r="S56">
        <v>804589000</v>
      </c>
      <c r="T56">
        <v>815082000</v>
      </c>
      <c r="U56">
        <v>825516000</v>
      </c>
      <c r="V56">
        <v>835452000</v>
      </c>
      <c r="W56">
        <v>845593000</v>
      </c>
      <c r="X56">
        <v>854328000</v>
      </c>
      <c r="Y56">
        <v>862652000</v>
      </c>
      <c r="Z56">
        <v>870243000</v>
      </c>
      <c r="AA56">
        <v>877366000</v>
      </c>
      <c r="AB56">
        <v>885514000</v>
      </c>
      <c r="AC56">
        <v>892460000</v>
      </c>
      <c r="AD56">
        <v>899465000</v>
      </c>
      <c r="AE56">
        <v>906119000</v>
      </c>
      <c r="AF56">
        <v>914648000</v>
      </c>
      <c r="AG56">
        <v>920246000</v>
      </c>
      <c r="AH56">
        <v>926518000</v>
      </c>
      <c r="AI56">
        <v>932761000</v>
      </c>
      <c r="AJ56">
        <v>939239000</v>
      </c>
      <c r="AK56">
        <v>944778000</v>
      </c>
      <c r="AL56">
        <v>949878000</v>
      </c>
      <c r="AM56">
        <v>954802000</v>
      </c>
      <c r="AN56">
        <v>959844000</v>
      </c>
      <c r="AO56">
        <v>964152000</v>
      </c>
      <c r="AP56">
        <v>968344000</v>
      </c>
    </row>
    <row r="58" spans="1:42">
      <c r="A58" t="s">
        <v>328</v>
      </c>
      <c r="B58">
        <f>SUM(B18:B33)-B34+B35</f>
        <v>667845030</v>
      </c>
      <c r="C58">
        <f t="shared" ref="C58:AP58" si="34">SUM(C18:C33)-C34+C35</f>
        <v>695848032</v>
      </c>
      <c r="D58">
        <f t="shared" si="34"/>
        <v>735087034</v>
      </c>
      <c r="E58">
        <f t="shared" si="34"/>
        <v>768097036</v>
      </c>
      <c r="F58">
        <f t="shared" si="34"/>
        <v>798570538</v>
      </c>
      <c r="G58">
        <f t="shared" si="34"/>
        <v>826671040</v>
      </c>
      <c r="H58">
        <f t="shared" si="34"/>
        <v>853647042</v>
      </c>
      <c r="I58">
        <f t="shared" si="34"/>
        <v>878068044</v>
      </c>
      <c r="J58">
        <f t="shared" si="34"/>
        <v>900831046</v>
      </c>
      <c r="K58">
        <f t="shared" si="34"/>
        <v>922675048</v>
      </c>
      <c r="L58">
        <f t="shared" si="34"/>
        <v>943012050</v>
      </c>
      <c r="M58">
        <f t="shared" si="34"/>
        <v>963691052</v>
      </c>
      <c r="N58">
        <f t="shared" si="34"/>
        <v>982301054</v>
      </c>
      <c r="O58">
        <f t="shared" si="34"/>
        <v>1000167056</v>
      </c>
      <c r="P58">
        <f t="shared" si="34"/>
        <v>1017758058</v>
      </c>
      <c r="Q58">
        <f t="shared" si="34"/>
        <v>1034587060</v>
      </c>
      <c r="R58">
        <f t="shared" si="34"/>
        <v>1051888062</v>
      </c>
      <c r="S58">
        <f t="shared" si="34"/>
        <v>1067475064</v>
      </c>
      <c r="T58">
        <f t="shared" si="34"/>
        <v>1082642066</v>
      </c>
      <c r="U58">
        <f t="shared" si="34"/>
        <v>1097409068</v>
      </c>
      <c r="V58">
        <f t="shared" si="34"/>
        <v>1111756638.1818</v>
      </c>
      <c r="W58">
        <f t="shared" si="34"/>
        <v>1126690198.3636</v>
      </c>
      <c r="X58">
        <f t="shared" si="34"/>
        <v>1140304758.5454</v>
      </c>
      <c r="Y58">
        <f t="shared" si="34"/>
        <v>1153656328.7272</v>
      </c>
      <c r="Z58">
        <f t="shared" si="34"/>
        <v>1166742788.909</v>
      </c>
      <c r="AA58">
        <f t="shared" si="34"/>
        <v>1179126349.091</v>
      </c>
      <c r="AB58">
        <f t="shared" si="34"/>
        <v>1192565809.2728</v>
      </c>
      <c r="AC58">
        <f t="shared" si="34"/>
        <v>1204333379.4546</v>
      </c>
      <c r="AD58">
        <f t="shared" si="34"/>
        <v>1216131949.6364</v>
      </c>
      <c r="AE58">
        <f t="shared" si="34"/>
        <v>1227312499.8182</v>
      </c>
      <c r="AF58">
        <f t="shared" si="34"/>
        <v>1239814070</v>
      </c>
      <c r="AG58">
        <f t="shared" si="34"/>
        <v>1251952072</v>
      </c>
      <c r="AH58">
        <f t="shared" si="34"/>
        <v>1263826074</v>
      </c>
      <c r="AI58">
        <f t="shared" si="34"/>
        <v>1275645076</v>
      </c>
      <c r="AJ58">
        <f t="shared" si="34"/>
        <v>1287668078</v>
      </c>
      <c r="AK58">
        <f t="shared" si="34"/>
        <v>1299281080</v>
      </c>
      <c r="AL58">
        <f t="shared" si="34"/>
        <v>1310690082</v>
      </c>
      <c r="AM58">
        <f t="shared" si="34"/>
        <v>1322113084</v>
      </c>
      <c r="AN58">
        <f t="shared" si="34"/>
        <v>1333466086</v>
      </c>
      <c r="AO58">
        <f t="shared" si="34"/>
        <v>1344690088</v>
      </c>
      <c r="AP58">
        <f t="shared" si="34"/>
        <v>1355383090</v>
      </c>
    </row>
    <row r="59" spans="1:42">
      <c r="A59" t="s">
        <v>329</v>
      </c>
      <c r="B59">
        <f>SUM(B39:B54)-B55+B56</f>
        <v>667845030</v>
      </c>
      <c r="C59">
        <f t="shared" ref="C59:AP59" si="35">SUM(C39:C54)-C55+C56</f>
        <v>709022019.6066</v>
      </c>
      <c r="D59">
        <f t="shared" si="35"/>
        <v>762407647.6444</v>
      </c>
      <c r="E59">
        <f t="shared" si="35"/>
        <v>806744428.207</v>
      </c>
      <c r="F59">
        <f t="shared" si="35"/>
        <v>852900091.3928</v>
      </c>
      <c r="G59">
        <f t="shared" si="35"/>
        <v>897271054.6484</v>
      </c>
      <c r="H59">
        <f t="shared" si="35"/>
        <v>943370587.9744</v>
      </c>
      <c r="I59">
        <f t="shared" si="35"/>
        <v>989306781.4778</v>
      </c>
      <c r="J59">
        <f t="shared" si="35"/>
        <v>1036458905.1754</v>
      </c>
      <c r="K59">
        <f t="shared" si="35"/>
        <v>1079342518.7642</v>
      </c>
      <c r="L59">
        <f t="shared" si="35"/>
        <v>1115429352.1302</v>
      </c>
      <c r="M59">
        <f t="shared" si="35"/>
        <v>1127793124.364</v>
      </c>
      <c r="N59">
        <f t="shared" si="35"/>
        <v>1139978046.6896</v>
      </c>
      <c r="O59">
        <f t="shared" si="35"/>
        <v>1151328479.0106</v>
      </c>
      <c r="P59">
        <f t="shared" si="35"/>
        <v>1164388291.4286</v>
      </c>
      <c r="Q59">
        <f t="shared" si="35"/>
        <v>1176833523.4498</v>
      </c>
      <c r="R59">
        <f t="shared" si="35"/>
        <v>1189362344.837</v>
      </c>
      <c r="S59">
        <f t="shared" si="35"/>
        <v>1200326895.9342</v>
      </c>
      <c r="T59">
        <f t="shared" si="35"/>
        <v>1210801337.2776</v>
      </c>
      <c r="U59">
        <f t="shared" si="35"/>
        <v>1221205918.2954</v>
      </c>
      <c r="V59">
        <f t="shared" si="35"/>
        <v>1231149908.4276</v>
      </c>
      <c r="W59">
        <f t="shared" si="35"/>
        <v>1241298898.5598</v>
      </c>
      <c r="X59">
        <f t="shared" si="35"/>
        <v>1250041678.6916</v>
      </c>
      <c r="Y59">
        <f t="shared" si="35"/>
        <v>1258373258.823</v>
      </c>
      <c r="Z59">
        <f t="shared" si="35"/>
        <v>1265970928.9542</v>
      </c>
      <c r="AA59">
        <f t="shared" si="35"/>
        <v>1273102819.0854</v>
      </c>
      <c r="AB59">
        <f t="shared" si="35"/>
        <v>1281257289.2162</v>
      </c>
      <c r="AC59">
        <f t="shared" si="35"/>
        <v>1288209659.3466</v>
      </c>
      <c r="AD59">
        <f t="shared" si="35"/>
        <v>1295222129.4768</v>
      </c>
      <c r="AE59">
        <f t="shared" si="35"/>
        <v>1301883799.607</v>
      </c>
      <c r="AF59">
        <f t="shared" si="35"/>
        <v>1310418859.7366</v>
      </c>
      <c r="AG59">
        <f t="shared" si="35"/>
        <v>1315983720.9882</v>
      </c>
      <c r="AH59">
        <f t="shared" si="35"/>
        <v>1322222562.2018</v>
      </c>
      <c r="AI59">
        <f t="shared" si="35"/>
        <v>1328421483.1686</v>
      </c>
      <c r="AJ59">
        <f t="shared" si="35"/>
        <v>1334865904.3498</v>
      </c>
      <c r="AK59">
        <f t="shared" si="35"/>
        <v>1340369615.5036</v>
      </c>
      <c r="AL59">
        <f t="shared" si="35"/>
        <v>1345443166.8756</v>
      </c>
      <c r="AM59">
        <f t="shared" si="35"/>
        <v>1350330497.9668</v>
      </c>
      <c r="AN59">
        <f t="shared" si="35"/>
        <v>1355335539.0562</v>
      </c>
      <c r="AO59">
        <f t="shared" si="35"/>
        <v>1359606810.1452</v>
      </c>
      <c r="AP59">
        <f t="shared" si="35"/>
        <v>1363770891.4452</v>
      </c>
    </row>
    <row r="61" spans="1:42">
      <c r="A61" t="s">
        <v>330</v>
      </c>
      <c r="B61">
        <f t="shared" ref="B61:Q61" si="36">1-B35/B58</f>
        <v>0.173468431740819</v>
      </c>
      <c r="C61">
        <f t="shared" si="36"/>
        <v>0.17071691883437</v>
      </c>
      <c r="D61">
        <f t="shared" si="36"/>
        <v>0.158722747924295</v>
      </c>
      <c r="E61">
        <f t="shared" si="36"/>
        <v>0.1703418056153</v>
      </c>
      <c r="F61">
        <f t="shared" si="36"/>
        <v>0.18064094671121</v>
      </c>
      <c r="G61">
        <f t="shared" si="36"/>
        <v>0.190728878079484</v>
      </c>
      <c r="H61">
        <f t="shared" si="36"/>
        <v>0.217092115221082</v>
      </c>
      <c r="I61">
        <f t="shared" si="36"/>
        <v>0.241370865786798</v>
      </c>
      <c r="J61">
        <f t="shared" si="36"/>
        <v>0.265876766862673</v>
      </c>
      <c r="K61">
        <f t="shared" si="36"/>
        <v>0.288465639747093</v>
      </c>
      <c r="L61">
        <f t="shared" si="36"/>
        <v>0.310462681786516</v>
      </c>
      <c r="M61">
        <f t="shared" si="36"/>
        <v>0.311116359727287</v>
      </c>
      <c r="N61">
        <f t="shared" si="36"/>
        <v>0.311157208633108</v>
      </c>
      <c r="O61">
        <f t="shared" si="36"/>
        <v>0.311418031749288</v>
      </c>
      <c r="P61">
        <f t="shared" si="36"/>
        <v>0.311685135289786</v>
      </c>
      <c r="Q61" s="73">
        <f t="shared" si="36"/>
        <v>0.312172916603074</v>
      </c>
      <c r="R61">
        <f t="shared" ref="R61:AP61" si="37">1-R35/R58</f>
        <v>0.311392508226793</v>
      </c>
      <c r="S61">
        <f t="shared" si="37"/>
        <v>0.312166602516534</v>
      </c>
      <c r="T61">
        <f t="shared" si="37"/>
        <v>0.311894463188169</v>
      </c>
      <c r="U61">
        <f t="shared" si="37"/>
        <v>0.312900702220186</v>
      </c>
      <c r="V61">
        <f t="shared" si="37"/>
        <v>0.309166256694384</v>
      </c>
      <c r="W61">
        <f t="shared" si="37"/>
        <v>0.305367170907587</v>
      </c>
      <c r="X61">
        <f t="shared" si="37"/>
        <v>0.302017294906946</v>
      </c>
      <c r="Y61">
        <f t="shared" si="37"/>
        <v>0.298814577741303</v>
      </c>
      <c r="Z61">
        <f t="shared" si="37"/>
        <v>0.295752236216232</v>
      </c>
      <c r="AA61">
        <f t="shared" si="37"/>
        <v>0.292931583928453</v>
      </c>
      <c r="AB61">
        <f t="shared" si="37"/>
        <v>0.289913400656375</v>
      </c>
      <c r="AC61">
        <f t="shared" si="37"/>
        <v>0.287360946195252</v>
      </c>
      <c r="AD61">
        <f t="shared" si="37"/>
        <v>0.284850628042435</v>
      </c>
      <c r="AE61">
        <f t="shared" si="37"/>
        <v>0.282529917905639</v>
      </c>
      <c r="AF61">
        <f t="shared" si="37"/>
        <v>0.279953323968972</v>
      </c>
      <c r="AG61">
        <f t="shared" si="37"/>
        <v>0.280753616580939</v>
      </c>
      <c r="AH61">
        <f t="shared" si="37"/>
        <v>0.281621087997904</v>
      </c>
      <c r="AI61">
        <f t="shared" si="37"/>
        <v>0.283221471863385</v>
      </c>
      <c r="AJ61">
        <f t="shared" si="37"/>
        <v>0.28392804345034</v>
      </c>
      <c r="AK61">
        <f t="shared" si="37"/>
        <v>0.284711357453154</v>
      </c>
      <c r="AL61">
        <f t="shared" si="37"/>
        <v>0.284720306596476</v>
      </c>
      <c r="AM61">
        <f t="shared" si="37"/>
        <v>0.28555808770742</v>
      </c>
      <c r="AN61">
        <f t="shared" si="37"/>
        <v>0.286321557037334</v>
      </c>
      <c r="AO61">
        <f t="shared" si="37"/>
        <v>0.287025308987033</v>
      </c>
      <c r="AP61">
        <f t="shared" si="37"/>
        <v>0.287092330479053</v>
      </c>
    </row>
    <row r="62" spans="1:42">
      <c r="A62" t="s">
        <v>331</v>
      </c>
      <c r="B62">
        <f>B61</f>
        <v>0.173468431740819</v>
      </c>
      <c r="C62">
        <f t="shared" ref="C62:D62" si="38">C61</f>
        <v>0.17071691883437</v>
      </c>
      <c r="D62">
        <f t="shared" si="38"/>
        <v>0.158722747924295</v>
      </c>
      <c r="E62">
        <f>E61+($Q62-$Q61)/12*(E38-2022)</f>
        <v>0.172077395898377</v>
      </c>
      <c r="F62">
        <f t="shared" ref="F62:P62" si="39">F61+($Q62-$Q61)/12*(F38-2022)</f>
        <v>0.184112127277364</v>
      </c>
      <c r="G62">
        <f t="shared" si="39"/>
        <v>0.195935648928715</v>
      </c>
      <c r="H62">
        <f t="shared" si="39"/>
        <v>0.224034476353391</v>
      </c>
      <c r="I62">
        <f t="shared" si="39"/>
        <v>0.250048817202183</v>
      </c>
      <c r="J62">
        <f t="shared" si="39"/>
        <v>0.276290308561136</v>
      </c>
      <c r="K62">
        <f t="shared" si="39"/>
        <v>0.300614771728633</v>
      </c>
      <c r="L62">
        <f t="shared" si="39"/>
        <v>0.324347404051133</v>
      </c>
      <c r="M62">
        <f t="shared" si="39"/>
        <v>0.326736672274982</v>
      </c>
      <c r="N62">
        <f t="shared" si="39"/>
        <v>0.328513111463879</v>
      </c>
      <c r="O62">
        <f t="shared" si="39"/>
        <v>0.330509524863137</v>
      </c>
      <c r="P62">
        <f t="shared" si="39"/>
        <v>0.332512218686712</v>
      </c>
      <c r="Q62" s="73">
        <v>0.333</v>
      </c>
      <c r="R62" s="73">
        <f>$Q59*$Q62/R59</f>
        <v>0.329492156036343</v>
      </c>
      <c r="S62" s="73">
        <f t="shared" ref="S62:AP62" si="40">$Q59*$Q62/S59</f>
        <v>0.326482364625999</v>
      </c>
      <c r="T62" s="73">
        <f t="shared" si="40"/>
        <v>0.32365801989442</v>
      </c>
      <c r="U62" s="73">
        <f t="shared" si="40"/>
        <v>0.320900478320471</v>
      </c>
      <c r="V62" s="73">
        <f t="shared" si="40"/>
        <v>0.318308567158399</v>
      </c>
      <c r="W62" s="73">
        <f t="shared" si="40"/>
        <v>0.315706042890607</v>
      </c>
      <c r="X62" s="73">
        <f t="shared" si="40"/>
        <v>0.313497997697936</v>
      </c>
      <c r="Y62" s="73">
        <f t="shared" si="40"/>
        <v>0.311422354663931</v>
      </c>
      <c r="Z62" s="73">
        <f t="shared" si="40"/>
        <v>0.309553366784271</v>
      </c>
      <c r="AA62" s="73">
        <f t="shared" si="40"/>
        <v>0.307819256570585</v>
      </c>
      <c r="AB62" s="73">
        <f t="shared" si="40"/>
        <v>0.305860162987652</v>
      </c>
      <c r="AC62" s="73">
        <f t="shared" si="40"/>
        <v>0.30420945881399</v>
      </c>
      <c r="AD62" s="73">
        <f t="shared" si="40"/>
        <v>0.302562436504296</v>
      </c>
      <c r="AE62" s="73">
        <f t="shared" si="40"/>
        <v>0.301014240615854</v>
      </c>
      <c r="AF62" s="73">
        <f t="shared" si="40"/>
        <v>0.299053665472698</v>
      </c>
      <c r="AG62" s="73">
        <f t="shared" si="40"/>
        <v>0.297789066125004</v>
      </c>
      <c r="AH62" s="73">
        <f t="shared" si="40"/>
        <v>0.29638396326879</v>
      </c>
      <c r="AI62" s="73">
        <f t="shared" si="40"/>
        <v>0.295000922729768</v>
      </c>
      <c r="AJ62" s="73">
        <f t="shared" si="40"/>
        <v>0.293576727094297</v>
      </c>
      <c r="AK62" s="73">
        <f t="shared" si="40"/>
        <v>0.292371267429503</v>
      </c>
      <c r="AL62" s="73">
        <f t="shared" si="40"/>
        <v>0.291268760328854</v>
      </c>
      <c r="AM62" s="73">
        <f t="shared" si="40"/>
        <v>0.290214554065725</v>
      </c>
      <c r="AN62" s="73">
        <f t="shared" si="40"/>
        <v>0.289142837338772</v>
      </c>
      <c r="AO62" s="73">
        <f t="shared" si="40"/>
        <v>0.288234481016561</v>
      </c>
      <c r="AP62" s="73">
        <f t="shared" si="40"/>
        <v>0.287354397844273</v>
      </c>
    </row>
    <row r="64" spans="1:42">
      <c r="A64" t="s">
        <v>332</v>
      </c>
      <c r="B64">
        <f>(B62*B59)/(B61*B58)-1</f>
        <v>0</v>
      </c>
      <c r="C64">
        <f t="shared" ref="C64:AP64" si="41">(C62*C59)/(C61*C58)-1</f>
        <v>0.0189322768776616</v>
      </c>
      <c r="D64">
        <f t="shared" si="41"/>
        <v>0.0371665018980596</v>
      </c>
      <c r="E64">
        <f t="shared" si="41"/>
        <v>0.0610172973254384</v>
      </c>
      <c r="F64">
        <f t="shared" si="41"/>
        <v>0.0885567439229293</v>
      </c>
      <c r="G64">
        <f t="shared" si="41"/>
        <v>0.115033562225816</v>
      </c>
      <c r="H64">
        <f t="shared" si="41"/>
        <v>0.140446189214845</v>
      </c>
      <c r="I64">
        <f t="shared" si="41"/>
        <v>0.167193258479378</v>
      </c>
      <c r="J64">
        <f t="shared" si="41"/>
        <v>0.195622294364423</v>
      </c>
      <c r="K64">
        <f t="shared" si="41"/>
        <v>0.219064646754602</v>
      </c>
      <c r="L64">
        <f t="shared" si="41"/>
        <v>0.235736424425474</v>
      </c>
      <c r="M64">
        <f t="shared" si="41"/>
        <v>0.229041786935911</v>
      </c>
      <c r="N64">
        <f t="shared" si="41"/>
        <v>0.225250021118976</v>
      </c>
      <c r="O64">
        <f t="shared" si="41"/>
        <v>0.221706617470769</v>
      </c>
      <c r="P64">
        <f t="shared" si="41"/>
        <v>0.220519713150526</v>
      </c>
      <c r="Q64">
        <f t="shared" si="41"/>
        <v>0.21338047034076</v>
      </c>
      <c r="R64">
        <f t="shared" si="41"/>
        <v>0.196414254712562</v>
      </c>
      <c r="S64">
        <f t="shared" si="41"/>
        <v>0.176021030649814</v>
      </c>
      <c r="T64">
        <f t="shared" si="41"/>
        <v>0.16055760568597</v>
      </c>
      <c r="U64">
        <f t="shared" si="41"/>
        <v>0.14125891345791</v>
      </c>
      <c r="V64">
        <f t="shared" si="41"/>
        <v>0.140138066180667</v>
      </c>
      <c r="W64">
        <f t="shared" si="41"/>
        <v>0.139022762031913</v>
      </c>
      <c r="X64">
        <f t="shared" si="41"/>
        <v>0.137906333659033</v>
      </c>
      <c r="Y64">
        <f t="shared" si="41"/>
        <v>0.136792058731099</v>
      </c>
      <c r="Z64">
        <f t="shared" si="41"/>
        <v>0.13568032596765</v>
      </c>
      <c r="AA64">
        <f t="shared" si="41"/>
        <v>0.134573721824385</v>
      </c>
      <c r="AB64">
        <f t="shared" si="41"/>
        <v>0.133466321586509</v>
      </c>
      <c r="AC64">
        <f t="shared" si="41"/>
        <v>0.132360721078194</v>
      </c>
      <c r="AD64">
        <f t="shared" si="41"/>
        <v>0.131257275307643</v>
      </c>
      <c r="AE64">
        <f t="shared" si="41"/>
        <v>0.13015930242535</v>
      </c>
      <c r="AF64">
        <f t="shared" si="41"/>
        <v>0.129060140812393</v>
      </c>
      <c r="AG64">
        <f t="shared" si="41"/>
        <v>0.114926407676128</v>
      </c>
      <c r="AH64">
        <f t="shared" si="41"/>
        <v>0.101049342074433</v>
      </c>
      <c r="AI64">
        <f t="shared" si="41"/>
        <v>0.0846839958836385</v>
      </c>
      <c r="AJ64">
        <f t="shared" si="41"/>
        <v>0.0718821670983012</v>
      </c>
      <c r="AK64">
        <f t="shared" si="41"/>
        <v>0.0593789969681651</v>
      </c>
      <c r="AL64">
        <f t="shared" si="41"/>
        <v>0.0501245436480271</v>
      </c>
      <c r="AM64">
        <f t="shared" si="41"/>
        <v>0.0379972350400373</v>
      </c>
      <c r="AN64">
        <f t="shared" si="41"/>
        <v>0.0264155972683136</v>
      </c>
      <c r="AO64">
        <f t="shared" si="41"/>
        <v>0.0153525597413153</v>
      </c>
      <c r="AP64">
        <f t="shared" si="41"/>
        <v>0.00710699185123898</v>
      </c>
    </row>
    <row r="65" spans="1:42">
      <c r="A65" t="s">
        <v>333</v>
      </c>
      <c r="B65">
        <v>0.3</v>
      </c>
    </row>
    <row r="66" spans="1:42">
      <c r="A66" t="s">
        <v>307</v>
      </c>
      <c r="B66">
        <f>B64/$B65</f>
        <v>0</v>
      </c>
      <c r="C66">
        <f t="shared" ref="C66:AP66" si="42">C64/$B65</f>
        <v>0.0631075895922055</v>
      </c>
      <c r="D66">
        <f t="shared" si="42"/>
        <v>0.123888339660199</v>
      </c>
      <c r="E66">
        <f t="shared" si="42"/>
        <v>0.203390991084795</v>
      </c>
      <c r="F66">
        <f t="shared" si="42"/>
        <v>0.295189146409764</v>
      </c>
      <c r="G66">
        <f t="shared" si="42"/>
        <v>0.383445207419385</v>
      </c>
      <c r="H66">
        <f t="shared" si="42"/>
        <v>0.468153964049484</v>
      </c>
      <c r="I66">
        <f t="shared" si="42"/>
        <v>0.557310861597928</v>
      </c>
      <c r="J66">
        <f t="shared" si="42"/>
        <v>0.652074314548075</v>
      </c>
      <c r="K66">
        <f t="shared" si="42"/>
        <v>0.730215489182008</v>
      </c>
      <c r="L66">
        <f t="shared" si="42"/>
        <v>0.785788081418248</v>
      </c>
      <c r="M66">
        <f t="shared" si="42"/>
        <v>0.763472623119703</v>
      </c>
      <c r="N66">
        <f t="shared" si="42"/>
        <v>0.75083340372992</v>
      </c>
      <c r="O66">
        <f t="shared" si="42"/>
        <v>0.739022058235898</v>
      </c>
      <c r="P66">
        <f t="shared" si="42"/>
        <v>0.735065710501754</v>
      </c>
      <c r="Q66">
        <f t="shared" si="42"/>
        <v>0.711268234469199</v>
      </c>
      <c r="R66">
        <f t="shared" si="42"/>
        <v>0.654714182375206</v>
      </c>
      <c r="S66">
        <f t="shared" si="42"/>
        <v>0.586736768832713</v>
      </c>
      <c r="T66">
        <f t="shared" si="42"/>
        <v>0.535192018953232</v>
      </c>
      <c r="U66">
        <f t="shared" si="42"/>
        <v>0.470863044859701</v>
      </c>
      <c r="V66">
        <f t="shared" si="42"/>
        <v>0.467126887268889</v>
      </c>
      <c r="W66">
        <f t="shared" si="42"/>
        <v>0.463409206773043</v>
      </c>
      <c r="X66">
        <f t="shared" si="42"/>
        <v>0.459687778863445</v>
      </c>
      <c r="Y66">
        <f t="shared" si="42"/>
        <v>0.455973529103662</v>
      </c>
      <c r="Z66">
        <f t="shared" si="42"/>
        <v>0.452267753225501</v>
      </c>
      <c r="AA66">
        <f t="shared" si="42"/>
        <v>0.448579072747951</v>
      </c>
      <c r="AB66">
        <f t="shared" si="42"/>
        <v>0.444887738621697</v>
      </c>
      <c r="AC66">
        <f t="shared" si="42"/>
        <v>0.44120240359398</v>
      </c>
      <c r="AD66">
        <f t="shared" si="42"/>
        <v>0.437524251025475</v>
      </c>
      <c r="AE66">
        <f t="shared" si="42"/>
        <v>0.433864341417834</v>
      </c>
      <c r="AF66">
        <f t="shared" si="42"/>
        <v>0.430200469374644</v>
      </c>
      <c r="AG66">
        <f t="shared" si="42"/>
        <v>0.383088025587092</v>
      </c>
      <c r="AH66">
        <f t="shared" si="42"/>
        <v>0.336831140248108</v>
      </c>
      <c r="AI66">
        <f t="shared" si="42"/>
        <v>0.282279986278795</v>
      </c>
      <c r="AJ66">
        <f t="shared" si="42"/>
        <v>0.239607223661004</v>
      </c>
      <c r="AK66">
        <f t="shared" si="42"/>
        <v>0.197929989893884</v>
      </c>
      <c r="AL66">
        <f t="shared" si="42"/>
        <v>0.16708181216009</v>
      </c>
      <c r="AM66">
        <f t="shared" si="42"/>
        <v>0.126657450133458</v>
      </c>
      <c r="AN66">
        <f t="shared" si="42"/>
        <v>0.0880519908943785</v>
      </c>
      <c r="AO66">
        <f t="shared" si="42"/>
        <v>0.0511751991377178</v>
      </c>
      <c r="AP66">
        <f t="shared" si="42"/>
        <v>0.0236899728374633</v>
      </c>
    </row>
    <row r="69" spans="1:42">
      <c r="A69" t="s">
        <v>308</v>
      </c>
      <c r="B69">
        <v>2020</v>
      </c>
      <c r="C69">
        <v>2021</v>
      </c>
      <c r="D69">
        <v>2022</v>
      </c>
      <c r="E69">
        <v>2023</v>
      </c>
      <c r="F69">
        <v>2024</v>
      </c>
      <c r="G69">
        <v>2025</v>
      </c>
      <c r="H69">
        <v>2026</v>
      </c>
      <c r="I69">
        <v>2027</v>
      </c>
      <c r="J69">
        <v>2028</v>
      </c>
      <c r="K69">
        <v>2029</v>
      </c>
      <c r="L69">
        <v>2030</v>
      </c>
      <c r="M69">
        <v>2031</v>
      </c>
      <c r="N69">
        <v>2032</v>
      </c>
      <c r="O69">
        <v>2033</v>
      </c>
      <c r="P69">
        <v>2034</v>
      </c>
      <c r="Q69">
        <v>2035</v>
      </c>
      <c r="R69">
        <v>2036</v>
      </c>
      <c r="S69">
        <v>2037</v>
      </c>
      <c r="T69">
        <v>2038</v>
      </c>
      <c r="U69">
        <v>2039</v>
      </c>
      <c r="V69">
        <v>2040</v>
      </c>
      <c r="W69">
        <v>2041</v>
      </c>
      <c r="X69">
        <v>2042</v>
      </c>
      <c r="Y69">
        <v>2043</v>
      </c>
      <c r="Z69">
        <v>2044</v>
      </c>
      <c r="AA69">
        <v>2045</v>
      </c>
      <c r="AB69">
        <v>2046</v>
      </c>
      <c r="AC69">
        <v>2047</v>
      </c>
      <c r="AD69">
        <v>2048</v>
      </c>
      <c r="AE69">
        <v>2049</v>
      </c>
      <c r="AF69">
        <v>2050</v>
      </c>
      <c r="AG69">
        <v>2051</v>
      </c>
      <c r="AH69">
        <v>2052</v>
      </c>
      <c r="AI69">
        <v>2053</v>
      </c>
      <c r="AJ69">
        <v>2054</v>
      </c>
      <c r="AK69">
        <v>2055</v>
      </c>
      <c r="AL69">
        <v>2056</v>
      </c>
      <c r="AM69">
        <v>2057</v>
      </c>
      <c r="AN69">
        <v>2058</v>
      </c>
      <c r="AO69">
        <v>2059</v>
      </c>
      <c r="AP69">
        <v>2060</v>
      </c>
    </row>
    <row r="70" spans="1:42">
      <c r="A70" t="s">
        <v>334</v>
      </c>
      <c r="B70">
        <v>413592000</v>
      </c>
      <c r="C70">
        <v>412815000</v>
      </c>
      <c r="D70">
        <v>434479000</v>
      </c>
      <c r="E70">
        <v>425429000</v>
      </c>
      <c r="F70">
        <v>417145000</v>
      </c>
      <c r="G70">
        <v>391041000</v>
      </c>
      <c r="H70">
        <v>383287000</v>
      </c>
      <c r="I70">
        <v>372597000</v>
      </c>
      <c r="J70">
        <v>347964000</v>
      </c>
      <c r="K70">
        <v>320459000</v>
      </c>
      <c r="L70">
        <v>287678000</v>
      </c>
      <c r="M70">
        <v>271244000</v>
      </c>
      <c r="N70">
        <v>266103000</v>
      </c>
      <c r="O70">
        <v>260848000</v>
      </c>
      <c r="P70">
        <v>256726000</v>
      </c>
      <c r="Q70">
        <v>253414000</v>
      </c>
      <c r="R70">
        <v>252681000</v>
      </c>
      <c r="S70">
        <v>250297000</v>
      </c>
      <c r="T70">
        <v>248716000</v>
      </c>
      <c r="U70">
        <v>246178000</v>
      </c>
      <c r="V70">
        <v>244383000</v>
      </c>
      <c r="W70">
        <v>240023000</v>
      </c>
      <c r="X70">
        <v>234837000</v>
      </c>
      <c r="Y70">
        <v>229610000</v>
      </c>
      <c r="Z70">
        <v>223927000</v>
      </c>
      <c r="AA70">
        <v>217883000</v>
      </c>
      <c r="AB70">
        <v>206766000</v>
      </c>
      <c r="AC70">
        <v>191776000</v>
      </c>
      <c r="AD70">
        <v>176008000</v>
      </c>
      <c r="AE70">
        <v>159891000</v>
      </c>
      <c r="AF70">
        <v>143783000</v>
      </c>
      <c r="AG70">
        <v>127508000</v>
      </c>
      <c r="AH70">
        <v>111530000</v>
      </c>
      <c r="AI70">
        <v>95872600</v>
      </c>
      <c r="AJ70">
        <v>80587800</v>
      </c>
      <c r="AK70">
        <v>65660700</v>
      </c>
      <c r="AL70">
        <v>51254800</v>
      </c>
      <c r="AM70">
        <v>37626800</v>
      </c>
      <c r="AN70">
        <v>24964000</v>
      </c>
      <c r="AO70">
        <v>11935000</v>
      </c>
      <c r="AP70">
        <v>173602</v>
      </c>
    </row>
    <row r="71" spans="1:42">
      <c r="A71" t="s">
        <v>335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336</v>
      </c>
      <c r="B72">
        <v>18827900</v>
      </c>
      <c r="C72">
        <v>25001900</v>
      </c>
      <c r="D72">
        <v>38126800</v>
      </c>
      <c r="E72">
        <v>52033800</v>
      </c>
      <c r="F72">
        <v>62463000</v>
      </c>
      <c r="G72">
        <v>67665300</v>
      </c>
      <c r="H72">
        <v>66373100</v>
      </c>
      <c r="I72">
        <v>65655700</v>
      </c>
      <c r="J72">
        <v>62222100</v>
      </c>
      <c r="K72">
        <v>57860400</v>
      </c>
      <c r="L72">
        <v>52953300</v>
      </c>
      <c r="M72">
        <v>50662100</v>
      </c>
      <c r="N72">
        <v>50881900</v>
      </c>
      <c r="O72">
        <v>50770900</v>
      </c>
      <c r="P72">
        <v>51143100</v>
      </c>
      <c r="Q72">
        <v>51975600</v>
      </c>
      <c r="R72">
        <v>53440700</v>
      </c>
      <c r="S72">
        <v>54826600</v>
      </c>
      <c r="T72">
        <v>56779300</v>
      </c>
      <c r="U72">
        <v>59013100</v>
      </c>
      <c r="V72">
        <v>61518400</v>
      </c>
      <c r="W72">
        <v>63711200</v>
      </c>
      <c r="X72">
        <v>66027500</v>
      </c>
      <c r="Y72">
        <v>68715200</v>
      </c>
      <c r="Z72">
        <v>71799800</v>
      </c>
      <c r="AA72">
        <v>75308700</v>
      </c>
      <c r="AB72">
        <v>77339300</v>
      </c>
      <c r="AC72">
        <v>78079400</v>
      </c>
      <c r="AD72">
        <v>78635300</v>
      </c>
      <c r="AE72">
        <v>78981200</v>
      </c>
      <c r="AF72">
        <v>79552000</v>
      </c>
      <c r="AG72">
        <v>80075500</v>
      </c>
      <c r="AH72">
        <v>80685100</v>
      </c>
      <c r="AI72">
        <v>81384300</v>
      </c>
      <c r="AJ72">
        <v>82177600</v>
      </c>
      <c r="AK72">
        <v>83029100</v>
      </c>
      <c r="AL72">
        <v>83916500</v>
      </c>
      <c r="AM72">
        <v>85141400</v>
      </c>
      <c r="AN72">
        <v>88021800</v>
      </c>
      <c r="AO72">
        <v>86809500</v>
      </c>
      <c r="AP72">
        <v>91823300</v>
      </c>
    </row>
    <row r="73" spans="1:42">
      <c r="A73" t="s">
        <v>337</v>
      </c>
      <c r="B73">
        <v>4.10244</v>
      </c>
      <c r="C73">
        <v>0.728696</v>
      </c>
      <c r="D73">
        <v>0.11116</v>
      </c>
      <c r="E73">
        <v>0.252509</v>
      </c>
      <c r="F73">
        <v>0.304485</v>
      </c>
      <c r="G73">
        <v>0.279395</v>
      </c>
      <c r="H73">
        <v>0.229908</v>
      </c>
      <c r="I73">
        <v>0.309119</v>
      </c>
      <c r="J73">
        <v>0.417648</v>
      </c>
      <c r="K73">
        <v>0.305676</v>
      </c>
      <c r="L73">
        <v>0.237136</v>
      </c>
      <c r="M73">
        <v>0.189765</v>
      </c>
      <c r="N73">
        <v>0.175081</v>
      </c>
      <c r="O73">
        <v>0.151197</v>
      </c>
      <c r="P73">
        <v>0.133541</v>
      </c>
      <c r="Q73">
        <v>0.134912</v>
      </c>
      <c r="R73">
        <v>0.140793</v>
      </c>
      <c r="S73">
        <v>0.142453</v>
      </c>
      <c r="T73">
        <v>0.148757</v>
      </c>
      <c r="U73">
        <v>0.163269</v>
      </c>
      <c r="V73">
        <v>0.188659</v>
      </c>
      <c r="W73">
        <v>0.198675</v>
      </c>
      <c r="X73">
        <v>0.208469</v>
      </c>
      <c r="Y73">
        <v>0.199658</v>
      </c>
      <c r="Z73">
        <v>0.213266</v>
      </c>
      <c r="AA73">
        <v>0.206142</v>
      </c>
      <c r="AB73">
        <v>0.235079</v>
      </c>
      <c r="AC73">
        <v>0.225738</v>
      </c>
      <c r="AD73">
        <v>0.214074</v>
      </c>
      <c r="AE73">
        <v>0.21925</v>
      </c>
      <c r="AF73">
        <v>0.23084</v>
      </c>
      <c r="AG73">
        <v>0.205008</v>
      </c>
      <c r="AH73">
        <v>0.190519</v>
      </c>
      <c r="AI73">
        <v>0.18689</v>
      </c>
      <c r="AJ73">
        <v>0.181795</v>
      </c>
      <c r="AK73">
        <v>0.175554</v>
      </c>
      <c r="AL73">
        <v>0.159972</v>
      </c>
      <c r="AM73">
        <v>0.152615</v>
      </c>
      <c r="AN73">
        <v>0.148953</v>
      </c>
      <c r="AO73">
        <v>0.143872</v>
      </c>
      <c r="AP73">
        <v>0.144306</v>
      </c>
    </row>
    <row r="74" spans="1:42">
      <c r="A74" t="s">
        <v>338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339</v>
      </c>
      <c r="B75">
        <v>106.74</v>
      </c>
      <c r="C75">
        <v>23.2149</v>
      </c>
      <c r="D75">
        <v>1.95782</v>
      </c>
      <c r="E75">
        <v>5.88131</v>
      </c>
      <c r="F75">
        <v>7.52718</v>
      </c>
      <c r="G75">
        <v>6.72284</v>
      </c>
      <c r="H75">
        <v>5.19402</v>
      </c>
      <c r="I75">
        <v>7.67784</v>
      </c>
      <c r="J75">
        <v>11.3729</v>
      </c>
      <c r="K75">
        <v>7.93405</v>
      </c>
      <c r="L75">
        <v>5.67799</v>
      </c>
      <c r="M75">
        <v>4.22227</v>
      </c>
      <c r="N75">
        <v>3.79184</v>
      </c>
      <c r="O75">
        <v>3.27656</v>
      </c>
      <c r="P75">
        <v>2.77245</v>
      </c>
      <c r="Q75">
        <v>2.96331</v>
      </c>
      <c r="R75">
        <v>3.13824</v>
      </c>
      <c r="S75">
        <v>3.18811</v>
      </c>
      <c r="T75">
        <v>3.56915</v>
      </c>
      <c r="U75">
        <v>4.27921</v>
      </c>
      <c r="V75">
        <v>5.18673</v>
      </c>
      <c r="W75">
        <v>5.89199</v>
      </c>
      <c r="X75">
        <v>6.27939</v>
      </c>
      <c r="Y75">
        <v>6.30778</v>
      </c>
      <c r="Z75">
        <v>7.33784</v>
      </c>
      <c r="AA75">
        <v>7.50786</v>
      </c>
      <c r="AB75">
        <v>9.90996</v>
      </c>
      <c r="AC75">
        <v>13.1129</v>
      </c>
      <c r="AD75">
        <v>17.2401</v>
      </c>
      <c r="AE75">
        <v>23.778</v>
      </c>
      <c r="AF75">
        <v>34.2332</v>
      </c>
      <c r="AG75">
        <v>37.0333</v>
      </c>
      <c r="AH75">
        <v>42.0153</v>
      </c>
      <c r="AI75">
        <v>50.8154</v>
      </c>
      <c r="AJ75">
        <v>60.6537</v>
      </c>
      <c r="AK75">
        <v>71.8207</v>
      </c>
      <c r="AL75">
        <v>77.7412</v>
      </c>
      <c r="AM75">
        <v>90.3709</v>
      </c>
      <c r="AN75">
        <v>119.987</v>
      </c>
      <c r="AO75">
        <v>137.707</v>
      </c>
      <c r="AP75">
        <v>189.448</v>
      </c>
    </row>
    <row r="76" spans="1:42">
      <c r="A76" t="s">
        <v>340</v>
      </c>
      <c r="B76">
        <v>18571200</v>
      </c>
      <c r="C76">
        <v>18658800</v>
      </c>
      <c r="D76">
        <v>18658800</v>
      </c>
      <c r="E76">
        <v>18658800</v>
      </c>
      <c r="F76">
        <v>18658800</v>
      </c>
      <c r="G76">
        <v>18658800</v>
      </c>
      <c r="H76">
        <v>18658800</v>
      </c>
      <c r="I76">
        <v>18658800</v>
      </c>
      <c r="J76">
        <v>18658800</v>
      </c>
      <c r="K76">
        <v>18658800</v>
      </c>
      <c r="L76">
        <v>18658800</v>
      </c>
      <c r="M76">
        <v>18658800</v>
      </c>
      <c r="N76">
        <v>18658800</v>
      </c>
      <c r="O76">
        <v>18658800</v>
      </c>
      <c r="P76">
        <v>18658800</v>
      </c>
      <c r="Q76">
        <v>18658800</v>
      </c>
      <c r="R76">
        <v>18658800</v>
      </c>
      <c r="S76">
        <v>18658800</v>
      </c>
      <c r="T76">
        <v>18658800</v>
      </c>
      <c r="U76">
        <v>18658800</v>
      </c>
      <c r="V76">
        <v>18658800</v>
      </c>
      <c r="W76">
        <v>18658800</v>
      </c>
      <c r="X76">
        <v>18658800</v>
      </c>
      <c r="Y76">
        <v>18658800</v>
      </c>
      <c r="Z76">
        <v>18658800</v>
      </c>
      <c r="AA76">
        <v>18658800</v>
      </c>
      <c r="AB76">
        <v>18658800</v>
      </c>
      <c r="AC76">
        <v>18658800</v>
      </c>
      <c r="AD76">
        <v>18658800</v>
      </c>
      <c r="AE76">
        <v>18658800</v>
      </c>
      <c r="AF76">
        <v>18658800</v>
      </c>
      <c r="AG76">
        <v>18658800</v>
      </c>
      <c r="AH76">
        <v>18658800</v>
      </c>
      <c r="AI76">
        <v>18658800</v>
      </c>
      <c r="AJ76">
        <v>18658800</v>
      </c>
      <c r="AK76">
        <v>18658800</v>
      </c>
      <c r="AL76">
        <v>18658800</v>
      </c>
      <c r="AM76">
        <v>18658800</v>
      </c>
      <c r="AN76">
        <v>18658800</v>
      </c>
      <c r="AO76">
        <v>18658800</v>
      </c>
      <c r="AP76">
        <v>18658800</v>
      </c>
    </row>
    <row r="77" spans="1:42">
      <c r="A77" t="s">
        <v>341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342</v>
      </c>
      <c r="B78">
        <v>0</v>
      </c>
      <c r="C78">
        <v>0</v>
      </c>
      <c r="D78">
        <v>0</v>
      </c>
      <c r="E78">
        <v>0</v>
      </c>
      <c r="F78">
        <v>0</v>
      </c>
      <c r="G78">
        <v>19405200</v>
      </c>
      <c r="H78">
        <v>19405200</v>
      </c>
      <c r="I78">
        <v>19405200</v>
      </c>
      <c r="J78">
        <v>33959000</v>
      </c>
      <c r="K78">
        <v>48512900</v>
      </c>
      <c r="L78">
        <v>63066700</v>
      </c>
      <c r="M78">
        <v>63066700</v>
      </c>
      <c r="N78">
        <v>63066700</v>
      </c>
      <c r="O78">
        <v>63066700</v>
      </c>
      <c r="P78">
        <v>63066700</v>
      </c>
      <c r="Q78">
        <v>63066700</v>
      </c>
      <c r="R78">
        <v>63066700</v>
      </c>
      <c r="S78">
        <v>63066700</v>
      </c>
      <c r="T78">
        <v>63066700</v>
      </c>
      <c r="U78">
        <v>63066700</v>
      </c>
      <c r="V78">
        <v>63066700</v>
      </c>
      <c r="W78">
        <v>63066700</v>
      </c>
      <c r="X78">
        <v>63066700</v>
      </c>
      <c r="Y78">
        <v>63066700</v>
      </c>
      <c r="Z78">
        <v>63066700</v>
      </c>
      <c r="AA78">
        <v>63066700</v>
      </c>
      <c r="AB78">
        <v>63066700</v>
      </c>
      <c r="AC78">
        <v>63066700</v>
      </c>
      <c r="AD78">
        <v>63066700</v>
      </c>
      <c r="AE78">
        <v>63066700</v>
      </c>
      <c r="AF78">
        <v>63066700</v>
      </c>
      <c r="AG78">
        <v>63066700</v>
      </c>
      <c r="AH78">
        <v>63066700</v>
      </c>
      <c r="AI78">
        <v>63066700</v>
      </c>
      <c r="AJ78">
        <v>63066700</v>
      </c>
      <c r="AK78">
        <v>63066700</v>
      </c>
      <c r="AL78">
        <v>63066700</v>
      </c>
      <c r="AM78">
        <v>63066700</v>
      </c>
      <c r="AN78">
        <v>63066700</v>
      </c>
      <c r="AO78">
        <v>67918000</v>
      </c>
      <c r="AP78">
        <v>67918000</v>
      </c>
    </row>
    <row r="79" spans="1:42">
      <c r="A79" t="s">
        <v>343</v>
      </c>
      <c r="B79">
        <v>317462</v>
      </c>
      <c r="C79">
        <v>299942</v>
      </c>
      <c r="D79">
        <v>299942</v>
      </c>
      <c r="E79">
        <v>299942</v>
      </c>
      <c r="F79">
        <v>299942</v>
      </c>
      <c r="G79">
        <v>299942</v>
      </c>
      <c r="H79">
        <v>299942</v>
      </c>
      <c r="I79">
        <v>299942</v>
      </c>
      <c r="J79">
        <v>299942</v>
      </c>
      <c r="K79">
        <v>299942</v>
      </c>
      <c r="L79">
        <v>299942</v>
      </c>
      <c r="M79">
        <v>299942</v>
      </c>
      <c r="N79">
        <v>299942</v>
      </c>
      <c r="O79">
        <v>299942</v>
      </c>
      <c r="P79">
        <v>299942</v>
      </c>
      <c r="Q79">
        <v>299942</v>
      </c>
      <c r="R79">
        <v>299942</v>
      </c>
      <c r="S79">
        <v>299942</v>
      </c>
      <c r="T79">
        <v>299942</v>
      </c>
      <c r="U79">
        <v>299942</v>
      </c>
      <c r="V79">
        <v>299942</v>
      </c>
      <c r="W79">
        <v>299942</v>
      </c>
      <c r="X79">
        <v>299942</v>
      </c>
      <c r="Y79">
        <v>299942</v>
      </c>
      <c r="Z79">
        <v>299942</v>
      </c>
      <c r="AA79">
        <v>299942</v>
      </c>
      <c r="AB79">
        <v>299942</v>
      </c>
      <c r="AC79">
        <v>299942</v>
      </c>
      <c r="AD79">
        <v>299942</v>
      </c>
      <c r="AE79">
        <v>299942</v>
      </c>
      <c r="AF79">
        <v>299942</v>
      </c>
      <c r="AG79">
        <v>299942</v>
      </c>
      <c r="AH79">
        <v>299942</v>
      </c>
      <c r="AI79">
        <v>299942</v>
      </c>
      <c r="AJ79">
        <v>299942</v>
      </c>
      <c r="AK79">
        <v>299942</v>
      </c>
      <c r="AL79">
        <v>299942</v>
      </c>
      <c r="AM79">
        <v>299942</v>
      </c>
      <c r="AN79">
        <v>281196</v>
      </c>
      <c r="AO79">
        <v>254951</v>
      </c>
      <c r="AP79">
        <v>224957</v>
      </c>
    </row>
    <row r="80" spans="1:42">
      <c r="A80" t="s">
        <v>344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>
      <c r="A81" t="s">
        <v>345</v>
      </c>
      <c r="B81">
        <v>4734160</v>
      </c>
      <c r="C81">
        <v>4472890</v>
      </c>
      <c r="D81">
        <v>4472890</v>
      </c>
      <c r="E81">
        <v>4472890</v>
      </c>
      <c r="F81">
        <v>4472890</v>
      </c>
      <c r="G81">
        <v>4472890</v>
      </c>
      <c r="H81">
        <v>4472890</v>
      </c>
      <c r="I81">
        <v>4472890</v>
      </c>
      <c r="J81">
        <v>4472890</v>
      </c>
      <c r="K81">
        <v>4472890</v>
      </c>
      <c r="L81">
        <v>4472890</v>
      </c>
      <c r="M81">
        <v>4472890</v>
      </c>
      <c r="N81">
        <v>4472890</v>
      </c>
      <c r="O81">
        <v>4472890</v>
      </c>
      <c r="P81">
        <v>4472890</v>
      </c>
      <c r="Q81">
        <v>4472890</v>
      </c>
      <c r="R81">
        <v>4472890</v>
      </c>
      <c r="S81">
        <v>4472890</v>
      </c>
      <c r="T81">
        <v>4472890</v>
      </c>
      <c r="U81">
        <v>4472890</v>
      </c>
      <c r="V81">
        <v>4472890</v>
      </c>
      <c r="W81">
        <v>4472890</v>
      </c>
      <c r="X81">
        <v>4472890</v>
      </c>
      <c r="Y81">
        <v>4472890</v>
      </c>
      <c r="Z81">
        <v>4472890</v>
      </c>
      <c r="AA81">
        <v>4472890</v>
      </c>
      <c r="AB81">
        <v>4472890</v>
      </c>
      <c r="AC81">
        <v>4472890</v>
      </c>
      <c r="AD81">
        <v>4472890</v>
      </c>
      <c r="AE81">
        <v>4472890</v>
      </c>
      <c r="AF81">
        <v>4472890</v>
      </c>
      <c r="AG81">
        <v>4472890</v>
      </c>
      <c r="AH81">
        <v>4472890</v>
      </c>
      <c r="AI81">
        <v>4472890</v>
      </c>
      <c r="AJ81">
        <v>4472890</v>
      </c>
      <c r="AK81">
        <v>4472890</v>
      </c>
      <c r="AL81">
        <v>4472890</v>
      </c>
      <c r="AM81">
        <v>4472890</v>
      </c>
      <c r="AN81">
        <v>4472890</v>
      </c>
      <c r="AO81">
        <v>4472890</v>
      </c>
      <c r="AP81">
        <v>4472890</v>
      </c>
    </row>
    <row r="82" spans="1:42">
      <c r="A82" t="s">
        <v>346</v>
      </c>
      <c r="B82">
        <v>22210700</v>
      </c>
      <c r="C82">
        <v>26051400</v>
      </c>
      <c r="D82">
        <v>26036100</v>
      </c>
      <c r="E82">
        <v>26021800</v>
      </c>
      <c r="F82">
        <v>26049400</v>
      </c>
      <c r="G82">
        <v>26065300</v>
      </c>
      <c r="H82">
        <v>26082300</v>
      </c>
      <c r="I82">
        <v>26108400</v>
      </c>
      <c r="J82">
        <v>26110400</v>
      </c>
      <c r="K82">
        <v>26089800</v>
      </c>
      <c r="L82">
        <v>26006400</v>
      </c>
      <c r="M82">
        <v>25847500</v>
      </c>
      <c r="N82">
        <v>25476400</v>
      </c>
      <c r="O82">
        <v>24781500</v>
      </c>
      <c r="P82">
        <v>23656400</v>
      </c>
      <c r="Q82">
        <v>22073400</v>
      </c>
      <c r="R82">
        <v>20084300</v>
      </c>
      <c r="S82">
        <v>17956700</v>
      </c>
      <c r="T82">
        <v>15844900</v>
      </c>
      <c r="U82">
        <v>13751300</v>
      </c>
      <c r="V82">
        <v>11412600</v>
      </c>
      <c r="W82">
        <v>9165840</v>
      </c>
      <c r="X82">
        <v>6438370</v>
      </c>
      <c r="Y82">
        <v>2330940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347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348</v>
      </c>
      <c r="B84">
        <v>8661190</v>
      </c>
      <c r="C84">
        <v>15303800</v>
      </c>
      <c r="D84">
        <v>22269200</v>
      </c>
      <c r="E84">
        <v>22697000</v>
      </c>
      <c r="F84">
        <v>23592600</v>
      </c>
      <c r="G84">
        <v>24798600</v>
      </c>
      <c r="H84">
        <v>26781500</v>
      </c>
      <c r="I84">
        <v>28901100</v>
      </c>
      <c r="J84">
        <v>31114800</v>
      </c>
      <c r="K84">
        <v>36255000</v>
      </c>
      <c r="L84">
        <v>40547500</v>
      </c>
      <c r="M84">
        <v>44046900</v>
      </c>
      <c r="N84">
        <v>46569800</v>
      </c>
      <c r="O84">
        <v>48727400</v>
      </c>
      <c r="P84">
        <v>50673700</v>
      </c>
      <c r="Q84">
        <v>52554500</v>
      </c>
      <c r="R84">
        <v>54485200</v>
      </c>
      <c r="S84">
        <v>56453200</v>
      </c>
      <c r="T84">
        <v>58409000</v>
      </c>
      <c r="U84">
        <v>60404000</v>
      </c>
      <c r="V84">
        <v>62443600</v>
      </c>
      <c r="W84">
        <v>64565000</v>
      </c>
      <c r="X84">
        <v>66797300</v>
      </c>
      <c r="Y84">
        <v>69394400</v>
      </c>
      <c r="Z84">
        <v>70540500</v>
      </c>
      <c r="AA84">
        <v>69023200</v>
      </c>
      <c r="AB84">
        <v>69453100</v>
      </c>
      <c r="AC84">
        <v>70282200</v>
      </c>
      <c r="AD84">
        <v>71541200</v>
      </c>
      <c r="AE84">
        <v>72606200</v>
      </c>
      <c r="AF84">
        <v>74379600</v>
      </c>
      <c r="AG84">
        <v>75781200</v>
      </c>
      <c r="AH84">
        <v>76892500</v>
      </c>
      <c r="AI84">
        <v>77767500</v>
      </c>
      <c r="AJ84">
        <v>78452800</v>
      </c>
      <c r="AK84">
        <v>78989100</v>
      </c>
      <c r="AL84">
        <v>79407300</v>
      </c>
      <c r="AM84">
        <v>79773200</v>
      </c>
      <c r="AN84">
        <v>80388800</v>
      </c>
      <c r="AO84">
        <v>80814700</v>
      </c>
      <c r="AP84">
        <v>80901800</v>
      </c>
    </row>
    <row r="85" spans="1:42">
      <c r="A85" t="s">
        <v>349</v>
      </c>
      <c r="B85">
        <v>8052410</v>
      </c>
      <c r="C85">
        <v>7938640</v>
      </c>
      <c r="D85">
        <v>8675330</v>
      </c>
      <c r="E85">
        <v>8673040</v>
      </c>
      <c r="F85">
        <v>8642800</v>
      </c>
      <c r="G85">
        <v>8602550</v>
      </c>
      <c r="H85">
        <v>8575450</v>
      </c>
      <c r="I85">
        <v>8631540</v>
      </c>
      <c r="J85">
        <v>8660380</v>
      </c>
      <c r="K85">
        <v>8670500</v>
      </c>
      <c r="L85">
        <v>8654800</v>
      </c>
      <c r="M85">
        <v>8612680</v>
      </c>
      <c r="N85">
        <v>8561720</v>
      </c>
      <c r="O85">
        <v>8533950</v>
      </c>
      <c r="P85">
        <v>8519190</v>
      </c>
      <c r="Q85">
        <v>8497580</v>
      </c>
      <c r="R85">
        <v>8470320</v>
      </c>
      <c r="S85">
        <v>8404260</v>
      </c>
      <c r="T85">
        <v>8173320</v>
      </c>
      <c r="U85">
        <v>7333940</v>
      </c>
      <c r="V85">
        <v>5893440</v>
      </c>
      <c r="W85">
        <v>4286880</v>
      </c>
      <c r="X85">
        <v>2643520</v>
      </c>
      <c r="Y85">
        <v>852366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>
      <c r="A86" t="s">
        <v>350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351</v>
      </c>
      <c r="B87">
        <v>10430100</v>
      </c>
      <c r="C87">
        <v>23815900</v>
      </c>
      <c r="D87">
        <v>29314200</v>
      </c>
      <c r="E87">
        <v>38759600</v>
      </c>
      <c r="F87">
        <v>49846100</v>
      </c>
      <c r="G87">
        <v>62261100</v>
      </c>
      <c r="H87">
        <v>67039300</v>
      </c>
      <c r="I87">
        <v>72921900</v>
      </c>
      <c r="J87">
        <v>79005200</v>
      </c>
      <c r="K87">
        <v>92925500</v>
      </c>
      <c r="L87">
        <v>107116000</v>
      </c>
      <c r="M87">
        <v>123766000</v>
      </c>
      <c r="N87">
        <v>131090000</v>
      </c>
      <c r="O87">
        <v>138719000</v>
      </c>
      <c r="P87">
        <v>146661000</v>
      </c>
      <c r="Q87">
        <v>155219000</v>
      </c>
      <c r="R87">
        <v>165359000</v>
      </c>
      <c r="S87">
        <v>175739000</v>
      </c>
      <c r="T87">
        <v>184794000</v>
      </c>
      <c r="U87">
        <v>194813000</v>
      </c>
      <c r="V87">
        <v>204316000</v>
      </c>
      <c r="W87">
        <v>216237000</v>
      </c>
      <c r="X87">
        <v>227939000</v>
      </c>
      <c r="Y87">
        <v>239982000</v>
      </c>
      <c r="Z87">
        <v>250301000</v>
      </c>
      <c r="AA87">
        <v>259592000</v>
      </c>
      <c r="AB87">
        <v>273409000</v>
      </c>
      <c r="AC87">
        <v>289999000</v>
      </c>
      <c r="AD87">
        <v>307057000</v>
      </c>
      <c r="AE87">
        <v>324781000</v>
      </c>
      <c r="AF87">
        <v>344329000</v>
      </c>
      <c r="AG87">
        <v>362514000</v>
      </c>
      <c r="AH87">
        <v>381283000</v>
      </c>
      <c r="AI87">
        <v>399825000</v>
      </c>
      <c r="AJ87">
        <v>418104000</v>
      </c>
      <c r="AK87">
        <v>434437000</v>
      </c>
      <c r="AL87">
        <v>449577000</v>
      </c>
      <c r="AM87">
        <v>463058000</v>
      </c>
      <c r="AN87">
        <v>469058000</v>
      </c>
      <c r="AO87">
        <v>469690000</v>
      </c>
      <c r="AP87">
        <v>470718000</v>
      </c>
    </row>
    <row r="88" spans="1:42">
      <c r="A88" t="s">
        <v>352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>
      <c r="A89" t="s">
        <v>353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>
      <c r="A90" t="s">
        <v>354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355</v>
      </c>
      <c r="B91">
        <v>11570700</v>
      </c>
      <c r="C91">
        <v>11199400</v>
      </c>
      <c r="D91">
        <v>10994800</v>
      </c>
      <c r="E91">
        <v>10767500</v>
      </c>
      <c r="F91">
        <v>10532600</v>
      </c>
      <c r="G91">
        <v>10282500</v>
      </c>
      <c r="H91">
        <v>10017300</v>
      </c>
      <c r="I91">
        <v>9729380</v>
      </c>
      <c r="J91">
        <v>9433860</v>
      </c>
      <c r="K91">
        <v>9130770</v>
      </c>
      <c r="L91">
        <v>8804940</v>
      </c>
      <c r="M91">
        <v>8471530</v>
      </c>
      <c r="N91">
        <v>8122970</v>
      </c>
      <c r="O91">
        <v>7751680</v>
      </c>
      <c r="P91">
        <v>7372810</v>
      </c>
      <c r="Q91">
        <v>6978790</v>
      </c>
      <c r="R91">
        <v>6569610</v>
      </c>
      <c r="S91">
        <v>6168000</v>
      </c>
      <c r="T91">
        <v>5766400</v>
      </c>
      <c r="U91">
        <v>5364800</v>
      </c>
      <c r="V91">
        <v>4963200</v>
      </c>
      <c r="W91">
        <v>4569170</v>
      </c>
      <c r="X91">
        <v>4175150</v>
      </c>
      <c r="Y91">
        <v>3788700</v>
      </c>
      <c r="Z91">
        <v>3409830</v>
      </c>
      <c r="AA91">
        <v>3038540</v>
      </c>
      <c r="AB91">
        <v>2682400</v>
      </c>
      <c r="AC91">
        <v>2326260</v>
      </c>
      <c r="AD91">
        <v>1992860</v>
      </c>
      <c r="AE91">
        <v>1667030</v>
      </c>
      <c r="AF91">
        <v>1348780</v>
      </c>
      <c r="AG91">
        <v>1038100</v>
      </c>
      <c r="AH91">
        <v>742585</v>
      </c>
      <c r="AI91">
        <v>462221</v>
      </c>
      <c r="AJ91">
        <v>189435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356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357</v>
      </c>
      <c r="B93">
        <v>3015810</v>
      </c>
      <c r="C93">
        <v>4493400</v>
      </c>
      <c r="D93">
        <v>4493400</v>
      </c>
      <c r="E93">
        <v>4493400</v>
      </c>
      <c r="F93">
        <v>4493400</v>
      </c>
      <c r="G93">
        <v>4500980</v>
      </c>
      <c r="H93">
        <v>4508550</v>
      </c>
      <c r="I93">
        <v>4516130</v>
      </c>
      <c r="J93">
        <v>4523710</v>
      </c>
      <c r="K93">
        <v>4546440</v>
      </c>
      <c r="L93">
        <v>4569170</v>
      </c>
      <c r="M93">
        <v>4599480</v>
      </c>
      <c r="N93">
        <v>4614640</v>
      </c>
      <c r="O93">
        <v>4622210</v>
      </c>
      <c r="P93">
        <v>4629790</v>
      </c>
      <c r="Q93">
        <v>4644950</v>
      </c>
      <c r="R93">
        <v>4660100</v>
      </c>
      <c r="S93">
        <v>4675260</v>
      </c>
      <c r="T93">
        <v>4690410</v>
      </c>
      <c r="U93">
        <v>4705570</v>
      </c>
      <c r="V93">
        <v>4720720</v>
      </c>
      <c r="W93">
        <v>4735880</v>
      </c>
      <c r="X93">
        <v>4751030</v>
      </c>
      <c r="Y93">
        <v>4766180</v>
      </c>
      <c r="Z93">
        <v>4781340</v>
      </c>
      <c r="AA93">
        <v>4796490</v>
      </c>
      <c r="AB93">
        <v>4811650</v>
      </c>
      <c r="AC93">
        <v>4834380</v>
      </c>
      <c r="AD93">
        <v>4857110</v>
      </c>
      <c r="AE93">
        <v>4879850</v>
      </c>
      <c r="AF93">
        <v>4902580</v>
      </c>
      <c r="AG93">
        <v>4925310</v>
      </c>
      <c r="AH93">
        <v>4948040</v>
      </c>
      <c r="AI93">
        <v>4970770</v>
      </c>
      <c r="AJ93">
        <v>4993510</v>
      </c>
      <c r="AK93">
        <v>4932890</v>
      </c>
      <c r="AL93">
        <v>4682830</v>
      </c>
      <c r="AM93">
        <v>4455510</v>
      </c>
      <c r="AN93">
        <v>4266080</v>
      </c>
      <c r="AO93">
        <v>4114530</v>
      </c>
      <c r="AP93">
        <v>3962980</v>
      </c>
    </row>
    <row r="94" spans="1:42">
      <c r="A94" t="s">
        <v>358</v>
      </c>
      <c r="B94">
        <v>60969.6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>
      <c r="A95" t="s">
        <v>359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360</v>
      </c>
      <c r="B96">
        <v>182909</v>
      </c>
      <c r="C96">
        <v>304848</v>
      </c>
      <c r="D96">
        <v>304848</v>
      </c>
      <c r="E96">
        <v>365818</v>
      </c>
      <c r="F96">
        <v>426787</v>
      </c>
      <c r="G96">
        <v>487757</v>
      </c>
      <c r="H96">
        <v>548726</v>
      </c>
      <c r="I96">
        <v>609696</v>
      </c>
      <c r="J96">
        <v>670666</v>
      </c>
      <c r="K96">
        <v>731635</v>
      </c>
      <c r="L96">
        <v>792605</v>
      </c>
      <c r="M96">
        <v>853574</v>
      </c>
      <c r="N96">
        <v>914544</v>
      </c>
      <c r="O96">
        <v>975514</v>
      </c>
      <c r="P96">
        <v>1036480</v>
      </c>
      <c r="Q96">
        <v>1097450</v>
      </c>
      <c r="R96">
        <v>1158420</v>
      </c>
      <c r="S96">
        <v>1219390</v>
      </c>
      <c r="T96">
        <v>1280360</v>
      </c>
      <c r="U96">
        <v>1280360</v>
      </c>
      <c r="V96">
        <v>1280360</v>
      </c>
      <c r="W96">
        <v>1280360</v>
      </c>
      <c r="X96">
        <v>1280360</v>
      </c>
      <c r="Y96">
        <v>1280360</v>
      </c>
      <c r="Z96">
        <v>1280360</v>
      </c>
      <c r="AA96">
        <v>1280360</v>
      </c>
      <c r="AB96">
        <v>1341330</v>
      </c>
      <c r="AC96">
        <v>1402300</v>
      </c>
      <c r="AD96">
        <v>1463270</v>
      </c>
      <c r="AE96">
        <v>1463270</v>
      </c>
      <c r="AF96">
        <v>1463270</v>
      </c>
      <c r="AG96">
        <v>1463270</v>
      </c>
      <c r="AH96">
        <v>1463270</v>
      </c>
      <c r="AI96">
        <v>1463270</v>
      </c>
      <c r="AJ96">
        <v>1463270</v>
      </c>
      <c r="AK96">
        <v>1463270</v>
      </c>
      <c r="AL96">
        <v>1463270</v>
      </c>
      <c r="AM96">
        <v>1463270</v>
      </c>
      <c r="AN96">
        <v>1524240</v>
      </c>
      <c r="AO96">
        <v>1585210</v>
      </c>
      <c r="AP96">
        <v>1646180</v>
      </c>
    </row>
    <row r="97" spans="1:42">
      <c r="A97" t="s">
        <v>361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362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363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364</v>
      </c>
      <c r="B100">
        <v>80643.9</v>
      </c>
      <c r="C100">
        <v>66102.1</v>
      </c>
      <c r="D100">
        <v>65937.9</v>
      </c>
      <c r="E100">
        <v>65747.8</v>
      </c>
      <c r="F100">
        <v>65499.2</v>
      </c>
      <c r="G100">
        <v>65461.1</v>
      </c>
      <c r="H100">
        <v>65225.8</v>
      </c>
      <c r="I100">
        <v>64931.9</v>
      </c>
      <c r="J100">
        <v>64573.7</v>
      </c>
      <c r="K100">
        <v>64139.2</v>
      </c>
      <c r="L100">
        <v>63886.3</v>
      </c>
      <c r="M100">
        <v>63845.2</v>
      </c>
      <c r="N100">
        <v>63804.5</v>
      </c>
      <c r="O100">
        <v>58446.8</v>
      </c>
      <c r="P100">
        <v>58403.8</v>
      </c>
      <c r="Q100">
        <v>58362.5</v>
      </c>
      <c r="R100">
        <v>58317.6</v>
      </c>
      <c r="S100">
        <v>52974.6</v>
      </c>
      <c r="T100">
        <v>52933.2</v>
      </c>
      <c r="U100">
        <v>52892.2</v>
      </c>
      <c r="V100">
        <v>47565.3</v>
      </c>
      <c r="W100">
        <v>47526.8</v>
      </c>
      <c r="X100">
        <v>42210.5</v>
      </c>
      <c r="Y100">
        <v>42173.9</v>
      </c>
      <c r="Z100">
        <v>36870.9</v>
      </c>
      <c r="AA100">
        <v>36839.1</v>
      </c>
      <c r="AB100">
        <v>31550.4</v>
      </c>
      <c r="AC100">
        <v>31524.8</v>
      </c>
      <c r="AD100">
        <v>26250.3</v>
      </c>
      <c r="AE100">
        <v>20984.6</v>
      </c>
      <c r="AF100">
        <v>20969.9</v>
      </c>
      <c r="AG100">
        <v>15715.2</v>
      </c>
      <c r="AH100">
        <v>10469.1</v>
      </c>
      <c r="AI100">
        <v>10462</v>
      </c>
      <c r="AJ100">
        <v>5227.37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365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>
      <c r="A102" t="s">
        <v>366</v>
      </c>
      <c r="B102">
        <v>13441.1</v>
      </c>
      <c r="C102">
        <v>71612.6</v>
      </c>
      <c r="D102">
        <v>1170420</v>
      </c>
      <c r="E102">
        <v>4701160</v>
      </c>
      <c r="F102">
        <v>13231600</v>
      </c>
      <c r="G102">
        <v>21767100</v>
      </c>
      <c r="H102">
        <v>21689100</v>
      </c>
      <c r="I102">
        <v>21591900</v>
      </c>
      <c r="J102">
        <v>21473500</v>
      </c>
      <c r="K102">
        <v>21329400</v>
      </c>
      <c r="L102">
        <v>21245500</v>
      </c>
      <c r="M102">
        <v>21231600</v>
      </c>
      <c r="N102">
        <v>21218100</v>
      </c>
      <c r="O102">
        <v>21203200</v>
      </c>
      <c r="P102">
        <v>21187600</v>
      </c>
      <c r="Q102">
        <v>21172700</v>
      </c>
      <c r="R102">
        <v>21156500</v>
      </c>
      <c r="S102">
        <v>21140100</v>
      </c>
      <c r="T102">
        <v>21123700</v>
      </c>
      <c r="U102">
        <v>21107500</v>
      </c>
      <c r="V102">
        <v>21091100</v>
      </c>
      <c r="W102">
        <v>21074200</v>
      </c>
      <c r="X102">
        <v>21056600</v>
      </c>
      <c r="Y102">
        <v>21038400</v>
      </c>
      <c r="Z102">
        <v>21020800</v>
      </c>
      <c r="AA102">
        <v>21002700</v>
      </c>
      <c r="AB102">
        <v>20985700</v>
      </c>
      <c r="AC102">
        <v>20974000</v>
      </c>
      <c r="AD102">
        <v>20963100</v>
      </c>
      <c r="AE102">
        <v>20952900</v>
      </c>
      <c r="AF102">
        <v>20949000</v>
      </c>
      <c r="AG102">
        <v>20937900</v>
      </c>
      <c r="AH102">
        <v>20927900</v>
      </c>
      <c r="AI102">
        <v>20919000</v>
      </c>
      <c r="AJ102">
        <v>20910000</v>
      </c>
      <c r="AK102">
        <v>20900600</v>
      </c>
      <c r="AL102">
        <v>20885100</v>
      </c>
      <c r="AM102">
        <v>20877000</v>
      </c>
      <c r="AN102">
        <v>20878100</v>
      </c>
      <c r="AO102">
        <v>20893000</v>
      </c>
      <c r="AP102">
        <v>20908800</v>
      </c>
    </row>
    <row r="103" spans="1:42">
      <c r="A103" t="s">
        <v>367</v>
      </c>
      <c r="B103">
        <v>15642700</v>
      </c>
      <c r="C103">
        <v>7981130</v>
      </c>
      <c r="D103">
        <v>8241130</v>
      </c>
      <c r="E103">
        <v>7902130</v>
      </c>
      <c r="F103">
        <v>7453090</v>
      </c>
      <c r="G103">
        <v>6861910</v>
      </c>
      <c r="H103">
        <v>6489990</v>
      </c>
      <c r="I103">
        <v>6146930</v>
      </c>
      <c r="J103">
        <v>5631020</v>
      </c>
      <c r="K103">
        <v>5094240</v>
      </c>
      <c r="L103">
        <v>4572720</v>
      </c>
      <c r="M103">
        <v>4259270</v>
      </c>
      <c r="N103">
        <v>4040110</v>
      </c>
      <c r="O103">
        <v>3839690</v>
      </c>
      <c r="P103">
        <v>3634240</v>
      </c>
      <c r="Q103">
        <v>3433640</v>
      </c>
      <c r="R103">
        <v>3271370</v>
      </c>
      <c r="S103">
        <v>3122890</v>
      </c>
      <c r="T103">
        <v>2972160</v>
      </c>
      <c r="U103">
        <v>2823840</v>
      </c>
      <c r="V103">
        <v>2678450</v>
      </c>
      <c r="W103">
        <v>2553460</v>
      </c>
      <c r="X103">
        <v>2413430</v>
      </c>
      <c r="Y103">
        <v>2283520</v>
      </c>
      <c r="Z103">
        <v>2185370</v>
      </c>
      <c r="AA103">
        <v>2098070</v>
      </c>
      <c r="AB103">
        <v>2006450</v>
      </c>
      <c r="AC103">
        <v>1898650</v>
      </c>
      <c r="AD103">
        <v>1809270</v>
      </c>
      <c r="AE103">
        <v>1745800</v>
      </c>
      <c r="AF103">
        <v>1689690</v>
      </c>
      <c r="AG103">
        <v>1650680</v>
      </c>
      <c r="AH103">
        <v>1633950</v>
      </c>
      <c r="AI103">
        <v>1612240</v>
      </c>
      <c r="AJ103">
        <v>1618770</v>
      </c>
      <c r="AK103">
        <v>1624810</v>
      </c>
      <c r="AL103">
        <v>1642930</v>
      </c>
      <c r="AM103">
        <v>1653800</v>
      </c>
      <c r="AN103">
        <v>1700760</v>
      </c>
      <c r="AO103">
        <v>1678390</v>
      </c>
      <c r="AP103">
        <v>1758520</v>
      </c>
    </row>
    <row r="104" spans="1:42">
      <c r="A104" t="s">
        <v>368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369</v>
      </c>
      <c r="B105">
        <v>31254.4</v>
      </c>
      <c r="C105">
        <v>31545.2</v>
      </c>
      <c r="D105">
        <v>34859.2</v>
      </c>
      <c r="E105">
        <v>34254.9</v>
      </c>
      <c r="F105">
        <v>33524.9</v>
      </c>
      <c r="G105">
        <v>32288.9</v>
      </c>
      <c r="H105">
        <v>31464</v>
      </c>
      <c r="I105">
        <v>31166.3</v>
      </c>
      <c r="J105">
        <v>29917</v>
      </c>
      <c r="K105">
        <v>28317.8</v>
      </c>
      <c r="L105">
        <v>26816</v>
      </c>
      <c r="M105">
        <v>26186.5</v>
      </c>
      <c r="N105">
        <v>26200.5</v>
      </c>
      <c r="O105">
        <v>26183.7</v>
      </c>
      <c r="P105">
        <v>26220.3</v>
      </c>
      <c r="Q105">
        <v>26349.4</v>
      </c>
      <c r="R105">
        <v>26717.2</v>
      </c>
      <c r="S105">
        <v>27202</v>
      </c>
      <c r="T105">
        <v>27741.5</v>
      </c>
      <c r="U105">
        <v>28434.4</v>
      </c>
      <c r="V105">
        <v>29080</v>
      </c>
      <c r="W105">
        <v>29885.4</v>
      </c>
      <c r="X105">
        <v>30549.1</v>
      </c>
      <c r="Y105">
        <v>31210.9</v>
      </c>
      <c r="Z105">
        <v>32300.2</v>
      </c>
      <c r="AA105">
        <v>33312.8</v>
      </c>
      <c r="AB105">
        <v>37781</v>
      </c>
      <c r="AC105">
        <v>53118.2</v>
      </c>
      <c r="AD105">
        <v>72347.5</v>
      </c>
      <c r="AE105">
        <v>91819.1</v>
      </c>
      <c r="AF105">
        <v>115118</v>
      </c>
      <c r="AG105">
        <v>134908</v>
      </c>
      <c r="AH105">
        <v>155382</v>
      </c>
      <c r="AI105">
        <v>175262</v>
      </c>
      <c r="AJ105">
        <v>196647</v>
      </c>
      <c r="AK105">
        <v>213198</v>
      </c>
      <c r="AL105">
        <v>231390</v>
      </c>
      <c r="AM105">
        <v>249097</v>
      </c>
      <c r="AN105">
        <v>293524</v>
      </c>
      <c r="AO105">
        <v>346404</v>
      </c>
      <c r="AP105">
        <v>410751</v>
      </c>
    </row>
    <row r="106" spans="1:42">
      <c r="A106" t="s">
        <v>370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371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>
      <c r="A108" t="s">
        <v>372</v>
      </c>
      <c r="B108">
        <v>1561030</v>
      </c>
      <c r="C108">
        <v>11801400</v>
      </c>
      <c r="D108">
        <v>18420200</v>
      </c>
      <c r="E108">
        <v>25226300</v>
      </c>
      <c r="F108">
        <v>31272500</v>
      </c>
      <c r="G108">
        <v>37122200</v>
      </c>
      <c r="H108">
        <v>50707300</v>
      </c>
      <c r="I108">
        <v>64579200</v>
      </c>
      <c r="J108">
        <v>78684500</v>
      </c>
      <c r="K108">
        <v>82437000</v>
      </c>
      <c r="L108">
        <v>86447400</v>
      </c>
      <c r="M108">
        <v>91168900</v>
      </c>
      <c r="N108">
        <v>93331100</v>
      </c>
      <c r="O108">
        <v>95514100</v>
      </c>
      <c r="P108">
        <v>97652200</v>
      </c>
      <c r="Q108">
        <v>99975500</v>
      </c>
      <c r="R108">
        <v>102671000</v>
      </c>
      <c r="S108">
        <v>105425000</v>
      </c>
      <c r="T108">
        <v>107803000</v>
      </c>
      <c r="U108">
        <v>110435000</v>
      </c>
      <c r="V108">
        <v>112875000</v>
      </c>
      <c r="W108">
        <v>115939000</v>
      </c>
      <c r="X108">
        <v>118937000</v>
      </c>
      <c r="Y108">
        <v>122001000</v>
      </c>
      <c r="Z108">
        <v>124818000</v>
      </c>
      <c r="AA108">
        <v>127571000</v>
      </c>
      <c r="AB108">
        <v>131330000</v>
      </c>
      <c r="AC108">
        <v>135825000</v>
      </c>
      <c r="AD108">
        <v>140378000</v>
      </c>
      <c r="AE108">
        <v>144682000</v>
      </c>
      <c r="AF108">
        <v>148052000</v>
      </c>
      <c r="AG108">
        <v>150430000</v>
      </c>
      <c r="AH108">
        <v>152749000</v>
      </c>
      <c r="AI108">
        <v>155068000</v>
      </c>
      <c r="AJ108">
        <v>157575000</v>
      </c>
      <c r="AK108">
        <v>160830000</v>
      </c>
      <c r="AL108">
        <v>164393000</v>
      </c>
      <c r="AM108">
        <v>168331000</v>
      </c>
      <c r="AN108">
        <v>176759000</v>
      </c>
      <c r="AO108">
        <v>189539000</v>
      </c>
      <c r="AP108">
        <v>199431000</v>
      </c>
    </row>
    <row r="109" spans="1:42">
      <c r="A109" t="s">
        <v>373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>
      <c r="A110" t="s">
        <v>374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375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376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377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378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>
      <c r="A115" t="s">
        <v>379</v>
      </c>
      <c r="B115">
        <v>11650800</v>
      </c>
      <c r="C115">
        <v>11293000</v>
      </c>
      <c r="D115">
        <v>11084900</v>
      </c>
      <c r="E115">
        <v>10868500</v>
      </c>
      <c r="F115">
        <v>10635500</v>
      </c>
      <c r="G115">
        <v>10394200</v>
      </c>
      <c r="H115">
        <v>10127900</v>
      </c>
      <c r="I115">
        <v>9853250</v>
      </c>
      <c r="J115">
        <v>9561980</v>
      </c>
      <c r="K115">
        <v>9254060</v>
      </c>
      <c r="L115">
        <v>8937830</v>
      </c>
      <c r="M115">
        <v>8604950</v>
      </c>
      <c r="N115">
        <v>8247100</v>
      </c>
      <c r="O115">
        <v>7872610</v>
      </c>
      <c r="P115">
        <v>7481480</v>
      </c>
      <c r="Q115">
        <v>7073700</v>
      </c>
      <c r="R115">
        <v>6649280</v>
      </c>
      <c r="S115">
        <v>6224860</v>
      </c>
      <c r="T115">
        <v>5792110</v>
      </c>
      <c r="U115">
        <v>5367690</v>
      </c>
      <c r="V115">
        <v>4943270</v>
      </c>
      <c r="W115">
        <v>4518850</v>
      </c>
      <c r="X115">
        <v>4102750</v>
      </c>
      <c r="Y115">
        <v>3678320</v>
      </c>
      <c r="Z115">
        <v>3253900</v>
      </c>
      <c r="AA115">
        <v>2846120</v>
      </c>
      <c r="AB115">
        <v>2446670</v>
      </c>
      <c r="AC115">
        <v>2047210</v>
      </c>
      <c r="AD115">
        <v>1656080</v>
      </c>
      <c r="AE115">
        <v>1273270</v>
      </c>
      <c r="AF115">
        <v>898776</v>
      </c>
      <c r="AG115">
        <v>524286</v>
      </c>
      <c r="AH115">
        <v>166440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>
      <c r="A116" t="s">
        <v>380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381</v>
      </c>
      <c r="B117">
        <v>2787870</v>
      </c>
      <c r="C117">
        <v>6358010</v>
      </c>
      <c r="D117">
        <v>6358010</v>
      </c>
      <c r="E117">
        <v>6358010</v>
      </c>
      <c r="F117">
        <v>6358010</v>
      </c>
      <c r="G117">
        <v>6358010</v>
      </c>
      <c r="H117">
        <v>6358010</v>
      </c>
      <c r="I117">
        <v>6358010</v>
      </c>
      <c r="J117">
        <v>6358010</v>
      </c>
      <c r="K117">
        <v>6358010</v>
      </c>
      <c r="L117">
        <v>6358010</v>
      </c>
      <c r="M117">
        <v>6358010</v>
      </c>
      <c r="N117">
        <v>6358010</v>
      </c>
      <c r="O117">
        <v>6358010</v>
      </c>
      <c r="P117">
        <v>6358010</v>
      </c>
      <c r="Q117">
        <v>6358010</v>
      </c>
      <c r="R117">
        <v>6358010</v>
      </c>
      <c r="S117">
        <v>6358010</v>
      </c>
      <c r="T117">
        <v>6358010</v>
      </c>
      <c r="U117">
        <v>6358010</v>
      </c>
      <c r="V117">
        <v>6358010</v>
      </c>
      <c r="W117">
        <v>6358010</v>
      </c>
      <c r="X117">
        <v>6358010</v>
      </c>
      <c r="Y117">
        <v>6358010</v>
      </c>
      <c r="Z117">
        <v>6358010</v>
      </c>
      <c r="AA117">
        <v>6358010</v>
      </c>
      <c r="AB117">
        <v>6374650</v>
      </c>
      <c r="AC117">
        <v>6432910</v>
      </c>
      <c r="AD117">
        <v>6507800</v>
      </c>
      <c r="AE117">
        <v>6582700</v>
      </c>
      <c r="AF117">
        <v>6665920</v>
      </c>
      <c r="AG117">
        <v>6749140</v>
      </c>
      <c r="AH117">
        <v>6832360</v>
      </c>
      <c r="AI117">
        <v>6732500</v>
      </c>
      <c r="AJ117">
        <v>6466190</v>
      </c>
      <c r="AK117">
        <v>6199890</v>
      </c>
      <c r="AL117">
        <v>5925260</v>
      </c>
      <c r="AM117">
        <v>5675600</v>
      </c>
      <c r="AN117">
        <v>5509160</v>
      </c>
      <c r="AO117">
        <v>5442590</v>
      </c>
      <c r="AP117">
        <v>5334400</v>
      </c>
    </row>
    <row r="119" spans="1:42">
      <c r="A119" t="s">
        <v>308</v>
      </c>
      <c r="B119">
        <v>2020</v>
      </c>
      <c r="C119">
        <v>2021</v>
      </c>
      <c r="D119">
        <v>2022</v>
      </c>
      <c r="E119">
        <v>2023</v>
      </c>
      <c r="F119">
        <v>2024</v>
      </c>
      <c r="G119">
        <v>2025</v>
      </c>
      <c r="H119">
        <v>2026</v>
      </c>
      <c r="I119">
        <v>2027</v>
      </c>
      <c r="J119">
        <v>2028</v>
      </c>
      <c r="K119">
        <v>2029</v>
      </c>
      <c r="L119">
        <v>2030</v>
      </c>
      <c r="M119">
        <v>2031</v>
      </c>
      <c r="N119">
        <v>2032</v>
      </c>
      <c r="O119">
        <v>2033</v>
      </c>
      <c r="P119">
        <v>2034</v>
      </c>
      <c r="Q119">
        <v>2035</v>
      </c>
      <c r="R119">
        <v>2036</v>
      </c>
      <c r="S119">
        <v>2037</v>
      </c>
      <c r="T119">
        <v>2038</v>
      </c>
      <c r="U119">
        <v>2039</v>
      </c>
      <c r="V119">
        <v>2040</v>
      </c>
      <c r="W119">
        <v>2041</v>
      </c>
      <c r="X119">
        <v>2042</v>
      </c>
      <c r="Y119">
        <v>2043</v>
      </c>
      <c r="Z119">
        <v>2044</v>
      </c>
      <c r="AA119">
        <v>2045</v>
      </c>
      <c r="AB119">
        <v>2046</v>
      </c>
      <c r="AC119">
        <v>2047</v>
      </c>
      <c r="AD119">
        <v>2048</v>
      </c>
      <c r="AE119">
        <v>2049</v>
      </c>
      <c r="AF119">
        <v>2050</v>
      </c>
      <c r="AG119">
        <v>2051</v>
      </c>
      <c r="AH119">
        <v>2052</v>
      </c>
      <c r="AI119">
        <v>2053</v>
      </c>
      <c r="AJ119">
        <v>2054</v>
      </c>
      <c r="AK119">
        <v>2055</v>
      </c>
      <c r="AL119">
        <v>2056</v>
      </c>
      <c r="AM119">
        <v>2057</v>
      </c>
      <c r="AN119">
        <v>2058</v>
      </c>
      <c r="AO119">
        <v>2059</v>
      </c>
      <c r="AP119">
        <v>2060</v>
      </c>
    </row>
    <row r="120" spans="1:42">
      <c r="A120" t="s">
        <v>382</v>
      </c>
      <c r="B120">
        <v>0.767117</v>
      </c>
      <c r="C120">
        <v>0.727067</v>
      </c>
      <c r="D120">
        <v>0.715644</v>
      </c>
      <c r="E120">
        <v>0.694545</v>
      </c>
      <c r="F120">
        <v>0.668003</v>
      </c>
      <c r="G120">
        <v>0.614916</v>
      </c>
      <c r="H120">
        <v>0.593139</v>
      </c>
      <c r="I120">
        <v>0.56971</v>
      </c>
      <c r="J120">
        <v>0.527044</v>
      </c>
      <c r="K120">
        <v>0.481487</v>
      </c>
      <c r="L120">
        <v>0.431088</v>
      </c>
      <c r="M120">
        <v>0.401182</v>
      </c>
      <c r="N120">
        <v>0.388795</v>
      </c>
      <c r="O120">
        <v>0.376551</v>
      </c>
      <c r="P120">
        <v>0.366004</v>
      </c>
      <c r="Q120">
        <v>0.356522</v>
      </c>
      <c r="R120">
        <v>0.349075</v>
      </c>
      <c r="S120">
        <v>0.340603</v>
      </c>
      <c r="T120">
        <v>0.334118</v>
      </c>
      <c r="U120">
        <v>0.327158</v>
      </c>
      <c r="V120">
        <v>0.321648</v>
      </c>
      <c r="W120">
        <v>0.313285</v>
      </c>
      <c r="X120">
        <v>0.304942</v>
      </c>
      <c r="Y120">
        <v>0.297315</v>
      </c>
      <c r="Z120">
        <v>0.290065</v>
      </c>
      <c r="AA120">
        <v>0.28323</v>
      </c>
      <c r="AB120">
        <v>0.27009</v>
      </c>
      <c r="AC120">
        <v>0.252782</v>
      </c>
      <c r="AD120">
        <v>0.235062</v>
      </c>
      <c r="AE120">
        <v>0.217387</v>
      </c>
      <c r="AF120">
        <v>0.200073</v>
      </c>
      <c r="AG120">
        <v>0.183532</v>
      </c>
      <c r="AH120">
        <v>0.167721</v>
      </c>
      <c r="AI120">
        <v>0.152646</v>
      </c>
      <c r="AJ120">
        <v>0.138325</v>
      </c>
      <c r="AK120">
        <v>0.124805</v>
      </c>
      <c r="AL120">
        <v>0.11213</v>
      </c>
      <c r="AM120">
        <v>0.100679</v>
      </c>
      <c r="AN120">
        <v>0.0916014</v>
      </c>
      <c r="AO120">
        <v>0.0791938</v>
      </c>
      <c r="AP120">
        <v>0.0730099</v>
      </c>
    </row>
    <row r="121" spans="1:42">
      <c r="A121" t="s">
        <v>383</v>
      </c>
      <c r="B121">
        <v>1.96636e-7</v>
      </c>
      <c r="C121">
        <v>3.97622e-8</v>
      </c>
      <c r="D121">
        <v>3.13295e-9</v>
      </c>
      <c r="E121">
        <v>8.92262e-9</v>
      </c>
      <c r="F121">
        <v>1.0908e-8</v>
      </c>
      <c r="G121">
        <v>9.38682e-9</v>
      </c>
      <c r="H121">
        <v>7.15461e-9</v>
      </c>
      <c r="I121">
        <v>1.03827e-8</v>
      </c>
      <c r="J121">
        <v>1.51496e-8</v>
      </c>
      <c r="K121">
        <v>1.04867e-8</v>
      </c>
      <c r="L121">
        <v>7.48591e-9</v>
      </c>
      <c r="M121">
        <v>5.49858e-9</v>
      </c>
      <c r="N121">
        <v>4.86558e-9</v>
      </c>
      <c r="O121">
        <v>4.14199e-9</v>
      </c>
      <c r="P121">
        <v>3.45473e-9</v>
      </c>
      <c r="Q121">
        <v>3.61696e-9</v>
      </c>
      <c r="R121">
        <v>3.73913e-9</v>
      </c>
      <c r="S121">
        <v>3.71783e-9</v>
      </c>
      <c r="T121">
        <v>4.06626e-9</v>
      </c>
      <c r="U121">
        <v>4.76223e-9</v>
      </c>
      <c r="V121">
        <v>5.65209e-9</v>
      </c>
      <c r="W121">
        <v>6.28219e-9</v>
      </c>
      <c r="X121">
        <v>6.57579e-9</v>
      </c>
      <c r="Y121">
        <v>6.4854e-9</v>
      </c>
      <c r="Z121">
        <v>7.40654e-9</v>
      </c>
      <c r="AA121">
        <v>7.45192e-9</v>
      </c>
      <c r="AB121">
        <v>9.64457e-9</v>
      </c>
      <c r="AC121">
        <v>1.24948e-8</v>
      </c>
      <c r="AD121">
        <v>1.6112e-8</v>
      </c>
      <c r="AE121">
        <v>2.18388e-8</v>
      </c>
      <c r="AF121">
        <v>3.08744e-8</v>
      </c>
      <c r="AG121">
        <v>3.29238e-8</v>
      </c>
      <c r="AH121">
        <v>3.68276e-8</v>
      </c>
      <c r="AI121">
        <v>4.39211e-8</v>
      </c>
      <c r="AJ121">
        <v>5.17005e-8</v>
      </c>
      <c r="AK121">
        <v>6.04312e-8</v>
      </c>
      <c r="AL121">
        <v>6.46223e-8</v>
      </c>
      <c r="AM121">
        <v>7.42359e-8</v>
      </c>
      <c r="AN121">
        <v>9.73979e-8</v>
      </c>
      <c r="AO121">
        <v>1.10557e-7</v>
      </c>
      <c r="AP121">
        <v>1.50463e-7</v>
      </c>
    </row>
    <row r="122" spans="1:42">
      <c r="A122" t="s">
        <v>384</v>
      </c>
      <c r="B122">
        <v>0.0329454</v>
      </c>
      <c r="C122">
        <v>0.030986</v>
      </c>
      <c r="D122">
        <v>0.0282541</v>
      </c>
      <c r="E122">
        <v>0.0271422</v>
      </c>
      <c r="F122">
        <v>0.0259882</v>
      </c>
      <c r="G122">
        <v>0.0510265</v>
      </c>
      <c r="H122">
        <v>0.0502095</v>
      </c>
      <c r="I122">
        <v>0.0494816</v>
      </c>
      <c r="J122">
        <v>0.067608</v>
      </c>
      <c r="K122">
        <v>0.0854894</v>
      </c>
      <c r="L122">
        <v>0.103428</v>
      </c>
      <c r="M122">
        <v>0.101852</v>
      </c>
      <c r="N122">
        <v>0.10024</v>
      </c>
      <c r="O122">
        <v>0.0987546</v>
      </c>
      <c r="P122">
        <v>0.0971579</v>
      </c>
      <c r="Q122">
        <v>0.095409</v>
      </c>
      <c r="R122">
        <v>0.0931929</v>
      </c>
      <c r="S122">
        <v>0.0912284</v>
      </c>
      <c r="T122">
        <v>0.0893828</v>
      </c>
      <c r="U122">
        <v>0.0876079</v>
      </c>
      <c r="V122">
        <v>0.0859325</v>
      </c>
      <c r="W122">
        <v>0.0842955</v>
      </c>
      <c r="X122">
        <v>0.0828332</v>
      </c>
      <c r="Y122">
        <v>0.0814488</v>
      </c>
      <c r="Z122">
        <v>0.0801609</v>
      </c>
      <c r="AA122">
        <v>0.0789489</v>
      </c>
      <c r="AB122">
        <v>0.0776939</v>
      </c>
      <c r="AC122">
        <v>0.0765551</v>
      </c>
      <c r="AD122">
        <v>0.0754412</v>
      </c>
      <c r="AE122">
        <v>0.0743747</v>
      </c>
      <c r="AF122">
        <v>0.0732134</v>
      </c>
      <c r="AG122">
        <v>0.0722567</v>
      </c>
      <c r="AH122">
        <v>0.0713113</v>
      </c>
      <c r="AI122">
        <v>0.0703787</v>
      </c>
      <c r="AJ122">
        <v>0.0694538</v>
      </c>
      <c r="AK122">
        <v>0.0685977</v>
      </c>
      <c r="AL122">
        <v>0.0677948</v>
      </c>
      <c r="AM122">
        <v>0.0670209</v>
      </c>
      <c r="AN122">
        <v>0.0662576</v>
      </c>
      <c r="AO122">
        <v>0.0694352</v>
      </c>
      <c r="AP122">
        <v>0.0687084</v>
      </c>
    </row>
    <row r="123" spans="1:42">
      <c r="A123" t="s">
        <v>385</v>
      </c>
      <c r="B123">
        <v>0.00896161</v>
      </c>
      <c r="C123">
        <v>0.00792607</v>
      </c>
      <c r="D123">
        <v>0.00722726</v>
      </c>
      <c r="E123">
        <v>0.00694284</v>
      </c>
      <c r="F123">
        <v>0.00664765</v>
      </c>
      <c r="G123">
        <v>0.0063982</v>
      </c>
      <c r="H123">
        <v>0.00629576</v>
      </c>
      <c r="I123">
        <v>0.00620449</v>
      </c>
      <c r="J123">
        <v>0.00613256</v>
      </c>
      <c r="K123">
        <v>0.00607439</v>
      </c>
      <c r="L123">
        <v>0.00604028</v>
      </c>
      <c r="M123">
        <v>0.00594823</v>
      </c>
      <c r="N123">
        <v>0.00585406</v>
      </c>
      <c r="O123">
        <v>0.00576734</v>
      </c>
      <c r="P123">
        <v>0.0056741</v>
      </c>
      <c r="Q123">
        <v>0.00557196</v>
      </c>
      <c r="R123">
        <v>0.00544253</v>
      </c>
      <c r="S123">
        <v>0.00532781</v>
      </c>
      <c r="T123">
        <v>0.00522003</v>
      </c>
      <c r="U123">
        <v>0.00511637</v>
      </c>
      <c r="V123">
        <v>0.00501852</v>
      </c>
      <c r="W123">
        <v>0.00492292</v>
      </c>
      <c r="X123">
        <v>0.00483752</v>
      </c>
      <c r="Y123">
        <v>0.00475667</v>
      </c>
      <c r="Z123">
        <v>0.00468146</v>
      </c>
      <c r="AA123">
        <v>0.00461068</v>
      </c>
      <c r="AB123">
        <v>0.00453738</v>
      </c>
      <c r="AC123">
        <v>0.00447087</v>
      </c>
      <c r="AD123">
        <v>0.00440582</v>
      </c>
      <c r="AE123">
        <v>0.00434354</v>
      </c>
      <c r="AF123">
        <v>0.00427572</v>
      </c>
      <c r="AG123">
        <v>0.00421985</v>
      </c>
      <c r="AH123">
        <v>0.00416463</v>
      </c>
      <c r="AI123">
        <v>0.00411017</v>
      </c>
      <c r="AJ123">
        <v>0.00405616</v>
      </c>
      <c r="AK123">
        <v>0.00400616</v>
      </c>
      <c r="AL123">
        <v>0.00395927</v>
      </c>
      <c r="AM123">
        <v>0.00391407</v>
      </c>
      <c r="AN123">
        <v>0.0038543</v>
      </c>
      <c r="AO123">
        <v>0.00379176</v>
      </c>
      <c r="AP123">
        <v>0.00372827</v>
      </c>
    </row>
    <row r="124" spans="1:42">
      <c r="A124" t="s">
        <v>386</v>
      </c>
      <c r="B124">
        <v>0.0547669</v>
      </c>
      <c r="C124">
        <v>0.068677</v>
      </c>
      <c r="D124">
        <v>0.0731462</v>
      </c>
      <c r="E124">
        <v>0.0708693</v>
      </c>
      <c r="F124">
        <v>0.0691419</v>
      </c>
      <c r="G124">
        <v>0.0681854</v>
      </c>
      <c r="H124">
        <v>0.0697317</v>
      </c>
      <c r="I124">
        <v>0.0715102</v>
      </c>
      <c r="J124">
        <v>0.073528</v>
      </c>
      <c r="K124">
        <v>0.0793462</v>
      </c>
      <c r="L124">
        <v>0.0842276</v>
      </c>
      <c r="M124">
        <v>0.0871072</v>
      </c>
      <c r="N124">
        <v>0.0883675</v>
      </c>
      <c r="O124">
        <v>0.0888259</v>
      </c>
      <c r="P124">
        <v>0.0883659</v>
      </c>
      <c r="Q124">
        <v>0.0871229</v>
      </c>
      <c r="R124">
        <v>0.0850327</v>
      </c>
      <c r="S124">
        <v>0.0830621</v>
      </c>
      <c r="T124">
        <v>0.0812112</v>
      </c>
      <c r="U124">
        <v>0.0794928</v>
      </c>
      <c r="V124">
        <v>0.0776582</v>
      </c>
      <c r="W124">
        <v>0.0760494</v>
      </c>
      <c r="X124">
        <v>0.0742283</v>
      </c>
      <c r="Y124">
        <v>0.0714825</v>
      </c>
      <c r="Z124">
        <v>0.06919</v>
      </c>
      <c r="AA124">
        <v>0.0666781</v>
      </c>
      <c r="AB124">
        <v>0.0660269</v>
      </c>
      <c r="AC124">
        <v>0.0658357</v>
      </c>
      <c r="AD124">
        <v>0.06604</v>
      </c>
      <c r="AE124">
        <v>0.0660756</v>
      </c>
      <c r="AF124">
        <v>0.0666325</v>
      </c>
      <c r="AG124">
        <v>0.0670011</v>
      </c>
      <c r="AH124">
        <v>0.0670941</v>
      </c>
      <c r="AI124">
        <v>0.0669702</v>
      </c>
      <c r="AJ124">
        <v>0.0666725</v>
      </c>
      <c r="AK124">
        <v>0.0663008</v>
      </c>
      <c r="AL124">
        <v>0.0658717</v>
      </c>
      <c r="AM124">
        <v>0.0654199</v>
      </c>
      <c r="AN124">
        <v>0.0651739</v>
      </c>
      <c r="AO124">
        <v>0.064814</v>
      </c>
      <c r="AP124">
        <v>0.0642047</v>
      </c>
    </row>
    <row r="125" spans="1:42">
      <c r="A125" t="s">
        <v>387</v>
      </c>
      <c r="B125">
        <v>0.053544</v>
      </c>
      <c r="C125">
        <v>0.0763317</v>
      </c>
      <c r="D125">
        <v>0.0831043</v>
      </c>
      <c r="E125">
        <v>0.0975358</v>
      </c>
      <c r="F125">
        <v>0.112524</v>
      </c>
      <c r="G125">
        <v>0.128271</v>
      </c>
      <c r="H125">
        <v>0.134808</v>
      </c>
      <c r="I125">
        <v>0.142574</v>
      </c>
      <c r="J125">
        <v>0.150388</v>
      </c>
      <c r="K125">
        <v>0.17073</v>
      </c>
      <c r="L125">
        <v>0.195737</v>
      </c>
      <c r="M125">
        <v>0.222408</v>
      </c>
      <c r="N125">
        <v>0.236521</v>
      </c>
      <c r="O125">
        <v>0.250995</v>
      </c>
      <c r="P125">
        <v>0.265142</v>
      </c>
      <c r="Q125">
        <v>0.279303</v>
      </c>
      <c r="R125">
        <v>0.293269</v>
      </c>
      <c r="S125">
        <v>0.30741</v>
      </c>
      <c r="T125">
        <v>0.319596</v>
      </c>
      <c r="U125">
        <v>0.331763</v>
      </c>
      <c r="V125">
        <v>0.342572</v>
      </c>
      <c r="W125">
        <v>0.355274</v>
      </c>
      <c r="X125">
        <v>0.367801</v>
      </c>
      <c r="Y125">
        <v>0.380288</v>
      </c>
      <c r="Z125">
        <v>0.391926</v>
      </c>
      <c r="AA125">
        <v>0.403214</v>
      </c>
      <c r="AB125">
        <v>0.418092</v>
      </c>
      <c r="AC125">
        <v>0.435654</v>
      </c>
      <c r="AD125">
        <v>0.453145</v>
      </c>
      <c r="AE125">
        <v>0.470951</v>
      </c>
      <c r="AF125">
        <v>0.489083</v>
      </c>
      <c r="AG125">
        <v>0.506887</v>
      </c>
      <c r="AH125">
        <v>0.524244</v>
      </c>
      <c r="AI125">
        <v>0.541057</v>
      </c>
      <c r="AJ125">
        <v>0.557118</v>
      </c>
      <c r="AK125">
        <v>0.571636</v>
      </c>
      <c r="AL125">
        <v>0.584979</v>
      </c>
      <c r="AM125">
        <v>0.596733</v>
      </c>
      <c r="AN125">
        <v>0.602104</v>
      </c>
      <c r="AO125">
        <v>0.603437</v>
      </c>
      <c r="AP125">
        <v>0.605078</v>
      </c>
    </row>
    <row r="126" spans="1:42">
      <c r="A126" t="s">
        <v>388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>
      <c r="A127" t="s">
        <v>389</v>
      </c>
      <c r="B127">
        <v>0.0258766</v>
      </c>
      <c r="C127">
        <v>0.0260604</v>
      </c>
      <c r="D127">
        <v>0.023453</v>
      </c>
      <c r="E127">
        <v>0.0221994</v>
      </c>
      <c r="F127">
        <v>0.0209283</v>
      </c>
      <c r="G127">
        <v>0.019818</v>
      </c>
      <c r="H127">
        <v>0.0191608</v>
      </c>
      <c r="I127">
        <v>0.0185186</v>
      </c>
      <c r="J127">
        <v>0.0179339</v>
      </c>
      <c r="K127">
        <v>0.017407</v>
      </c>
      <c r="L127">
        <v>0.0169257</v>
      </c>
      <c r="M127">
        <v>0.01629</v>
      </c>
      <c r="N127">
        <v>0.0156232</v>
      </c>
      <c r="O127">
        <v>0.0149522</v>
      </c>
      <c r="P127">
        <v>0.0142691</v>
      </c>
      <c r="Q127">
        <v>0.0135699</v>
      </c>
      <c r="R127">
        <v>0.0128054</v>
      </c>
      <c r="S127">
        <v>0.0121041</v>
      </c>
      <c r="T127">
        <v>0.0114366</v>
      </c>
      <c r="U127">
        <v>0.0107952</v>
      </c>
      <c r="V127">
        <v>0.0101824</v>
      </c>
      <c r="W127">
        <v>0.00959766</v>
      </c>
      <c r="X127">
        <v>0.00904716</v>
      </c>
      <c r="Y127">
        <v>0.00852592</v>
      </c>
      <c r="Z127">
        <v>0.00803435</v>
      </c>
      <c r="AA127">
        <v>0.00756884</v>
      </c>
      <c r="AB127">
        <v>0.00712436</v>
      </c>
      <c r="AC127">
        <v>0.00670762</v>
      </c>
      <c r="AD127">
        <v>0.00632324</v>
      </c>
      <c r="AE127">
        <v>0.00595801</v>
      </c>
      <c r="AF127">
        <v>0.00560024</v>
      </c>
      <c r="AG127">
        <v>0.00527249</v>
      </c>
      <c r="AH127">
        <v>0.00496547</v>
      </c>
      <c r="AI127">
        <v>0.00467867</v>
      </c>
      <c r="AJ127">
        <v>0.00440468</v>
      </c>
      <c r="AK127">
        <v>0.0041405</v>
      </c>
      <c r="AL127">
        <v>0.00388461</v>
      </c>
      <c r="AM127">
        <v>0.00365385</v>
      </c>
      <c r="AN127">
        <v>0.00345865</v>
      </c>
      <c r="AO127">
        <v>0.00329988</v>
      </c>
      <c r="AP127">
        <v>0.00314507</v>
      </c>
    </row>
    <row r="128" spans="1:42">
      <c r="A128" t="s">
        <v>390</v>
      </c>
      <c r="B128">
        <v>0.000432642</v>
      </c>
      <c r="C128">
        <v>0.00050625</v>
      </c>
      <c r="D128">
        <v>0.000461616</v>
      </c>
      <c r="E128">
        <v>0.00053214</v>
      </c>
      <c r="F128">
        <v>0.000594434</v>
      </c>
      <c r="G128">
        <v>0.00065386</v>
      </c>
      <c r="H128">
        <v>0.000723815</v>
      </c>
      <c r="I128">
        <v>0.00079258</v>
      </c>
      <c r="J128">
        <v>0.00086173</v>
      </c>
      <c r="K128">
        <v>0.000931152</v>
      </c>
      <c r="L128">
        <v>0.00100308</v>
      </c>
      <c r="M128">
        <v>0.00106378</v>
      </c>
      <c r="N128">
        <v>0.00112172</v>
      </c>
      <c r="O128">
        <v>0.00117878</v>
      </c>
      <c r="P128">
        <v>0.0012322</v>
      </c>
      <c r="Q128">
        <v>0.0012812</v>
      </c>
      <c r="R128">
        <v>0.00132097</v>
      </c>
      <c r="S128">
        <v>0.00136118</v>
      </c>
      <c r="T128">
        <v>0.00140033</v>
      </c>
      <c r="U128">
        <v>0.00137252</v>
      </c>
      <c r="V128">
        <v>0.00134627</v>
      </c>
      <c r="W128">
        <v>0.00132062</v>
      </c>
      <c r="X128">
        <v>0.00129771</v>
      </c>
      <c r="Y128">
        <v>0.00127603</v>
      </c>
      <c r="Z128">
        <v>0.00125585</v>
      </c>
      <c r="AA128">
        <v>0.00123686</v>
      </c>
      <c r="AB128">
        <v>0.00127516</v>
      </c>
      <c r="AC128">
        <v>0.00131358</v>
      </c>
      <c r="AD128">
        <v>0.00135075</v>
      </c>
      <c r="AE128">
        <v>0.00133166</v>
      </c>
      <c r="AF128">
        <v>0.00131086</v>
      </c>
      <c r="AG128">
        <v>0.00129373</v>
      </c>
      <c r="AH128">
        <v>0.00127681</v>
      </c>
      <c r="AI128">
        <v>0.00126011</v>
      </c>
      <c r="AJ128">
        <v>0.00124355</v>
      </c>
      <c r="AK128">
        <v>0.00122822</v>
      </c>
      <c r="AL128">
        <v>0.00121384</v>
      </c>
      <c r="AM128">
        <v>0.00119999</v>
      </c>
      <c r="AN128">
        <v>0.00123575</v>
      </c>
      <c r="AO128">
        <v>0.00127135</v>
      </c>
      <c r="AP128">
        <v>0.00130643</v>
      </c>
    </row>
    <row r="129" spans="1:42">
      <c r="A129" t="s">
        <v>391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392</v>
      </c>
      <c r="B130">
        <v>0.000166907</v>
      </c>
      <c r="C130">
        <v>0.000228698</v>
      </c>
      <c r="D130">
        <v>0.00187216</v>
      </c>
      <c r="E130">
        <v>0.00693422</v>
      </c>
      <c r="F130">
        <v>0.0185203</v>
      </c>
      <c r="G130">
        <v>0.0292676</v>
      </c>
      <c r="H130">
        <v>0.0286957</v>
      </c>
      <c r="I130">
        <v>0.028153</v>
      </c>
      <c r="J130">
        <v>0.027674</v>
      </c>
      <c r="K130">
        <v>0.0272276</v>
      </c>
      <c r="L130">
        <v>0.0269681</v>
      </c>
      <c r="M130">
        <v>0.0265399</v>
      </c>
      <c r="N130">
        <v>0.026103</v>
      </c>
      <c r="O130">
        <v>0.025692</v>
      </c>
      <c r="P130">
        <v>0.0252579</v>
      </c>
      <c r="Q130">
        <v>0.0247859</v>
      </c>
      <c r="R130">
        <v>0.0241916</v>
      </c>
      <c r="S130">
        <v>0.0236573</v>
      </c>
      <c r="T130">
        <v>0.0231608</v>
      </c>
      <c r="U130">
        <v>0.0226835</v>
      </c>
      <c r="V130">
        <v>0.0222268</v>
      </c>
      <c r="W130">
        <v>0.0217859</v>
      </c>
      <c r="X130">
        <v>0.0213847</v>
      </c>
      <c r="Y130">
        <v>0.0210092</v>
      </c>
      <c r="Z130">
        <v>0.0206545</v>
      </c>
      <c r="AA130">
        <v>0.0203248</v>
      </c>
      <c r="AB130">
        <v>0.0199804</v>
      </c>
      <c r="AC130">
        <v>0.0196766</v>
      </c>
      <c r="AD130">
        <v>0.0193753</v>
      </c>
      <c r="AE130">
        <v>0.0190874</v>
      </c>
      <c r="AF130">
        <v>0.0187858</v>
      </c>
      <c r="AG130">
        <v>0.0185259</v>
      </c>
      <c r="AH130">
        <v>0.0182702</v>
      </c>
      <c r="AI130">
        <v>0.0180236</v>
      </c>
      <c r="AJ130">
        <v>0.0177746</v>
      </c>
      <c r="AK130">
        <v>0.0175433</v>
      </c>
      <c r="AL130">
        <v>0.0173251</v>
      </c>
      <c r="AM130">
        <v>0.0171207</v>
      </c>
      <c r="AN130">
        <v>0.0169266</v>
      </c>
      <c r="AO130">
        <v>0.0167563</v>
      </c>
      <c r="AP130">
        <v>0.0165935</v>
      </c>
    </row>
    <row r="131" spans="1:42">
      <c r="A131" t="s">
        <v>393</v>
      </c>
      <c r="B131">
        <v>0.0278056</v>
      </c>
      <c r="C131">
        <v>0.0133064</v>
      </c>
      <c r="D131">
        <v>0.0125319</v>
      </c>
      <c r="E131">
        <v>0.0115447</v>
      </c>
      <c r="F131">
        <v>0.0104274</v>
      </c>
      <c r="G131">
        <v>0.00924199</v>
      </c>
      <c r="H131">
        <v>0.00860233</v>
      </c>
      <c r="I131">
        <v>0.00803128</v>
      </c>
      <c r="J131">
        <v>0.00727367</v>
      </c>
      <c r="K131">
        <v>0.00651948</v>
      </c>
      <c r="L131">
        <v>0.00582096</v>
      </c>
      <c r="M131">
        <v>0.00534083</v>
      </c>
      <c r="N131">
        <v>0.00498749</v>
      </c>
      <c r="O131">
        <v>0.0046714</v>
      </c>
      <c r="P131">
        <v>0.00435167</v>
      </c>
      <c r="Q131">
        <v>0.0040393</v>
      </c>
      <c r="R131">
        <v>0.00376085</v>
      </c>
      <c r="S131">
        <v>0.00351638</v>
      </c>
      <c r="T131">
        <v>0.00328097</v>
      </c>
      <c r="U131">
        <v>0.00305757</v>
      </c>
      <c r="V131">
        <v>0.0028469</v>
      </c>
      <c r="W131">
        <v>0.00266458</v>
      </c>
      <c r="X131">
        <v>0.00247711</v>
      </c>
      <c r="Y131">
        <v>0.00230689</v>
      </c>
      <c r="Z131">
        <v>0.00217521</v>
      </c>
      <c r="AA131">
        <v>0.00205897</v>
      </c>
      <c r="AB131">
        <v>0.00194339</v>
      </c>
      <c r="AC131">
        <v>0.00182829</v>
      </c>
      <c r="AD131">
        <v>0.00173693</v>
      </c>
      <c r="AE131">
        <v>0.00167234</v>
      </c>
      <c r="AF131">
        <v>0.00161682</v>
      </c>
      <c r="AG131">
        <v>0.00157871</v>
      </c>
      <c r="AH131">
        <v>0.00156132</v>
      </c>
      <c r="AI131">
        <v>0.00153932</v>
      </c>
      <c r="AJ131">
        <v>0.00154281</v>
      </c>
      <c r="AK131">
        <v>0.00154276</v>
      </c>
      <c r="AL131">
        <v>0.00155483</v>
      </c>
      <c r="AM131">
        <v>0.00156052</v>
      </c>
      <c r="AN131">
        <v>0.00161683</v>
      </c>
      <c r="AO131">
        <v>0.0016239</v>
      </c>
      <c r="AP131">
        <v>0.00172156</v>
      </c>
    </row>
    <row r="132" spans="1:42">
      <c r="A132" t="s">
        <v>394</v>
      </c>
      <c r="B132">
        <v>0.00276928</v>
      </c>
      <c r="C132">
        <v>0.0195982</v>
      </c>
      <c r="D132">
        <v>0.0278927</v>
      </c>
      <c r="E132">
        <v>0.0366956</v>
      </c>
      <c r="F132">
        <v>0.0435567</v>
      </c>
      <c r="G132">
        <v>0.049764</v>
      </c>
      <c r="H132">
        <v>0.066887</v>
      </c>
      <c r="I132">
        <v>0.0839503</v>
      </c>
      <c r="J132">
        <v>0.101101</v>
      </c>
      <c r="K132">
        <v>0.104918</v>
      </c>
      <c r="L132">
        <v>0.109404</v>
      </c>
      <c r="M132">
        <v>0.113621</v>
      </c>
      <c r="N132">
        <v>0.114474</v>
      </c>
      <c r="O132">
        <v>0.115416</v>
      </c>
      <c r="P132">
        <v>0.116092</v>
      </c>
      <c r="Q132">
        <v>0.116715</v>
      </c>
      <c r="R132">
        <v>0.117077</v>
      </c>
      <c r="S132">
        <v>0.117683</v>
      </c>
      <c r="T132">
        <v>0.117904</v>
      </c>
      <c r="U132">
        <v>0.118383</v>
      </c>
      <c r="V132">
        <v>0.118685</v>
      </c>
      <c r="W132">
        <v>0.119585</v>
      </c>
      <c r="X132">
        <v>0.120549</v>
      </c>
      <c r="Y132">
        <v>0.121588</v>
      </c>
      <c r="Z132">
        <v>0.122428</v>
      </c>
      <c r="AA132">
        <v>0.123237</v>
      </c>
      <c r="AB132">
        <v>0.124851</v>
      </c>
      <c r="AC132">
        <v>0.127232</v>
      </c>
      <c r="AD132">
        <v>0.129584</v>
      </c>
      <c r="AE132">
        <v>0.131669</v>
      </c>
      <c r="AF132">
        <v>0.132632</v>
      </c>
      <c r="AG132">
        <v>0.133001</v>
      </c>
      <c r="AH132">
        <v>0.133284</v>
      </c>
      <c r="AI132">
        <v>0.133538</v>
      </c>
      <c r="AJ132">
        <v>0.133914</v>
      </c>
      <c r="AK132">
        <v>0.134995</v>
      </c>
      <c r="AL132">
        <v>0.136371</v>
      </c>
      <c r="AM132">
        <v>0.138044</v>
      </c>
      <c r="AN132">
        <v>0.143305</v>
      </c>
      <c r="AO132">
        <v>0.152011</v>
      </c>
      <c r="AP132">
        <v>0.158271</v>
      </c>
    </row>
    <row r="133" spans="1:42">
      <c r="A133" t="s">
        <v>395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>
      <c r="A134" t="s">
        <v>396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397</v>
      </c>
      <c r="B135">
        <v>0.0256143</v>
      </c>
      <c r="C135">
        <v>0.0293123</v>
      </c>
      <c r="D135">
        <v>0.0264129</v>
      </c>
      <c r="E135">
        <v>0.0250587</v>
      </c>
      <c r="F135">
        <v>0.0236688</v>
      </c>
      <c r="G135">
        <v>0.0224571</v>
      </c>
      <c r="H135">
        <v>0.0217462</v>
      </c>
      <c r="I135">
        <v>0.021074</v>
      </c>
      <c r="J135">
        <v>0.0204554</v>
      </c>
      <c r="K135">
        <v>0.0198695</v>
      </c>
      <c r="L135">
        <v>0.0193577</v>
      </c>
      <c r="M135">
        <v>0.0186479</v>
      </c>
      <c r="N135">
        <v>0.0179137</v>
      </c>
      <c r="O135">
        <v>0.0171958</v>
      </c>
      <c r="P135">
        <v>0.0164528</v>
      </c>
      <c r="Q135">
        <v>0.0156806</v>
      </c>
      <c r="R135">
        <v>0.0148324</v>
      </c>
      <c r="S135">
        <v>0.014046</v>
      </c>
      <c r="T135">
        <v>0.0132885</v>
      </c>
      <c r="U135">
        <v>0.0125697</v>
      </c>
      <c r="V135">
        <v>0.011883</v>
      </c>
      <c r="W135">
        <v>0.0112189</v>
      </c>
      <c r="X135">
        <v>0.0106025</v>
      </c>
      <c r="Y135">
        <v>0.0100024</v>
      </c>
      <c r="Z135">
        <v>0.00942789</v>
      </c>
      <c r="AA135">
        <v>0.00889142</v>
      </c>
      <c r="AB135">
        <v>0.00838615</v>
      </c>
      <c r="AC135">
        <v>0.00794361</v>
      </c>
      <c r="AD135">
        <v>0.00753611</v>
      </c>
      <c r="AE135">
        <v>0.00714936</v>
      </c>
      <c r="AF135">
        <v>0.00677679</v>
      </c>
      <c r="AG135">
        <v>0.00643072</v>
      </c>
      <c r="AH135">
        <v>0.00610694</v>
      </c>
      <c r="AI135">
        <v>0.00579775</v>
      </c>
      <c r="AJ135">
        <v>0.00549524</v>
      </c>
      <c r="AK135">
        <v>0.00520398</v>
      </c>
      <c r="AL135">
        <v>0.00491525</v>
      </c>
      <c r="AM135">
        <v>0.00465441</v>
      </c>
      <c r="AN135">
        <v>0.00446646</v>
      </c>
      <c r="AO135">
        <v>0.00436499</v>
      </c>
      <c r="AP135">
        <v>0.00423345</v>
      </c>
    </row>
  </sheetData>
  <mergeCells count="7">
    <mergeCell ref="A3:G3"/>
    <mergeCell ref="I3:O3"/>
    <mergeCell ref="A4:G4"/>
    <mergeCell ref="A5:G5"/>
    <mergeCell ref="A6:G6"/>
    <mergeCell ref="A7:G7"/>
    <mergeCell ref="I4:O7"/>
  </mergeCells>
  <hyperlinks>
    <hyperlink ref="A7" r:id="rId1" display="https://nyj.nmg.gov.cn/zwgk/zfxxgkzl/fdzdgknr/tzgg_16482/tz_16483/202203/P020220329568378960686.pdf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6"/>
  <sheetViews>
    <sheetView topLeftCell="A67" workbookViewId="0">
      <selection activeCell="E101" sqref="E101"/>
    </sheetView>
  </sheetViews>
  <sheetFormatPr defaultColWidth="9" defaultRowHeight="13.85"/>
  <cols>
    <col min="1" max="1" width="89" customWidth="1"/>
  </cols>
  <sheetData>
    <row r="1" spans="1:42">
      <c r="A1" t="s">
        <v>398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334</v>
      </c>
      <c r="B2">
        <v>375627000</v>
      </c>
      <c r="C2">
        <v>431988000</v>
      </c>
      <c r="D2">
        <v>418958000</v>
      </c>
      <c r="E2">
        <v>384280000</v>
      </c>
      <c r="F2">
        <v>396266000</v>
      </c>
      <c r="G2">
        <v>408727000</v>
      </c>
      <c r="H2">
        <v>415737000</v>
      </c>
      <c r="I2">
        <v>415610000</v>
      </c>
      <c r="J2">
        <v>409422000</v>
      </c>
      <c r="K2">
        <v>403146000</v>
      </c>
      <c r="L2">
        <v>395530000</v>
      </c>
      <c r="M2">
        <v>388055000</v>
      </c>
      <c r="N2">
        <v>379644000</v>
      </c>
      <c r="O2">
        <v>371117000</v>
      </c>
      <c r="P2">
        <v>360691000</v>
      </c>
      <c r="Q2">
        <v>352632000</v>
      </c>
      <c r="R2">
        <v>340580000</v>
      </c>
      <c r="S2">
        <v>328861000</v>
      </c>
      <c r="T2">
        <v>316306000</v>
      </c>
      <c r="U2">
        <v>303000000</v>
      </c>
      <c r="V2">
        <v>289401000</v>
      </c>
      <c r="W2">
        <v>275152000</v>
      </c>
      <c r="X2">
        <v>260507000</v>
      </c>
      <c r="Y2">
        <v>245604000</v>
      </c>
      <c r="Z2">
        <v>230355000</v>
      </c>
      <c r="AA2">
        <v>214828000</v>
      </c>
      <c r="AB2">
        <v>199145000</v>
      </c>
      <c r="AC2">
        <v>182875000</v>
      </c>
      <c r="AD2">
        <v>166307000</v>
      </c>
      <c r="AE2">
        <v>149806000</v>
      </c>
      <c r="AF2">
        <v>132815000</v>
      </c>
      <c r="AG2">
        <v>116360000</v>
      </c>
      <c r="AH2">
        <v>99533500</v>
      </c>
      <c r="AI2">
        <v>82747300</v>
      </c>
      <c r="AJ2">
        <v>66313000</v>
      </c>
      <c r="AK2">
        <v>50130100</v>
      </c>
      <c r="AL2">
        <v>34231300</v>
      </c>
      <c r="AM2">
        <v>18597900</v>
      </c>
      <c r="AN2">
        <v>3248210</v>
      </c>
      <c r="AO2">
        <v>0</v>
      </c>
      <c r="AP2">
        <v>0</v>
      </c>
    </row>
    <row r="3" spans="1:42">
      <c r="A3" t="s">
        <v>335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336</v>
      </c>
      <c r="B4">
        <v>15684900</v>
      </c>
      <c r="C4">
        <v>32873600</v>
      </c>
      <c r="D4">
        <v>60014700</v>
      </c>
      <c r="E4">
        <v>99860500</v>
      </c>
      <c r="F4">
        <v>104974000</v>
      </c>
      <c r="G4">
        <v>111554000</v>
      </c>
      <c r="H4">
        <v>114319000</v>
      </c>
      <c r="I4">
        <v>116784000</v>
      </c>
      <c r="J4">
        <v>117842000</v>
      </c>
      <c r="K4">
        <v>118463000</v>
      </c>
      <c r="L4">
        <v>119707000</v>
      </c>
      <c r="M4">
        <v>120148000</v>
      </c>
      <c r="N4">
        <v>120744000</v>
      </c>
      <c r="O4">
        <v>120904000</v>
      </c>
      <c r="P4">
        <v>120945000</v>
      </c>
      <c r="Q4">
        <v>122435000</v>
      </c>
      <c r="R4">
        <v>122573000</v>
      </c>
      <c r="S4">
        <v>123270000</v>
      </c>
      <c r="T4">
        <v>124128000</v>
      </c>
      <c r="U4">
        <v>125297000</v>
      </c>
      <c r="V4">
        <v>126220000</v>
      </c>
      <c r="W4">
        <v>127217000</v>
      </c>
      <c r="X4">
        <v>128273000</v>
      </c>
      <c r="Y4">
        <v>129376000</v>
      </c>
      <c r="Z4">
        <v>130619000</v>
      </c>
      <c r="AA4">
        <v>131913000</v>
      </c>
      <c r="AB4">
        <v>133319000</v>
      </c>
      <c r="AC4">
        <v>134723000</v>
      </c>
      <c r="AD4">
        <v>136132000</v>
      </c>
      <c r="AE4">
        <v>137810000</v>
      </c>
      <c r="AF4">
        <v>139385000</v>
      </c>
      <c r="AG4">
        <v>141646000</v>
      </c>
      <c r="AH4">
        <v>143590000</v>
      </c>
      <c r="AI4">
        <v>145638000</v>
      </c>
      <c r="AJ4">
        <v>148276000</v>
      </c>
      <c r="AK4">
        <v>150959000</v>
      </c>
      <c r="AL4">
        <v>153946000</v>
      </c>
      <c r="AM4">
        <v>157159000</v>
      </c>
      <c r="AN4">
        <v>160560000</v>
      </c>
      <c r="AO4">
        <v>152866000</v>
      </c>
      <c r="AP4">
        <v>142304000</v>
      </c>
    </row>
    <row r="5" spans="1:42">
      <c r="A5" t="s">
        <v>337</v>
      </c>
      <c r="B5">
        <v>2483.58</v>
      </c>
      <c r="C5">
        <v>432.755</v>
      </c>
      <c r="D5">
        <v>29.0095</v>
      </c>
      <c r="E5">
        <v>72.9517</v>
      </c>
      <c r="F5">
        <v>105.098</v>
      </c>
      <c r="G5">
        <v>118.71</v>
      </c>
      <c r="H5">
        <v>100.901</v>
      </c>
      <c r="I5">
        <v>160.261</v>
      </c>
      <c r="J5">
        <v>259.034</v>
      </c>
      <c r="K5">
        <v>207.813</v>
      </c>
      <c r="L5">
        <v>176.727</v>
      </c>
      <c r="M5">
        <v>136.011</v>
      </c>
      <c r="N5">
        <v>121.187</v>
      </c>
      <c r="O5">
        <v>100.073</v>
      </c>
      <c r="P5">
        <v>82.3145</v>
      </c>
      <c r="Q5">
        <v>84.0051</v>
      </c>
      <c r="R5">
        <v>83.932</v>
      </c>
      <c r="S5">
        <v>78.3172</v>
      </c>
      <c r="T5">
        <v>79.4223</v>
      </c>
      <c r="U5">
        <v>85.9948</v>
      </c>
      <c r="V5">
        <v>97.0113</v>
      </c>
      <c r="W5">
        <v>98.983</v>
      </c>
      <c r="X5">
        <v>94.3004</v>
      </c>
      <c r="Y5">
        <v>83.565</v>
      </c>
      <c r="Z5">
        <v>84.87</v>
      </c>
      <c r="AA5">
        <v>74.7599</v>
      </c>
      <c r="AB5">
        <v>74.7745</v>
      </c>
      <c r="AC5">
        <v>70.2796</v>
      </c>
      <c r="AD5">
        <v>65.3556</v>
      </c>
      <c r="AE5">
        <v>67.7698</v>
      </c>
      <c r="AF5">
        <v>65.7098</v>
      </c>
      <c r="AG5">
        <v>56.3609</v>
      </c>
      <c r="AH5">
        <v>50.5374</v>
      </c>
      <c r="AI5">
        <v>41.684</v>
      </c>
      <c r="AJ5">
        <v>38.2834</v>
      </c>
      <c r="AK5">
        <v>26.2219</v>
      </c>
      <c r="AL5">
        <v>19.0037</v>
      </c>
      <c r="AM5">
        <v>12.1833</v>
      </c>
      <c r="AN5">
        <v>3.83644</v>
      </c>
      <c r="AO5">
        <v>0</v>
      </c>
      <c r="AP5">
        <v>0</v>
      </c>
    </row>
    <row r="6" spans="1:42">
      <c r="A6" t="s">
        <v>338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339</v>
      </c>
      <c r="B7">
        <v>0</v>
      </c>
      <c r="C7">
        <v>17.4141</v>
      </c>
      <c r="D7">
        <v>1.12656</v>
      </c>
      <c r="E7">
        <v>2.86884</v>
      </c>
      <c r="F7">
        <v>4.14764</v>
      </c>
      <c r="G7">
        <v>4.6833</v>
      </c>
      <c r="H7">
        <v>3.97446</v>
      </c>
      <c r="I7">
        <v>6.34148</v>
      </c>
      <c r="J7">
        <v>10.6647</v>
      </c>
      <c r="K7">
        <v>8.53378</v>
      </c>
      <c r="L7">
        <v>7.23773</v>
      </c>
      <c r="M7">
        <v>5.75953</v>
      </c>
      <c r="N7">
        <v>5.12479</v>
      </c>
      <c r="O7">
        <v>4.38674</v>
      </c>
      <c r="P7">
        <v>3.60146</v>
      </c>
      <c r="Q7">
        <v>3.82279</v>
      </c>
      <c r="R7">
        <v>3.82073</v>
      </c>
      <c r="S7">
        <v>3.7107</v>
      </c>
      <c r="T7">
        <v>3.92656</v>
      </c>
      <c r="U7">
        <v>4.4463</v>
      </c>
      <c r="V7">
        <v>5.02305</v>
      </c>
      <c r="W7">
        <v>8.05298</v>
      </c>
      <c r="X7">
        <v>10.7307</v>
      </c>
      <c r="Y7">
        <v>12.4898</v>
      </c>
      <c r="Z7">
        <v>16.0614</v>
      </c>
      <c r="AA7">
        <v>17.4412</v>
      </c>
      <c r="AB7">
        <v>22.5584</v>
      </c>
      <c r="AC7">
        <v>25.5107</v>
      </c>
      <c r="AD7">
        <v>28.3263</v>
      </c>
      <c r="AE7">
        <v>34.9658</v>
      </c>
      <c r="AF7">
        <v>44.1691</v>
      </c>
      <c r="AG7">
        <v>45.3756</v>
      </c>
      <c r="AH7">
        <v>49.0342</v>
      </c>
      <c r="AI7">
        <v>56.9237</v>
      </c>
      <c r="AJ7">
        <v>66.1486</v>
      </c>
      <c r="AK7">
        <v>76.5224</v>
      </c>
      <c r="AL7">
        <v>83.201</v>
      </c>
      <c r="AM7">
        <v>96.6074</v>
      </c>
      <c r="AN7">
        <v>112.179</v>
      </c>
      <c r="AO7">
        <v>102.169</v>
      </c>
      <c r="AP7">
        <v>103.221</v>
      </c>
    </row>
    <row r="8" spans="1:42">
      <c r="A8" t="s">
        <v>340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341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342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343</v>
      </c>
      <c r="B11">
        <v>2825010</v>
      </c>
      <c r="C11">
        <v>3054350</v>
      </c>
      <c r="D11">
        <v>2825010</v>
      </c>
      <c r="E11">
        <v>2825010</v>
      </c>
      <c r="F11">
        <v>2825010</v>
      </c>
      <c r="G11">
        <v>2825010</v>
      </c>
      <c r="H11">
        <v>2825010</v>
      </c>
      <c r="I11">
        <v>2825010</v>
      </c>
      <c r="J11">
        <v>2825010</v>
      </c>
      <c r="K11">
        <v>2825010</v>
      </c>
      <c r="L11">
        <v>2825010</v>
      </c>
      <c r="M11">
        <v>2825010</v>
      </c>
      <c r="N11">
        <v>2825010</v>
      </c>
      <c r="O11">
        <v>2825010</v>
      </c>
      <c r="P11">
        <v>2825010</v>
      </c>
      <c r="Q11">
        <v>2825010</v>
      </c>
      <c r="R11">
        <v>2825010</v>
      </c>
      <c r="S11">
        <v>2825010</v>
      </c>
      <c r="T11">
        <v>2825010</v>
      </c>
      <c r="U11">
        <v>2825010</v>
      </c>
      <c r="V11">
        <v>2825010</v>
      </c>
      <c r="W11">
        <v>2825010</v>
      </c>
      <c r="X11">
        <v>2825010</v>
      </c>
      <c r="Y11">
        <v>2825010</v>
      </c>
      <c r="Z11">
        <v>2825010</v>
      </c>
      <c r="AA11">
        <v>2825010</v>
      </c>
      <c r="AB11">
        <v>2825010</v>
      </c>
      <c r="AC11">
        <v>2825010</v>
      </c>
      <c r="AD11">
        <v>2825010</v>
      </c>
      <c r="AE11">
        <v>2825010</v>
      </c>
      <c r="AF11">
        <v>2825010</v>
      </c>
      <c r="AG11">
        <v>2825010</v>
      </c>
      <c r="AH11">
        <v>2825010</v>
      </c>
      <c r="AI11">
        <v>2825010</v>
      </c>
      <c r="AJ11">
        <v>2825010</v>
      </c>
      <c r="AK11">
        <v>2825010</v>
      </c>
      <c r="AL11">
        <v>2825010</v>
      </c>
      <c r="AM11">
        <v>2825010</v>
      </c>
      <c r="AN11">
        <v>2637470</v>
      </c>
      <c r="AO11">
        <v>2402450</v>
      </c>
      <c r="AP11">
        <v>2089080</v>
      </c>
    </row>
    <row r="12" spans="1:42">
      <c r="A12" t="s">
        <v>344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345</v>
      </c>
      <c r="B13">
        <v>0</v>
      </c>
      <c r="C13">
        <v>4802260</v>
      </c>
      <c r="D13">
        <v>4973450</v>
      </c>
      <c r="E13">
        <v>4973450</v>
      </c>
      <c r="F13">
        <v>4973450</v>
      </c>
      <c r="G13">
        <v>4973450</v>
      </c>
      <c r="H13">
        <v>5576430</v>
      </c>
      <c r="I13">
        <v>7207340</v>
      </c>
      <c r="J13">
        <v>7943270</v>
      </c>
      <c r="K13">
        <v>8494030</v>
      </c>
      <c r="L13">
        <v>8914220</v>
      </c>
      <c r="M13">
        <v>9239450</v>
      </c>
      <c r="N13">
        <v>9498210</v>
      </c>
      <c r="O13">
        <v>9704750</v>
      </c>
      <c r="P13">
        <v>9868550</v>
      </c>
      <c r="Q13">
        <v>10003900</v>
      </c>
      <c r="R13">
        <v>10115400</v>
      </c>
      <c r="S13">
        <v>10210400</v>
      </c>
      <c r="T13">
        <v>10288700</v>
      </c>
      <c r="U13">
        <v>10355200</v>
      </c>
      <c r="V13">
        <v>10412200</v>
      </c>
      <c r="W13">
        <v>10462000</v>
      </c>
      <c r="X13">
        <v>10504800</v>
      </c>
      <c r="Y13">
        <v>10542800</v>
      </c>
      <c r="Z13">
        <v>10576000</v>
      </c>
      <c r="AA13">
        <v>10604500</v>
      </c>
      <c r="AB13">
        <v>10630600</v>
      </c>
      <c r="AC13">
        <v>10654300</v>
      </c>
      <c r="AD13">
        <v>10675700</v>
      </c>
      <c r="AE13">
        <v>10694700</v>
      </c>
      <c r="AF13">
        <v>10711300</v>
      </c>
      <c r="AG13">
        <v>10725600</v>
      </c>
      <c r="AH13">
        <v>10739800</v>
      </c>
      <c r="AI13">
        <v>10751700</v>
      </c>
      <c r="AJ13">
        <v>10763500</v>
      </c>
      <c r="AK13">
        <v>10773000</v>
      </c>
      <c r="AL13">
        <v>10782500</v>
      </c>
      <c r="AM13">
        <v>10792000</v>
      </c>
      <c r="AN13">
        <v>10811000</v>
      </c>
      <c r="AO13">
        <v>10839500</v>
      </c>
      <c r="AP13">
        <v>10882200</v>
      </c>
    </row>
    <row r="14" spans="1:42">
      <c r="A14" t="s">
        <v>346</v>
      </c>
      <c r="B14">
        <v>57948700</v>
      </c>
      <c r="C14">
        <v>57822400</v>
      </c>
      <c r="D14">
        <v>63530300</v>
      </c>
      <c r="E14">
        <v>63557200</v>
      </c>
      <c r="F14">
        <v>63604800</v>
      </c>
      <c r="G14">
        <v>63612800</v>
      </c>
      <c r="H14">
        <v>63616700</v>
      </c>
      <c r="I14">
        <v>63619400</v>
      </c>
      <c r="J14">
        <v>63619400</v>
      </c>
      <c r="K14">
        <v>63614000</v>
      </c>
      <c r="L14">
        <v>63193900</v>
      </c>
      <c r="M14">
        <v>61994400</v>
      </c>
      <c r="N14">
        <v>59075200</v>
      </c>
      <c r="O14">
        <v>54209100</v>
      </c>
      <c r="P14">
        <v>47658700</v>
      </c>
      <c r="Q14">
        <v>40787600</v>
      </c>
      <c r="R14">
        <v>33719900</v>
      </c>
      <c r="S14">
        <v>27517600</v>
      </c>
      <c r="T14">
        <v>21736400</v>
      </c>
      <c r="U14">
        <v>17204800</v>
      </c>
      <c r="V14">
        <v>13016900</v>
      </c>
      <c r="W14">
        <v>8864350</v>
      </c>
      <c r="X14">
        <v>5008740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347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348</v>
      </c>
      <c r="B16">
        <v>16733700</v>
      </c>
      <c r="C16">
        <v>29410200</v>
      </c>
      <c r="D16">
        <v>32696400</v>
      </c>
      <c r="E16">
        <v>32710200</v>
      </c>
      <c r="F16">
        <v>32734700</v>
      </c>
      <c r="G16">
        <v>32738800</v>
      </c>
      <c r="H16">
        <v>33215800</v>
      </c>
      <c r="I16">
        <v>35043000</v>
      </c>
      <c r="J16">
        <v>38681500</v>
      </c>
      <c r="K16">
        <v>42625700</v>
      </c>
      <c r="L16">
        <v>46917300</v>
      </c>
      <c r="M16">
        <v>51561100</v>
      </c>
      <c r="N16">
        <v>56723000</v>
      </c>
      <c r="O16">
        <v>62441800</v>
      </c>
      <c r="P16">
        <v>68615300</v>
      </c>
      <c r="Q16">
        <v>74931900</v>
      </c>
      <c r="R16">
        <v>82369700</v>
      </c>
      <c r="S16">
        <v>89632500</v>
      </c>
      <c r="T16">
        <v>97140800</v>
      </c>
      <c r="U16">
        <v>104749000</v>
      </c>
      <c r="V16">
        <v>112582000</v>
      </c>
      <c r="W16">
        <v>120703000</v>
      </c>
      <c r="X16">
        <v>128969000</v>
      </c>
      <c r="Y16">
        <v>136841000</v>
      </c>
      <c r="Z16">
        <v>139756000</v>
      </c>
      <c r="AA16">
        <v>143300000</v>
      </c>
      <c r="AB16">
        <v>148195000</v>
      </c>
      <c r="AC16">
        <v>153864000</v>
      </c>
      <c r="AD16">
        <v>162731000</v>
      </c>
      <c r="AE16">
        <v>172338000</v>
      </c>
      <c r="AF16">
        <v>182243000</v>
      </c>
      <c r="AG16">
        <v>191013000</v>
      </c>
      <c r="AH16">
        <v>200020000</v>
      </c>
      <c r="AI16">
        <v>209487000</v>
      </c>
      <c r="AJ16">
        <v>219238000</v>
      </c>
      <c r="AK16">
        <v>229347000</v>
      </c>
      <c r="AL16">
        <v>239789000</v>
      </c>
      <c r="AM16">
        <v>250558000</v>
      </c>
      <c r="AN16">
        <v>261688000</v>
      </c>
      <c r="AO16">
        <v>273147000</v>
      </c>
      <c r="AP16">
        <v>284973000</v>
      </c>
    </row>
    <row r="17" spans="1:42">
      <c r="A17" t="s">
        <v>349</v>
      </c>
      <c r="B17">
        <v>16397600</v>
      </c>
      <c r="C17">
        <v>16397600</v>
      </c>
      <c r="D17">
        <v>16478600</v>
      </c>
      <c r="E17">
        <v>16484900</v>
      </c>
      <c r="F17">
        <v>16493600</v>
      </c>
      <c r="G17">
        <v>16497500</v>
      </c>
      <c r="H17">
        <v>16499300</v>
      </c>
      <c r="I17">
        <v>16499000</v>
      </c>
      <c r="J17">
        <v>16493400</v>
      </c>
      <c r="K17">
        <v>16479300</v>
      </c>
      <c r="L17">
        <v>16463500</v>
      </c>
      <c r="M17">
        <v>16445800</v>
      </c>
      <c r="N17">
        <v>16425500</v>
      </c>
      <c r="O17">
        <v>16403200</v>
      </c>
      <c r="P17">
        <v>16445900</v>
      </c>
      <c r="Q17">
        <v>16252400</v>
      </c>
      <c r="R17">
        <v>15815700</v>
      </c>
      <c r="S17">
        <v>14854900</v>
      </c>
      <c r="T17">
        <v>13291700</v>
      </c>
      <c r="U17">
        <v>11223000</v>
      </c>
      <c r="V17">
        <v>8864090</v>
      </c>
      <c r="W17">
        <v>6235720</v>
      </c>
      <c r="X17">
        <v>3916960</v>
      </c>
      <c r="Y17">
        <v>1772590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350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351</v>
      </c>
      <c r="B19">
        <v>2244220</v>
      </c>
      <c r="C19">
        <v>89760800</v>
      </c>
      <c r="D19">
        <v>94462900</v>
      </c>
      <c r="E19">
        <v>105812000</v>
      </c>
      <c r="F19">
        <v>105867000</v>
      </c>
      <c r="G19">
        <v>105892000</v>
      </c>
      <c r="H19">
        <v>107804000</v>
      </c>
      <c r="I19">
        <v>115164000</v>
      </c>
      <c r="J19">
        <v>129960000</v>
      </c>
      <c r="K19">
        <v>146092000</v>
      </c>
      <c r="L19">
        <v>163739000</v>
      </c>
      <c r="M19">
        <v>183132000</v>
      </c>
      <c r="N19">
        <v>204962000</v>
      </c>
      <c r="O19">
        <v>229422000</v>
      </c>
      <c r="P19">
        <v>257873000</v>
      </c>
      <c r="Q19">
        <v>283658000</v>
      </c>
      <c r="R19">
        <v>316105000</v>
      </c>
      <c r="S19">
        <v>347805000</v>
      </c>
      <c r="T19">
        <v>380721000</v>
      </c>
      <c r="U19">
        <v>414058000</v>
      </c>
      <c r="V19">
        <v>448382000</v>
      </c>
      <c r="W19">
        <v>483937000</v>
      </c>
      <c r="X19">
        <v>519941000</v>
      </c>
      <c r="Y19">
        <v>558358000</v>
      </c>
      <c r="Z19">
        <v>597251000</v>
      </c>
      <c r="AA19">
        <v>634780000</v>
      </c>
      <c r="AB19">
        <v>672043000</v>
      </c>
      <c r="AC19">
        <v>709858000</v>
      </c>
      <c r="AD19">
        <v>745815000</v>
      </c>
      <c r="AE19">
        <v>781612000</v>
      </c>
      <c r="AF19">
        <v>818473000</v>
      </c>
      <c r="AG19">
        <v>850963000</v>
      </c>
      <c r="AH19">
        <v>883688000</v>
      </c>
      <c r="AI19">
        <v>917313000</v>
      </c>
      <c r="AJ19">
        <v>950816000</v>
      </c>
      <c r="AK19">
        <v>984532000</v>
      </c>
      <c r="AL19">
        <v>1018320000</v>
      </c>
      <c r="AM19">
        <v>1052200000</v>
      </c>
      <c r="AN19">
        <v>1086370000</v>
      </c>
      <c r="AO19">
        <v>1120370000</v>
      </c>
      <c r="AP19">
        <v>1154990000</v>
      </c>
    </row>
    <row r="20" spans="1:42">
      <c r="A20" t="s">
        <v>352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353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354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242652</v>
      </c>
      <c r="J22">
        <v>242652</v>
      </c>
      <c r="K22">
        <v>242652</v>
      </c>
      <c r="L22">
        <v>242652</v>
      </c>
      <c r="M22">
        <v>242652</v>
      </c>
      <c r="N22">
        <v>485304</v>
      </c>
      <c r="O22">
        <v>727956</v>
      </c>
      <c r="P22">
        <v>970608</v>
      </c>
      <c r="Q22">
        <v>1213260</v>
      </c>
      <c r="R22">
        <v>1455910</v>
      </c>
      <c r="S22">
        <v>1698560</v>
      </c>
      <c r="T22">
        <v>1941220</v>
      </c>
      <c r="U22">
        <v>2183870</v>
      </c>
      <c r="V22">
        <v>2426520</v>
      </c>
      <c r="W22">
        <v>2669170</v>
      </c>
      <c r="X22">
        <v>2911820</v>
      </c>
      <c r="Y22">
        <v>3154480</v>
      </c>
      <c r="Z22">
        <v>3397130</v>
      </c>
      <c r="AA22">
        <v>3639780</v>
      </c>
      <c r="AB22">
        <v>3639780</v>
      </c>
      <c r="AC22">
        <v>3882430</v>
      </c>
      <c r="AD22">
        <v>3882430</v>
      </c>
      <c r="AE22">
        <v>3882430</v>
      </c>
      <c r="AF22">
        <v>4125080</v>
      </c>
      <c r="AG22">
        <v>4367740</v>
      </c>
      <c r="AH22">
        <v>4367740</v>
      </c>
      <c r="AI22">
        <v>4610390</v>
      </c>
      <c r="AJ22">
        <v>4610390</v>
      </c>
      <c r="AK22">
        <v>4610390</v>
      </c>
      <c r="AL22">
        <v>4610390</v>
      </c>
      <c r="AM22">
        <v>4610390</v>
      </c>
      <c r="AN22">
        <v>4610390</v>
      </c>
      <c r="AO22">
        <v>4610390</v>
      </c>
      <c r="AP22">
        <v>4610390</v>
      </c>
    </row>
    <row r="23" spans="1:42">
      <c r="A23" t="s">
        <v>355</v>
      </c>
      <c r="B23">
        <v>992639</v>
      </c>
      <c r="C23">
        <v>992639</v>
      </c>
      <c r="D23">
        <v>992639</v>
      </c>
      <c r="E23">
        <v>992639</v>
      </c>
      <c r="F23">
        <v>992639</v>
      </c>
      <c r="G23">
        <v>992639</v>
      </c>
      <c r="H23">
        <v>992639</v>
      </c>
      <c r="I23">
        <v>992639</v>
      </c>
      <c r="J23">
        <v>992639</v>
      </c>
      <c r="K23">
        <v>992639</v>
      </c>
      <c r="L23">
        <v>992639</v>
      </c>
      <c r="M23">
        <v>992639</v>
      </c>
      <c r="N23">
        <v>992639</v>
      </c>
      <c r="O23">
        <v>992639</v>
      </c>
      <c r="P23">
        <v>992639</v>
      </c>
      <c r="Q23">
        <v>992639</v>
      </c>
      <c r="R23">
        <v>992639</v>
      </c>
      <c r="S23">
        <v>947175</v>
      </c>
      <c r="T23">
        <v>947175</v>
      </c>
      <c r="U23">
        <v>901711</v>
      </c>
      <c r="V23">
        <v>856246</v>
      </c>
      <c r="W23">
        <v>810782</v>
      </c>
      <c r="X23">
        <v>765317</v>
      </c>
      <c r="Y23">
        <v>719853</v>
      </c>
      <c r="Z23">
        <v>674389</v>
      </c>
      <c r="AA23">
        <v>628924</v>
      </c>
      <c r="AB23">
        <v>583460</v>
      </c>
      <c r="AC23">
        <v>537995</v>
      </c>
      <c r="AD23">
        <v>492531</v>
      </c>
      <c r="AE23">
        <v>447067</v>
      </c>
      <c r="AF23">
        <v>401602</v>
      </c>
      <c r="AG23">
        <v>356138</v>
      </c>
      <c r="AH23">
        <v>310673</v>
      </c>
      <c r="AI23">
        <v>265209</v>
      </c>
      <c r="AJ23">
        <v>219745</v>
      </c>
      <c r="AK23">
        <v>174280</v>
      </c>
      <c r="AL23">
        <v>83351.4</v>
      </c>
      <c r="AM23">
        <v>37887</v>
      </c>
      <c r="AN23">
        <v>0</v>
      </c>
      <c r="AO23">
        <v>0</v>
      </c>
      <c r="AP23">
        <v>0</v>
      </c>
    </row>
    <row r="24" spans="1:42">
      <c r="A24" t="s">
        <v>356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357</v>
      </c>
      <c r="B25">
        <v>454644</v>
      </c>
      <c r="C25">
        <v>1227540</v>
      </c>
      <c r="D25">
        <v>1227540</v>
      </c>
      <c r="E25">
        <v>1227540</v>
      </c>
      <c r="F25">
        <v>1227540</v>
      </c>
      <c r="G25">
        <v>1227540</v>
      </c>
      <c r="H25">
        <v>1227540</v>
      </c>
      <c r="I25">
        <v>1227540</v>
      </c>
      <c r="J25">
        <v>1227540</v>
      </c>
      <c r="K25">
        <v>1227540</v>
      </c>
      <c r="L25">
        <v>1227540</v>
      </c>
      <c r="M25">
        <v>1227540</v>
      </c>
      <c r="N25">
        <v>1227540</v>
      </c>
      <c r="O25">
        <v>1227540</v>
      </c>
      <c r="P25">
        <v>1227540</v>
      </c>
      <c r="Q25">
        <v>1227540</v>
      </c>
      <c r="R25">
        <v>1227540</v>
      </c>
      <c r="S25">
        <v>1227540</v>
      </c>
      <c r="T25">
        <v>1227540</v>
      </c>
      <c r="U25">
        <v>1227540</v>
      </c>
      <c r="V25">
        <v>1227540</v>
      </c>
      <c r="W25">
        <v>1227540</v>
      </c>
      <c r="X25">
        <v>1227540</v>
      </c>
      <c r="Y25">
        <v>1227540</v>
      </c>
      <c r="Z25">
        <v>1227540</v>
      </c>
      <c r="AA25">
        <v>1227540</v>
      </c>
      <c r="AB25">
        <v>1227540</v>
      </c>
      <c r="AC25">
        <v>1227540</v>
      </c>
      <c r="AD25">
        <v>1227540</v>
      </c>
      <c r="AE25">
        <v>1227540</v>
      </c>
      <c r="AF25">
        <v>1227540</v>
      </c>
      <c r="AG25">
        <v>1227540</v>
      </c>
      <c r="AH25">
        <v>1227540</v>
      </c>
      <c r="AI25">
        <v>1227540</v>
      </c>
      <c r="AJ25">
        <v>1227540</v>
      </c>
      <c r="AK25">
        <v>1227540</v>
      </c>
      <c r="AL25">
        <v>1227540</v>
      </c>
      <c r="AM25">
        <v>1227540</v>
      </c>
      <c r="AN25">
        <v>1219960</v>
      </c>
      <c r="AO25">
        <v>1174500</v>
      </c>
      <c r="AP25">
        <v>1129030</v>
      </c>
    </row>
    <row r="26" spans="1:42">
      <c r="A26" t="s">
        <v>358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359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360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361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362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363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364</v>
      </c>
      <c r="B32">
        <v>494484</v>
      </c>
      <c r="C32">
        <v>390850</v>
      </c>
      <c r="D32">
        <v>438856</v>
      </c>
      <c r="E32">
        <v>436378</v>
      </c>
      <c r="F32">
        <v>433812</v>
      </c>
      <c r="G32">
        <v>431107</v>
      </c>
      <c r="H32">
        <v>431610</v>
      </c>
      <c r="I32">
        <v>432987</v>
      </c>
      <c r="J32">
        <v>433496</v>
      </c>
      <c r="K32">
        <v>433742</v>
      </c>
      <c r="L32">
        <v>433887</v>
      </c>
      <c r="M32">
        <v>433955</v>
      </c>
      <c r="N32">
        <v>433987</v>
      </c>
      <c r="O32">
        <v>434008</v>
      </c>
      <c r="P32">
        <v>433989</v>
      </c>
      <c r="Q32">
        <v>433977</v>
      </c>
      <c r="R32">
        <v>433921</v>
      </c>
      <c r="S32">
        <v>433827</v>
      </c>
      <c r="T32">
        <v>433754</v>
      </c>
      <c r="U32">
        <v>433653</v>
      </c>
      <c r="V32">
        <v>433540</v>
      </c>
      <c r="W32">
        <v>416206</v>
      </c>
      <c r="X32">
        <v>416043</v>
      </c>
      <c r="Y32">
        <v>415872</v>
      </c>
      <c r="Z32">
        <v>398521</v>
      </c>
      <c r="AA32">
        <v>381165</v>
      </c>
      <c r="AB32">
        <v>363840</v>
      </c>
      <c r="AC32">
        <v>346509</v>
      </c>
      <c r="AD32">
        <v>329190</v>
      </c>
      <c r="AE32">
        <v>311894</v>
      </c>
      <c r="AF32">
        <v>294612</v>
      </c>
      <c r="AG32">
        <v>277367</v>
      </c>
      <c r="AH32">
        <v>260151</v>
      </c>
      <c r="AI32">
        <v>242942</v>
      </c>
      <c r="AJ32">
        <v>225744</v>
      </c>
      <c r="AK32">
        <v>208558</v>
      </c>
      <c r="AL32">
        <v>191360</v>
      </c>
      <c r="AM32">
        <v>174199</v>
      </c>
      <c r="AN32">
        <v>156998</v>
      </c>
      <c r="AO32">
        <v>139804</v>
      </c>
      <c r="AP32">
        <v>122621</v>
      </c>
    </row>
    <row r="33" spans="1:42">
      <c r="A33" t="s">
        <v>365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366</v>
      </c>
      <c r="B34">
        <v>0</v>
      </c>
      <c r="C34">
        <v>31021</v>
      </c>
      <c r="D34">
        <v>208986</v>
      </c>
      <c r="E34">
        <v>207812</v>
      </c>
      <c r="F34">
        <v>206597</v>
      </c>
      <c r="G34">
        <v>205314</v>
      </c>
      <c r="H34">
        <v>205552</v>
      </c>
      <c r="I34">
        <v>206208</v>
      </c>
      <c r="J34">
        <v>206453</v>
      </c>
      <c r="K34">
        <v>206567</v>
      </c>
      <c r="L34">
        <v>206635</v>
      </c>
      <c r="M34">
        <v>206666</v>
      </c>
      <c r="N34">
        <v>206680</v>
      </c>
      <c r="O34">
        <v>206689</v>
      </c>
      <c r="P34">
        <v>206679</v>
      </c>
      <c r="Q34">
        <v>206674</v>
      </c>
      <c r="R34">
        <v>206647</v>
      </c>
      <c r="S34">
        <v>206603</v>
      </c>
      <c r="T34">
        <v>206568</v>
      </c>
      <c r="U34">
        <v>206521</v>
      </c>
      <c r="V34">
        <v>206469</v>
      </c>
      <c r="W34">
        <v>206405</v>
      </c>
      <c r="X34">
        <v>206324</v>
      </c>
      <c r="Y34">
        <v>223426</v>
      </c>
      <c r="Z34">
        <v>240513</v>
      </c>
      <c r="AA34">
        <v>257572</v>
      </c>
      <c r="AB34">
        <v>274627</v>
      </c>
      <c r="AC34">
        <v>291651</v>
      </c>
      <c r="AD34">
        <v>308653</v>
      </c>
      <c r="AE34">
        <v>325645</v>
      </c>
      <c r="AF34">
        <v>342618</v>
      </c>
      <c r="AG34">
        <v>359598</v>
      </c>
      <c r="AH34">
        <v>376586</v>
      </c>
      <c r="AI34">
        <v>393553</v>
      </c>
      <c r="AJ34">
        <v>410504</v>
      </c>
      <c r="AK34">
        <v>427437</v>
      </c>
      <c r="AL34">
        <v>444298</v>
      </c>
      <c r="AM34">
        <v>461191</v>
      </c>
      <c r="AN34">
        <v>477901</v>
      </c>
      <c r="AO34">
        <v>494517</v>
      </c>
      <c r="AP34">
        <v>511015</v>
      </c>
    </row>
    <row r="35" spans="1:42">
      <c r="A35" t="s">
        <v>367</v>
      </c>
      <c r="B35">
        <v>19379300</v>
      </c>
      <c r="C35">
        <v>14005700</v>
      </c>
      <c r="D35">
        <v>13792900</v>
      </c>
      <c r="E35">
        <v>13006000</v>
      </c>
      <c r="F35">
        <v>12977200</v>
      </c>
      <c r="G35">
        <v>13065800</v>
      </c>
      <c r="H35">
        <v>13012300</v>
      </c>
      <c r="I35">
        <v>12886600</v>
      </c>
      <c r="J35">
        <v>12666900</v>
      </c>
      <c r="K35">
        <v>12382500</v>
      </c>
      <c r="L35">
        <v>12112700</v>
      </c>
      <c r="M35">
        <v>11899000</v>
      </c>
      <c r="N35">
        <v>11643500</v>
      </c>
      <c r="O35">
        <v>11380400</v>
      </c>
      <c r="P35">
        <v>11065300</v>
      </c>
      <c r="Q35">
        <v>10746600</v>
      </c>
      <c r="R35">
        <v>10388600</v>
      </c>
      <c r="S35">
        <v>10043900</v>
      </c>
      <c r="T35">
        <v>9709840</v>
      </c>
      <c r="U35">
        <v>9340300</v>
      </c>
      <c r="V35">
        <v>8899730</v>
      </c>
      <c r="W35">
        <v>8563480</v>
      </c>
      <c r="X35">
        <v>8139000</v>
      </c>
      <c r="Y35">
        <v>7694270</v>
      </c>
      <c r="Z35">
        <v>7306080</v>
      </c>
      <c r="AA35">
        <v>6877670</v>
      </c>
      <c r="AB35">
        <v>6424020</v>
      </c>
      <c r="AC35">
        <v>5992540</v>
      </c>
      <c r="AD35">
        <v>5566520</v>
      </c>
      <c r="AE35">
        <v>5162620</v>
      </c>
      <c r="AF35">
        <v>4732130</v>
      </c>
      <c r="AG35">
        <v>4319450</v>
      </c>
      <c r="AH35">
        <v>3955010</v>
      </c>
      <c r="AI35">
        <v>3520850</v>
      </c>
      <c r="AJ35">
        <v>3155870</v>
      </c>
      <c r="AK35">
        <v>2820090</v>
      </c>
      <c r="AL35">
        <v>2495710</v>
      </c>
      <c r="AM35">
        <v>2155520</v>
      </c>
      <c r="AN35">
        <v>1923410</v>
      </c>
      <c r="AO35">
        <v>1623970</v>
      </c>
      <c r="AP35">
        <v>1427280</v>
      </c>
    </row>
    <row r="36" spans="1:42">
      <c r="A36" t="s">
        <v>368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369</v>
      </c>
      <c r="B37">
        <v>0</v>
      </c>
      <c r="C37">
        <v>68123.4</v>
      </c>
      <c r="D37">
        <v>69985</v>
      </c>
      <c r="E37">
        <v>65783.6</v>
      </c>
      <c r="F37">
        <v>67021.5</v>
      </c>
      <c r="G37">
        <v>69576</v>
      </c>
      <c r="H37">
        <v>69800.2</v>
      </c>
      <c r="I37">
        <v>70732.5</v>
      </c>
      <c r="J37">
        <v>88470.8</v>
      </c>
      <c r="K37">
        <v>105549</v>
      </c>
      <c r="L37">
        <v>123880</v>
      </c>
      <c r="M37">
        <v>141729</v>
      </c>
      <c r="N37">
        <v>159350</v>
      </c>
      <c r="O37">
        <v>176484</v>
      </c>
      <c r="P37">
        <v>210481</v>
      </c>
      <c r="Q37">
        <v>245859</v>
      </c>
      <c r="R37">
        <v>279321</v>
      </c>
      <c r="S37">
        <v>314672</v>
      </c>
      <c r="T37">
        <v>349507</v>
      </c>
      <c r="U37">
        <v>386065</v>
      </c>
      <c r="V37">
        <v>420393</v>
      </c>
      <c r="W37">
        <v>457699</v>
      </c>
      <c r="X37">
        <v>493176</v>
      </c>
      <c r="Y37">
        <v>527016</v>
      </c>
      <c r="Z37">
        <v>565282</v>
      </c>
      <c r="AA37">
        <v>600776</v>
      </c>
      <c r="AB37">
        <v>656049</v>
      </c>
      <c r="AC37">
        <v>709382</v>
      </c>
      <c r="AD37">
        <v>745836</v>
      </c>
      <c r="AE37">
        <v>784704</v>
      </c>
      <c r="AF37">
        <v>839199</v>
      </c>
      <c r="AG37">
        <v>880817</v>
      </c>
      <c r="AH37">
        <v>922843</v>
      </c>
      <c r="AI37">
        <v>961280</v>
      </c>
      <c r="AJ37">
        <v>1007350</v>
      </c>
      <c r="AK37">
        <v>1067420</v>
      </c>
      <c r="AL37">
        <v>1134760</v>
      </c>
      <c r="AM37">
        <v>1198550</v>
      </c>
      <c r="AN37">
        <v>1270080</v>
      </c>
      <c r="AO37">
        <v>1333800</v>
      </c>
      <c r="AP37">
        <v>1399420</v>
      </c>
    </row>
    <row r="38" spans="1:42">
      <c r="A38" t="s">
        <v>370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371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372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373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374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375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376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379</v>
      </c>
      <c r="B47">
        <v>582540</v>
      </c>
      <c r="C47">
        <v>582540</v>
      </c>
      <c r="D47">
        <v>582540</v>
      </c>
      <c r="E47">
        <v>582540</v>
      </c>
      <c r="F47">
        <v>582540</v>
      </c>
      <c r="G47">
        <v>582540</v>
      </c>
      <c r="H47">
        <v>582540</v>
      </c>
      <c r="I47">
        <v>582540</v>
      </c>
      <c r="J47">
        <v>582540</v>
      </c>
      <c r="K47">
        <v>582540</v>
      </c>
      <c r="L47">
        <v>582540</v>
      </c>
      <c r="M47">
        <v>582540</v>
      </c>
      <c r="N47">
        <v>582540</v>
      </c>
      <c r="O47">
        <v>582540</v>
      </c>
      <c r="P47">
        <v>582540</v>
      </c>
      <c r="Q47">
        <v>582540</v>
      </c>
      <c r="R47">
        <v>582540</v>
      </c>
      <c r="S47">
        <v>582540</v>
      </c>
      <c r="T47">
        <v>582540</v>
      </c>
      <c r="U47">
        <v>582540</v>
      </c>
      <c r="V47">
        <v>582540</v>
      </c>
      <c r="W47">
        <v>582540</v>
      </c>
      <c r="X47">
        <v>532608</v>
      </c>
      <c r="Y47">
        <v>482676</v>
      </c>
      <c r="Z47">
        <v>432744</v>
      </c>
      <c r="AA47">
        <v>382812</v>
      </c>
      <c r="AB47">
        <v>332880</v>
      </c>
      <c r="AC47">
        <v>282948</v>
      </c>
      <c r="AD47">
        <v>233016</v>
      </c>
      <c r="AE47">
        <v>183084</v>
      </c>
      <c r="AF47">
        <v>133152</v>
      </c>
      <c r="AG47">
        <v>83220</v>
      </c>
      <c r="AH47">
        <v>33288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380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381</v>
      </c>
      <c r="B49">
        <v>99864</v>
      </c>
      <c r="C49">
        <v>599184</v>
      </c>
      <c r="D49">
        <v>599184</v>
      </c>
      <c r="E49">
        <v>599184</v>
      </c>
      <c r="F49">
        <v>599184</v>
      </c>
      <c r="G49">
        <v>599184</v>
      </c>
      <c r="H49">
        <v>599184</v>
      </c>
      <c r="I49">
        <v>599184</v>
      </c>
      <c r="J49">
        <v>599184</v>
      </c>
      <c r="K49">
        <v>599184</v>
      </c>
      <c r="L49">
        <v>599184</v>
      </c>
      <c r="M49">
        <v>599184</v>
      </c>
      <c r="N49">
        <v>599184</v>
      </c>
      <c r="O49">
        <v>649116</v>
      </c>
      <c r="P49">
        <v>699048</v>
      </c>
      <c r="Q49">
        <v>748980</v>
      </c>
      <c r="R49">
        <v>798912</v>
      </c>
      <c r="S49">
        <v>848844</v>
      </c>
      <c r="T49">
        <v>898776</v>
      </c>
      <c r="U49">
        <v>948708</v>
      </c>
      <c r="V49">
        <v>998640</v>
      </c>
      <c r="W49">
        <v>1048570</v>
      </c>
      <c r="X49">
        <v>1098500</v>
      </c>
      <c r="Y49">
        <v>1148440</v>
      </c>
      <c r="Z49">
        <v>1198370</v>
      </c>
      <c r="AA49">
        <v>1248300</v>
      </c>
      <c r="AB49">
        <v>1298230</v>
      </c>
      <c r="AC49">
        <v>1348160</v>
      </c>
      <c r="AD49">
        <v>1398100</v>
      </c>
      <c r="AE49">
        <v>1448030</v>
      </c>
      <c r="AF49">
        <v>1497960</v>
      </c>
      <c r="AG49">
        <v>1547890</v>
      </c>
      <c r="AH49">
        <v>1597820</v>
      </c>
      <c r="AI49">
        <v>1631110</v>
      </c>
      <c r="AJ49">
        <v>1631110</v>
      </c>
      <c r="AK49">
        <v>1631110</v>
      </c>
      <c r="AL49">
        <v>1631110</v>
      </c>
      <c r="AM49">
        <v>1631110</v>
      </c>
      <c r="AN49">
        <v>1631110</v>
      </c>
      <c r="AO49">
        <v>1631110</v>
      </c>
      <c r="AP49">
        <v>1631110</v>
      </c>
    </row>
    <row r="51" spans="1:42">
      <c r="A51" t="s">
        <v>398</v>
      </c>
      <c r="B51">
        <v>2020</v>
      </c>
      <c r="C51">
        <v>2021</v>
      </c>
      <c r="D51">
        <v>2022</v>
      </c>
      <c r="E51">
        <v>2023</v>
      </c>
      <c r="F51">
        <v>2024</v>
      </c>
      <c r="G51">
        <v>2025</v>
      </c>
      <c r="H51">
        <v>2026</v>
      </c>
      <c r="I51">
        <v>2027</v>
      </c>
      <c r="J51">
        <v>2028</v>
      </c>
      <c r="K51">
        <v>2029</v>
      </c>
      <c r="L51">
        <v>2030</v>
      </c>
      <c r="M51">
        <v>2031</v>
      </c>
      <c r="N51">
        <v>2032</v>
      </c>
      <c r="O51">
        <v>2033</v>
      </c>
      <c r="P51">
        <v>2034</v>
      </c>
      <c r="Q51">
        <v>2035</v>
      </c>
      <c r="R51">
        <v>2036</v>
      </c>
      <c r="S51">
        <v>2037</v>
      </c>
      <c r="T51">
        <v>2038</v>
      </c>
      <c r="U51">
        <v>2039</v>
      </c>
      <c r="V51">
        <v>2040</v>
      </c>
      <c r="W51">
        <v>2041</v>
      </c>
      <c r="X51">
        <v>2042</v>
      </c>
      <c r="Y51">
        <v>2043</v>
      </c>
      <c r="Z51">
        <v>2044</v>
      </c>
      <c r="AA51">
        <v>2045</v>
      </c>
      <c r="AB51">
        <v>2046</v>
      </c>
      <c r="AC51">
        <v>2047</v>
      </c>
      <c r="AD51">
        <v>2048</v>
      </c>
      <c r="AE51">
        <v>2049</v>
      </c>
      <c r="AF51">
        <v>2050</v>
      </c>
      <c r="AG51">
        <v>2051</v>
      </c>
      <c r="AH51">
        <v>2052</v>
      </c>
      <c r="AI51">
        <v>2053</v>
      </c>
      <c r="AJ51">
        <v>2054</v>
      </c>
      <c r="AK51">
        <v>2055</v>
      </c>
      <c r="AL51">
        <v>2056</v>
      </c>
      <c r="AM51">
        <v>2057</v>
      </c>
      <c r="AN51">
        <v>2058</v>
      </c>
      <c r="AO51">
        <v>2059</v>
      </c>
      <c r="AP51">
        <v>2060</v>
      </c>
    </row>
    <row r="52" spans="1:42">
      <c r="A52" t="s">
        <v>382</v>
      </c>
      <c r="B52">
        <v>0.766079</v>
      </c>
      <c r="C52">
        <v>0.67807</v>
      </c>
      <c r="D52">
        <v>0.671116</v>
      </c>
      <c r="E52">
        <v>0.663537</v>
      </c>
      <c r="F52">
        <v>0.670962</v>
      </c>
      <c r="G52">
        <v>0.678843</v>
      </c>
      <c r="H52">
        <v>0.680126</v>
      </c>
      <c r="I52">
        <v>0.671507</v>
      </c>
      <c r="J52">
        <v>0.653463</v>
      </c>
      <c r="K52">
        <v>0.63474</v>
      </c>
      <c r="L52">
        <v>0.615374</v>
      </c>
      <c r="M52">
        <v>0.595506</v>
      </c>
      <c r="N52">
        <v>0.57509</v>
      </c>
      <c r="O52">
        <v>0.554398</v>
      </c>
      <c r="P52">
        <v>0.531841</v>
      </c>
      <c r="Q52">
        <v>0.513908</v>
      </c>
      <c r="R52">
        <v>0.490019</v>
      </c>
      <c r="S52">
        <v>0.467952</v>
      </c>
      <c r="T52">
        <v>0.44585</v>
      </c>
      <c r="U52">
        <v>0.423953</v>
      </c>
      <c r="V52">
        <v>0.402232</v>
      </c>
      <c r="W52">
        <v>0.380629</v>
      </c>
      <c r="X52">
        <v>0.359422</v>
      </c>
      <c r="Y52">
        <v>0.338715</v>
      </c>
      <c r="Z52">
        <v>0.318549</v>
      </c>
      <c r="AA52">
        <v>0.298899</v>
      </c>
      <c r="AB52">
        <v>0.279915</v>
      </c>
      <c r="AC52">
        <v>0.261097</v>
      </c>
      <c r="AD52">
        <v>0.242756</v>
      </c>
      <c r="AE52">
        <v>0.22536</v>
      </c>
      <c r="AF52">
        <v>0.20816</v>
      </c>
      <c r="AG52">
        <v>0.193297</v>
      </c>
      <c r="AH52">
        <v>0.178575</v>
      </c>
      <c r="AI52">
        <v>0.164325</v>
      </c>
      <c r="AJ52">
        <v>0.15121</v>
      </c>
      <c r="AK52">
        <v>0.138742</v>
      </c>
      <c r="AL52">
        <v>0.127099</v>
      </c>
      <c r="AM52">
        <v>0.116189</v>
      </c>
      <c r="AN52">
        <v>0.105966</v>
      </c>
      <c r="AO52">
        <v>0.0967447</v>
      </c>
      <c r="AP52">
        <v>0.0880733</v>
      </c>
    </row>
    <row r="53" spans="1:42">
      <c r="A53" t="s">
        <v>383</v>
      </c>
      <c r="B53">
        <v>4.86215e-6</v>
      </c>
      <c r="C53">
        <v>6.56638e-7</v>
      </c>
      <c r="D53">
        <v>4.22253e-8</v>
      </c>
      <c r="E53">
        <v>1.03916e-7</v>
      </c>
      <c r="F53">
        <v>1.46236e-7</v>
      </c>
      <c r="G53">
        <v>1.60999e-7</v>
      </c>
      <c r="H53">
        <v>1.34568e-7</v>
      </c>
      <c r="I53">
        <v>2.10135e-7</v>
      </c>
      <c r="J53">
        <v>3.3425e-7</v>
      </c>
      <c r="K53">
        <v>2.6327e-7</v>
      </c>
      <c r="L53">
        <v>2.19719e-7</v>
      </c>
      <c r="M53">
        <v>1.66125e-7</v>
      </c>
      <c r="N53">
        <v>1.45169e-7</v>
      </c>
      <c r="O53">
        <v>1.17703e-7</v>
      </c>
      <c r="P53">
        <v>9.48716e-8</v>
      </c>
      <c r="Q53">
        <v>9.50085e-8</v>
      </c>
      <c r="R53">
        <v>9.28429e-8</v>
      </c>
      <c r="S53">
        <v>8.48982e-8</v>
      </c>
      <c r="T53">
        <v>8.43737e-8</v>
      </c>
      <c r="U53">
        <v>8.95237e-8</v>
      </c>
      <c r="V53">
        <v>9.87473e-8</v>
      </c>
      <c r="W53">
        <v>1.01253e-7</v>
      </c>
      <c r="X53">
        <v>9.70999e-8</v>
      </c>
      <c r="Y53">
        <v>8.67654e-8</v>
      </c>
      <c r="Z53">
        <v>8.9069e-8</v>
      </c>
      <c r="AA53">
        <v>7.94795e-8</v>
      </c>
      <c r="AB53">
        <v>8.19486e-8</v>
      </c>
      <c r="AC53">
        <v>7.87491e-8</v>
      </c>
      <c r="AD53">
        <v>7.51948e-8</v>
      </c>
      <c r="AE53">
        <v>8.04979e-8</v>
      </c>
      <c r="AF53">
        <v>8.40281e-8</v>
      </c>
      <c r="AG53">
        <v>7.62209e-8</v>
      </c>
      <c r="AH53">
        <v>7.31358e-8</v>
      </c>
      <c r="AI53">
        <v>7.09492e-8</v>
      </c>
      <c r="AJ53">
        <v>7.35878e-8</v>
      </c>
      <c r="AK53">
        <v>7.0889e-8</v>
      </c>
      <c r="AL53">
        <v>6.90313e-8</v>
      </c>
      <c r="AM53">
        <v>7.19192e-8</v>
      </c>
      <c r="AN53">
        <v>7.50493e-8</v>
      </c>
      <c r="AO53">
        <v>6.46602e-8</v>
      </c>
      <c r="AP53">
        <v>6.38845e-8</v>
      </c>
    </row>
    <row r="54" spans="1:42">
      <c r="A54" t="s">
        <v>384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385</v>
      </c>
      <c r="B55">
        <v>0.00553059</v>
      </c>
      <c r="C55">
        <v>0.01146</v>
      </c>
      <c r="D55">
        <v>0.0109269</v>
      </c>
      <c r="E55">
        <v>0.0106882</v>
      </c>
      <c r="F55">
        <v>0.010439</v>
      </c>
      <c r="G55">
        <v>0.0101751</v>
      </c>
      <c r="H55">
        <v>0.0107801</v>
      </c>
      <c r="I55">
        <v>0.0126538</v>
      </c>
      <c r="J55">
        <v>0.0133456</v>
      </c>
      <c r="K55">
        <v>0.013774</v>
      </c>
      <c r="L55">
        <v>0.0140208</v>
      </c>
      <c r="M55">
        <v>0.014137</v>
      </c>
      <c r="N55">
        <v>0.0141629</v>
      </c>
      <c r="O55">
        <v>0.0141182</v>
      </c>
      <c r="P55">
        <v>0.0140167</v>
      </c>
      <c r="Q55">
        <v>0.0138777</v>
      </c>
      <c r="R55">
        <v>0.0136911</v>
      </c>
      <c r="S55">
        <v>0.0134916</v>
      </c>
      <c r="T55">
        <v>0.013275</v>
      </c>
      <c r="U55">
        <v>0.0130465</v>
      </c>
      <c r="V55">
        <v>0.0128108</v>
      </c>
      <c r="W55">
        <v>0.0125691</v>
      </c>
      <c r="X55">
        <v>0.0123232</v>
      </c>
      <c r="Y55">
        <v>0.012075</v>
      </c>
      <c r="Z55">
        <v>0.011826</v>
      </c>
      <c r="AA55">
        <v>0.0115765</v>
      </c>
      <c r="AB55">
        <v>0.0113288</v>
      </c>
      <c r="AC55">
        <v>0.0110814</v>
      </c>
      <c r="AD55">
        <v>0.0108365</v>
      </c>
      <c r="AE55">
        <v>0.0105933</v>
      </c>
      <c r="AF55">
        <v>0.0103517</v>
      </c>
      <c r="AG55">
        <v>0.0101521</v>
      </c>
      <c r="AH55">
        <v>0.00996341</v>
      </c>
      <c r="AI55">
        <v>0.00976855</v>
      </c>
      <c r="AJ55">
        <v>0.00957515</v>
      </c>
      <c r="AK55">
        <v>0.00938205</v>
      </c>
      <c r="AL55">
        <v>0.00919084</v>
      </c>
      <c r="AM55">
        <v>0.00900192</v>
      </c>
      <c r="AN55">
        <v>0.00869967</v>
      </c>
      <c r="AO55">
        <v>0.00838047</v>
      </c>
      <c r="AP55">
        <v>0.0080281</v>
      </c>
    </row>
    <row r="56" spans="1:42">
      <c r="A56" t="s">
        <v>386</v>
      </c>
      <c r="B56">
        <v>0.146207</v>
      </c>
      <c r="C56">
        <v>0.127242</v>
      </c>
      <c r="D56">
        <v>0.134829</v>
      </c>
      <c r="E56">
        <v>0.131939</v>
      </c>
      <c r="F56">
        <v>0.12896</v>
      </c>
      <c r="G56">
        <v>0.125716</v>
      </c>
      <c r="H56">
        <v>0.124248</v>
      </c>
      <c r="I56">
        <v>0.124443</v>
      </c>
      <c r="J56">
        <v>0.126786</v>
      </c>
      <c r="K56">
        <v>0.129282</v>
      </c>
      <c r="L56">
        <v>0.131512</v>
      </c>
      <c r="M56">
        <v>0.133063</v>
      </c>
      <c r="N56">
        <v>0.133085</v>
      </c>
      <c r="O56">
        <v>0.13144</v>
      </c>
      <c r="P56">
        <v>0.128394</v>
      </c>
      <c r="Q56">
        <v>0.125181</v>
      </c>
      <c r="R56">
        <v>0.122824</v>
      </c>
      <c r="S56">
        <v>0.121249</v>
      </c>
      <c r="T56">
        <v>0.120339</v>
      </c>
      <c r="U56">
        <v>0.120717</v>
      </c>
      <c r="V56">
        <v>0.121553</v>
      </c>
      <c r="W56">
        <v>0.122567</v>
      </c>
      <c r="X56">
        <v>0.12386</v>
      </c>
      <c r="Y56">
        <v>0.123607</v>
      </c>
      <c r="Z56">
        <v>0.12333</v>
      </c>
      <c r="AA56">
        <v>0.123528</v>
      </c>
      <c r="AB56">
        <v>0.124772</v>
      </c>
      <c r="AC56">
        <v>0.126491</v>
      </c>
      <c r="AD56">
        <v>0.130618</v>
      </c>
      <c r="AE56">
        <v>0.135034</v>
      </c>
      <c r="AF56">
        <v>0.139367</v>
      </c>
      <c r="AG56">
        <v>0.143107</v>
      </c>
      <c r="AH56">
        <v>0.146915</v>
      </c>
      <c r="AI56">
        <v>0.150728</v>
      </c>
      <c r="AJ56">
        <v>0.154486</v>
      </c>
      <c r="AK56">
        <v>0.158239</v>
      </c>
      <c r="AL56">
        <v>0.161959</v>
      </c>
      <c r="AM56">
        <v>0.165639</v>
      </c>
      <c r="AN56">
        <v>0.169283</v>
      </c>
      <c r="AO56">
        <v>0.172867</v>
      </c>
      <c r="AP56">
        <v>0.176373</v>
      </c>
    </row>
    <row r="57" spans="1:42">
      <c r="A57" t="s">
        <v>387</v>
      </c>
      <c r="B57">
        <v>0.0391013</v>
      </c>
      <c r="C57">
        <v>0.157122</v>
      </c>
      <c r="D57">
        <v>0.15803</v>
      </c>
      <c r="E57">
        <v>0.170374</v>
      </c>
      <c r="F57">
        <v>0.166766</v>
      </c>
      <c r="G57">
        <v>0.162858</v>
      </c>
      <c r="H57">
        <v>0.162877</v>
      </c>
      <c r="I57">
        <v>0.16965</v>
      </c>
      <c r="J57">
        <v>0.185286</v>
      </c>
      <c r="K57">
        <v>0.201793</v>
      </c>
      <c r="L57">
        <v>0.219361</v>
      </c>
      <c r="M57">
        <v>0.238163</v>
      </c>
      <c r="N57">
        <v>0.258893</v>
      </c>
      <c r="O57">
        <v>0.281591</v>
      </c>
      <c r="P57">
        <v>0.307651</v>
      </c>
      <c r="Q57">
        <v>0.329295</v>
      </c>
      <c r="R57">
        <v>0.356151</v>
      </c>
      <c r="S57">
        <v>0.380433</v>
      </c>
      <c r="T57">
        <v>0.404039</v>
      </c>
      <c r="U57">
        <v>0.426237</v>
      </c>
      <c r="V57">
        <v>0.447869</v>
      </c>
      <c r="W57">
        <v>0.469116</v>
      </c>
      <c r="X57">
        <v>0.489796</v>
      </c>
      <c r="Y57">
        <v>0.511517</v>
      </c>
      <c r="Z57">
        <v>0.532668</v>
      </c>
      <c r="AA57">
        <v>0.552855</v>
      </c>
      <c r="AB57">
        <v>0.571523</v>
      </c>
      <c r="AC57">
        <v>0.589311</v>
      </c>
      <c r="AD57">
        <v>0.604404</v>
      </c>
      <c r="AE57">
        <v>0.61822</v>
      </c>
      <c r="AF57">
        <v>0.631725</v>
      </c>
      <c r="AG57">
        <v>0.64339</v>
      </c>
      <c r="AH57">
        <v>0.654959</v>
      </c>
      <c r="AI57">
        <v>0.66593</v>
      </c>
      <c r="AJ57">
        <v>0.67593</v>
      </c>
      <c r="AK57">
        <v>0.685241</v>
      </c>
      <c r="AL57">
        <v>0.693769</v>
      </c>
      <c r="AM57">
        <v>0.70157</v>
      </c>
      <c r="AN57">
        <v>0.708748</v>
      </c>
      <c r="AO57">
        <v>0.715041</v>
      </c>
      <c r="AP57">
        <v>0.720822</v>
      </c>
    </row>
    <row r="58" spans="1:42">
      <c r="A58" t="s">
        <v>388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0.000306056</v>
      </c>
      <c r="J58">
        <v>0.00030073</v>
      </c>
      <c r="K58">
        <v>0.000295281</v>
      </c>
      <c r="L58">
        <v>0.000289812</v>
      </c>
      <c r="M58">
        <v>0.000284337</v>
      </c>
      <c r="N58">
        <v>0.000557754</v>
      </c>
      <c r="O58">
        <v>0.000820244</v>
      </c>
      <c r="P58">
        <v>0.00107178</v>
      </c>
      <c r="Q58">
        <v>0.00131245</v>
      </c>
      <c r="R58">
        <v>0.00154036</v>
      </c>
      <c r="S58">
        <v>0.001758</v>
      </c>
      <c r="T58">
        <v>0.00196509</v>
      </c>
      <c r="U58">
        <v>0.00216172</v>
      </c>
      <c r="V58">
        <v>0.00234835</v>
      </c>
      <c r="W58">
        <v>0.00252495</v>
      </c>
      <c r="X58">
        <v>0.00269194</v>
      </c>
      <c r="Y58">
        <v>0.0028494</v>
      </c>
      <c r="Z58">
        <v>0.00299787</v>
      </c>
      <c r="AA58">
        <v>0.00313758</v>
      </c>
      <c r="AB58">
        <v>0.00306448</v>
      </c>
      <c r="AC58">
        <v>0.00319174</v>
      </c>
      <c r="AD58">
        <v>0.00311628</v>
      </c>
      <c r="AE58">
        <v>0.00304206</v>
      </c>
      <c r="AF58">
        <v>0.00315459</v>
      </c>
      <c r="AG58">
        <v>0.0032723</v>
      </c>
      <c r="AH58">
        <v>0.00320812</v>
      </c>
      <c r="AI58">
        <v>0.00331722</v>
      </c>
      <c r="AJ58">
        <v>0.0032487</v>
      </c>
      <c r="AK58">
        <v>0.00318097</v>
      </c>
      <c r="AL58">
        <v>0.00311396</v>
      </c>
      <c r="AM58">
        <v>0.00304783</v>
      </c>
      <c r="AN58">
        <v>0.00298241</v>
      </c>
      <c r="AO58">
        <v>0.00291779</v>
      </c>
      <c r="AP58">
        <v>0.00285342</v>
      </c>
    </row>
    <row r="59" spans="1:42">
      <c r="A59" t="s">
        <v>389</v>
      </c>
      <c r="B59">
        <v>0.00283338</v>
      </c>
      <c r="C59">
        <v>0.00323846</v>
      </c>
      <c r="D59">
        <v>0.00311082</v>
      </c>
      <c r="E59">
        <v>0.00304286</v>
      </c>
      <c r="F59">
        <v>0.00297194</v>
      </c>
      <c r="G59">
        <v>0.00289681</v>
      </c>
      <c r="H59">
        <v>0.00284876</v>
      </c>
      <c r="I59">
        <v>0.0028003</v>
      </c>
      <c r="J59">
        <v>0.00275157</v>
      </c>
      <c r="K59">
        <v>0.00270171</v>
      </c>
      <c r="L59">
        <v>0.00265168</v>
      </c>
      <c r="M59">
        <v>0.00260158</v>
      </c>
      <c r="N59">
        <v>0.00255162</v>
      </c>
      <c r="O59">
        <v>0.00250165</v>
      </c>
      <c r="P59">
        <v>0.0024516</v>
      </c>
      <c r="Q59">
        <v>0.0024017</v>
      </c>
      <c r="R59">
        <v>0.00234896</v>
      </c>
      <c r="S59">
        <v>0.00225081</v>
      </c>
      <c r="T59">
        <v>0.00220146</v>
      </c>
      <c r="U59">
        <v>0.00210765</v>
      </c>
      <c r="V59">
        <v>0.00201666</v>
      </c>
      <c r="W59">
        <v>0.00192819</v>
      </c>
      <c r="X59">
        <v>0.00184237</v>
      </c>
      <c r="Y59">
        <v>0.00175906</v>
      </c>
      <c r="Z59">
        <v>0.0016784</v>
      </c>
      <c r="AA59">
        <v>0.00160031</v>
      </c>
      <c r="AB59">
        <v>0.00152475</v>
      </c>
      <c r="AC59">
        <v>0.00145144</v>
      </c>
      <c r="AD59">
        <v>0.00138063</v>
      </c>
      <c r="AE59">
        <v>0.00131213</v>
      </c>
      <c r="AF59">
        <v>0.00124586</v>
      </c>
      <c r="AG59">
        <v>0.00118649</v>
      </c>
      <c r="AH59">
        <v>0.00112982</v>
      </c>
      <c r="AI59">
        <v>0.00107405</v>
      </c>
      <c r="AJ59">
        <v>0.00101983</v>
      </c>
      <c r="AK59">
        <v>0.000967194</v>
      </c>
      <c r="AL59">
        <v>0.000885405</v>
      </c>
      <c r="AM59">
        <v>0.000836545</v>
      </c>
      <c r="AN59">
        <v>0.000789179</v>
      </c>
      <c r="AO59">
        <v>0.000743307</v>
      </c>
      <c r="AP59">
        <v>0.000698771</v>
      </c>
    </row>
    <row r="60" spans="1:42">
      <c r="A60" t="s">
        <v>390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391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>
      <c r="A62" t="s">
        <v>392</v>
      </c>
      <c r="B62">
        <v>0.000968063</v>
      </c>
      <c r="C62">
        <v>0.000615361</v>
      </c>
      <c r="D62">
        <v>0.000907728</v>
      </c>
      <c r="E62">
        <v>0.000882892</v>
      </c>
      <c r="F62">
        <v>0.000857254</v>
      </c>
      <c r="G62">
        <v>0.000830379</v>
      </c>
      <c r="H62">
        <v>0.000817556</v>
      </c>
      <c r="I62">
        <v>0.000806214</v>
      </c>
      <c r="J62">
        <v>0.00079312</v>
      </c>
      <c r="K62">
        <v>0.000779186</v>
      </c>
      <c r="L62">
        <v>0.000765009</v>
      </c>
      <c r="M62">
        <v>0.000750673</v>
      </c>
      <c r="N62">
        <v>0.000736311</v>
      </c>
      <c r="O62">
        <v>0.000721923</v>
      </c>
      <c r="P62">
        <v>0.00070745</v>
      </c>
      <c r="Q62">
        <v>0.00069303</v>
      </c>
      <c r="R62">
        <v>0.000677725</v>
      </c>
      <c r="S62">
        <v>0.00066284</v>
      </c>
      <c r="T62">
        <v>0.000648196</v>
      </c>
      <c r="U62">
        <v>0.00063368</v>
      </c>
      <c r="V62">
        <v>0.000619392</v>
      </c>
      <c r="W62">
        <v>0.000588971</v>
      </c>
      <c r="X62">
        <v>0.000575371</v>
      </c>
      <c r="Y62">
        <v>0.000577471</v>
      </c>
      <c r="Z62">
        <v>0.000563929</v>
      </c>
      <c r="AA62">
        <v>0.000550607</v>
      </c>
      <c r="AB62">
        <v>0.000537552</v>
      </c>
      <c r="AC62">
        <v>0.000524631</v>
      </c>
      <c r="AD62">
        <v>0.000511972</v>
      </c>
      <c r="AE62">
        <v>0.00049954</v>
      </c>
      <c r="AF62">
        <v>0.000487311</v>
      </c>
      <c r="AG62">
        <v>0.000477213</v>
      </c>
      <c r="AH62">
        <v>0.000467687</v>
      </c>
      <c r="AI62">
        <v>0.000457964</v>
      </c>
      <c r="AJ62">
        <v>0.000448332</v>
      </c>
      <c r="AK62">
        <v>0.000438808</v>
      </c>
      <c r="AL62">
        <v>0.000429338</v>
      </c>
      <c r="AM62">
        <v>0.000420043</v>
      </c>
      <c r="AN62">
        <v>0.000410709</v>
      </c>
      <c r="AO62">
        <v>0.000401445</v>
      </c>
      <c r="AP62">
        <v>0.000392164</v>
      </c>
    </row>
    <row r="63" spans="1:42">
      <c r="A63" t="s">
        <v>393</v>
      </c>
      <c r="B63">
        <v>0.0379392</v>
      </c>
      <c r="C63">
        <v>0.0205288</v>
      </c>
      <c r="D63">
        <v>0.0194241</v>
      </c>
      <c r="E63">
        <v>0.0179155</v>
      </c>
      <c r="F63">
        <v>0.0174611</v>
      </c>
      <c r="G63">
        <v>0.0171385</v>
      </c>
      <c r="H63">
        <v>0.0167859</v>
      </c>
      <c r="I63">
        <v>0.016343</v>
      </c>
      <c r="J63">
        <v>0.0158084</v>
      </c>
      <c r="K63">
        <v>0.0151966</v>
      </c>
      <c r="L63">
        <v>0.0146148</v>
      </c>
      <c r="M63">
        <v>0.0141092</v>
      </c>
      <c r="N63">
        <v>0.0135649</v>
      </c>
      <c r="O63">
        <v>0.013022</v>
      </c>
      <c r="P63">
        <v>0.0124511</v>
      </c>
      <c r="Q63">
        <v>0.0118911</v>
      </c>
      <c r="R63">
        <v>0.0112867</v>
      </c>
      <c r="S63">
        <v>0.010721</v>
      </c>
      <c r="T63">
        <v>0.010183</v>
      </c>
      <c r="U63">
        <v>0.0096277</v>
      </c>
      <c r="V63">
        <v>0.00901988</v>
      </c>
      <c r="W63">
        <v>0.00853375</v>
      </c>
      <c r="X63">
        <v>0.00798033</v>
      </c>
      <c r="Y63">
        <v>0.0074262</v>
      </c>
      <c r="Z63">
        <v>0.00694625</v>
      </c>
      <c r="AA63">
        <v>0.0064466</v>
      </c>
      <c r="AB63">
        <v>0.00596101</v>
      </c>
      <c r="AC63">
        <v>0.00550965</v>
      </c>
      <c r="AD63">
        <v>0.00506668</v>
      </c>
      <c r="AE63">
        <v>0.00465999</v>
      </c>
      <c r="AF63">
        <v>0.00426058</v>
      </c>
      <c r="AG63">
        <v>0.00389603</v>
      </c>
      <c r="AH63">
        <v>0.00358281</v>
      </c>
      <c r="AI63">
        <v>0.00322494</v>
      </c>
      <c r="AJ63">
        <v>0.0029336</v>
      </c>
      <c r="AK63">
        <v>0.00268221</v>
      </c>
      <c r="AL63">
        <v>0.0024521</v>
      </c>
      <c r="AM63">
        <v>0.00221731</v>
      </c>
      <c r="AN63">
        <v>0.00206583</v>
      </c>
      <c r="AO63">
        <v>0.00187189</v>
      </c>
      <c r="AP63">
        <v>0.00174948</v>
      </c>
    </row>
    <row r="64" spans="1:42">
      <c r="A64" t="s">
        <v>394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395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>
      <c r="A66" t="s">
        <v>396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>
      <c r="A67" t="s">
        <v>397</v>
      </c>
      <c r="B67">
        <v>0.00133596</v>
      </c>
      <c r="C67">
        <v>0.00172372</v>
      </c>
      <c r="D67">
        <v>0.00165578</v>
      </c>
      <c r="E67">
        <v>0.00161961</v>
      </c>
      <c r="F67">
        <v>0.00158186</v>
      </c>
      <c r="G67">
        <v>0.00154187</v>
      </c>
      <c r="H67">
        <v>0.00151629</v>
      </c>
      <c r="I67">
        <v>0.0014905</v>
      </c>
      <c r="J67">
        <v>0.00146457</v>
      </c>
      <c r="K67">
        <v>0.00143803</v>
      </c>
      <c r="L67">
        <v>0.0014114</v>
      </c>
      <c r="M67">
        <v>0.00138473</v>
      </c>
      <c r="N67">
        <v>0.00135814</v>
      </c>
      <c r="O67">
        <v>0.0013878</v>
      </c>
      <c r="P67">
        <v>0.00141518</v>
      </c>
      <c r="Q67">
        <v>0.00144038</v>
      </c>
      <c r="R67">
        <v>0.00146158</v>
      </c>
      <c r="S67">
        <v>0.00148147</v>
      </c>
      <c r="T67">
        <v>0.00149953</v>
      </c>
      <c r="U67">
        <v>0.00151572</v>
      </c>
      <c r="V67">
        <v>0.00153024</v>
      </c>
      <c r="W67">
        <v>0.00154298</v>
      </c>
      <c r="X67">
        <v>0.00150794</v>
      </c>
      <c r="Y67">
        <v>0.00147337</v>
      </c>
      <c r="Z67">
        <v>0.00143941</v>
      </c>
      <c r="AA67">
        <v>0.00140606</v>
      </c>
      <c r="AB67">
        <v>0.0013733</v>
      </c>
      <c r="AC67">
        <v>0.00134094</v>
      </c>
      <c r="AD67">
        <v>0.00130923</v>
      </c>
      <c r="AE67">
        <v>0.00127805</v>
      </c>
      <c r="AF67">
        <v>0.00124737</v>
      </c>
      <c r="AG67">
        <v>0.00122203</v>
      </c>
      <c r="AH67">
        <v>0.00119806</v>
      </c>
      <c r="AI67">
        <v>0.0011736</v>
      </c>
      <c r="AJ67">
        <v>0.00114936</v>
      </c>
      <c r="AK67">
        <v>0.0011254</v>
      </c>
      <c r="AL67">
        <v>0.00110169</v>
      </c>
      <c r="AM67">
        <v>0.00107829</v>
      </c>
      <c r="AN67">
        <v>0.00105515</v>
      </c>
      <c r="AO67">
        <v>0.00103229</v>
      </c>
      <c r="AP67">
        <v>0.00100951</v>
      </c>
    </row>
    <row r="70" spans="1:42">
      <c r="A70" t="s">
        <v>308</v>
      </c>
      <c r="B70">
        <v>2020</v>
      </c>
      <c r="C70">
        <v>2021</v>
      </c>
      <c r="D70">
        <v>2022</v>
      </c>
      <c r="E70">
        <v>2023</v>
      </c>
      <c r="F70">
        <v>2024</v>
      </c>
      <c r="G70">
        <v>2025</v>
      </c>
      <c r="H70">
        <v>2026</v>
      </c>
      <c r="I70">
        <v>2027</v>
      </c>
      <c r="J70">
        <v>2028</v>
      </c>
      <c r="K70">
        <v>2029</v>
      </c>
      <c r="L70">
        <v>2030</v>
      </c>
      <c r="M70">
        <v>2031</v>
      </c>
      <c r="N70">
        <v>2032</v>
      </c>
      <c r="O70">
        <v>2033</v>
      </c>
      <c r="P70">
        <v>2034</v>
      </c>
      <c r="Q70">
        <v>2035</v>
      </c>
      <c r="R70">
        <v>2036</v>
      </c>
      <c r="S70">
        <v>2037</v>
      </c>
      <c r="T70">
        <v>2038</v>
      </c>
      <c r="U70">
        <v>2039</v>
      </c>
      <c r="V70">
        <v>2040</v>
      </c>
      <c r="W70">
        <v>2041</v>
      </c>
      <c r="X70">
        <v>2042</v>
      </c>
      <c r="Y70">
        <v>2043</v>
      </c>
      <c r="Z70">
        <v>2044</v>
      </c>
      <c r="AA70">
        <v>2045</v>
      </c>
      <c r="AB70">
        <v>2046</v>
      </c>
      <c r="AC70">
        <v>2047</v>
      </c>
      <c r="AD70">
        <v>2048</v>
      </c>
      <c r="AE70">
        <v>2049</v>
      </c>
      <c r="AF70">
        <v>2050</v>
      </c>
      <c r="AG70">
        <v>2051</v>
      </c>
      <c r="AH70">
        <v>2052</v>
      </c>
      <c r="AI70">
        <v>2053</v>
      </c>
      <c r="AJ70">
        <v>2054</v>
      </c>
      <c r="AK70">
        <v>2055</v>
      </c>
      <c r="AL70">
        <v>2056</v>
      </c>
      <c r="AM70">
        <v>2057</v>
      </c>
      <c r="AN70">
        <v>2058</v>
      </c>
      <c r="AO70">
        <v>2059</v>
      </c>
      <c r="AP70">
        <v>2060</v>
      </c>
    </row>
    <row r="71" spans="1:42">
      <c r="A71" t="s">
        <v>399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400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>
      <c r="A73" t="s">
        <v>401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>
      <c r="A74" t="s">
        <v>402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</row>
    <row r="75" spans="1:42">
      <c r="A75" t="s">
        <v>403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</row>
    <row r="76" spans="1:42">
      <c r="A76" t="s">
        <v>404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</row>
    <row r="77" spans="1:42">
      <c r="A77" t="s">
        <v>405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</row>
    <row r="78" spans="1:42">
      <c r="A78" t="s">
        <v>406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</row>
    <row r="79" spans="1:42">
      <c r="A79" t="s">
        <v>407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</row>
    <row r="80" spans="1:42">
      <c r="A80" t="s">
        <v>408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>
      <c r="A81" t="s">
        <v>409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>
      <c r="A82" t="s">
        <v>410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411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</row>
    <row r="84" spans="1:42">
      <c r="A84" t="s">
        <v>412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413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>
      <c r="A86" t="s">
        <v>414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90" spans="1:42">
      <c r="A90" t="s">
        <v>398</v>
      </c>
      <c r="B90">
        <v>2023</v>
      </c>
      <c r="C90">
        <v>2024</v>
      </c>
      <c r="D90">
        <v>2025</v>
      </c>
      <c r="E90">
        <v>2026</v>
      </c>
      <c r="F90">
        <v>2027</v>
      </c>
      <c r="G90">
        <v>2028</v>
      </c>
      <c r="H90">
        <v>2029</v>
      </c>
      <c r="I90">
        <v>2030</v>
      </c>
      <c r="J90">
        <v>2031</v>
      </c>
      <c r="K90">
        <v>2032</v>
      </c>
      <c r="L90">
        <v>2033</v>
      </c>
      <c r="M90">
        <v>2034</v>
      </c>
      <c r="N90">
        <v>2035</v>
      </c>
      <c r="O90">
        <v>2036</v>
      </c>
      <c r="P90">
        <v>2037</v>
      </c>
      <c r="Q90">
        <v>2038</v>
      </c>
      <c r="R90">
        <v>2039</v>
      </c>
      <c r="S90">
        <v>2040</v>
      </c>
      <c r="T90">
        <v>2041</v>
      </c>
      <c r="U90">
        <v>2042</v>
      </c>
      <c r="V90">
        <v>2043</v>
      </c>
      <c r="W90">
        <v>2044</v>
      </c>
      <c r="X90">
        <v>2045</v>
      </c>
      <c r="Y90">
        <v>2046</v>
      </c>
      <c r="Z90">
        <v>2047</v>
      </c>
      <c r="AA90">
        <v>2048</v>
      </c>
      <c r="AB90">
        <v>2049</v>
      </c>
      <c r="AC90">
        <v>2050</v>
      </c>
      <c r="AD90">
        <v>2051</v>
      </c>
      <c r="AE90">
        <v>2052</v>
      </c>
      <c r="AF90">
        <v>2053</v>
      </c>
      <c r="AG90">
        <v>2054</v>
      </c>
      <c r="AH90">
        <v>2055</v>
      </c>
      <c r="AI90">
        <v>2056</v>
      </c>
      <c r="AJ90">
        <v>2057</v>
      </c>
      <c r="AK90">
        <v>2058</v>
      </c>
      <c r="AL90">
        <v>2059</v>
      </c>
      <c r="AM90">
        <v>2060</v>
      </c>
    </row>
    <row r="91" spans="1:42">
      <c r="A91" t="s">
        <v>399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42">
      <c r="A92" t="s">
        <v>400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42">
      <c r="A93" t="s">
        <v>401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</row>
    <row r="94" spans="1:42">
      <c r="A94" t="s">
        <v>402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</row>
    <row r="95" spans="1:42">
      <c r="A95" t="s">
        <v>403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</row>
    <row r="96" spans="1:42">
      <c r="A96" t="s">
        <v>404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</row>
    <row r="97" spans="1:39">
      <c r="A97" t="s">
        <v>405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</row>
    <row r="98" spans="1:39">
      <c r="A98" t="s">
        <v>406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</row>
    <row r="99" spans="1:39">
      <c r="A99" t="s">
        <v>407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</row>
    <row r="100" spans="1:39">
      <c r="A100" t="s">
        <v>408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>
      <c r="A101" t="s">
        <v>409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410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>
      <c r="A103" t="s">
        <v>411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</row>
    <row r="104" spans="1:39">
      <c r="A104" t="s">
        <v>412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413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>
      <c r="A106" t="s">
        <v>414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8"/>
  <sheetViews>
    <sheetView topLeftCell="A52" workbookViewId="0">
      <selection activeCell="I68" sqref="I68"/>
    </sheetView>
  </sheetViews>
  <sheetFormatPr defaultColWidth="8.66371681415929" defaultRowHeight="13.85"/>
  <cols>
    <col min="1" max="1" width="86.7522123893805" customWidth="1"/>
    <col min="2" max="39" width="9" customWidth="1"/>
  </cols>
  <sheetData>
    <row r="1" spans="1:39">
      <c r="A1" t="s">
        <v>398</v>
      </c>
      <c r="B1">
        <v>2023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  <c r="AD1">
        <v>2051</v>
      </c>
      <c r="AE1">
        <v>2052</v>
      </c>
      <c r="AF1">
        <v>2053</v>
      </c>
      <c r="AG1">
        <v>2054</v>
      </c>
      <c r="AH1">
        <v>2055</v>
      </c>
      <c r="AI1">
        <v>2056</v>
      </c>
      <c r="AJ1">
        <v>2057</v>
      </c>
      <c r="AK1">
        <v>2058</v>
      </c>
      <c r="AL1">
        <v>2059</v>
      </c>
      <c r="AM1">
        <v>2060</v>
      </c>
    </row>
    <row r="2" spans="1:39">
      <c r="A2" t="s">
        <v>334</v>
      </c>
      <c r="B2" s="25">
        <v>4404080000</v>
      </c>
      <c r="C2" s="25">
        <v>4340890000</v>
      </c>
      <c r="D2" s="25">
        <v>4509880000</v>
      </c>
      <c r="E2" s="25">
        <v>4783890000</v>
      </c>
      <c r="F2" s="25">
        <v>4967580000</v>
      </c>
      <c r="G2" s="25">
        <v>4989660000</v>
      </c>
      <c r="H2" s="25">
        <v>4925190000</v>
      </c>
      <c r="I2" s="25">
        <v>4849270000</v>
      </c>
      <c r="J2" s="25">
        <v>4770290000</v>
      </c>
      <c r="K2" s="25">
        <v>4683680000</v>
      </c>
      <c r="L2" s="25">
        <v>4592050000</v>
      </c>
      <c r="M2" s="25">
        <v>4489320000</v>
      </c>
      <c r="N2" s="25">
        <v>4381560000</v>
      </c>
      <c r="O2" s="25">
        <v>4265540000</v>
      </c>
      <c r="P2" s="25">
        <v>4140890000</v>
      </c>
      <c r="Q2" s="25">
        <v>4008680000</v>
      </c>
      <c r="R2" s="25">
        <v>3867850000</v>
      </c>
      <c r="S2" s="25">
        <v>3721640000</v>
      </c>
      <c r="T2" s="25">
        <v>3568030000</v>
      </c>
      <c r="U2" s="25">
        <v>3408500000</v>
      </c>
      <c r="V2" s="25">
        <v>3245960000</v>
      </c>
      <c r="W2" s="25">
        <v>3079110000</v>
      </c>
      <c r="X2" s="25">
        <v>2907950000</v>
      </c>
      <c r="Y2" s="25">
        <v>2732860000</v>
      </c>
      <c r="Z2" s="25">
        <v>2554770000</v>
      </c>
      <c r="AA2" s="25">
        <v>2372360000</v>
      </c>
      <c r="AB2" s="25">
        <v>2188900000</v>
      </c>
      <c r="AC2" s="25">
        <v>2005110000</v>
      </c>
      <c r="AD2" s="25">
        <v>1824730000</v>
      </c>
      <c r="AE2" s="25">
        <v>1641140000</v>
      </c>
      <c r="AF2" s="25">
        <v>1460970000</v>
      </c>
      <c r="AG2" s="25">
        <v>1284420000</v>
      </c>
      <c r="AH2" s="25">
        <v>1110140000</v>
      </c>
      <c r="AI2" s="25">
        <v>942694000</v>
      </c>
      <c r="AJ2" s="25">
        <v>779850000</v>
      </c>
      <c r="AK2" s="25">
        <v>625371000</v>
      </c>
      <c r="AL2" s="25">
        <v>475512000</v>
      </c>
      <c r="AM2" s="25">
        <v>336058000</v>
      </c>
    </row>
    <row r="3" spans="1:39">
      <c r="A3" t="s">
        <v>335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 t="s">
        <v>336</v>
      </c>
      <c r="B4" s="25">
        <v>159139000</v>
      </c>
      <c r="C4" s="25">
        <v>258919000</v>
      </c>
      <c r="D4" s="25">
        <v>432372000</v>
      </c>
      <c r="E4" s="25">
        <v>474843000</v>
      </c>
      <c r="F4" s="25">
        <v>507818000</v>
      </c>
      <c r="G4" s="25">
        <v>522694000</v>
      </c>
      <c r="H4" s="25">
        <v>524701000</v>
      </c>
      <c r="I4" s="25">
        <v>530183000</v>
      </c>
      <c r="J4" s="25">
        <v>530505000</v>
      </c>
      <c r="K4" s="25">
        <v>531908000</v>
      </c>
      <c r="L4" s="25">
        <v>530027000</v>
      </c>
      <c r="M4" s="25">
        <v>529034000</v>
      </c>
      <c r="N4" s="25">
        <v>529783000</v>
      </c>
      <c r="O4" s="25">
        <v>529322000</v>
      </c>
      <c r="P4" s="25">
        <v>529555000</v>
      </c>
      <c r="Q4" s="25">
        <v>530895000</v>
      </c>
      <c r="R4" s="25">
        <v>534096000</v>
      </c>
      <c r="S4" s="25">
        <v>535572000</v>
      </c>
      <c r="T4" s="25">
        <v>537328000</v>
      </c>
      <c r="U4" s="25">
        <v>539125000</v>
      </c>
      <c r="V4" s="25">
        <v>541031000</v>
      </c>
      <c r="W4" s="25">
        <v>543550000</v>
      </c>
      <c r="X4" s="25">
        <v>546021000</v>
      </c>
      <c r="Y4" s="25">
        <v>548494000</v>
      </c>
      <c r="Z4" s="25">
        <v>551583000</v>
      </c>
      <c r="AA4" s="25">
        <v>554523000</v>
      </c>
      <c r="AB4" s="25">
        <v>556791000</v>
      </c>
      <c r="AC4" s="25">
        <v>560727000</v>
      </c>
      <c r="AD4" s="25">
        <v>566181000</v>
      </c>
      <c r="AE4" s="25">
        <v>569892000</v>
      </c>
      <c r="AF4" s="25">
        <v>574744000</v>
      </c>
      <c r="AG4" s="25">
        <v>580585000</v>
      </c>
      <c r="AH4" s="25">
        <v>585528000</v>
      </c>
      <c r="AI4" s="25">
        <v>591837000</v>
      </c>
      <c r="AJ4" s="25">
        <v>598006000</v>
      </c>
      <c r="AK4" s="25">
        <v>608008000</v>
      </c>
      <c r="AL4" s="25">
        <v>616163000</v>
      </c>
      <c r="AM4" s="25">
        <v>630680000</v>
      </c>
    </row>
    <row r="5" spans="1:39">
      <c r="A5" t="s">
        <v>337</v>
      </c>
      <c r="B5">
        <v>72276.3</v>
      </c>
      <c r="C5">
        <v>95097.2</v>
      </c>
      <c r="D5">
        <v>108070</v>
      </c>
      <c r="E5">
        <v>99320.1</v>
      </c>
      <c r="F5">
        <v>175440</v>
      </c>
      <c r="G5">
        <v>312238</v>
      </c>
      <c r="H5">
        <v>247371</v>
      </c>
      <c r="I5">
        <v>208092</v>
      </c>
      <c r="J5">
        <v>161863</v>
      </c>
      <c r="K5">
        <v>141234</v>
      </c>
      <c r="L5">
        <v>117820</v>
      </c>
      <c r="M5">
        <v>94528.6</v>
      </c>
      <c r="N5">
        <v>96612.7</v>
      </c>
      <c r="O5">
        <v>95032.3</v>
      </c>
      <c r="P5">
        <v>89693.6</v>
      </c>
      <c r="Q5">
        <v>92462.4</v>
      </c>
      <c r="R5">
        <v>102111</v>
      </c>
      <c r="S5">
        <v>111898</v>
      </c>
      <c r="T5">
        <v>115376</v>
      </c>
      <c r="U5">
        <v>110480</v>
      </c>
      <c r="V5">
        <v>97949</v>
      </c>
      <c r="W5">
        <v>99963.4</v>
      </c>
      <c r="X5">
        <v>87652.4</v>
      </c>
      <c r="Y5">
        <v>93510</v>
      </c>
      <c r="Z5">
        <v>88040.2</v>
      </c>
      <c r="AA5">
        <v>81705.6</v>
      </c>
      <c r="AB5">
        <v>84217</v>
      </c>
      <c r="AC5">
        <v>89811.9</v>
      </c>
      <c r="AD5">
        <v>76721.8</v>
      </c>
      <c r="AE5">
        <v>68882.9</v>
      </c>
      <c r="AF5">
        <v>66438.4</v>
      </c>
      <c r="AG5">
        <v>63333.1</v>
      </c>
      <c r="AH5">
        <v>59273.2</v>
      </c>
      <c r="AI5">
        <v>51338.9</v>
      </c>
      <c r="AJ5">
        <v>46461.9</v>
      </c>
      <c r="AK5">
        <v>41459.6</v>
      </c>
      <c r="AL5">
        <v>32992.1</v>
      </c>
      <c r="AM5">
        <v>26895.2</v>
      </c>
    </row>
    <row r="6" spans="1:39">
      <c r="A6" t="s">
        <v>338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 t="s">
        <v>339</v>
      </c>
      <c r="B7">
        <v>0</v>
      </c>
      <c r="C7">
        <v>0</v>
      </c>
      <c r="D7">
        <v>0</v>
      </c>
      <c r="E7">
        <v>0</v>
      </c>
      <c r="F7">
        <v>0</v>
      </c>
      <c r="G7">
        <v>30.8507</v>
      </c>
      <c r="H7">
        <v>49.3527</v>
      </c>
      <c r="I7">
        <v>62.947</v>
      </c>
      <c r="J7">
        <v>66.1632</v>
      </c>
      <c r="K7">
        <v>73.2915</v>
      </c>
      <c r="L7">
        <v>74.6688</v>
      </c>
      <c r="M7">
        <v>81.3721</v>
      </c>
      <c r="N7">
        <v>106.287</v>
      </c>
      <c r="O7">
        <v>128.484</v>
      </c>
      <c r="P7">
        <v>145.151</v>
      </c>
      <c r="Q7">
        <v>175.9</v>
      </c>
      <c r="R7">
        <v>225.465</v>
      </c>
      <c r="S7">
        <v>298.503</v>
      </c>
      <c r="T7">
        <v>365.376</v>
      </c>
      <c r="U7">
        <v>409.935</v>
      </c>
      <c r="V7">
        <v>422.076</v>
      </c>
      <c r="W7">
        <v>497.972</v>
      </c>
      <c r="X7">
        <v>502.465</v>
      </c>
      <c r="Y7">
        <v>632.11</v>
      </c>
      <c r="Z7">
        <v>697.911</v>
      </c>
      <c r="AA7">
        <v>758.154</v>
      </c>
      <c r="AB7">
        <v>916.463</v>
      </c>
      <c r="AC7">
        <v>1148.04</v>
      </c>
      <c r="AD7">
        <v>1133.38</v>
      </c>
      <c r="AE7">
        <v>1183.78</v>
      </c>
      <c r="AF7">
        <v>1339.86</v>
      </c>
      <c r="AG7">
        <v>1511.99</v>
      </c>
      <c r="AH7">
        <v>1672.08</v>
      </c>
      <c r="AI7">
        <v>1740.71</v>
      </c>
      <c r="AJ7">
        <v>1936.25</v>
      </c>
      <c r="AK7">
        <v>2157.58</v>
      </c>
      <c r="AL7">
        <v>2233.81</v>
      </c>
      <c r="AM7">
        <v>2585.48</v>
      </c>
    </row>
    <row r="8" spans="1:39">
      <c r="A8" t="s">
        <v>340</v>
      </c>
      <c r="B8" s="25">
        <v>416150000</v>
      </c>
      <c r="C8" s="25">
        <v>416150000</v>
      </c>
      <c r="D8" s="25">
        <v>416150000</v>
      </c>
      <c r="E8" s="25">
        <v>416150000</v>
      </c>
      <c r="F8" s="25">
        <v>416150000</v>
      </c>
      <c r="G8" s="25">
        <v>416150000</v>
      </c>
      <c r="H8" s="25">
        <v>416150000</v>
      </c>
      <c r="I8" s="25">
        <v>416150000</v>
      </c>
      <c r="J8" s="25">
        <v>416150000</v>
      </c>
      <c r="K8" s="25">
        <v>416150000</v>
      </c>
      <c r="L8" s="25">
        <v>416150000</v>
      </c>
      <c r="M8" s="25">
        <v>416150000</v>
      </c>
      <c r="N8" s="25">
        <v>416150000</v>
      </c>
      <c r="O8" s="25">
        <v>416150000</v>
      </c>
      <c r="P8" s="25">
        <v>416150000</v>
      </c>
      <c r="Q8" s="25">
        <v>416150000</v>
      </c>
      <c r="R8" s="25">
        <v>416150000</v>
      </c>
      <c r="S8" s="25">
        <v>416150000</v>
      </c>
      <c r="T8" s="25">
        <v>416150000</v>
      </c>
      <c r="U8" s="25">
        <v>416150000</v>
      </c>
      <c r="V8" s="25">
        <v>411282000</v>
      </c>
      <c r="W8" s="25">
        <v>406414000</v>
      </c>
      <c r="X8" s="25">
        <v>406414000</v>
      </c>
      <c r="Y8" s="25">
        <v>401546000</v>
      </c>
      <c r="Z8" s="25">
        <v>401546000</v>
      </c>
      <c r="AA8" s="25">
        <v>401546000</v>
      </c>
      <c r="AB8" s="25">
        <v>401546000</v>
      </c>
      <c r="AC8" s="25">
        <v>396679000</v>
      </c>
      <c r="AD8" s="25">
        <v>391811000</v>
      </c>
      <c r="AE8" s="25">
        <v>386943000</v>
      </c>
      <c r="AF8" s="25">
        <v>377208000</v>
      </c>
      <c r="AG8" s="25">
        <v>367473000</v>
      </c>
      <c r="AH8" s="25">
        <v>362605000</v>
      </c>
      <c r="AI8" s="25">
        <v>362605000</v>
      </c>
      <c r="AJ8" s="25">
        <v>357737000</v>
      </c>
      <c r="AK8" s="25">
        <v>352870000</v>
      </c>
      <c r="AL8" s="25">
        <v>348002000</v>
      </c>
      <c r="AM8" s="25">
        <v>343134000</v>
      </c>
    </row>
    <row r="9" spans="1:39">
      <c r="A9" t="s">
        <v>341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 t="s">
        <v>342</v>
      </c>
      <c r="B10" s="25">
        <v>19470700</v>
      </c>
      <c r="C10" s="25">
        <v>24338400</v>
      </c>
      <c r="D10" s="25">
        <v>63279900</v>
      </c>
      <c r="E10" s="25">
        <v>102221000</v>
      </c>
      <c r="F10" s="25">
        <v>146031000</v>
      </c>
      <c r="G10" s="25">
        <v>175237000</v>
      </c>
      <c r="H10" s="25">
        <v>184972000</v>
      </c>
      <c r="I10" s="25">
        <v>184972000</v>
      </c>
      <c r="J10" s="25">
        <v>184972000</v>
      </c>
      <c r="K10" s="25">
        <v>184972000</v>
      </c>
      <c r="L10" s="25">
        <v>184972000</v>
      </c>
      <c r="M10" s="25">
        <v>189840000</v>
      </c>
      <c r="N10" s="25">
        <v>194707000</v>
      </c>
      <c r="O10" s="25">
        <v>199575000</v>
      </c>
      <c r="P10" s="25">
        <v>204443000</v>
      </c>
      <c r="Q10" s="25">
        <v>209310000</v>
      </c>
      <c r="R10" s="25">
        <v>214178000</v>
      </c>
      <c r="S10" s="25">
        <v>219046000</v>
      </c>
      <c r="T10" s="25">
        <v>223913000</v>
      </c>
      <c r="U10" s="25">
        <v>228781000</v>
      </c>
      <c r="V10" s="25">
        <v>233649000</v>
      </c>
      <c r="W10" s="25">
        <v>238516000</v>
      </c>
      <c r="X10" s="25">
        <v>243384000</v>
      </c>
      <c r="Y10" s="25">
        <v>248252000</v>
      </c>
      <c r="Z10" s="25">
        <v>253120000</v>
      </c>
      <c r="AA10" s="25">
        <v>257987000</v>
      </c>
      <c r="AB10" s="25">
        <v>262855000</v>
      </c>
      <c r="AC10" s="25">
        <v>272590000</v>
      </c>
      <c r="AD10" s="25">
        <v>277458000</v>
      </c>
      <c r="AE10" s="25">
        <v>282326000</v>
      </c>
      <c r="AF10" s="25">
        <v>287193000</v>
      </c>
      <c r="AG10" s="25">
        <v>292061000</v>
      </c>
      <c r="AH10" s="25">
        <v>296929000</v>
      </c>
      <c r="AI10" s="25">
        <v>301796000</v>
      </c>
      <c r="AJ10" s="25">
        <v>306664000</v>
      </c>
      <c r="AK10" s="25">
        <v>306664000</v>
      </c>
      <c r="AL10" s="25">
        <v>306664000</v>
      </c>
      <c r="AM10" s="25">
        <v>311532000</v>
      </c>
    </row>
    <row r="11" spans="1:39">
      <c r="A11" t="s">
        <v>343</v>
      </c>
      <c r="B11" s="25">
        <v>1236970000</v>
      </c>
      <c r="C11" s="25">
        <v>1236970000</v>
      </c>
      <c r="D11" s="25">
        <v>1236970000</v>
      </c>
      <c r="E11" s="25">
        <v>1236970000</v>
      </c>
      <c r="F11" s="25">
        <v>1236970000</v>
      </c>
      <c r="G11" s="25">
        <v>1236970000</v>
      </c>
      <c r="H11" s="25">
        <v>1236970000</v>
      </c>
      <c r="I11" s="25">
        <v>1236970000</v>
      </c>
      <c r="J11" s="25">
        <v>1236970000</v>
      </c>
      <c r="K11" s="25">
        <v>1236970000</v>
      </c>
      <c r="L11" s="25">
        <v>1236970000</v>
      </c>
      <c r="M11" s="25">
        <v>1236970000</v>
      </c>
      <c r="N11" s="25">
        <v>1236970000</v>
      </c>
      <c r="O11" s="25">
        <v>1236970000</v>
      </c>
      <c r="P11" s="25">
        <v>1236970000</v>
      </c>
      <c r="Q11" s="25">
        <v>1236970000</v>
      </c>
      <c r="R11" s="25">
        <v>1236970000</v>
      </c>
      <c r="S11" s="25">
        <v>1236970000</v>
      </c>
      <c r="T11" s="25">
        <v>1236970000</v>
      </c>
      <c r="U11" s="25">
        <v>1236970000</v>
      </c>
      <c r="V11" s="25">
        <v>1236970000</v>
      </c>
      <c r="W11" s="25">
        <v>1236970000</v>
      </c>
      <c r="X11" s="25">
        <v>1236970000</v>
      </c>
      <c r="Y11" s="25">
        <v>1236970000</v>
      </c>
      <c r="Z11" s="25">
        <v>1236970000</v>
      </c>
      <c r="AA11" s="25">
        <v>1236970000</v>
      </c>
      <c r="AB11" s="25">
        <v>1236970000</v>
      </c>
      <c r="AC11" s="25">
        <v>1236970000</v>
      </c>
      <c r="AD11" s="25">
        <v>1236970000</v>
      </c>
      <c r="AE11" s="25">
        <v>1236970000</v>
      </c>
      <c r="AF11" s="25">
        <v>1236970000</v>
      </c>
      <c r="AG11" s="25">
        <v>1236970000</v>
      </c>
      <c r="AH11" s="25">
        <v>1236970000</v>
      </c>
      <c r="AI11" s="25">
        <v>1236970000</v>
      </c>
      <c r="AJ11" s="25">
        <v>1236970000</v>
      </c>
      <c r="AK11" s="25">
        <v>1236970000</v>
      </c>
      <c r="AL11" s="25">
        <v>1236970000</v>
      </c>
      <c r="AM11" s="25">
        <v>1236970000</v>
      </c>
    </row>
    <row r="12" spans="1:39">
      <c r="A12" t="s">
        <v>344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 t="s">
        <v>345</v>
      </c>
      <c r="B13">
        <v>0</v>
      </c>
      <c r="C13" s="25">
        <v>2045180</v>
      </c>
      <c r="D13" s="25">
        <v>3882150</v>
      </c>
      <c r="E13" s="25">
        <v>6582190</v>
      </c>
      <c r="F13" s="25">
        <v>9712090</v>
      </c>
      <c r="G13" s="25">
        <v>25086200</v>
      </c>
      <c r="H13" s="25">
        <v>45242500</v>
      </c>
      <c r="I13" s="25">
        <v>59545300</v>
      </c>
      <c r="J13" s="25">
        <v>78600100</v>
      </c>
      <c r="K13" s="25">
        <v>99102300</v>
      </c>
      <c r="L13" s="25">
        <v>116998000</v>
      </c>
      <c r="M13" s="25">
        <v>138488000</v>
      </c>
      <c r="N13" s="25">
        <v>159192000</v>
      </c>
      <c r="O13" s="25">
        <v>178283000</v>
      </c>
      <c r="P13" s="25">
        <v>197610000</v>
      </c>
      <c r="Q13" s="25">
        <v>217065000</v>
      </c>
      <c r="R13" s="25">
        <v>236351000</v>
      </c>
      <c r="S13" s="25">
        <v>255950000</v>
      </c>
      <c r="T13" s="25">
        <v>274605000</v>
      </c>
      <c r="U13" s="25">
        <v>292938000</v>
      </c>
      <c r="V13" s="25">
        <v>312278000</v>
      </c>
      <c r="W13" s="25">
        <v>331249000</v>
      </c>
      <c r="X13" s="25">
        <v>349696000</v>
      </c>
      <c r="Y13" s="25">
        <v>368542000</v>
      </c>
      <c r="Z13" s="25">
        <v>386328000</v>
      </c>
      <c r="AA13" s="25">
        <v>402619000</v>
      </c>
      <c r="AB13" s="25">
        <v>417381000</v>
      </c>
      <c r="AC13" s="25">
        <v>431973000</v>
      </c>
      <c r="AD13" s="25">
        <v>443280000</v>
      </c>
      <c r="AE13" s="25">
        <v>453587000</v>
      </c>
      <c r="AF13" s="25">
        <v>464149000</v>
      </c>
      <c r="AG13" s="25">
        <v>473135000</v>
      </c>
      <c r="AH13" s="25">
        <v>481225000</v>
      </c>
      <c r="AI13" s="25">
        <v>487808000</v>
      </c>
      <c r="AJ13" s="25">
        <v>493755000</v>
      </c>
      <c r="AK13" s="25">
        <v>498171000</v>
      </c>
      <c r="AL13" s="25">
        <v>501986000</v>
      </c>
      <c r="AM13" s="25">
        <v>508807000</v>
      </c>
    </row>
    <row r="14" spans="1:39">
      <c r="A14" t="s">
        <v>346</v>
      </c>
      <c r="B14" s="25">
        <v>631009000</v>
      </c>
      <c r="C14" s="25">
        <v>631009000</v>
      </c>
      <c r="D14" s="25">
        <v>631009000</v>
      </c>
      <c r="E14" s="25">
        <v>631009000</v>
      </c>
      <c r="F14" s="25">
        <v>631009000</v>
      </c>
      <c r="G14" s="25">
        <v>631009000</v>
      </c>
      <c r="H14" s="25">
        <v>631009000</v>
      </c>
      <c r="I14" s="25">
        <v>631009000</v>
      </c>
      <c r="J14" s="25">
        <v>631009000</v>
      </c>
      <c r="K14" s="25">
        <v>627235000</v>
      </c>
      <c r="L14" s="25">
        <v>617779000</v>
      </c>
      <c r="M14" s="25">
        <v>602404000</v>
      </c>
      <c r="N14" s="25">
        <v>581917000</v>
      </c>
      <c r="O14" s="25">
        <v>555895000</v>
      </c>
      <c r="P14" s="25">
        <v>525755000</v>
      </c>
      <c r="Q14" s="25">
        <v>489596000</v>
      </c>
      <c r="R14" s="25">
        <v>452129000</v>
      </c>
      <c r="S14" s="25">
        <v>412996000</v>
      </c>
      <c r="T14" s="25">
        <v>371143000</v>
      </c>
      <c r="U14" s="25">
        <v>327245000</v>
      </c>
      <c r="V14" s="25">
        <v>268824000</v>
      </c>
      <c r="W14" s="25">
        <v>206188000</v>
      </c>
      <c r="X14" s="25">
        <v>138251000</v>
      </c>
      <c r="Y14" s="25">
        <v>52521500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347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 t="s">
        <v>348</v>
      </c>
      <c r="B16" s="25">
        <v>130448000</v>
      </c>
      <c r="C16" s="25">
        <v>140082000</v>
      </c>
      <c r="D16" s="25">
        <v>144619000</v>
      </c>
      <c r="E16" s="25">
        <v>151616000</v>
      </c>
      <c r="F16" s="25">
        <v>160123000</v>
      </c>
      <c r="G16" s="25">
        <v>203925000</v>
      </c>
      <c r="H16" s="25">
        <v>264073000</v>
      </c>
      <c r="I16" s="25">
        <v>308743000</v>
      </c>
      <c r="J16" s="25">
        <v>370984000</v>
      </c>
      <c r="K16" s="25">
        <v>440974000</v>
      </c>
      <c r="L16" s="25">
        <v>504787000</v>
      </c>
      <c r="M16" s="25">
        <v>584771000</v>
      </c>
      <c r="N16" s="25">
        <v>665096000</v>
      </c>
      <c r="O16" s="25">
        <v>742056000</v>
      </c>
      <c r="P16" s="25">
        <v>822634000</v>
      </c>
      <c r="Q16" s="25">
        <v>906492000</v>
      </c>
      <c r="R16" s="25">
        <v>992485000</v>
      </c>
      <c r="S16" s="25">
        <v>1082830000</v>
      </c>
      <c r="T16" s="25">
        <v>1171700000</v>
      </c>
      <c r="U16" s="25">
        <v>1261970000</v>
      </c>
      <c r="V16" s="25">
        <v>1360360000</v>
      </c>
      <c r="W16" s="25">
        <v>1460050000</v>
      </c>
      <c r="X16" s="25">
        <v>1560150000</v>
      </c>
      <c r="Y16" s="25">
        <v>1665770000</v>
      </c>
      <c r="Z16" s="25">
        <v>1745450000</v>
      </c>
      <c r="AA16" s="25">
        <v>1793170000</v>
      </c>
      <c r="AB16" s="25">
        <v>1845880000</v>
      </c>
      <c r="AC16" s="25">
        <v>1912290000</v>
      </c>
      <c r="AD16" s="25">
        <v>1986050000</v>
      </c>
      <c r="AE16" s="25">
        <v>2055260000</v>
      </c>
      <c r="AF16" s="25">
        <v>2128320000</v>
      </c>
      <c r="AG16" s="25">
        <v>2192270000</v>
      </c>
      <c r="AH16" s="25">
        <v>2251560000</v>
      </c>
      <c r="AI16" s="25">
        <v>2301190000</v>
      </c>
      <c r="AJ16" s="25">
        <v>2347390000</v>
      </c>
      <c r="AK16" s="25">
        <v>2382690000</v>
      </c>
      <c r="AL16" s="25">
        <v>2414100000</v>
      </c>
      <c r="AM16" s="25">
        <v>2472040000</v>
      </c>
    </row>
    <row r="17" spans="1:39">
      <c r="A17" t="s">
        <v>349</v>
      </c>
      <c r="B17" s="25">
        <v>306680000</v>
      </c>
      <c r="C17" s="25">
        <v>306454000</v>
      </c>
      <c r="D17" s="25">
        <v>306432000</v>
      </c>
      <c r="E17" s="25">
        <v>306406000</v>
      </c>
      <c r="F17" s="25">
        <v>306326000</v>
      </c>
      <c r="G17" s="25">
        <v>306239000</v>
      </c>
      <c r="H17" s="25">
        <v>305925000</v>
      </c>
      <c r="I17" s="25">
        <v>305510000</v>
      </c>
      <c r="J17" s="25">
        <v>305232000</v>
      </c>
      <c r="K17" s="25">
        <v>304911000</v>
      </c>
      <c r="L17" s="25">
        <v>304485000</v>
      </c>
      <c r="M17" s="25">
        <v>303545000</v>
      </c>
      <c r="N17" s="25">
        <v>302207000</v>
      </c>
      <c r="O17" s="25">
        <v>297884000</v>
      </c>
      <c r="P17" s="25">
        <v>291359000</v>
      </c>
      <c r="Q17" s="25">
        <v>281421000</v>
      </c>
      <c r="R17" s="25">
        <v>264145000</v>
      </c>
      <c r="S17" s="25">
        <v>239335000</v>
      </c>
      <c r="T17" s="25">
        <v>210697000</v>
      </c>
      <c r="U17" s="25">
        <v>179903000</v>
      </c>
      <c r="V17" s="25">
        <v>144666000</v>
      </c>
      <c r="W17" s="25">
        <v>110741000</v>
      </c>
      <c r="X17" s="25">
        <v>75604800</v>
      </c>
      <c r="Y17" s="25">
        <v>16912700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350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 t="s">
        <v>351</v>
      </c>
      <c r="B19" s="25">
        <v>157431000</v>
      </c>
      <c r="C19" s="25">
        <v>178785000</v>
      </c>
      <c r="D19" s="25">
        <v>199043000</v>
      </c>
      <c r="E19" s="25">
        <v>230264000</v>
      </c>
      <c r="F19" s="25">
        <v>268153000</v>
      </c>
      <c r="G19" s="25">
        <v>463266000</v>
      </c>
      <c r="H19" s="25">
        <v>730007000</v>
      </c>
      <c r="I19" s="25">
        <v>926666000</v>
      </c>
      <c r="J19" s="25">
        <v>1200470000</v>
      </c>
      <c r="K19" s="25">
        <v>1507050000</v>
      </c>
      <c r="L19" s="25">
        <v>1784860000</v>
      </c>
      <c r="M19" s="25">
        <v>2131800000</v>
      </c>
      <c r="N19" s="25">
        <v>2477740000</v>
      </c>
      <c r="O19" s="25">
        <v>2808150000</v>
      </c>
      <c r="P19" s="25">
        <v>3154640000</v>
      </c>
      <c r="Q19" s="25">
        <v>3515550000</v>
      </c>
      <c r="R19" s="25">
        <v>3884910000</v>
      </c>
      <c r="S19" s="25">
        <v>4272700000</v>
      </c>
      <c r="T19" s="25">
        <v>4652860000</v>
      </c>
      <c r="U19" s="25">
        <v>5038470000</v>
      </c>
      <c r="V19" s="25">
        <v>5458080000</v>
      </c>
      <c r="W19" s="25">
        <v>5880250000</v>
      </c>
      <c r="X19" s="25">
        <v>6301760000</v>
      </c>
      <c r="Y19" s="25">
        <v>6745170000</v>
      </c>
      <c r="Z19" s="25">
        <v>7136510000</v>
      </c>
      <c r="AA19" s="25">
        <v>7493630000</v>
      </c>
      <c r="AB19" s="25">
        <v>7828640000</v>
      </c>
      <c r="AC19" s="25">
        <v>8177340000</v>
      </c>
      <c r="AD19" s="25">
        <v>8472690000</v>
      </c>
      <c r="AE19" s="25">
        <v>8748810000</v>
      </c>
      <c r="AF19" s="25">
        <v>9041200000</v>
      </c>
      <c r="AG19" s="25">
        <v>9291640000</v>
      </c>
      <c r="AH19" s="25">
        <v>9524430000</v>
      </c>
      <c r="AI19" s="25">
        <v>9715990000</v>
      </c>
      <c r="AJ19" s="25">
        <v>9896100000</v>
      </c>
      <c r="AK19" s="25">
        <v>10031700000</v>
      </c>
      <c r="AL19" s="25">
        <v>10154900000</v>
      </c>
      <c r="AM19" s="25">
        <v>10383900000</v>
      </c>
    </row>
    <row r="20" spans="1:39">
      <c r="A20" t="s">
        <v>352</v>
      </c>
      <c r="B20" s="25">
        <v>2667530</v>
      </c>
      <c r="C20" s="25">
        <v>2667530</v>
      </c>
      <c r="D20" s="25">
        <v>2667530</v>
      </c>
      <c r="E20" s="25">
        <v>2667530</v>
      </c>
      <c r="F20" s="25">
        <v>2667530</v>
      </c>
      <c r="G20" s="25">
        <v>2667530</v>
      </c>
      <c r="H20" s="25">
        <v>2667530</v>
      </c>
      <c r="I20" s="25">
        <v>2667530</v>
      </c>
      <c r="J20" s="25">
        <v>2667530</v>
      </c>
      <c r="K20" s="25">
        <v>2667530</v>
      </c>
      <c r="L20" s="25">
        <v>2667530</v>
      </c>
      <c r="M20" s="25">
        <v>2667530</v>
      </c>
      <c r="N20" s="25">
        <v>2667530</v>
      </c>
      <c r="O20" s="25">
        <v>2667530</v>
      </c>
      <c r="P20" s="25">
        <v>2667530</v>
      </c>
      <c r="Q20" s="25">
        <v>2667530</v>
      </c>
      <c r="R20" s="25">
        <v>2667530</v>
      </c>
      <c r="S20" s="25">
        <v>2667530</v>
      </c>
      <c r="T20" s="25">
        <v>2667530</v>
      </c>
      <c r="U20" s="25">
        <v>2667530</v>
      </c>
      <c r="V20" s="25">
        <v>2667530</v>
      </c>
      <c r="W20" s="25">
        <v>2667530</v>
      </c>
      <c r="X20" s="25">
        <v>2667530</v>
      </c>
      <c r="Y20" s="25">
        <v>2667530</v>
      </c>
      <c r="Z20" s="25">
        <v>2667530</v>
      </c>
      <c r="AA20" s="25">
        <v>2667530</v>
      </c>
      <c r="AB20" s="25">
        <v>2667530</v>
      </c>
      <c r="AC20" s="25">
        <v>2667530</v>
      </c>
      <c r="AD20" s="25">
        <v>2667530</v>
      </c>
      <c r="AE20" s="25">
        <v>2667530</v>
      </c>
      <c r="AF20" s="25">
        <v>2667530</v>
      </c>
      <c r="AG20" s="25">
        <v>2667530</v>
      </c>
      <c r="AH20" s="25">
        <v>2667530</v>
      </c>
      <c r="AI20" s="25">
        <v>2667530</v>
      </c>
      <c r="AJ20" s="25">
        <v>2667530</v>
      </c>
      <c r="AK20" s="25">
        <v>2667530</v>
      </c>
      <c r="AL20" s="25">
        <v>2667530</v>
      </c>
      <c r="AM20" s="25">
        <v>2667530</v>
      </c>
    </row>
    <row r="21" spans="1:39">
      <c r="A21" t="s">
        <v>353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 t="s">
        <v>354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242503</v>
      </c>
      <c r="L22">
        <v>485005</v>
      </c>
      <c r="M22">
        <v>727508</v>
      </c>
      <c r="N22">
        <v>970011</v>
      </c>
      <c r="O22" s="25">
        <v>1212510</v>
      </c>
      <c r="P22" s="25">
        <v>1697520</v>
      </c>
      <c r="Q22" s="25">
        <v>2182520</v>
      </c>
      <c r="R22" s="25">
        <v>2667530</v>
      </c>
      <c r="S22" s="25">
        <v>3395040</v>
      </c>
      <c r="T22" s="25">
        <v>4122540</v>
      </c>
      <c r="U22" s="25">
        <v>5092560</v>
      </c>
      <c r="V22" s="25">
        <v>6305070</v>
      </c>
      <c r="W22" s="25">
        <v>7517580</v>
      </c>
      <c r="X22" s="25">
        <v>8972600</v>
      </c>
      <c r="Y22" s="25">
        <v>10670100</v>
      </c>
      <c r="Z22" s="25">
        <v>12367600</v>
      </c>
      <c r="AA22" s="25">
        <v>14065200</v>
      </c>
      <c r="AB22" s="25">
        <v>16005200</v>
      </c>
      <c r="AC22" s="25">
        <v>18187700</v>
      </c>
      <c r="AD22" s="25">
        <v>20855200</v>
      </c>
      <c r="AE22" s="25">
        <v>23765300</v>
      </c>
      <c r="AF22" s="25">
        <v>26917800</v>
      </c>
      <c r="AG22" s="25">
        <v>30070300</v>
      </c>
      <c r="AH22" s="25">
        <v>33222900</v>
      </c>
      <c r="AI22" s="25">
        <v>36132900</v>
      </c>
      <c r="AJ22" s="25">
        <v>39042900</v>
      </c>
      <c r="AK22" s="25">
        <v>41468000</v>
      </c>
      <c r="AL22" s="25">
        <v>43650500</v>
      </c>
      <c r="AM22" s="25">
        <v>48258000</v>
      </c>
    </row>
    <row r="23" spans="1:39">
      <c r="A23" t="s">
        <v>355</v>
      </c>
      <c r="B23" s="25">
        <v>132165000</v>
      </c>
      <c r="C23" s="25">
        <v>131529000</v>
      </c>
      <c r="D23" s="25">
        <v>130756000</v>
      </c>
      <c r="E23" s="25">
        <v>129892000</v>
      </c>
      <c r="F23" s="25">
        <v>128937000</v>
      </c>
      <c r="G23" s="25">
        <v>127846000</v>
      </c>
      <c r="H23" s="25">
        <v>126618000</v>
      </c>
      <c r="I23" s="25">
        <v>125254000</v>
      </c>
      <c r="J23" s="25">
        <v>123754000</v>
      </c>
      <c r="K23" s="25">
        <v>122072000</v>
      </c>
      <c r="L23" s="25">
        <v>120162000</v>
      </c>
      <c r="M23" s="25">
        <v>118071000</v>
      </c>
      <c r="N23" s="25">
        <v>115798000</v>
      </c>
      <c r="O23" s="25">
        <v>113343000</v>
      </c>
      <c r="P23" s="25">
        <v>110706000</v>
      </c>
      <c r="Q23" s="25">
        <v>107932000</v>
      </c>
      <c r="R23" s="25">
        <v>105068000</v>
      </c>
      <c r="S23" s="25">
        <v>102113000</v>
      </c>
      <c r="T23" s="25">
        <v>99021500</v>
      </c>
      <c r="U23" s="25">
        <v>95793500</v>
      </c>
      <c r="V23" s="25">
        <v>92429100</v>
      </c>
      <c r="W23" s="25">
        <v>88928400</v>
      </c>
      <c r="X23" s="25">
        <v>85291200</v>
      </c>
      <c r="Y23" s="25">
        <v>81517700</v>
      </c>
      <c r="Z23" s="25">
        <v>77607700</v>
      </c>
      <c r="AA23" s="25">
        <v>73606900</v>
      </c>
      <c r="AB23" s="25">
        <v>69515100</v>
      </c>
      <c r="AC23" s="25">
        <v>65377800</v>
      </c>
      <c r="AD23" s="25">
        <v>61195100</v>
      </c>
      <c r="AE23" s="25">
        <v>56966900</v>
      </c>
      <c r="AF23" s="25">
        <v>52738700</v>
      </c>
      <c r="AG23" s="25">
        <v>48510500</v>
      </c>
      <c r="AH23" s="25">
        <v>44327800</v>
      </c>
      <c r="AI23" s="25">
        <v>40236000</v>
      </c>
      <c r="AJ23" s="25">
        <v>36280600</v>
      </c>
      <c r="AK23" s="25">
        <v>32461600</v>
      </c>
      <c r="AL23" s="25">
        <v>28824400</v>
      </c>
      <c r="AM23" s="25">
        <v>25369100</v>
      </c>
    </row>
    <row r="24" spans="1:39">
      <c r="A24" t="s">
        <v>356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 t="s">
        <v>357</v>
      </c>
      <c r="B25" s="25">
        <v>8865560</v>
      </c>
      <c r="C25" s="25">
        <v>8865560</v>
      </c>
      <c r="D25" s="25">
        <v>8865560</v>
      </c>
      <c r="E25" s="25">
        <v>8865560</v>
      </c>
      <c r="F25" s="25">
        <v>8865560</v>
      </c>
      <c r="G25" s="25">
        <v>8865560</v>
      </c>
      <c r="H25" s="25">
        <v>8911020</v>
      </c>
      <c r="I25" s="25">
        <v>8911020</v>
      </c>
      <c r="J25" s="25">
        <v>8956490</v>
      </c>
      <c r="K25" s="25">
        <v>9001950</v>
      </c>
      <c r="L25" s="25">
        <v>9047420</v>
      </c>
      <c r="M25" s="25">
        <v>9092880</v>
      </c>
      <c r="N25" s="25">
        <v>9138340</v>
      </c>
      <c r="O25" s="25">
        <v>9183810</v>
      </c>
      <c r="P25" s="25">
        <v>9229270</v>
      </c>
      <c r="Q25" s="25">
        <v>9274740</v>
      </c>
      <c r="R25" s="25">
        <v>9320200</v>
      </c>
      <c r="S25" s="25">
        <v>9365670</v>
      </c>
      <c r="T25" s="25">
        <v>9411130</v>
      </c>
      <c r="U25" s="25">
        <v>9456600</v>
      </c>
      <c r="V25" s="25">
        <v>9502060</v>
      </c>
      <c r="W25" s="25">
        <v>9547520</v>
      </c>
      <c r="X25" s="25">
        <v>9592990</v>
      </c>
      <c r="Y25" s="25">
        <v>9638450</v>
      </c>
      <c r="Z25" s="25">
        <v>9683920</v>
      </c>
      <c r="AA25" s="25">
        <v>9729380</v>
      </c>
      <c r="AB25" s="25">
        <v>9774850</v>
      </c>
      <c r="AC25" s="25">
        <v>9820310</v>
      </c>
      <c r="AD25" s="25">
        <v>9865780</v>
      </c>
      <c r="AE25" s="25">
        <v>9911240</v>
      </c>
      <c r="AF25" s="25">
        <v>9956700</v>
      </c>
      <c r="AG25" s="25">
        <v>10002200</v>
      </c>
      <c r="AH25" s="25">
        <v>10047600</v>
      </c>
      <c r="AI25" s="25">
        <v>10047600</v>
      </c>
      <c r="AJ25" s="25">
        <v>10047600</v>
      </c>
      <c r="AK25" s="25">
        <v>10047600</v>
      </c>
      <c r="AL25" s="25">
        <v>10047600</v>
      </c>
      <c r="AM25" s="25">
        <v>10093100</v>
      </c>
    </row>
    <row r="26" spans="1:39">
      <c r="A26" t="s">
        <v>358</v>
      </c>
      <c r="B26" s="25">
        <v>1555770</v>
      </c>
      <c r="C26" s="25">
        <v>1555770</v>
      </c>
      <c r="D26" s="25">
        <v>1555770</v>
      </c>
      <c r="E26" s="25">
        <v>1555770</v>
      </c>
      <c r="F26" s="25">
        <v>1555770</v>
      </c>
      <c r="G26" s="25">
        <v>1555770</v>
      </c>
      <c r="H26" s="25">
        <v>1555770</v>
      </c>
      <c r="I26" s="25">
        <v>1555770</v>
      </c>
      <c r="J26" s="25">
        <v>1555770</v>
      </c>
      <c r="K26" s="25">
        <v>1555770</v>
      </c>
      <c r="L26" s="25">
        <v>1555770</v>
      </c>
      <c r="M26" s="25">
        <v>1555770</v>
      </c>
      <c r="N26" s="25">
        <v>1555770</v>
      </c>
      <c r="O26" s="25">
        <v>1555770</v>
      </c>
      <c r="P26" s="25">
        <v>1555770</v>
      </c>
      <c r="Q26" s="25">
        <v>1555770</v>
      </c>
      <c r="R26" s="25">
        <v>1496720</v>
      </c>
      <c r="S26" s="25">
        <v>1408160</v>
      </c>
      <c r="T26" s="25">
        <v>1290080</v>
      </c>
      <c r="U26" s="25">
        <v>1142470</v>
      </c>
      <c r="V26">
        <v>994864</v>
      </c>
      <c r="W26">
        <v>876780</v>
      </c>
      <c r="X26">
        <v>729174</v>
      </c>
      <c r="Y26">
        <v>581568</v>
      </c>
      <c r="Z26">
        <v>433962</v>
      </c>
      <c r="AA26">
        <v>286356</v>
      </c>
      <c r="AB26">
        <v>197792</v>
      </c>
      <c r="AC26">
        <v>109228</v>
      </c>
      <c r="AD26">
        <v>50186</v>
      </c>
      <c r="AE26">
        <v>20664.8</v>
      </c>
      <c r="AF26">
        <v>5904.24</v>
      </c>
      <c r="AG26">
        <v>5904.24</v>
      </c>
      <c r="AH26">
        <v>5904.24</v>
      </c>
      <c r="AI26">
        <v>5904.24</v>
      </c>
      <c r="AJ26">
        <v>5904.24</v>
      </c>
      <c r="AK26">
        <v>5904.24</v>
      </c>
      <c r="AL26">
        <v>5904.24</v>
      </c>
      <c r="AM26">
        <v>5904.24</v>
      </c>
    </row>
    <row r="27" spans="1:39">
      <c r="A27" t="s">
        <v>359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 t="s">
        <v>360</v>
      </c>
      <c r="B28">
        <v>0</v>
      </c>
      <c r="C28">
        <v>0</v>
      </c>
      <c r="D28">
        <v>0</v>
      </c>
      <c r="E28">
        <v>0</v>
      </c>
      <c r="F28">
        <v>0</v>
      </c>
      <c r="G28">
        <v>14760.6</v>
      </c>
      <c r="H28">
        <v>29521.2</v>
      </c>
      <c r="I28">
        <v>44281.8</v>
      </c>
      <c r="J28">
        <v>59042.4</v>
      </c>
      <c r="K28">
        <v>73803</v>
      </c>
      <c r="L28">
        <v>88563.6</v>
      </c>
      <c r="M28">
        <v>103324</v>
      </c>
      <c r="N28">
        <v>118085</v>
      </c>
      <c r="O28">
        <v>132845</v>
      </c>
      <c r="P28">
        <v>162367</v>
      </c>
      <c r="Q28">
        <v>191888</v>
      </c>
      <c r="R28">
        <v>221409</v>
      </c>
      <c r="S28">
        <v>250930</v>
      </c>
      <c r="T28">
        <v>280451</v>
      </c>
      <c r="U28">
        <v>309973</v>
      </c>
      <c r="V28">
        <v>339494</v>
      </c>
      <c r="W28">
        <v>369015</v>
      </c>
      <c r="X28">
        <v>398536</v>
      </c>
      <c r="Y28">
        <v>428057</v>
      </c>
      <c r="Z28">
        <v>457579</v>
      </c>
      <c r="AA28">
        <v>487100</v>
      </c>
      <c r="AB28">
        <v>516621</v>
      </c>
      <c r="AC28">
        <v>546142</v>
      </c>
      <c r="AD28">
        <v>575663</v>
      </c>
      <c r="AE28">
        <v>605185</v>
      </c>
      <c r="AF28">
        <v>634706</v>
      </c>
      <c r="AG28">
        <v>664227</v>
      </c>
      <c r="AH28">
        <v>693748</v>
      </c>
      <c r="AI28">
        <v>723269</v>
      </c>
      <c r="AJ28">
        <v>752791</v>
      </c>
      <c r="AK28">
        <v>782312</v>
      </c>
      <c r="AL28">
        <v>811833</v>
      </c>
      <c r="AM28">
        <v>841354</v>
      </c>
    </row>
    <row r="29" spans="1:39">
      <c r="A29" t="s">
        <v>361</v>
      </c>
      <c r="B29">
        <v>109470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362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 t="s">
        <v>363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 t="s">
        <v>364</v>
      </c>
      <c r="B32" s="25">
        <v>138511000</v>
      </c>
      <c r="C32" s="25">
        <v>138209000</v>
      </c>
      <c r="D32" s="25">
        <v>137856000</v>
      </c>
      <c r="E32" s="25">
        <v>137442000</v>
      </c>
      <c r="F32" s="25">
        <v>136944000</v>
      </c>
      <c r="G32" s="25">
        <v>136349000</v>
      </c>
      <c r="H32" s="25">
        <v>135645000</v>
      </c>
      <c r="I32" s="25">
        <v>134795000</v>
      </c>
      <c r="J32" s="25">
        <v>133812000</v>
      </c>
      <c r="K32" s="25">
        <v>132696000</v>
      </c>
      <c r="L32" s="25">
        <v>131422000</v>
      </c>
      <c r="M32" s="25">
        <v>129942000</v>
      </c>
      <c r="N32" s="25">
        <v>128196000</v>
      </c>
      <c r="O32" s="25">
        <v>126134000</v>
      </c>
      <c r="P32" s="25">
        <v>123733000</v>
      </c>
      <c r="Q32" s="25">
        <v>121004000</v>
      </c>
      <c r="R32" s="25">
        <v>117985000</v>
      </c>
      <c r="S32" s="25">
        <v>114699000</v>
      </c>
      <c r="T32" s="25">
        <v>111255000</v>
      </c>
      <c r="U32" s="25">
        <v>107690000</v>
      </c>
      <c r="V32" s="25">
        <v>103979000</v>
      </c>
      <c r="W32" s="25">
        <v>100063000</v>
      </c>
      <c r="X32" s="25">
        <v>95903400</v>
      </c>
      <c r="Y32" s="25">
        <v>91489800</v>
      </c>
      <c r="Z32" s="25">
        <v>86833600</v>
      </c>
      <c r="AA32" s="25">
        <v>81886500</v>
      </c>
      <c r="AB32" s="25">
        <v>76624200</v>
      </c>
      <c r="AC32" s="25">
        <v>71119500</v>
      </c>
      <c r="AD32" s="25">
        <v>65384300</v>
      </c>
      <c r="AE32" s="25">
        <v>59455300</v>
      </c>
      <c r="AF32" s="25">
        <v>53283900</v>
      </c>
      <c r="AG32" s="25">
        <v>46894300</v>
      </c>
      <c r="AH32" s="25">
        <v>40383600</v>
      </c>
      <c r="AI32" s="25">
        <v>33812300</v>
      </c>
      <c r="AJ32" s="25">
        <v>27144200</v>
      </c>
      <c r="AK32" s="25">
        <v>20330700</v>
      </c>
      <c r="AL32" s="25">
        <v>13408200</v>
      </c>
      <c r="AM32" s="25">
        <v>6607050</v>
      </c>
    </row>
    <row r="33" spans="1:39">
      <c r="A33" t="s">
        <v>365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 t="s">
        <v>366</v>
      </c>
      <c r="B34" s="25">
        <v>32065700</v>
      </c>
      <c r="C34" s="25">
        <v>90939200</v>
      </c>
      <c r="D34" s="25">
        <v>114709000</v>
      </c>
      <c r="E34" s="25">
        <v>118296000</v>
      </c>
      <c r="F34" s="25">
        <v>118295000</v>
      </c>
      <c r="G34" s="25">
        <v>118307000</v>
      </c>
      <c r="H34" s="25">
        <v>118318000</v>
      </c>
      <c r="I34" s="25">
        <v>118329000</v>
      </c>
      <c r="J34" s="25">
        <v>118341000</v>
      </c>
      <c r="K34" s="25">
        <v>118352000</v>
      </c>
      <c r="L34" s="25">
        <v>118364000</v>
      </c>
      <c r="M34" s="25">
        <v>118387000</v>
      </c>
      <c r="N34" s="25">
        <v>118411000</v>
      </c>
      <c r="O34" s="25">
        <v>118435000</v>
      </c>
      <c r="P34" s="25">
        <v>118459000</v>
      </c>
      <c r="Q34" s="25">
        <v>118483000</v>
      </c>
      <c r="R34" s="25">
        <v>118507000</v>
      </c>
      <c r="S34" s="25">
        <v>118530000</v>
      </c>
      <c r="T34" s="25">
        <v>118554000</v>
      </c>
      <c r="U34" s="25">
        <v>118578000</v>
      </c>
      <c r="V34" s="25">
        <v>118614000</v>
      </c>
      <c r="W34" s="25">
        <v>118650000</v>
      </c>
      <c r="X34" s="25">
        <v>118685000</v>
      </c>
      <c r="Y34" s="25">
        <v>118721000</v>
      </c>
      <c r="Z34" s="25">
        <v>118757000</v>
      </c>
      <c r="AA34" s="25">
        <v>118793000</v>
      </c>
      <c r="AB34" s="25">
        <v>118828000</v>
      </c>
      <c r="AC34" s="25">
        <v>118864000</v>
      </c>
      <c r="AD34" s="25">
        <v>118900000</v>
      </c>
      <c r="AE34" s="25">
        <v>118923000</v>
      </c>
      <c r="AF34" s="25">
        <v>118959000</v>
      </c>
      <c r="AG34" s="25">
        <v>118982000</v>
      </c>
      <c r="AH34" s="25">
        <v>119005000</v>
      </c>
      <c r="AI34" s="25">
        <v>119029000</v>
      </c>
      <c r="AJ34" s="25">
        <v>119052000</v>
      </c>
      <c r="AK34" s="25">
        <v>119063000</v>
      </c>
      <c r="AL34" s="25">
        <v>119074000</v>
      </c>
      <c r="AM34" s="25">
        <v>119097000</v>
      </c>
    </row>
    <row r="35" spans="1:39">
      <c r="A35" t="s">
        <v>367</v>
      </c>
      <c r="B35" s="25">
        <v>158508000</v>
      </c>
      <c r="C35" s="25">
        <v>152818000</v>
      </c>
      <c r="D35" s="25">
        <v>152436000</v>
      </c>
      <c r="E35" s="25">
        <v>153018000</v>
      </c>
      <c r="F35" s="25">
        <v>153109000</v>
      </c>
      <c r="G35" s="25">
        <v>149813000</v>
      </c>
      <c r="H35" s="25">
        <v>144659000</v>
      </c>
      <c r="I35" s="25">
        <v>140322000</v>
      </c>
      <c r="J35" s="25">
        <v>136411000</v>
      </c>
      <c r="K35" s="25">
        <v>131919000</v>
      </c>
      <c r="L35" s="25">
        <v>127657000</v>
      </c>
      <c r="M35" s="25">
        <v>122891000</v>
      </c>
      <c r="N35" s="25">
        <v>117933000</v>
      </c>
      <c r="O35" s="25">
        <v>113204000</v>
      </c>
      <c r="P35" s="25">
        <v>108927000</v>
      </c>
      <c r="Q35" s="25">
        <v>104269000</v>
      </c>
      <c r="R35" s="25">
        <v>99821200</v>
      </c>
      <c r="S35" s="25">
        <v>95069900</v>
      </c>
      <c r="T35" s="25">
        <v>91040800</v>
      </c>
      <c r="U35" s="25">
        <v>86633900</v>
      </c>
      <c r="V35" s="25">
        <v>82101600</v>
      </c>
      <c r="W35" s="25">
        <v>78372100</v>
      </c>
      <c r="X35" s="25">
        <v>74372400</v>
      </c>
      <c r="Y35" s="25">
        <v>70786600</v>
      </c>
      <c r="Z35" s="25">
        <v>67238900</v>
      </c>
      <c r="AA35" s="25">
        <v>63962900</v>
      </c>
      <c r="AB35" s="25">
        <v>61055200</v>
      </c>
      <c r="AC35" s="25">
        <v>58238900</v>
      </c>
      <c r="AD35" s="25">
        <v>55706700</v>
      </c>
      <c r="AE35" s="25">
        <v>53440700</v>
      </c>
      <c r="AF35" s="25">
        <v>51089700</v>
      </c>
      <c r="AG35" s="25">
        <v>49210300</v>
      </c>
      <c r="AH35" s="25">
        <v>47213000</v>
      </c>
      <c r="AI35" s="25">
        <v>45633400</v>
      </c>
      <c r="AJ35" s="25">
        <v>43937200</v>
      </c>
      <c r="AK35" s="25">
        <v>42779600</v>
      </c>
      <c r="AL35" s="25">
        <v>41435600</v>
      </c>
      <c r="AM35" s="25">
        <v>40664500</v>
      </c>
    </row>
    <row r="36" spans="1:39">
      <c r="A36" t="s">
        <v>368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 t="s">
        <v>369</v>
      </c>
      <c r="B37">
        <v>0</v>
      </c>
      <c r="C37">
        <v>0</v>
      </c>
      <c r="D37">
        <v>0</v>
      </c>
      <c r="E37">
        <v>0</v>
      </c>
      <c r="F37">
        <v>0</v>
      </c>
      <c r="G37">
        <v>15460.2</v>
      </c>
      <c r="H37">
        <v>30748.9</v>
      </c>
      <c r="I37">
        <v>46466.2</v>
      </c>
      <c r="J37">
        <v>62021.8</v>
      </c>
      <c r="K37">
        <v>93006.3</v>
      </c>
      <c r="L37">
        <v>123541</v>
      </c>
      <c r="M37">
        <v>153647</v>
      </c>
      <c r="N37">
        <v>183689</v>
      </c>
      <c r="O37">
        <v>213422</v>
      </c>
      <c r="P37">
        <v>244162</v>
      </c>
      <c r="Q37">
        <v>289785</v>
      </c>
      <c r="R37">
        <v>337054</v>
      </c>
      <c r="S37">
        <v>382175</v>
      </c>
      <c r="T37">
        <v>430177</v>
      </c>
      <c r="U37">
        <v>476281</v>
      </c>
      <c r="V37">
        <v>536007</v>
      </c>
      <c r="W37">
        <v>600403</v>
      </c>
      <c r="X37">
        <v>661660</v>
      </c>
      <c r="Y37">
        <v>724894</v>
      </c>
      <c r="Z37">
        <v>786408</v>
      </c>
      <c r="AA37">
        <v>848514</v>
      </c>
      <c r="AB37">
        <v>911811</v>
      </c>
      <c r="AC37">
        <v>974565</v>
      </c>
      <c r="AD37" s="25">
        <v>1025600</v>
      </c>
      <c r="AE37" s="25">
        <v>1076990</v>
      </c>
      <c r="AF37" s="25">
        <v>1124700</v>
      </c>
      <c r="AG37" s="25">
        <v>1179780</v>
      </c>
      <c r="AH37" s="25">
        <v>1228070</v>
      </c>
      <c r="AI37" s="25">
        <v>1268990</v>
      </c>
      <c r="AJ37" s="25">
        <v>1303560</v>
      </c>
      <c r="AK37" s="25">
        <v>1334650</v>
      </c>
      <c r="AL37" s="25">
        <v>1357490</v>
      </c>
      <c r="AM37" s="25">
        <v>1428940</v>
      </c>
    </row>
    <row r="38" spans="1:39">
      <c r="A38" t="s">
        <v>370</v>
      </c>
      <c r="B38" s="25">
        <v>80248700</v>
      </c>
      <c r="C38" s="25">
        <v>80248700</v>
      </c>
      <c r="D38" s="25">
        <v>80248700</v>
      </c>
      <c r="E38" s="25">
        <v>80248700</v>
      </c>
      <c r="F38" s="25">
        <v>80248700</v>
      </c>
      <c r="G38" s="25">
        <v>80248700</v>
      </c>
      <c r="H38" s="25">
        <v>80248700</v>
      </c>
      <c r="I38" s="25">
        <v>80248700</v>
      </c>
      <c r="J38" s="25">
        <v>80248700</v>
      </c>
      <c r="K38" s="25">
        <v>80248700</v>
      </c>
      <c r="L38" s="25">
        <v>80248700</v>
      </c>
      <c r="M38" s="25">
        <v>80248700</v>
      </c>
      <c r="N38" s="25">
        <v>80248700</v>
      </c>
      <c r="O38" s="25">
        <v>80248700</v>
      </c>
      <c r="P38" s="25">
        <v>80164900</v>
      </c>
      <c r="Q38" s="25">
        <v>80081000</v>
      </c>
      <c r="R38" s="25">
        <v>79913400</v>
      </c>
      <c r="S38" s="25">
        <v>79745700</v>
      </c>
      <c r="T38" s="25">
        <v>79158900</v>
      </c>
      <c r="U38" s="25">
        <v>78404400</v>
      </c>
      <c r="V38" s="25">
        <v>77146900</v>
      </c>
      <c r="W38" s="25">
        <v>74715700</v>
      </c>
      <c r="X38" s="25">
        <v>72284500</v>
      </c>
      <c r="Y38" s="25">
        <v>70272500</v>
      </c>
      <c r="Z38" s="25">
        <v>68512000</v>
      </c>
      <c r="AA38" s="25">
        <v>65997100</v>
      </c>
      <c r="AB38" s="25">
        <v>56020900</v>
      </c>
      <c r="AC38" s="25">
        <v>42607600</v>
      </c>
      <c r="AD38" s="25">
        <v>26092400</v>
      </c>
      <c r="AE38" s="25">
        <v>3038320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371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 t="s">
        <v>372</v>
      </c>
      <c r="B40" s="25">
        <v>15593000</v>
      </c>
      <c r="C40" s="25">
        <v>50216100</v>
      </c>
      <c r="D40" s="25">
        <v>68324100</v>
      </c>
      <c r="E40" s="25">
        <v>79893000</v>
      </c>
      <c r="F40" s="25">
        <v>84839200</v>
      </c>
      <c r="G40" s="25">
        <v>102696000</v>
      </c>
      <c r="H40" s="25">
        <v>121977000</v>
      </c>
      <c r="I40" s="25">
        <v>136229000</v>
      </c>
      <c r="J40" s="25">
        <v>155762000</v>
      </c>
      <c r="K40" s="25">
        <v>177223000</v>
      </c>
      <c r="L40" s="25">
        <v>196337000</v>
      </c>
      <c r="M40" s="25">
        <v>219894000</v>
      </c>
      <c r="N40" s="25">
        <v>243116000</v>
      </c>
      <c r="O40" s="25">
        <v>265081000</v>
      </c>
      <c r="P40" s="25">
        <v>287967000</v>
      </c>
      <c r="Q40" s="25">
        <v>311608000</v>
      </c>
      <c r="R40" s="25">
        <v>335668000</v>
      </c>
      <c r="S40" s="25">
        <v>360818000</v>
      </c>
      <c r="T40" s="25">
        <v>385381000</v>
      </c>
      <c r="U40" s="25">
        <v>410196000</v>
      </c>
      <c r="V40" s="25">
        <v>437106000</v>
      </c>
      <c r="W40" s="25">
        <v>464268000</v>
      </c>
      <c r="X40" s="25">
        <v>491430000</v>
      </c>
      <c r="Y40" s="25">
        <v>520017000</v>
      </c>
      <c r="Z40" s="25">
        <v>547766000</v>
      </c>
      <c r="AA40" s="25">
        <v>573838000</v>
      </c>
      <c r="AB40" s="25">
        <v>598150000</v>
      </c>
      <c r="AC40" s="25">
        <v>622964000</v>
      </c>
      <c r="AD40" s="25">
        <v>642833000</v>
      </c>
      <c r="AE40" s="25">
        <v>661528000</v>
      </c>
      <c r="AF40" s="25">
        <v>659368000</v>
      </c>
      <c r="AG40" s="25">
        <v>658614000</v>
      </c>
      <c r="AH40" s="25">
        <v>659704000</v>
      </c>
      <c r="AI40" s="25">
        <v>660794000</v>
      </c>
      <c r="AJ40" s="25">
        <v>667500000</v>
      </c>
      <c r="AK40" s="25">
        <v>674542000</v>
      </c>
      <c r="AL40" s="25">
        <v>682003000</v>
      </c>
      <c r="AM40" s="25">
        <v>696842000</v>
      </c>
    </row>
    <row r="41" spans="1:39">
      <c r="A41" t="s">
        <v>373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374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 t="s">
        <v>375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>
      <c r="A44" t="s">
        <v>376</v>
      </c>
      <c r="B44">
        <v>821905</v>
      </c>
      <c r="C44">
        <v>507068</v>
      </c>
      <c r="D44">
        <v>139693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377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 t="s">
        <v>378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>
      <c r="A47" t="s">
        <v>379</v>
      </c>
      <c r="B47" s="25">
        <v>197797000</v>
      </c>
      <c r="C47" s="25">
        <v>197098000</v>
      </c>
      <c r="D47" s="25">
        <v>196299000</v>
      </c>
      <c r="E47" s="25">
        <v>195401000</v>
      </c>
      <c r="F47" s="25">
        <v>194352000</v>
      </c>
      <c r="G47" s="25">
        <v>193154000</v>
      </c>
      <c r="H47" s="25">
        <v>191805000</v>
      </c>
      <c r="I47" s="25">
        <v>190258000</v>
      </c>
      <c r="J47" s="25">
        <v>188510000</v>
      </c>
      <c r="K47" s="25">
        <v>186513000</v>
      </c>
      <c r="L47" s="25">
        <v>184166000</v>
      </c>
      <c r="M47" s="25">
        <v>181519000</v>
      </c>
      <c r="N47" s="25">
        <v>178573000</v>
      </c>
      <c r="O47" s="25">
        <v>175328000</v>
      </c>
      <c r="P47" s="25">
        <v>171783000</v>
      </c>
      <c r="Q47" s="25">
        <v>168038000</v>
      </c>
      <c r="R47" s="25">
        <v>164193000</v>
      </c>
      <c r="S47" s="25">
        <v>160198000</v>
      </c>
      <c r="T47" s="25">
        <v>156054000</v>
      </c>
      <c r="U47" s="25">
        <v>151710000</v>
      </c>
      <c r="V47" s="25">
        <v>147116000</v>
      </c>
      <c r="W47" s="25">
        <v>142273000</v>
      </c>
      <c r="X47" s="25">
        <v>137180000</v>
      </c>
      <c r="Y47" s="25">
        <v>131887000</v>
      </c>
      <c r="Z47" s="25">
        <v>126345000</v>
      </c>
      <c r="AA47" s="25">
        <v>120552000</v>
      </c>
      <c r="AB47" s="25">
        <v>114611000</v>
      </c>
      <c r="AC47" s="25">
        <v>108519000</v>
      </c>
      <c r="AD47" s="25">
        <v>102227000</v>
      </c>
      <c r="AE47" s="25">
        <v>95836200</v>
      </c>
      <c r="AF47" s="25">
        <v>89394900</v>
      </c>
      <c r="AG47" s="25">
        <v>82903800</v>
      </c>
      <c r="AH47" s="25">
        <v>76362700</v>
      </c>
      <c r="AI47" s="25">
        <v>69771600</v>
      </c>
      <c r="AJ47" s="25">
        <v>63330400</v>
      </c>
      <c r="AK47" s="25">
        <v>57088900</v>
      </c>
      <c r="AL47" s="25">
        <v>51147000</v>
      </c>
      <c r="AM47" s="25">
        <v>45454800</v>
      </c>
    </row>
    <row r="48" spans="1:39">
      <c r="A48" t="s">
        <v>380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 t="s">
        <v>381</v>
      </c>
      <c r="B49" s="25">
        <v>13281900</v>
      </c>
      <c r="C49" s="25">
        <v>13281900</v>
      </c>
      <c r="D49" s="25">
        <v>13281900</v>
      </c>
      <c r="E49" s="25">
        <v>13281900</v>
      </c>
      <c r="F49" s="25">
        <v>13281900</v>
      </c>
      <c r="G49" s="25">
        <v>13381800</v>
      </c>
      <c r="H49" s="25">
        <v>13481600</v>
      </c>
      <c r="I49" s="25">
        <v>13581500</v>
      </c>
      <c r="J49" s="25">
        <v>13731300</v>
      </c>
      <c r="K49" s="25">
        <v>13881100</v>
      </c>
      <c r="L49" s="25">
        <v>14030900</v>
      </c>
      <c r="M49" s="25">
        <v>14180700</v>
      </c>
      <c r="N49" s="25">
        <v>14330500</v>
      </c>
      <c r="O49" s="25">
        <v>14480300</v>
      </c>
      <c r="P49" s="25">
        <v>14680000</v>
      </c>
      <c r="Q49" s="25">
        <v>14879700</v>
      </c>
      <c r="R49" s="25">
        <v>15079500</v>
      </c>
      <c r="S49" s="25">
        <v>15279200</v>
      </c>
      <c r="T49" s="25">
        <v>15478900</v>
      </c>
      <c r="U49" s="25">
        <v>15678600</v>
      </c>
      <c r="V49" s="25">
        <v>15928300</v>
      </c>
      <c r="W49" s="25">
        <v>16178000</v>
      </c>
      <c r="X49" s="25">
        <v>16427600</v>
      </c>
      <c r="Y49" s="25">
        <v>16677300</v>
      </c>
      <c r="Z49" s="25">
        <v>16926900</v>
      </c>
      <c r="AA49" s="25">
        <v>17176600</v>
      </c>
      <c r="AB49" s="25">
        <v>17376300</v>
      </c>
      <c r="AC49" s="25">
        <v>17576100</v>
      </c>
      <c r="AD49" s="25">
        <v>17725900</v>
      </c>
      <c r="AE49" s="25">
        <v>17875700</v>
      </c>
      <c r="AF49" s="25">
        <v>18025500</v>
      </c>
      <c r="AG49" s="25">
        <v>18175200</v>
      </c>
      <c r="AH49" s="25">
        <v>18325000</v>
      </c>
      <c r="AI49" s="25">
        <v>18424900</v>
      </c>
      <c r="AJ49" s="25">
        <v>18524800</v>
      </c>
      <c r="AK49" s="25">
        <v>18574700</v>
      </c>
      <c r="AL49" s="25">
        <v>18624600</v>
      </c>
      <c r="AM49" s="25">
        <v>18774400</v>
      </c>
    </row>
    <row r="52" spans="1:39">
      <c r="A52" t="s">
        <v>398</v>
      </c>
      <c r="B52">
        <v>2023</v>
      </c>
      <c r="C52">
        <v>2024</v>
      </c>
      <c r="D52">
        <v>2025</v>
      </c>
      <c r="E52">
        <v>2026</v>
      </c>
      <c r="F52">
        <v>2027</v>
      </c>
      <c r="G52">
        <v>2028</v>
      </c>
      <c r="H52">
        <v>2029</v>
      </c>
      <c r="I52">
        <v>2030</v>
      </c>
      <c r="J52">
        <v>2031</v>
      </c>
      <c r="K52">
        <v>2032</v>
      </c>
      <c r="L52">
        <v>2033</v>
      </c>
      <c r="M52">
        <v>2034</v>
      </c>
      <c r="N52">
        <v>2035</v>
      </c>
      <c r="O52">
        <v>2036</v>
      </c>
      <c r="P52">
        <v>2037</v>
      </c>
      <c r="Q52">
        <v>2038</v>
      </c>
      <c r="R52">
        <v>2039</v>
      </c>
      <c r="S52">
        <v>2040</v>
      </c>
      <c r="T52">
        <v>2041</v>
      </c>
      <c r="U52">
        <v>2042</v>
      </c>
      <c r="V52">
        <v>2043</v>
      </c>
      <c r="W52">
        <v>2044</v>
      </c>
      <c r="X52">
        <v>2045</v>
      </c>
      <c r="Y52">
        <v>2046</v>
      </c>
      <c r="Z52">
        <v>2047</v>
      </c>
      <c r="AA52">
        <v>2048</v>
      </c>
      <c r="AB52">
        <v>2049</v>
      </c>
      <c r="AC52">
        <v>2050</v>
      </c>
      <c r="AD52">
        <v>2051</v>
      </c>
      <c r="AE52">
        <v>2052</v>
      </c>
      <c r="AF52">
        <v>2053</v>
      </c>
      <c r="AG52">
        <v>2054</v>
      </c>
      <c r="AH52">
        <v>2055</v>
      </c>
      <c r="AI52">
        <v>2056</v>
      </c>
      <c r="AJ52">
        <v>2057</v>
      </c>
      <c r="AK52">
        <v>2058</v>
      </c>
      <c r="AL52">
        <v>2059</v>
      </c>
      <c r="AM52">
        <v>2060</v>
      </c>
    </row>
    <row r="53" spans="1:39">
      <c r="A53" t="s">
        <v>382</v>
      </c>
      <c r="B53">
        <v>0.542315</v>
      </c>
      <c r="C53">
        <v>0.534028</v>
      </c>
      <c r="D53">
        <v>0.542959</v>
      </c>
      <c r="E53">
        <v>0.550265</v>
      </c>
      <c r="F53">
        <v>0.552146</v>
      </c>
      <c r="G53">
        <v>0.535234</v>
      </c>
      <c r="H53">
        <v>0.511403</v>
      </c>
      <c r="I53">
        <v>0.493376</v>
      </c>
      <c r="J53">
        <v>0.471427</v>
      </c>
      <c r="K53">
        <v>0.449403</v>
      </c>
      <c r="L53">
        <v>0.429921</v>
      </c>
      <c r="M53">
        <v>0.407855</v>
      </c>
      <c r="N53">
        <v>0.387249</v>
      </c>
      <c r="O53">
        <v>0.36821</v>
      </c>
      <c r="P53">
        <v>0.349341</v>
      </c>
      <c r="Q53">
        <v>0.330885</v>
      </c>
      <c r="R53">
        <v>0.312947</v>
      </c>
      <c r="S53">
        <v>0.295222</v>
      </c>
      <c r="T53">
        <v>0.278301</v>
      </c>
      <c r="U53">
        <v>0.261783</v>
      </c>
      <c r="V53">
        <v>0.245755</v>
      </c>
      <c r="W53">
        <v>0.230355</v>
      </c>
      <c r="X53">
        <v>0.215403</v>
      </c>
      <c r="Y53">
        <v>0.201026</v>
      </c>
      <c r="Z53">
        <v>0.187036</v>
      </c>
      <c r="AA53">
        <v>0.173372</v>
      </c>
      <c r="AB53">
        <v>0.160541</v>
      </c>
      <c r="AC53">
        <v>0.147905</v>
      </c>
      <c r="AD53">
        <v>0.13635</v>
      </c>
      <c r="AE53">
        <v>0.125022</v>
      </c>
      <c r="AF53">
        <v>0.114018</v>
      </c>
      <c r="AG53">
        <v>0.103726</v>
      </c>
      <c r="AH53">
        <v>0.0937356</v>
      </c>
      <c r="AI53">
        <v>0.0845026</v>
      </c>
      <c r="AJ53">
        <v>0.0756269</v>
      </c>
      <c r="AK53">
        <v>0.0676579</v>
      </c>
      <c r="AL53">
        <v>0.0598955</v>
      </c>
      <c r="AM53">
        <v>0.0522405</v>
      </c>
    </row>
    <row r="54" spans="1:39">
      <c r="A54" t="s">
        <v>383</v>
      </c>
      <c r="B54" s="25">
        <v>8.58966e-6</v>
      </c>
      <c r="C54" s="25">
        <v>1.10406e-5</v>
      </c>
      <c r="D54" s="25">
        <v>1.18727e-5</v>
      </c>
      <c r="E54" s="25">
        <v>1.03927e-5</v>
      </c>
      <c r="F54" s="25">
        <v>1.76916e-5</v>
      </c>
      <c r="G54" s="25">
        <v>3.03204e-5</v>
      </c>
      <c r="H54" s="25">
        <v>2.32172e-5</v>
      </c>
      <c r="I54" s="25">
        <v>1.90909e-5</v>
      </c>
      <c r="J54" s="25">
        <v>1.44012e-5</v>
      </c>
      <c r="K54" s="25">
        <v>1.21758e-5</v>
      </c>
      <c r="L54" s="25">
        <v>9.89543e-6</v>
      </c>
      <c r="M54" s="25">
        <v>7.68921e-6</v>
      </c>
      <c r="N54" s="25">
        <v>7.62608e-6</v>
      </c>
      <c r="O54" s="25">
        <v>7.30765e-6</v>
      </c>
      <c r="P54" s="25">
        <v>6.71979e-6</v>
      </c>
      <c r="Q54" s="25">
        <v>6.7523e-6</v>
      </c>
      <c r="R54" s="25">
        <v>7.27539e-6</v>
      </c>
      <c r="S54" s="25">
        <v>7.7804e-6</v>
      </c>
      <c r="T54" s="25">
        <v>7.8461e-6</v>
      </c>
      <c r="U54" s="25">
        <v>7.35359e-6</v>
      </c>
      <c r="V54" s="25">
        <v>6.38374e-6</v>
      </c>
      <c r="W54" s="25">
        <v>6.38807e-6</v>
      </c>
      <c r="X54" s="25">
        <v>5.49767e-6</v>
      </c>
      <c r="Y54" s="25">
        <v>5.76743e-6</v>
      </c>
      <c r="Z54" s="25">
        <v>5.34297e-6</v>
      </c>
      <c r="AA54" s="25">
        <v>4.88468e-6</v>
      </c>
      <c r="AB54" s="25">
        <v>4.97778e-6</v>
      </c>
      <c r="AC54" s="25">
        <v>5.24328e-6</v>
      </c>
      <c r="AD54" s="25">
        <v>4.43996e-6</v>
      </c>
      <c r="AE54" s="25">
        <v>3.9619e-6</v>
      </c>
      <c r="AF54" s="25">
        <v>3.79619e-6</v>
      </c>
      <c r="AG54" s="25">
        <v>3.6065e-6</v>
      </c>
      <c r="AH54" s="25">
        <v>3.36903e-6</v>
      </c>
      <c r="AI54" s="25">
        <v>2.92296e-6</v>
      </c>
      <c r="AJ54" s="25">
        <v>2.65645e-6</v>
      </c>
      <c r="AK54" s="25">
        <v>2.39265e-6</v>
      </c>
      <c r="AL54" s="25">
        <v>1.9327e-6</v>
      </c>
      <c r="AM54" s="25">
        <v>1.59308e-6</v>
      </c>
    </row>
    <row r="55" spans="1:39">
      <c r="A55" t="s">
        <v>384</v>
      </c>
      <c r="B55">
        <v>0.0517712</v>
      </c>
      <c r="C55">
        <v>0.0511397</v>
      </c>
      <c r="D55">
        <v>0.0526704</v>
      </c>
      <c r="E55">
        <v>0.0542415</v>
      </c>
      <c r="F55">
        <v>0.056691</v>
      </c>
      <c r="G55">
        <v>0.057422</v>
      </c>
      <c r="H55">
        <v>0.0564076</v>
      </c>
      <c r="I55">
        <v>0.0551318</v>
      </c>
      <c r="J55">
        <v>0.0534609</v>
      </c>
      <c r="K55">
        <v>0.0517958</v>
      </c>
      <c r="L55">
        <v>0.050455</v>
      </c>
      <c r="M55">
        <v>0.0492503</v>
      </c>
      <c r="N55">
        <v>0.0481647</v>
      </c>
      <c r="O55">
        <v>0.0472831</v>
      </c>
      <c r="P55">
        <v>0.0464193</v>
      </c>
      <c r="Q55">
        <v>0.0455891</v>
      </c>
      <c r="R55">
        <v>0.0448118</v>
      </c>
      <c r="S55">
        <v>0.0440484</v>
      </c>
      <c r="T55">
        <v>0.0433898</v>
      </c>
      <c r="U55">
        <v>0.042768</v>
      </c>
      <c r="V55">
        <v>0.0418524</v>
      </c>
      <c r="W55">
        <v>0.0410094</v>
      </c>
      <c r="X55">
        <v>0.0405239</v>
      </c>
      <c r="Y55">
        <v>0.0398086</v>
      </c>
      <c r="Z55">
        <v>0.0394178</v>
      </c>
      <c r="AA55">
        <v>0.039067</v>
      </c>
      <c r="AB55">
        <v>0.0388478</v>
      </c>
      <c r="AC55">
        <v>0.0385792</v>
      </c>
      <c r="AD55">
        <v>0.0381674</v>
      </c>
      <c r="AE55">
        <v>0.0378436</v>
      </c>
      <c r="AF55">
        <v>0.0372125</v>
      </c>
      <c r="AG55">
        <v>0.0366814</v>
      </c>
      <c r="AH55">
        <v>0.0364588</v>
      </c>
      <c r="AI55">
        <v>0.0365868</v>
      </c>
      <c r="AJ55">
        <v>0.0364673</v>
      </c>
      <c r="AK55">
        <v>0.0361792</v>
      </c>
      <c r="AL55">
        <v>0.0359187</v>
      </c>
      <c r="AM55">
        <v>0.0353768</v>
      </c>
    </row>
    <row r="56" spans="1:39">
      <c r="A56" t="s">
        <v>385</v>
      </c>
      <c r="B56">
        <v>0.147008</v>
      </c>
      <c r="C56">
        <v>0.143847</v>
      </c>
      <c r="D56">
        <v>0.136321</v>
      </c>
      <c r="E56">
        <v>0.130123</v>
      </c>
      <c r="F56">
        <v>0.125717</v>
      </c>
      <c r="G56">
        <v>0.122542</v>
      </c>
      <c r="H56">
        <v>0.120319</v>
      </c>
      <c r="I56">
        <v>0.11891</v>
      </c>
      <c r="J56">
        <v>0.117001</v>
      </c>
      <c r="K56">
        <v>0.115123</v>
      </c>
      <c r="L56">
        <v>0.113645</v>
      </c>
      <c r="M56">
        <v>0.111787</v>
      </c>
      <c r="N56">
        <v>0.110084</v>
      </c>
      <c r="O56">
        <v>0.108681</v>
      </c>
      <c r="P56">
        <v>0.107304</v>
      </c>
      <c r="Q56">
        <v>0.105983</v>
      </c>
      <c r="R56">
        <v>0.104743</v>
      </c>
      <c r="S56">
        <v>0.103529</v>
      </c>
      <c r="T56">
        <v>0.10247</v>
      </c>
      <c r="U56">
        <v>0.101455</v>
      </c>
      <c r="V56">
        <v>0.100538</v>
      </c>
      <c r="W56">
        <v>0.0997189</v>
      </c>
      <c r="X56">
        <v>0.0989506</v>
      </c>
      <c r="Y56">
        <v>0.0983586</v>
      </c>
      <c r="Z56">
        <v>0.0977398</v>
      </c>
      <c r="AA56">
        <v>0.09712</v>
      </c>
      <c r="AB56">
        <v>0.0967306</v>
      </c>
      <c r="AC56">
        <v>0.0962044</v>
      </c>
      <c r="AD56">
        <v>0.0958221</v>
      </c>
      <c r="AE56">
        <v>0.0955922</v>
      </c>
      <c r="AF56">
        <v>0.0952781</v>
      </c>
      <c r="AG56">
        <v>0.0951112</v>
      </c>
      <c r="AH56">
        <v>0.0949813</v>
      </c>
      <c r="AI56">
        <v>0.0949791</v>
      </c>
      <c r="AJ56">
        <v>0.0949951</v>
      </c>
      <c r="AK56">
        <v>0.0951826</v>
      </c>
      <c r="AL56">
        <v>0.0954092</v>
      </c>
      <c r="AM56">
        <v>0.0943382</v>
      </c>
    </row>
    <row r="57" spans="1:39">
      <c r="A57" t="s">
        <v>386</v>
      </c>
      <c r="B57">
        <v>0.0904952</v>
      </c>
      <c r="C57">
        <v>0.089522</v>
      </c>
      <c r="D57">
        <v>0.085211</v>
      </c>
      <c r="E57">
        <v>0.0818925</v>
      </c>
      <c r="F57">
        <v>0.0797788</v>
      </c>
      <c r="G57">
        <v>0.0810698</v>
      </c>
      <c r="H57">
        <v>0.0839921</v>
      </c>
      <c r="I57">
        <v>0.0861893</v>
      </c>
      <c r="J57">
        <v>0.0891125</v>
      </c>
      <c r="K57">
        <v>0.0920426</v>
      </c>
      <c r="L57">
        <v>0.0942223</v>
      </c>
      <c r="M57">
        <v>0.0964849</v>
      </c>
      <c r="N57">
        <v>0.0983242</v>
      </c>
      <c r="O57">
        <v>0.0996731</v>
      </c>
      <c r="P57">
        <v>0.100857</v>
      </c>
      <c r="Q57">
        <v>0.101759</v>
      </c>
      <c r="R57">
        <v>0.102702</v>
      </c>
      <c r="S57">
        <v>0.10373</v>
      </c>
      <c r="T57">
        <v>0.104589</v>
      </c>
      <c r="U57">
        <v>0.105388</v>
      </c>
      <c r="V57">
        <v>0.105725</v>
      </c>
      <c r="W57">
        <v>0.105951</v>
      </c>
      <c r="X57">
        <v>0.105919</v>
      </c>
      <c r="Y57">
        <v>0.105268</v>
      </c>
      <c r="Z57">
        <v>0.105094</v>
      </c>
      <c r="AA57">
        <v>0.106217</v>
      </c>
      <c r="AB57">
        <v>0.107929</v>
      </c>
      <c r="AC57">
        <v>0.110232</v>
      </c>
      <c r="AD57">
        <v>0.113261</v>
      </c>
      <c r="AE57">
        <v>0.116214</v>
      </c>
      <c r="AF57">
        <v>0.119205</v>
      </c>
      <c r="AG57">
        <v>0.121928</v>
      </c>
      <c r="AH57">
        <v>0.124465</v>
      </c>
      <c r="AI57">
        <v>0.12672</v>
      </c>
      <c r="AJ57">
        <v>0.128842</v>
      </c>
      <c r="AK57">
        <v>0.130704</v>
      </c>
      <c r="AL57">
        <v>0.132451</v>
      </c>
      <c r="AM57">
        <v>0.133584</v>
      </c>
    </row>
    <row r="58" spans="1:39">
      <c r="A58" t="s">
        <v>387</v>
      </c>
      <c r="B58">
        <v>0.0754435</v>
      </c>
      <c r="C58">
        <v>0.0806867</v>
      </c>
      <c r="D58">
        <v>0.083168</v>
      </c>
      <c r="E58">
        <v>0.0871413</v>
      </c>
      <c r="F58">
        <v>0.092563</v>
      </c>
      <c r="G58">
        <v>0.112924</v>
      </c>
      <c r="H58">
        <v>0.13909</v>
      </c>
      <c r="I58">
        <v>0.159039</v>
      </c>
      <c r="J58">
        <v>0.183262</v>
      </c>
      <c r="K58">
        <v>0.207479</v>
      </c>
      <c r="L58">
        <v>0.228957</v>
      </c>
      <c r="M58">
        <v>0.253388</v>
      </c>
      <c r="N58">
        <v>0.276436</v>
      </c>
      <c r="O58">
        <v>0.297723</v>
      </c>
      <c r="P58">
        <v>0.318881</v>
      </c>
      <c r="Q58">
        <v>0.339793</v>
      </c>
      <c r="R58">
        <v>0.359932</v>
      </c>
      <c r="S58">
        <v>0.379684</v>
      </c>
      <c r="T58">
        <v>0.398426</v>
      </c>
      <c r="U58">
        <v>0.416726</v>
      </c>
      <c r="V58">
        <v>0.435079</v>
      </c>
      <c r="W58">
        <v>0.452693</v>
      </c>
      <c r="X58">
        <v>0.469688</v>
      </c>
      <c r="Y58">
        <v>0.486547</v>
      </c>
      <c r="Z58">
        <v>0.502285</v>
      </c>
      <c r="AA58">
        <v>0.516461</v>
      </c>
      <c r="AB58">
        <v>0.529158</v>
      </c>
      <c r="AC58">
        <v>0.541501</v>
      </c>
      <c r="AD58">
        <v>0.552232</v>
      </c>
      <c r="AE58">
        <v>0.562836</v>
      </c>
      <c r="AF58">
        <v>0.573559</v>
      </c>
      <c r="AG58">
        <v>0.583157</v>
      </c>
      <c r="AH58">
        <v>0.592136</v>
      </c>
      <c r="AI58">
        <v>0.600018</v>
      </c>
      <c r="AJ58">
        <v>0.607554</v>
      </c>
      <c r="AK58">
        <v>0.614258</v>
      </c>
      <c r="AL58">
        <v>0.620741</v>
      </c>
      <c r="AM58">
        <v>0.629551</v>
      </c>
    </row>
    <row r="59" spans="1:39">
      <c r="A59" t="s">
        <v>388</v>
      </c>
      <c r="B59">
        <v>0.000317022</v>
      </c>
      <c r="C59">
        <v>0.000309694</v>
      </c>
      <c r="D59">
        <v>0.000293056</v>
      </c>
      <c r="E59">
        <v>0.000279126</v>
      </c>
      <c r="F59">
        <v>0.000268997</v>
      </c>
      <c r="G59">
        <v>0.00025901</v>
      </c>
      <c r="H59">
        <v>0.000250314</v>
      </c>
      <c r="I59">
        <v>0.000244652</v>
      </c>
      <c r="J59">
        <v>0.000237237</v>
      </c>
      <c r="K59">
        <v>0.000250744</v>
      </c>
      <c r="L59">
        <v>0.000264607</v>
      </c>
      <c r="M59">
        <v>0.000275924</v>
      </c>
      <c r="N59">
        <v>0.000286812</v>
      </c>
      <c r="O59">
        <v>0.000297959</v>
      </c>
      <c r="P59">
        <v>0.000326498</v>
      </c>
      <c r="Q59">
        <v>0.000353515</v>
      </c>
      <c r="R59">
        <v>0.000379285</v>
      </c>
      <c r="S59">
        <v>0.000420416</v>
      </c>
      <c r="T59">
        <v>0.000460298</v>
      </c>
      <c r="U59">
        <v>0.000514603</v>
      </c>
      <c r="V59">
        <v>0.000582272</v>
      </c>
      <c r="W59">
        <v>0.000647644</v>
      </c>
      <c r="X59">
        <v>0.000725922</v>
      </c>
      <c r="Y59">
        <v>0.000817104</v>
      </c>
      <c r="Z59">
        <v>0.000905276</v>
      </c>
      <c r="AA59">
        <v>0.000991149</v>
      </c>
      <c r="AB59">
        <v>0.0010918</v>
      </c>
      <c r="AC59">
        <v>0.00120218</v>
      </c>
      <c r="AD59">
        <v>0.00134147</v>
      </c>
      <c r="AE59">
        <v>0.00149463</v>
      </c>
      <c r="AF59">
        <v>0.00165704</v>
      </c>
      <c r="AG59">
        <v>0.00182078</v>
      </c>
      <c r="AH59">
        <v>0.00198401</v>
      </c>
      <c r="AI59">
        <v>0.00213664</v>
      </c>
      <c r="AJ59">
        <v>0.00228938</v>
      </c>
      <c r="AK59">
        <v>0.00242109</v>
      </c>
      <c r="AL59">
        <v>0.00254127</v>
      </c>
      <c r="AM59">
        <v>0.00275191</v>
      </c>
    </row>
    <row r="60" spans="1:39">
      <c r="A60" t="s">
        <v>389</v>
      </c>
      <c r="B60">
        <v>0.0167607</v>
      </c>
      <c r="C60">
        <v>0.0162994</v>
      </c>
      <c r="D60">
        <v>0.0153389</v>
      </c>
      <c r="E60">
        <v>0.0145193</v>
      </c>
      <c r="F60">
        <v>0.0138962</v>
      </c>
      <c r="G60">
        <v>0.0132743</v>
      </c>
      <c r="H60">
        <v>0.0127177</v>
      </c>
      <c r="I60">
        <v>0.012305</v>
      </c>
      <c r="J60">
        <v>0.0118026</v>
      </c>
      <c r="K60">
        <v>0.011294</v>
      </c>
      <c r="L60">
        <v>0.0108452</v>
      </c>
      <c r="M60">
        <v>0.0103349</v>
      </c>
      <c r="N60">
        <v>0.00985094</v>
      </c>
      <c r="O60">
        <v>0.00940914</v>
      </c>
      <c r="P60">
        <v>0.00897094</v>
      </c>
      <c r="Q60">
        <v>0.0085431</v>
      </c>
      <c r="R60">
        <v>0.0081322</v>
      </c>
      <c r="S60">
        <v>0.00773063</v>
      </c>
      <c r="T60">
        <v>0.00735063</v>
      </c>
      <c r="U60">
        <v>0.00697957</v>
      </c>
      <c r="V60">
        <v>0.00661477</v>
      </c>
      <c r="W60">
        <v>0.00626182</v>
      </c>
      <c r="X60">
        <v>0.00591734</v>
      </c>
      <c r="Y60">
        <v>0.0055845</v>
      </c>
      <c r="Z60">
        <v>0.00525588</v>
      </c>
      <c r="AA60">
        <v>0.00493636</v>
      </c>
      <c r="AB60">
        <v>0.00463611</v>
      </c>
      <c r="AC60">
        <v>0.00433471</v>
      </c>
      <c r="AD60">
        <v>0.00405249</v>
      </c>
      <c r="AE60">
        <v>0.00378161</v>
      </c>
      <c r="AF60">
        <v>0.00351151</v>
      </c>
      <c r="AG60">
        <v>0.00325431</v>
      </c>
      <c r="AH60">
        <v>0.00300585</v>
      </c>
      <c r="AI60">
        <v>0.00276899</v>
      </c>
      <c r="AJ60">
        <v>0.00254284</v>
      </c>
      <c r="AK60">
        <v>0.00233188</v>
      </c>
      <c r="AL60">
        <v>0.00213274</v>
      </c>
      <c r="AM60">
        <v>0.0019163</v>
      </c>
    </row>
    <row r="61" spans="1:39">
      <c r="A61" t="s">
        <v>390</v>
      </c>
      <c r="B61">
        <v>0.000184895</v>
      </c>
      <c r="C61">
        <v>0.000180621</v>
      </c>
      <c r="D61">
        <v>0.000170918</v>
      </c>
      <c r="E61">
        <v>0.000162793</v>
      </c>
      <c r="F61">
        <v>0.000156886</v>
      </c>
      <c r="G61">
        <v>0.000152494</v>
      </c>
      <c r="H61">
        <v>0.000148759</v>
      </c>
      <c r="I61">
        <v>0.000146748</v>
      </c>
      <c r="J61">
        <v>0.000143613</v>
      </c>
      <c r="K61">
        <v>0.000140412</v>
      </c>
      <c r="L61">
        <v>0.000138017</v>
      </c>
      <c r="M61">
        <v>0.000134839</v>
      </c>
      <c r="N61">
        <v>0.00013198</v>
      </c>
      <c r="O61">
        <v>0.000129673</v>
      </c>
      <c r="P61">
        <v>0.000128514</v>
      </c>
      <c r="Q61">
        <v>0.000127385</v>
      </c>
      <c r="R61">
        <v>0.000122147</v>
      </c>
      <c r="S61">
        <v>0.000115052</v>
      </c>
      <c r="T61">
        <v>0.000106466</v>
      </c>
      <c r="U61" s="25">
        <v>9.63175e-5</v>
      </c>
      <c r="V61" s="25">
        <v>8.65924e-5</v>
      </c>
      <c r="W61" s="25">
        <v>7.92167e-5</v>
      </c>
      <c r="X61" s="25">
        <v>7.03282e-5</v>
      </c>
      <c r="Y61" s="25">
        <v>6.18526e-5</v>
      </c>
      <c r="Z61" s="25">
        <v>5.36801e-5</v>
      </c>
      <c r="AA61" s="25">
        <v>4.58151e-5</v>
      </c>
      <c r="AB61" s="25">
        <v>4.1772e-5</v>
      </c>
      <c r="AC61" s="25">
        <v>3.77781e-5</v>
      </c>
      <c r="AD61" s="25">
        <v>3.56912e-5</v>
      </c>
      <c r="AE61" s="25">
        <v>3.53885e-5</v>
      </c>
      <c r="AF61" s="25">
        <v>3.58799e-5</v>
      </c>
      <c r="AG61" s="25">
        <v>3.72708e-5</v>
      </c>
      <c r="AH61" s="25">
        <v>3.86765e-5</v>
      </c>
      <c r="AI61" s="25">
        <v>4.01537e-5</v>
      </c>
      <c r="AJ61" s="25">
        <v>4.16428e-5</v>
      </c>
      <c r="AK61" s="25">
        <v>4.32382e-5</v>
      </c>
      <c r="AL61" s="25">
        <v>4.48657e-5</v>
      </c>
      <c r="AM61" s="25">
        <v>4.57841e-5</v>
      </c>
    </row>
    <row r="62" spans="1:39">
      <c r="A62" t="s">
        <v>391</v>
      </c>
      <c r="B62" s="25">
        <v>1.30099e-5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392</v>
      </c>
      <c r="B63">
        <v>0.0202721</v>
      </c>
      <c r="C63">
        <v>0.0266037</v>
      </c>
      <c r="D63">
        <v>0.0277469</v>
      </c>
      <c r="E63">
        <v>0.0267601</v>
      </c>
      <c r="F63">
        <v>0.0257387</v>
      </c>
      <c r="G63">
        <v>0.0247264</v>
      </c>
      <c r="H63">
        <v>0.0238312</v>
      </c>
      <c r="I63">
        <v>0.0232152</v>
      </c>
      <c r="J63">
        <v>0.0224252</v>
      </c>
      <c r="K63">
        <v>0.0216316</v>
      </c>
      <c r="L63">
        <v>0.0209657</v>
      </c>
      <c r="M63">
        <v>0.0201824</v>
      </c>
      <c r="N63">
        <v>0.0194444</v>
      </c>
      <c r="O63">
        <v>0.0187811</v>
      </c>
      <c r="P63">
        <v>0.0181155</v>
      </c>
      <c r="Q63">
        <v>0.0174559</v>
      </c>
      <c r="R63">
        <v>0.0168129</v>
      </c>
      <c r="S63">
        <v>0.0161736</v>
      </c>
      <c r="T63">
        <v>0.0155787</v>
      </c>
      <c r="U63">
        <v>0.0150048</v>
      </c>
      <c r="V63">
        <v>0.014445</v>
      </c>
      <c r="W63">
        <v>0.0139073</v>
      </c>
      <c r="X63">
        <v>0.0133826</v>
      </c>
      <c r="Y63">
        <v>0.0128782</v>
      </c>
      <c r="Z63">
        <v>0.0123787</v>
      </c>
      <c r="AA63">
        <v>0.0118871</v>
      </c>
      <c r="AB63">
        <v>0.0114282</v>
      </c>
      <c r="AC63">
        <v>0.0109514</v>
      </c>
      <c r="AD63">
        <v>0.0105094</v>
      </c>
      <c r="AE63">
        <v>0.0100864</v>
      </c>
      <c r="AF63">
        <v>0.00964713</v>
      </c>
      <c r="AG63">
        <v>0.00922556</v>
      </c>
      <c r="AH63">
        <v>0.00881096</v>
      </c>
      <c r="AI63">
        <v>0.00841655</v>
      </c>
      <c r="AJ63">
        <v>0.00802432</v>
      </c>
      <c r="AK63">
        <v>0.00764654</v>
      </c>
      <c r="AL63">
        <v>0.00726872</v>
      </c>
      <c r="AM63">
        <v>0.00679279</v>
      </c>
    </row>
    <row r="64" spans="1:39">
      <c r="A64" t="s">
        <v>393</v>
      </c>
      <c r="B64">
        <v>0.0188378</v>
      </c>
      <c r="C64">
        <v>0.0177419</v>
      </c>
      <c r="D64">
        <v>0.0167467</v>
      </c>
      <c r="E64">
        <v>0.0160116</v>
      </c>
      <c r="F64">
        <v>0.0154397</v>
      </c>
      <c r="G64">
        <v>0.014548</v>
      </c>
      <c r="H64">
        <v>0.0135773</v>
      </c>
      <c r="I64">
        <v>0.0128739</v>
      </c>
      <c r="J64">
        <v>0.0121372</v>
      </c>
      <c r="K64">
        <v>0.0113749</v>
      </c>
      <c r="L64">
        <v>0.0107253</v>
      </c>
      <c r="M64">
        <v>0.0100002</v>
      </c>
      <c r="N64">
        <v>0.00931323</v>
      </c>
      <c r="O64">
        <v>0.00870966</v>
      </c>
      <c r="P64">
        <v>0.00816584</v>
      </c>
      <c r="Q64">
        <v>0.00762118</v>
      </c>
      <c r="R64">
        <v>0.00712054</v>
      </c>
      <c r="S64">
        <v>0.00661925</v>
      </c>
      <c r="T64">
        <v>0.0062008</v>
      </c>
      <c r="U64">
        <v>0.00577664</v>
      </c>
      <c r="V64">
        <v>0.00536272</v>
      </c>
      <c r="W64">
        <v>0.00502165</v>
      </c>
      <c r="X64">
        <v>0.00467941</v>
      </c>
      <c r="Y64">
        <v>0.00438101</v>
      </c>
      <c r="Z64">
        <v>0.00409584</v>
      </c>
      <c r="AA64">
        <v>0.00383906</v>
      </c>
      <c r="AB64">
        <v>0.00362323</v>
      </c>
      <c r="AC64">
        <v>0.00341329</v>
      </c>
      <c r="AD64">
        <v>0.00323535</v>
      </c>
      <c r="AE64">
        <v>0.00308269</v>
      </c>
      <c r="AF64">
        <v>0.00292448</v>
      </c>
      <c r="AG64">
        <v>0.00280255</v>
      </c>
      <c r="AH64">
        <v>0.00267781</v>
      </c>
      <c r="AI64">
        <v>0.00258279</v>
      </c>
      <c r="AJ64">
        <v>0.00248315</v>
      </c>
      <c r="AK64">
        <v>0.00241992</v>
      </c>
      <c r="AL64">
        <v>0.00234788</v>
      </c>
      <c r="AM64">
        <v>0.00227464</v>
      </c>
    </row>
    <row r="65" spans="1:39">
      <c r="A65" t="s">
        <v>394</v>
      </c>
      <c r="B65">
        <v>0.0113903</v>
      </c>
      <c r="C65">
        <v>0.0151467</v>
      </c>
      <c r="D65">
        <v>0.0163223</v>
      </c>
      <c r="E65">
        <v>0.016757</v>
      </c>
      <c r="F65">
        <v>0.0166477</v>
      </c>
      <c r="G65">
        <v>0.0177634</v>
      </c>
      <c r="H65">
        <v>0.0189763</v>
      </c>
      <c r="I65">
        <v>0.0198542</v>
      </c>
      <c r="J65">
        <v>0.0209897</v>
      </c>
      <c r="K65">
        <v>0.0221852</v>
      </c>
      <c r="L65">
        <v>0.0232152</v>
      </c>
      <c r="M65">
        <v>0.0243934</v>
      </c>
      <c r="N65">
        <v>0.0254966</v>
      </c>
      <c r="O65">
        <v>0.0265188</v>
      </c>
      <c r="P65">
        <v>0.0275357</v>
      </c>
      <c r="Q65">
        <v>0.0285498</v>
      </c>
      <c r="R65">
        <v>0.0295449</v>
      </c>
      <c r="S65">
        <v>0.0305515</v>
      </c>
      <c r="T65">
        <v>0.0314911</v>
      </c>
      <c r="U65">
        <v>0.0324011</v>
      </c>
      <c r="V65">
        <v>0.0333722</v>
      </c>
      <c r="W65">
        <v>0.0342725</v>
      </c>
      <c r="X65">
        <v>0.0351554</v>
      </c>
      <c r="Y65">
        <v>0.0361629</v>
      </c>
      <c r="Z65">
        <v>0.0371065</v>
      </c>
      <c r="AA65">
        <v>0.0379002</v>
      </c>
      <c r="AB65">
        <v>0.0382496</v>
      </c>
      <c r="AC65">
        <v>0.0383661</v>
      </c>
      <c r="AD65">
        <v>0.0381478</v>
      </c>
      <c r="AE65">
        <v>0.0375777</v>
      </c>
      <c r="AF65">
        <v>0.0369306</v>
      </c>
      <c r="AG65">
        <v>0.0366302</v>
      </c>
      <c r="AH65">
        <v>0.0364682</v>
      </c>
      <c r="AI65">
        <v>0.0363882</v>
      </c>
      <c r="AJ65">
        <v>0.0366374</v>
      </c>
      <c r="AK65">
        <v>0.0370025</v>
      </c>
      <c r="AL65">
        <v>0.0374186</v>
      </c>
      <c r="AM65">
        <v>0.0376559</v>
      </c>
    </row>
    <row r="66" spans="1:39">
      <c r="A66" t="s">
        <v>395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 t="s">
        <v>396</v>
      </c>
      <c r="B67" s="25">
        <v>9.76791e-5</v>
      </c>
      <c r="C67" s="25">
        <v>5.88696e-5</v>
      </c>
      <c r="D67" s="25">
        <v>1.53467e-5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>
      <c r="A68" t="s">
        <v>397</v>
      </c>
      <c r="B68">
        <v>0.0250857</v>
      </c>
      <c r="C68">
        <v>0.0244247</v>
      </c>
      <c r="D68">
        <v>0.0230247</v>
      </c>
      <c r="E68">
        <v>0.0218362</v>
      </c>
      <c r="F68">
        <v>0.0209381</v>
      </c>
      <c r="G68">
        <v>0.020054</v>
      </c>
      <c r="H68">
        <v>0.0192636</v>
      </c>
      <c r="I68">
        <v>0.0186951</v>
      </c>
      <c r="J68">
        <v>0.0179864</v>
      </c>
      <c r="K68">
        <v>0.017267</v>
      </c>
      <c r="L68">
        <v>0.0166356</v>
      </c>
      <c r="M68">
        <v>0.0159051</v>
      </c>
      <c r="N68">
        <v>0.0152101</v>
      </c>
      <c r="O68">
        <v>0.0145759</v>
      </c>
      <c r="P68">
        <v>0.0139471</v>
      </c>
      <c r="Q68">
        <v>0.0133327</v>
      </c>
      <c r="R68">
        <v>0.012745</v>
      </c>
      <c r="S68">
        <v>0.0121687</v>
      </c>
      <c r="T68">
        <v>0.0116282</v>
      </c>
      <c r="U68">
        <v>0.0111002</v>
      </c>
      <c r="V68">
        <v>0.0105807</v>
      </c>
      <c r="W68">
        <v>0.0100755</v>
      </c>
      <c r="X68">
        <v>0.00957954</v>
      </c>
      <c r="Y68">
        <v>0.00910149</v>
      </c>
      <c r="Z68">
        <v>0.00862646</v>
      </c>
      <c r="AA68">
        <v>0.00815829</v>
      </c>
      <c r="AB68">
        <v>0.00771732</v>
      </c>
      <c r="AC68">
        <v>0.0072686</v>
      </c>
      <c r="AD68">
        <v>0.00684075</v>
      </c>
      <c r="AE68">
        <v>0.0064298</v>
      </c>
      <c r="AF68">
        <v>0.00601651</v>
      </c>
      <c r="AG68">
        <v>0.00562172</v>
      </c>
      <c r="AH68">
        <v>0.0052343</v>
      </c>
      <c r="AI68">
        <v>0.00485675</v>
      </c>
      <c r="AJ68">
        <v>0.00449282</v>
      </c>
      <c r="AK68">
        <v>0.00415059</v>
      </c>
      <c r="AL68">
        <v>0.00382807</v>
      </c>
      <c r="AM68">
        <v>0.00347081</v>
      </c>
    </row>
    <row r="72" spans="1:39">
      <c r="A72" t="s">
        <v>398</v>
      </c>
      <c r="B72">
        <v>2023</v>
      </c>
      <c r="C72">
        <v>2024</v>
      </c>
      <c r="D72">
        <v>2025</v>
      </c>
      <c r="E72">
        <v>2026</v>
      </c>
      <c r="F72">
        <v>2027</v>
      </c>
      <c r="G72">
        <v>2028</v>
      </c>
      <c r="H72">
        <v>2029</v>
      </c>
      <c r="I72">
        <v>2030</v>
      </c>
      <c r="J72">
        <v>2031</v>
      </c>
      <c r="K72">
        <v>2032</v>
      </c>
      <c r="L72">
        <v>2033</v>
      </c>
      <c r="M72">
        <v>2034</v>
      </c>
      <c r="N72">
        <v>2035</v>
      </c>
      <c r="O72">
        <v>2036</v>
      </c>
      <c r="P72">
        <v>2037</v>
      </c>
      <c r="Q72">
        <v>2038</v>
      </c>
      <c r="R72">
        <v>2039</v>
      </c>
      <c r="S72">
        <v>2040</v>
      </c>
      <c r="T72">
        <v>2041</v>
      </c>
      <c r="U72">
        <v>2042</v>
      </c>
      <c r="V72">
        <v>2043</v>
      </c>
      <c r="W72">
        <v>2044</v>
      </c>
      <c r="X72">
        <v>2045</v>
      </c>
      <c r="Y72">
        <v>2046</v>
      </c>
      <c r="Z72">
        <v>2047</v>
      </c>
      <c r="AA72">
        <v>2048</v>
      </c>
      <c r="AB72">
        <v>2049</v>
      </c>
      <c r="AC72">
        <v>2050</v>
      </c>
      <c r="AD72">
        <v>2051</v>
      </c>
      <c r="AE72">
        <v>2052</v>
      </c>
      <c r="AF72">
        <v>2053</v>
      </c>
      <c r="AG72">
        <v>2054</v>
      </c>
      <c r="AH72">
        <v>2055</v>
      </c>
      <c r="AI72">
        <v>2056</v>
      </c>
      <c r="AJ72">
        <v>2057</v>
      </c>
      <c r="AK72">
        <v>2058</v>
      </c>
      <c r="AL72">
        <v>2059</v>
      </c>
      <c r="AM72">
        <v>2060</v>
      </c>
    </row>
    <row r="73" spans="1:39">
      <c r="A73" t="s">
        <v>399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>
      <c r="A74" t="s">
        <v>400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401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</row>
    <row r="76" spans="1:39">
      <c r="A76" t="s">
        <v>402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</row>
    <row r="77" spans="1:39">
      <c r="A77" t="s">
        <v>403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</row>
    <row r="78" spans="1:39">
      <c r="A78" t="s">
        <v>404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</row>
    <row r="79" spans="1:39">
      <c r="A79" t="s">
        <v>405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</row>
    <row r="80" spans="1:39">
      <c r="A80" t="s">
        <v>406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</row>
    <row r="81" spans="1:39">
      <c r="A81" t="s">
        <v>407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</row>
    <row r="82" spans="1:39">
      <c r="A82" t="s">
        <v>408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>
      <c r="A83" t="s">
        <v>409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410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>
      <c r="A85" t="s">
        <v>411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</row>
    <row r="86" spans="1:39">
      <c r="A86" t="s">
        <v>412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413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>
      <c r="A88" t="s">
        <v>414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69"/>
  <sheetViews>
    <sheetView workbookViewId="0">
      <pane xSplit="2" ySplit="1" topLeftCell="C14" activePane="bottomRight" state="frozen"/>
      <selection/>
      <selection pane="topRight"/>
      <selection pane="bottomLeft"/>
      <selection pane="bottomRight" activeCell="O27" sqref="O27"/>
    </sheetView>
  </sheetViews>
  <sheetFormatPr defaultColWidth="9" defaultRowHeight="13.85"/>
  <cols>
    <col min="1" max="1" width="36" style="8" customWidth="1"/>
    <col min="2" max="2" width="34.7522123893805" style="8" customWidth="1"/>
    <col min="3" max="18" width="8.6283185840708" customWidth="1"/>
    <col min="19" max="48" width="12.6637168141593"/>
  </cols>
  <sheetData>
    <row r="1" s="8" customFormat="1" ht="13.9" spans="1:48">
      <c r="A1" s="8" t="str">
        <f>About!C56</f>
        <v>全国 National</v>
      </c>
      <c r="B1" s="13" t="str">
        <f>VLOOKUP(A1,'Province Selector'!$B$2:$D$33,3,FALSE)</f>
        <v>全国</v>
      </c>
      <c r="C1" s="8">
        <v>2015</v>
      </c>
      <c r="D1" s="8">
        <v>2016</v>
      </c>
      <c r="E1" s="8">
        <v>2017</v>
      </c>
      <c r="F1" s="8">
        <v>2018</v>
      </c>
      <c r="G1" s="8">
        <v>2019</v>
      </c>
      <c r="H1" s="8">
        <v>2020</v>
      </c>
      <c r="I1" s="8">
        <v>2021</v>
      </c>
      <c r="J1" s="8">
        <v>2022</v>
      </c>
      <c r="K1" s="8">
        <v>2023</v>
      </c>
      <c r="L1" s="8">
        <v>2024</v>
      </c>
      <c r="M1" s="8">
        <v>2025</v>
      </c>
      <c r="N1" s="8">
        <v>2026</v>
      </c>
      <c r="O1" s="8">
        <v>2027</v>
      </c>
      <c r="P1" s="8">
        <v>2028</v>
      </c>
      <c r="Q1" s="8">
        <v>2029</v>
      </c>
      <c r="R1" s="8">
        <v>2030</v>
      </c>
      <c r="S1" s="8">
        <v>2031</v>
      </c>
      <c r="T1" s="8">
        <v>2032</v>
      </c>
      <c r="U1" s="8">
        <v>2033</v>
      </c>
      <c r="V1" s="8">
        <v>2034</v>
      </c>
      <c r="W1" s="8">
        <v>2035</v>
      </c>
      <c r="X1" s="8">
        <v>2036</v>
      </c>
      <c r="Y1" s="8">
        <v>2037</v>
      </c>
      <c r="Z1" s="8">
        <v>2038</v>
      </c>
      <c r="AA1" s="8">
        <v>2039</v>
      </c>
      <c r="AB1" s="8">
        <v>2040</v>
      </c>
      <c r="AC1" s="8">
        <v>2041</v>
      </c>
      <c r="AD1" s="8">
        <v>2042</v>
      </c>
      <c r="AE1" s="8">
        <v>2043</v>
      </c>
      <c r="AF1" s="8">
        <v>2044</v>
      </c>
      <c r="AG1" s="8">
        <v>2045</v>
      </c>
      <c r="AH1" s="8">
        <v>2046</v>
      </c>
      <c r="AI1" s="8">
        <v>2047</v>
      </c>
      <c r="AJ1" s="8">
        <v>2048</v>
      </c>
      <c r="AK1" s="8">
        <v>2049</v>
      </c>
      <c r="AL1" s="8">
        <v>2050</v>
      </c>
      <c r="AM1" s="8">
        <v>2051</v>
      </c>
      <c r="AN1" s="8">
        <v>2052</v>
      </c>
      <c r="AO1" s="8">
        <v>2053</v>
      </c>
      <c r="AP1" s="8">
        <v>2054</v>
      </c>
      <c r="AQ1" s="8">
        <v>2055</v>
      </c>
      <c r="AR1" s="8">
        <v>2056</v>
      </c>
      <c r="AS1" s="8">
        <v>2057</v>
      </c>
      <c r="AT1" s="8">
        <v>2058</v>
      </c>
      <c r="AU1" s="8">
        <v>2059</v>
      </c>
      <c r="AV1" s="8">
        <v>2060</v>
      </c>
    </row>
    <row r="2" spans="1:48">
      <c r="A2" s="8" t="s">
        <v>415</v>
      </c>
      <c r="B2" s="8" t="s">
        <v>416</v>
      </c>
      <c r="C2">
        <f>VLOOKUP($B$1,'historic consumption'!$A$4:$Q$35,COLUMN(J1),FALSE)</f>
        <v>0.245</v>
      </c>
      <c r="D2">
        <f>VLOOKUP($B$1,'historic consumption'!$A$4:$Q$35,COLUMN(K1),FALSE)</f>
        <v>0.254</v>
      </c>
      <c r="E2">
        <f>VLOOKUP($B$1,'historic consumption'!$A$4:$Q$35,COLUMN(L1),FALSE)</f>
        <v>0.265</v>
      </c>
      <c r="F2">
        <f>VLOOKUP($B$1,'historic consumption'!$A$4:$Q$35,COLUMN(M1),FALSE)</f>
        <v>0.265</v>
      </c>
      <c r="G2">
        <f>VLOOKUP($B$1,'historic consumption'!$A$4:$Q$35,COLUMN(N1),FALSE)</f>
        <v>0.275</v>
      </c>
      <c r="H2">
        <f>VLOOKUP($B$1,'historic consumption'!$A$4:$Q$35,COLUMN(O1),FALSE)</f>
        <v>0.288</v>
      </c>
      <c r="I2">
        <f>VLOOKUP($B$1,'historic consumption'!$A$4:$Q$35,COLUMN(P1),FALSE)</f>
        <v>0.294</v>
      </c>
      <c r="J2">
        <f>VLOOKUP($B$1,'historic consumption'!$A$4:$Q$35,COLUMN(Q1),FALSE)</f>
        <v>0.316</v>
      </c>
    </row>
    <row r="3" spans="1:48">
      <c r="A3" s="8" t="s">
        <v>417</v>
      </c>
      <c r="B3" s="8" t="s">
        <v>418</v>
      </c>
      <c r="I3">
        <f>VLOOKUP($B$1,'pre145 21-30 targets'!$B$4:$L$34,COLUMN(B1),FALSE)</f>
        <v>0.287</v>
      </c>
      <c r="J3">
        <f>VLOOKUP($B$1,'pre145 21-30 targets'!$B$4:$L$34,COLUMN(C1),FALSE)</f>
        <v>0.299</v>
      </c>
      <c r="K3">
        <f>VLOOKUP($B$1,'pre145 21-30 targets'!$B$4:$L$34,COLUMN(D1),FALSE)</f>
        <v>0.311</v>
      </c>
      <c r="L3">
        <f>VLOOKUP($B$1,'pre145 21-30 targets'!$B$4:$L$34,COLUMN(E1),FALSE)</f>
        <v>0.324</v>
      </c>
      <c r="M3">
        <f>VLOOKUP($B$1,'pre145 21-30 targets'!$B$4:$L$34,COLUMN(F1),FALSE)</f>
        <v>0.336</v>
      </c>
      <c r="N3">
        <f>VLOOKUP($B$1,'pre145 21-30 targets'!$B$4:$L$34,COLUMN(G1),FALSE)</f>
        <v>0.349</v>
      </c>
      <c r="O3">
        <f>VLOOKUP($B$1,'pre145 21-30 targets'!$B$4:$L$34,COLUMN(H1),FALSE)</f>
        <v>0.361</v>
      </c>
      <c r="P3">
        <f>VLOOKUP($B$1,'pre145 21-30 targets'!$B$4:$L$34,COLUMN(I1),FALSE)</f>
        <v>0.374</v>
      </c>
      <c r="Q3">
        <f>VLOOKUP($B$1,'pre145 21-30 targets'!$B$4:$L$34,COLUMN(J1),FALSE)</f>
        <v>0.386</v>
      </c>
      <c r="R3">
        <f>VLOOKUP($B$1,'pre145 21-30 targets'!$B$4:$L$34,COLUMN(K1),FALSE)</f>
        <v>0.4</v>
      </c>
    </row>
    <row r="4" spans="1:48">
      <c r="A4" s="8" t="s">
        <v>419</v>
      </c>
      <c r="B4" s="8" t="s">
        <v>420</v>
      </c>
      <c r="F4" t="e">
        <f>VLOOKUP($B$1,'annual consumption target'!$A$4:$H$34,COLUMN(B1),FALSE)</f>
        <v>#N/A</v>
      </c>
      <c r="G4" t="e">
        <f>VLOOKUP($B$1,'annual consumption target'!$A$4:$H$34,COLUMN(C1),FALSE)</f>
        <v>#N/A</v>
      </c>
      <c r="H4" t="e">
        <f>VLOOKUP($B$1,'annual consumption target'!$A$4:$H$34,COLUMN(D1),FALSE)</f>
        <v>#N/A</v>
      </c>
      <c r="I4" t="e">
        <f>VLOOKUP($B$1,'annual consumption target'!$A$4:$H$34,COLUMN(E1),FALSE)</f>
        <v>#N/A</v>
      </c>
      <c r="J4" t="e">
        <f>VLOOKUP($B$1,'annual consumption target'!$A$4:$H$34,COLUMN(F1),FALSE)</f>
        <v>#N/A</v>
      </c>
      <c r="K4" t="e">
        <f>VLOOKUP($B$1,'annual consumption target'!$A$4:$H$34,COLUMN(G1),FALSE)</f>
        <v>#N/A</v>
      </c>
      <c r="L4" t="e">
        <f>VLOOKUP($B$1,'annual consumption target'!$A$4:$H$34,COLUMN(H1),FALSE)</f>
        <v>#N/A</v>
      </c>
    </row>
    <row r="5" spans="1:48">
      <c r="A5" s="8" t="s">
        <v>421</v>
      </c>
      <c r="B5" s="8" t="s">
        <v>422</v>
      </c>
      <c r="C5">
        <f>VLOOKUP($B$1,'historic consumption'!$A$4:$AG$35,COLUMN(Z1),FALSE)</f>
        <v>0.05</v>
      </c>
      <c r="D5">
        <f>VLOOKUP($B$1,'historic consumption'!$A$4:$AG$35,COLUMN(AA1),FALSE)</f>
        <v>0.063</v>
      </c>
      <c r="E5">
        <f>VLOOKUP($B$1,'historic consumption'!$A$4:$AG$35,COLUMN(AB1),FALSE)</f>
        <v>0.08</v>
      </c>
      <c r="F5">
        <f>VLOOKUP($B$1,'historic consumption'!$A$4:$AG$35,COLUMN(AC1),FALSE)</f>
        <v>0.092</v>
      </c>
      <c r="G5">
        <f>VLOOKUP($B$1,'historic consumption'!$A$4:$AG$35,COLUMN(AD1),FALSE)</f>
        <v>0.102</v>
      </c>
      <c r="H5">
        <f>VLOOKUP($B$1,'historic consumption'!$A$4:$AG$35,COLUMN(AE1),FALSE)</f>
        <v>0.114</v>
      </c>
      <c r="I5">
        <f>VLOOKUP($B$1,'historic consumption'!$A$4:$AG$35,COLUMN(AF1),FALSE)</f>
        <v>0.137</v>
      </c>
      <c r="J5">
        <f>VLOOKUP($B$1,'historic consumption'!$A$4:$AG$35,COLUMN(AG1),FALSE)</f>
        <v>0.159</v>
      </c>
    </row>
    <row r="6" spans="1:48">
      <c r="A6" s="8" t="s">
        <v>423</v>
      </c>
      <c r="B6" s="8" t="s">
        <v>418</v>
      </c>
      <c r="I6">
        <f>VLOOKUP($B$1,'pre145 21-30 targets'!$N$4:$X$34,COLUMN(B1),FALSE)</f>
        <v>0.127</v>
      </c>
      <c r="J6">
        <f>VLOOKUP($B$1,'pre145 21-30 targets'!$N$4:$X$34,COLUMN(C1),FALSE)</f>
        <v>0.142</v>
      </c>
      <c r="K6">
        <f>VLOOKUP($B$1,'pre145 21-30 targets'!$N$4:$X$34,COLUMN(D1),FALSE)</f>
        <v>0.156</v>
      </c>
      <c r="L6">
        <f>VLOOKUP($B$1,'pre145 21-30 targets'!$N$4:$X$34,COLUMN(E1),FALSE)</f>
        <v>0.171</v>
      </c>
      <c r="M6">
        <f>VLOOKUP($B$1,'pre145 21-30 targets'!$N$4:$X$34,COLUMN(F1),FALSE)</f>
        <v>0.186</v>
      </c>
      <c r="N6">
        <f>VLOOKUP($B$1,'pre145 21-30 targets'!$N$4:$X$34,COLUMN(G1),FALSE)</f>
        <v>0.2</v>
      </c>
      <c r="O6">
        <f>VLOOKUP($B$1,'pre145 21-30 targets'!$N$4:$X$34,COLUMN(H1),FALSE)</f>
        <v>0.215</v>
      </c>
      <c r="P6">
        <f>VLOOKUP($B$1,'pre145 21-30 targets'!$N$4:$X$34,COLUMN(I1),FALSE)</f>
        <v>0.23</v>
      </c>
      <c r="Q6">
        <f>VLOOKUP($B$1,'pre145 21-30 targets'!$N$4:$X$34,COLUMN(J1),FALSE)</f>
        <v>0.244</v>
      </c>
      <c r="R6">
        <f>VLOOKUP($B$1,'pre145 21-30 targets'!$N$4:$X$34,COLUMN(K1),FALSE)</f>
        <v>0.259</v>
      </c>
    </row>
    <row r="7" spans="1:48">
      <c r="A7" s="8" t="s">
        <v>419</v>
      </c>
      <c r="B7" s="8" t="s">
        <v>420</v>
      </c>
      <c r="F7" t="e">
        <f>VLOOKUP($B$1,'annual consumption target'!$A$4:$O$34,COLUMN(I1),FALSE)</f>
        <v>#N/A</v>
      </c>
      <c r="G7" t="e">
        <f>VLOOKUP($B$1,'annual consumption target'!$A$4:$O$34,COLUMN(J1),FALSE)</f>
        <v>#N/A</v>
      </c>
      <c r="H7" t="e">
        <f>VLOOKUP($B$1,'annual consumption target'!$A$4:$O$34,COLUMN(K1),FALSE)</f>
        <v>#N/A</v>
      </c>
      <c r="I7" t="e">
        <f>VLOOKUP($B$1,'annual consumption target'!$A$4:$O$34,COLUMN(L1),FALSE)</f>
        <v>#N/A</v>
      </c>
      <c r="J7" t="e">
        <f>VLOOKUP($B$1,'annual consumption target'!$A$4:$O$34,COLUMN(M1),FALSE)</f>
        <v>#N/A</v>
      </c>
      <c r="K7" t="e">
        <f>VLOOKUP($B$1,'annual consumption target'!$A$4:$O$34,COLUMN(N1),FALSE)</f>
        <v>#N/A</v>
      </c>
      <c r="L7" t="e">
        <f>VLOOKUP($B$1,'annual consumption target'!$A$4:$O$34,COLUMN(O1),FALSE)</f>
        <v>#N/A</v>
      </c>
    </row>
    <row r="8" spans="1:48">
      <c r="C8" s="54"/>
      <c r="D8" s="54"/>
      <c r="E8" s="54"/>
      <c r="F8" s="54"/>
      <c r="G8" s="54"/>
      <c r="H8" s="54"/>
      <c r="I8" s="54"/>
    </row>
    <row r="9" spans="1:48">
      <c r="A9" s="8" t="s">
        <v>424</v>
      </c>
      <c r="B9" s="8" t="s">
        <v>425</v>
      </c>
      <c r="C9" s="54">
        <f>VLOOKUP($B$1,'historic consumption'!$A$4:$Q$35,COLUMN(B1),FALSE)</f>
        <v>13625</v>
      </c>
      <c r="D9" s="54">
        <f>VLOOKUP($B$1,'historic consumption'!$A$4:$Q$35,COLUMN(C1),FALSE)</f>
        <v>15058</v>
      </c>
      <c r="E9" s="54">
        <f>VLOOKUP($B$1,'historic consumption'!$A$4:$Q$35,COLUMN(D1),FALSE)</f>
        <v>16686</v>
      </c>
      <c r="F9" s="54">
        <f>VLOOKUP($B$1,'historic consumption'!$A$4:$Q$35,COLUMN(E1),FALSE)</f>
        <v>18158.97</v>
      </c>
      <c r="G9" s="54">
        <f>VLOOKUP($B$1,'historic consumption'!$A$4:$Q$35,COLUMN(F1),FALSE)</f>
        <v>19938</v>
      </c>
      <c r="H9" s="54">
        <f>VLOOKUP($B$1,'historic consumption'!$A$4:$Q$35,COLUMN(G1),FALSE)</f>
        <v>21613</v>
      </c>
      <c r="I9" s="54">
        <f>VLOOKUP($B$1,'historic consumption'!$A$4:$Q$35,COLUMN(H1),FALSE)</f>
        <v>24446</v>
      </c>
      <c r="J9" s="54">
        <f>VLOOKUP($B$1,'historic consumption'!$A$4:$Q$35,COLUMN(I1),FALSE)</f>
        <v>26810</v>
      </c>
    </row>
    <row r="10" spans="1:48">
      <c r="A10" s="8" t="s">
        <v>426</v>
      </c>
      <c r="B10" s="8" t="s">
        <v>427</v>
      </c>
      <c r="C10" s="54">
        <f>VLOOKUP($B$1,'historic consumption'!$A$4:$AG$35,COLUMN(R1),FALSE)</f>
        <v>2778</v>
      </c>
      <c r="D10" s="54">
        <f>VLOOKUP($B$1,'historic consumption'!$A$4:$AG$35,COLUMN(S1),FALSE)</f>
        <v>3717</v>
      </c>
      <c r="E10" s="54">
        <f>VLOOKUP($B$1,'historic consumption'!$A$4:$AG$35,COLUMN(T1),FALSE)</f>
        <v>5025</v>
      </c>
      <c r="F10" s="54">
        <f>VLOOKUP($B$1,'historic consumption'!$A$4:$AG$35,COLUMN(U1),FALSE)</f>
        <v>6314.2</v>
      </c>
      <c r="G10" s="54">
        <f>VLOOKUP($B$1,'historic consumption'!$A$4:$AG$35,COLUMN(V1),FALSE)</f>
        <v>7388</v>
      </c>
      <c r="H10" s="54">
        <f>VLOOKUP($B$1,'historic consumption'!$A$4:$AG$35,COLUMN(W1),FALSE)</f>
        <v>8562</v>
      </c>
      <c r="I10" s="54">
        <f>VLOOKUP($B$1,'historic consumption'!$A$4:$AG$35,COLUMN(X1),FALSE)</f>
        <v>11398</v>
      </c>
      <c r="J10" s="54">
        <f>VLOOKUP($B$1,'historic consumption'!$A$4:$AG$35,COLUMN(Y1),FALSE)</f>
        <v>13676</v>
      </c>
    </row>
    <row r="11" spans="1:48">
      <c r="C11" s="54"/>
      <c r="D11" s="54"/>
      <c r="E11" s="54"/>
      <c r="F11" s="54"/>
      <c r="G11" s="54"/>
      <c r="H11" s="54"/>
      <c r="I11" s="54"/>
      <c r="J11" s="54"/>
    </row>
    <row r="12" spans="1:48">
      <c r="A12" s="8" t="s">
        <v>428</v>
      </c>
      <c r="B12" s="8" t="s">
        <v>260</v>
      </c>
      <c r="C12" s="54">
        <f>SUMIFS('historic generation'!$D:$D,'historic generation'!$A:$A,"*"&amp;$B$1&amp;"*",'historic generation'!$B:$B,$B12,'historic generation'!$C:$C,C$1)</f>
        <v>57400</v>
      </c>
      <c r="D12" s="54">
        <f>SUMIFS('historic generation'!$D:$D,'historic generation'!$A:$A,"*"&amp;$B$1&amp;"*",'historic generation'!$B:$B,$B12,'historic generation'!$C:$C,D$1)</f>
        <v>60228</v>
      </c>
      <c r="E12" s="54">
        <f>SUMIFS('historic generation'!$D:$D,'historic generation'!$A:$A,"*"&amp;$B$1&amp;"*",'historic generation'!$B:$B,$B12,'historic generation'!$C:$C,E$1)</f>
        <v>64171</v>
      </c>
      <c r="F12" s="54">
        <f>SUMIFS('historic generation'!$D:$D,'historic generation'!$A:$A,"*"&amp;$B$1&amp;"*",'historic generation'!$B:$B,$B12,'historic generation'!$C:$C,F$1)</f>
        <v>69947</v>
      </c>
      <c r="G12" s="54">
        <f>SUMIFS('historic generation'!$D:$D,'historic generation'!$A:$A,"*"&amp;$B$1&amp;"*",'historic generation'!$B:$B,$B12,'historic generation'!$C:$C,G$1)</f>
        <v>73269</v>
      </c>
      <c r="H12" s="54">
        <f>SUMIFS('historic generation'!$D:$D,'historic generation'!$A:$A,"*"&amp;$B$1&amp;"*",'historic generation'!$B:$B,$B12,'historic generation'!$C:$C,H$1)</f>
        <v>76264</v>
      </c>
      <c r="I12" s="54">
        <f>SUMIFS('historic generation'!$D:$D,'historic generation'!$A:$A,"*"&amp;$B$1&amp;"*",'historic generation'!$B:$B,$B12,'historic generation'!$C:$C,I$1)</f>
        <v>83959</v>
      </c>
      <c r="J12" s="54">
        <f>SUMIFS('historic generation'!$D:$D,'historic generation'!$A:$A,"*"&amp;$B$1&amp;"*",'historic generation'!$B:$B,$B12,'historic generation'!$C:$C,J$1)</f>
        <v>86945</v>
      </c>
      <c r="K12" s="55">
        <v>88548.427152</v>
      </c>
      <c r="L12" s="55">
        <v>90708.260652</v>
      </c>
      <c r="M12" s="55">
        <v>92785.167052</v>
      </c>
      <c r="N12">
        <v>94890.310552</v>
      </c>
      <c r="O12">
        <v>97245.296652</v>
      </c>
      <c r="P12">
        <v>99523.036352</v>
      </c>
      <c r="Q12">
        <v>101620.998952</v>
      </c>
      <c r="R12">
        <v>104120.514152</v>
      </c>
    </row>
    <row r="13" spans="1:48">
      <c r="A13" s="8" t="s">
        <v>429</v>
      </c>
      <c r="B13" s="8" t="s">
        <v>257</v>
      </c>
      <c r="C13" s="54">
        <f>SUMIFS('historic generation'!$D:$D,'historic generation'!$A:$A,"*"&amp;$B$1&amp;"*",'historic generation'!$B:$B,$B13,'historic generation'!$C:$C,C$1)</f>
        <v>11127</v>
      </c>
      <c r="D13" s="54">
        <f>SUMIFS('historic generation'!$D:$D,'historic generation'!$A:$A,"*"&amp;$B$1&amp;"*",'historic generation'!$B:$B,$B13,'historic generation'!$C:$C,D$1)</f>
        <v>11748</v>
      </c>
      <c r="E13" s="54">
        <f>SUMIFS('historic generation'!$D:$D,'historic generation'!$A:$A,"*"&amp;$B$1&amp;"*",'historic generation'!$B:$B,$B13,'historic generation'!$C:$C,E$1)</f>
        <v>11931</v>
      </c>
      <c r="F13" s="54">
        <f>SUMIFS('historic generation'!$D:$D,'historic generation'!$A:$A,"*"&amp;$B$1&amp;"*",'historic generation'!$B:$B,$B13,'historic generation'!$C:$C,F$1)</f>
        <v>12321</v>
      </c>
      <c r="G13" s="54">
        <f>SUMIFS('historic generation'!$D:$D,'historic generation'!$A:$A,"*"&amp;$B$1&amp;"*",'historic generation'!$B:$B,$B13,'historic generation'!$C:$C,G$1)</f>
        <v>13021</v>
      </c>
      <c r="H13" s="54">
        <f>SUMIFS('historic generation'!$D:$D,'historic generation'!$A:$A,"*"&amp;$B$1&amp;"*",'historic generation'!$B:$B,$B13,'historic generation'!$C:$C,H$1)</f>
        <v>13553</v>
      </c>
      <c r="I13" s="54">
        <f>SUMIFS('historic generation'!$D:$D,'historic generation'!$A:$A,"*"&amp;$B$1&amp;"*",'historic generation'!$B:$B,$B13,'historic generation'!$C:$C,I$1)</f>
        <v>13399</v>
      </c>
      <c r="J13" s="54">
        <f>SUMIFS('historic generation'!$D:$D,'historic generation'!$A:$A,"*"&amp;$B$1&amp;"*",'historic generation'!$B:$B,$B13,'historic generation'!$C:$C,J$1)</f>
        <v>13517</v>
      </c>
      <c r="K13" cm="1">
        <f t="array" ref="K13">FORECAST(K12,C13:J13,C12:J12)</f>
        <v>13960.1773160336</v>
      </c>
      <c r="L13" cm="1">
        <f t="array" ref="L13">FORECAST(L12,D13:K13,D12:K12)</f>
        <v>14065.2239592269</v>
      </c>
      <c r="M13" cm="1">
        <f t="array" ref="M13">FORECAST(M12,E13:L13,E12:L12)</f>
        <v>14204.0401715498</v>
      </c>
      <c r="N13" cm="1">
        <f t="array" ref="N13">FORECAST(N12,F13:M13,F12:M12)</f>
        <v>14294.3453672123</v>
      </c>
      <c r="O13" cm="1">
        <f t="array" ref="O13">FORECAST(O12,G13:N13,G12:N12)</f>
        <v>14341.2359247391</v>
      </c>
      <c r="P13" cm="1">
        <f t="array" ref="P13">FORECAST(P12,H13:O13,H12:O12)</f>
        <v>14430.4706987966</v>
      </c>
      <c r="Q13" cm="1">
        <f t="array" ref="Q13">FORECAST(Q12,I13:P13,I12:P12)</f>
        <v>14694.1615015129</v>
      </c>
      <c r="R13" cm="1">
        <f t="array" ref="R13">FORECAST(R12,J13:Q13,J12:Q12)</f>
        <v>14827.6018953113</v>
      </c>
    </row>
    <row r="14" spans="1:48">
      <c r="A14" s="8" t="s">
        <v>430</v>
      </c>
      <c r="B14" s="8" t="s">
        <v>259</v>
      </c>
      <c r="C14" s="54">
        <f>SUMIFS('historic generation'!$D:$D,'historic generation'!$A:$A,"*"&amp;$B$1&amp;"*",'historic generation'!$B:$B,$B14,'historic generation'!$C:$C,C$1)</f>
        <v>0</v>
      </c>
      <c r="D14" s="54">
        <f>SUMIFS('historic generation'!$D:$D,'historic generation'!$A:$A,"*"&amp;$B$1&amp;"*",'historic generation'!$B:$B,$B14,'historic generation'!$C:$C,D$1)</f>
        <v>21</v>
      </c>
      <c r="E14" s="54">
        <f>SUMIFS('historic generation'!$D:$D,'historic generation'!$A:$A,"*"&amp;$B$1&amp;"*",'historic generation'!$B:$B,$B14,'historic generation'!$C:$C,E$1)</f>
        <v>18</v>
      </c>
      <c r="F14" s="54">
        <f>SUMIFS('historic generation'!$D:$D,'historic generation'!$A:$A,"*"&amp;$B$1&amp;"*",'historic generation'!$B:$B,$B14,'historic generation'!$C:$C,F$1)</f>
        <v>22</v>
      </c>
      <c r="G14" s="54">
        <f>SUMIFS('historic generation'!$D:$D,'historic generation'!$A:$A,"*"&amp;$B$1&amp;"*",'historic generation'!$B:$B,$B14,'historic generation'!$C:$C,G$1)</f>
        <v>30.3</v>
      </c>
      <c r="H14" s="54">
        <f>SUMIFS('historic generation'!$D:$D,'historic generation'!$A:$A,"*"&amp;$B$1&amp;"*",'historic generation'!$B:$B,$B14,'historic generation'!$C:$C,H$1)</f>
        <v>38</v>
      </c>
      <c r="I14" s="54">
        <f>SUMIFS('historic generation'!$D:$D,'historic generation'!$A:$A,"*"&amp;$B$1&amp;"*",'historic generation'!$B:$B,$B14,'historic generation'!$C:$C,I$1)</f>
        <v>37</v>
      </c>
      <c r="J14" s="54">
        <f>SUMIFS('historic generation'!$D:$D,'historic generation'!$A:$A,"*"&amp;$B$1&amp;"*",'historic generation'!$B:$B,$B14,'historic generation'!$C:$C,J$1)</f>
        <v>40</v>
      </c>
      <c r="K14" cm="1">
        <f t="array" ref="K14">FORECAST(K12,C14:J14,C12:J12)</f>
        <v>45.0285048552952</v>
      </c>
      <c r="L14" cm="1">
        <f t="array" ref="L14">FORECAST(L12,D14:K14,D12:K12)</f>
        <v>45.1850206338771</v>
      </c>
      <c r="M14" cm="1">
        <f t="array" ref="M14">FORECAST(M12,E14:L14,E12:L12)</f>
        <v>47.9242571892033</v>
      </c>
      <c r="N14" cm="1">
        <f t="array" ref="N14">FORECAST(N12,F14:M14,F12:M12)</f>
        <v>49.5572567241643</v>
      </c>
      <c r="O14" cm="1">
        <f t="array" ref="O14">FORECAST(O12,G14:N14,G12:N12)</f>
        <v>50.5087698863343</v>
      </c>
      <c r="P14" cm="1">
        <f t="array" ref="P14">FORECAST(P12,H14:O14,H12:O12)</f>
        <v>51.7266678940772</v>
      </c>
      <c r="Q14" cm="1">
        <f t="array" ref="Q14">FORECAST(Q12,I14:P14,I12:P12)</f>
        <v>55.1044820650384</v>
      </c>
      <c r="R14" cm="1">
        <f t="array" ref="R14">FORECAST(R12,J14:Q14,J12:Q12)</f>
        <v>56.8755095636958</v>
      </c>
    </row>
    <row r="15" spans="1:48">
      <c r="A15" s="8" t="s">
        <v>431</v>
      </c>
      <c r="B15" s="8" t="s">
        <v>246</v>
      </c>
      <c r="C15" s="54">
        <f>SUMIFS('historic generation'!$D:$D,'historic generation'!$A:$A,"*"&amp;$B$1&amp;"*",'historic generation'!$B:$B,$B15,'historic generation'!$C:$C,C$1)</f>
        <v>0</v>
      </c>
      <c r="D15" s="54">
        <f>SUMIFS('historic generation'!$D:$D,'historic generation'!$A:$A,"*"&amp;$B$1&amp;"*",'historic generation'!$B:$B,$B15,'historic generation'!$C:$C,D$1)</f>
        <v>351</v>
      </c>
      <c r="E15" s="54">
        <f>SUMIFS('historic generation'!$D:$D,'historic generation'!$A:$A,"*"&amp;$B$1&amp;"*",'historic generation'!$B:$B,$B15,'historic generation'!$C:$C,E$1)</f>
        <v>415</v>
      </c>
      <c r="F15" s="54">
        <f>SUMIFS('historic generation'!$D:$D,'historic generation'!$A:$A,"*"&amp;$B$1&amp;"*",'historic generation'!$B:$B,$B15,'historic generation'!$C:$C,F$1)</f>
        <v>429</v>
      </c>
      <c r="G15" s="54">
        <f>SUMIFS('historic generation'!$D:$D,'historic generation'!$A:$A,"*"&amp;$B$1&amp;"*",'historic generation'!$B:$B,$B15,'historic generation'!$C:$C,G$1)</f>
        <v>485</v>
      </c>
      <c r="H15" s="54">
        <f>SUMIFS('historic generation'!$D:$D,'historic generation'!$A:$A,"*"&amp;$B$1&amp;"*",'historic generation'!$B:$B,$B15,'historic generation'!$C:$C,H$1)</f>
        <v>533</v>
      </c>
      <c r="I15" s="54">
        <f>SUMIFS('historic generation'!$D:$D,'historic generation'!$A:$A,"*"&amp;$B$1&amp;"*",'historic generation'!$B:$B,$B15,'historic generation'!$C:$C,I$1)</f>
        <v>533</v>
      </c>
      <c r="J15" s="54">
        <f>SUMIFS('historic generation'!$D:$D,'historic generation'!$A:$A,"*"&amp;$B$1&amp;"*",'historic generation'!$B:$B,$B15,'historic generation'!$C:$C,J$1)</f>
        <v>533</v>
      </c>
      <c r="K15" cm="1">
        <f t="array" ref="K15">FORECAST(K$12,C15:J15,C$12:J$12)</f>
        <v>633.545522881635</v>
      </c>
      <c r="L15" cm="1">
        <f t="array" ref="L15">FORECAST(L$12,D15:K15,D$12:K$12)</f>
        <v>609.770192438188</v>
      </c>
      <c r="M15" cm="1">
        <f t="array" ref="M15">FORECAST(M$12,E15:L15,E$12:L$12)</f>
        <v>621.315694763064</v>
      </c>
      <c r="N15" cm="1">
        <f t="array" ref="N15">FORECAST(N$12,F15:M15,F$12:M$12)</f>
        <v>638.245862987248</v>
      </c>
      <c r="O15" cm="1">
        <f t="array" ref="O15">FORECAST(O$12,G15:N15,G$12:N$12)</f>
        <v>649.354563430865</v>
      </c>
      <c r="P15" cm="1">
        <f t="array" ref="P15">FORECAST(P$12,H15:O15,H$12:O$12)</f>
        <v>663.234714329947</v>
      </c>
      <c r="Q15" cm="1">
        <f t="array" ref="Q15">FORECAST(Q$12,I15:P15,I$12:P$12)</f>
        <v>691.141381013948</v>
      </c>
      <c r="R15" cm="1">
        <f t="array" ref="R15">FORECAST(R$12,J15:Q15,J$12:Q$12)</f>
        <v>706.870664368604</v>
      </c>
    </row>
    <row r="16" spans="1:48">
      <c r="A16" s="8" t="s">
        <v>432</v>
      </c>
      <c r="B16" s="8" t="s">
        <v>247</v>
      </c>
      <c r="C16" s="54">
        <f>SUMIFS('historic generation'!$D:$D,'historic generation'!$A:$A,"*"&amp;$B$1&amp;"*",'historic generation'!$B:$B,$B16,'historic generation'!$C:$C,C$1)</f>
        <v>0</v>
      </c>
      <c r="D16" s="54">
        <f>SUMIFS('historic generation'!$D:$D,'historic generation'!$A:$A,"*"&amp;$B$1&amp;"*",'historic generation'!$B:$B,$B16,'historic generation'!$C:$C,D$1)</f>
        <v>315</v>
      </c>
      <c r="E16" s="54">
        <f>SUMIFS('historic generation'!$D:$D,'historic generation'!$A:$A,"*"&amp;$B$1&amp;"*",'historic generation'!$B:$B,$B16,'historic generation'!$C:$C,E$1)</f>
        <v>380</v>
      </c>
      <c r="F16" s="54">
        <f>SUMIFS('historic generation'!$D:$D,'historic generation'!$A:$A,"*"&amp;$B$1&amp;"*",'historic generation'!$B:$B,$B16,'historic generation'!$C:$C,F$1)</f>
        <v>485</v>
      </c>
      <c r="G16" s="54">
        <f>SUMIFS('historic generation'!$D:$D,'historic generation'!$A:$A,"*"&amp;$B$1&amp;"*",'historic generation'!$B:$B,$B16,'historic generation'!$C:$C,G$1)</f>
        <v>611</v>
      </c>
      <c r="H16" s="54">
        <f>SUMIFS('historic generation'!$D:$D,'historic generation'!$A:$A,"*"&amp;$B$1&amp;"*",'historic generation'!$B:$B,$B16,'historic generation'!$C:$C,H$1)</f>
        <v>785</v>
      </c>
      <c r="I16" s="54">
        <f>SUMIFS('historic generation'!$D:$D,'historic generation'!$A:$A,"*"&amp;$B$1&amp;"*",'historic generation'!$B:$B,$B16,'historic generation'!$C:$C,I$1)</f>
        <v>1089</v>
      </c>
      <c r="J16" s="54">
        <f>SUMIFS('historic generation'!$D:$D,'historic generation'!$A:$A,"*"&amp;$B$1&amp;"*",'historic generation'!$B:$B,$B16,'historic generation'!$C:$C,J$1)</f>
        <v>1089</v>
      </c>
      <c r="K16" cm="1">
        <f t="array" ref="K16">FORECAST(K$12,C16:J16,C$12:J$12)</f>
        <v>1189.18356430269</v>
      </c>
      <c r="L16" cm="1">
        <f t="array" ref="L16">FORECAST(L$12,D16:K16,D$12:K$12)</f>
        <v>1241.23627026665</v>
      </c>
      <c r="M16" cm="1">
        <f t="array" ref="M16">FORECAST(M$12,E16:L16,E$12:L$12)</f>
        <v>1326.8027659651</v>
      </c>
      <c r="N16" cm="1">
        <f t="array" ref="N16">FORECAST(N$12,F16:M16,F$12:M$12)</f>
        <v>1412.41290152296</v>
      </c>
      <c r="O16" cm="1">
        <f t="array" ref="O16">FORECAST(O$12,G16:N16,G$12:N$12)</f>
        <v>1488.26356106963</v>
      </c>
      <c r="P16" cm="1">
        <f t="array" ref="P16">FORECAST(P$12,H16:O16,H$12:O$12)</f>
        <v>1551.37697586176</v>
      </c>
      <c r="Q16" cm="1">
        <f t="array" ref="Q16">FORECAST(Q$12,I16:P16,I$12:P$12)</f>
        <v>1619.42976080254</v>
      </c>
      <c r="R16" cm="1">
        <f t="array" ref="R16">FORECAST(R$12,J16:Q16,J$12:Q$12)</f>
        <v>1720.95043342025</v>
      </c>
    </row>
    <row r="17" spans="1:18">
      <c r="A17" s="8" t="s">
        <v>433</v>
      </c>
      <c r="B17" s="8" t="s">
        <v>242</v>
      </c>
      <c r="C17" s="54">
        <f>SUMIFS('historic generation'!$D:$D,'historic generation'!$A:$A,"*"&amp;$B$1&amp;"*",'historic generation'!$B:$B,$B17,'historic generation'!$C:$C,C$1)</f>
        <v>1856</v>
      </c>
      <c r="D17" s="54">
        <f>SUMIFS('historic generation'!$D:$D,'historic generation'!$A:$A,"*"&amp;$B$1&amp;"*",'historic generation'!$B:$B,$B17,'historic generation'!$C:$C,D$1)</f>
        <v>2409</v>
      </c>
      <c r="E17" s="54">
        <f>SUMIFS('historic generation'!$D:$D,'historic generation'!$A:$A,"*"&amp;$B$1&amp;"*",'historic generation'!$B:$B,$B17,'historic generation'!$C:$C,E$1)</f>
        <v>3034</v>
      </c>
      <c r="F17" s="54">
        <f>SUMIFS('historic generation'!$D:$D,'historic generation'!$A:$A,"*"&amp;$B$1&amp;"*",'historic generation'!$B:$B,$B17,'historic generation'!$C:$C,F$1)</f>
        <v>3658</v>
      </c>
      <c r="G17" s="54">
        <f>SUMIFS('historic generation'!$D:$D,'historic generation'!$A:$A,"*"&amp;$B$1&amp;"*",'historic generation'!$B:$B,$B17,'historic generation'!$C:$C,G$1)</f>
        <v>4053</v>
      </c>
      <c r="H17" s="54">
        <f>SUMIFS('historic generation'!$D:$D,'historic generation'!$A:$A,"*"&amp;$B$1&amp;"*",'historic generation'!$B:$B,$B17,'historic generation'!$C:$C,H$1)</f>
        <v>4665</v>
      </c>
      <c r="I17" s="54">
        <f>SUMIFS('historic generation'!$D:$D,'historic generation'!$A:$A,"*"&amp;$B$1&amp;"*",'historic generation'!$B:$B,$B17,'historic generation'!$C:$C,I$1)</f>
        <v>6558</v>
      </c>
      <c r="J17" s="54">
        <f>SUMIFS('historic generation'!$D:$D,'historic generation'!$A:$A,"*"&amp;$B$1&amp;"*",'historic generation'!$B:$B,$B17,'historic generation'!$C:$C,J$1)</f>
        <v>7624</v>
      </c>
      <c r="K17" s="56">
        <f>J18+J17+(K12-J12)*0.5</f>
        <v>12701.713576</v>
      </c>
      <c r="L17" s="56">
        <f>K18+K17+(L12-K12)*0.5</f>
        <v>13781.630326</v>
      </c>
      <c r="M17" s="56">
        <f>L18+L17+(M12-L12)*0.5</f>
        <v>14820.083526</v>
      </c>
      <c r="N17" s="56">
        <f>M18+M17+(N12-M12)*0.5</f>
        <v>15872.655276</v>
      </c>
      <c r="O17" s="56">
        <f>N18+N17+(O12-N12)*0.5</f>
        <v>17050.148326</v>
      </c>
      <c r="R17" s="46">
        <f>J17*3</f>
        <v>22872</v>
      </c>
    </row>
    <row r="18" spans="1:18">
      <c r="A18" s="8" t="s">
        <v>434</v>
      </c>
      <c r="B18" s="8" t="s">
        <v>258</v>
      </c>
      <c r="C18" s="54">
        <f>SUMIFS('historic generation'!$D:$D,'historic generation'!$A:$A,"*"&amp;$B$1&amp;"*",'historic generation'!$B:$B,$B18,'historic generation'!$C:$C,C$1)</f>
        <v>395</v>
      </c>
      <c r="D18" s="54">
        <f>SUMIFS('historic generation'!$D:$D,'historic generation'!$A:$A,"*"&amp;$B$1&amp;"*",'historic generation'!$B:$B,$B18,'historic generation'!$C:$C,D$1)</f>
        <v>665</v>
      </c>
      <c r="E18" s="54">
        <f>SUMIFS('historic generation'!$D:$D,'historic generation'!$A:$A,"*"&amp;$B$1&amp;"*",'historic generation'!$B:$B,$B18,'historic generation'!$C:$C,E$1)</f>
        <v>1166</v>
      </c>
      <c r="F18" s="54">
        <f>SUMIFS('historic generation'!$D:$D,'historic generation'!$A:$A,"*"&amp;$B$1&amp;"*",'historic generation'!$B:$B,$B18,'historic generation'!$C:$C,F$1)</f>
        <v>1769</v>
      </c>
      <c r="G18" s="54">
        <f>SUMIFS('historic generation'!$D:$D,'historic generation'!$A:$A,"*"&amp;$B$1&amp;"*",'historic generation'!$B:$B,$B18,'historic generation'!$C:$C,G$1)</f>
        <v>2240</v>
      </c>
      <c r="H18" s="54">
        <f>SUMIFS('historic generation'!$D:$D,'historic generation'!$A:$A,"*"&amp;$B$1&amp;"*",'historic generation'!$B:$B,$B18,'historic generation'!$C:$C,H$1)</f>
        <v>2611</v>
      </c>
      <c r="I18" s="54">
        <f>SUMIFS('historic generation'!$D:$D,'historic generation'!$A:$A,"*"&amp;$B$1&amp;"*",'historic generation'!$B:$B,$B18,'historic generation'!$C:$C,I$1)</f>
        <v>3270</v>
      </c>
      <c r="J18" s="54">
        <f>SUMIFS('historic generation'!$D:$D,'historic generation'!$A:$A,"*"&amp;$B$1&amp;"*",'historic generation'!$B:$B,$B18,'historic generation'!$C:$C,J$1)</f>
        <v>4276</v>
      </c>
      <c r="K18" s="56"/>
      <c r="L18" s="56"/>
      <c r="M18" s="56"/>
      <c r="N18" s="56"/>
      <c r="O18" s="56"/>
      <c r="R18" s="46">
        <f>J18*3</f>
        <v>12828</v>
      </c>
    </row>
    <row r="19" spans="1:18">
      <c r="A19" s="8" t="s">
        <v>435</v>
      </c>
      <c r="B19" t="s">
        <v>244</v>
      </c>
      <c r="C19" s="54">
        <f>SUMIFS('historic generation'!$D:$D,'historic generation'!$A:$A,"*"&amp;$B$1&amp;"*",'historic generation'!$B:$B,$B19,'historic generation'!$C:$C,C$1)</f>
        <v>1714</v>
      </c>
      <c r="D19" s="54">
        <f>SUMIFS('historic generation'!$D:$D,'historic generation'!$A:$A,"*"&amp;$B$1&amp;"*",'historic generation'!$B:$B,$B19,'historic generation'!$C:$C,D$1)</f>
        <v>2132</v>
      </c>
      <c r="E19" s="54">
        <f>SUMIFS('historic generation'!$D:$D,'historic generation'!$A:$A,"*"&amp;$B$1&amp;"*",'historic generation'!$B:$B,$B19,'historic generation'!$C:$C,E$1)</f>
        <v>2481</v>
      </c>
      <c r="F19" s="54">
        <f>SUMIFS('historic generation'!$D:$D,'historic generation'!$A:$A,"*"&amp;$B$1&amp;"*",'historic generation'!$B:$B,$B19,'historic generation'!$C:$C,F$1)</f>
        <v>2950</v>
      </c>
      <c r="G19" s="54">
        <f>SUMIFS('historic generation'!$D:$D,'historic generation'!$A:$A,"*"&amp;$B$1&amp;"*",'historic generation'!$B:$B,$B19,'historic generation'!$C:$C,G$1)</f>
        <v>3487</v>
      </c>
      <c r="H19" s="54">
        <f>SUMIFS('historic generation'!$D:$D,'historic generation'!$A:$A,"*"&amp;$B$1&amp;"*",'historic generation'!$B:$B,$B19,'historic generation'!$C:$C,H$1)</f>
        <v>3662</v>
      </c>
      <c r="I19" s="54">
        <f>SUMIFS('historic generation'!$D:$D,'historic generation'!$A:$A,"*"&amp;$B$1&amp;"*",'historic generation'!$B:$B,$B19,'historic generation'!$C:$C,I$1)</f>
        <v>4075</v>
      </c>
      <c r="J19" s="54">
        <f>SUMIFS('historic generation'!$D:$D,'historic generation'!$A:$A,"*"&amp;$B$1&amp;"*",'historic generation'!$B:$B,$B19,'historic generation'!$C:$C,J$1)</f>
        <v>4178</v>
      </c>
      <c r="K19" cm="1">
        <f t="array" ref="K19">FORECAST(K$12,C19:J19,C$12:J$12)</f>
        <v>4516.12464832946</v>
      </c>
      <c r="L19" cm="1">
        <f t="array" ref="L19">FORECAST(L$12,D19:K19,D$12:K$12)</f>
        <v>4655.0018865025</v>
      </c>
      <c r="M19" cm="1">
        <f t="array" ref="M19">FORECAST(M$12,E19:L19,E$12:L$12)</f>
        <v>4796.27673373309</v>
      </c>
      <c r="N19" cm="1">
        <f t="array" ref="N19">FORECAST(N$12,F19:M19,F$12:M$12)</f>
        <v>4924.59264443104</v>
      </c>
      <c r="O19" cm="1">
        <f t="array" ref="O19">FORECAST(O$12,G19:N19,G$12:N$12)</f>
        <v>5050.74208656056</v>
      </c>
      <c r="P19" cm="1">
        <f t="array" ref="P19">FORECAST(P$12,H19:O19,H$12:O$12)</f>
        <v>5226.32633925115</v>
      </c>
      <c r="Q19" cm="1">
        <f t="array" ref="Q19">FORECAST(Q$12,I19:P19,I$12:P$12)</f>
        <v>5417.54564504353</v>
      </c>
      <c r="R19" cm="1">
        <f t="array" ref="R19">FORECAST(R$12,J19:Q19,J$12:Q$12)</f>
        <v>5602.81572981116</v>
      </c>
    </row>
    <row r="20" spans="1:18">
      <c r="A20" s="8" t="s">
        <v>436</v>
      </c>
      <c r="B20" s="8" t="s">
        <v>249</v>
      </c>
      <c r="C20" s="54">
        <f>SUMIFS('historic generation'!$D:$D,'historic generation'!$A:$A,"*"&amp;$B$1&amp;"*",'historic generation'!$B:$B,$B20,'historic generation'!$C:$C,C$1)</f>
        <v>1.5</v>
      </c>
      <c r="D20" s="54">
        <f>SUMIFS('historic generation'!$D:$D,'historic generation'!$A:$A,"*"&amp;$B$1&amp;"*",'historic generation'!$B:$B,$B20,'historic generation'!$C:$C,D$1)</f>
        <v>1.2</v>
      </c>
      <c r="E20" s="54">
        <f>SUMIFS('historic generation'!$D:$D,'historic generation'!$A:$A,"*"&amp;$B$1&amp;"*",'historic generation'!$B:$B,$B20,'historic generation'!$C:$C,E$1)</f>
        <v>1</v>
      </c>
      <c r="F20" s="54">
        <f>SUMIFS('historic generation'!$D:$D,'historic generation'!$A:$A,"*"&amp;$B$1&amp;"*",'historic generation'!$B:$B,$B20,'historic generation'!$C:$C,F$1)</f>
        <v>1</v>
      </c>
      <c r="G20" s="54">
        <f>SUMIFS('historic generation'!$D:$D,'historic generation'!$A:$A,"*"&amp;$B$1&amp;"*",'historic generation'!$B:$B,$B20,'historic generation'!$C:$C,G$1)</f>
        <v>3</v>
      </c>
      <c r="H20" s="54">
        <f>SUMIFS('historic generation'!$D:$D,'historic generation'!$A:$A,"*"&amp;$B$1&amp;"*",'historic generation'!$B:$B,$B20,'historic generation'!$C:$C,H$1)</f>
        <v>3</v>
      </c>
      <c r="I20" s="54">
        <f>SUMIFS('historic generation'!$D:$D,'historic generation'!$A:$A,"*"&amp;$B$1&amp;"*",'historic generation'!$B:$B,$B20,'historic generation'!$C:$C,I$1)</f>
        <v>2.3</v>
      </c>
      <c r="J20" s="54">
        <f>SUMIFS('historic generation'!$D:$D,'historic generation'!$A:$A,"*"&amp;$B$1&amp;"*",'historic generation'!$B:$B,$B20,'historic generation'!$C:$C,J$1)</f>
        <v>0</v>
      </c>
    </row>
    <row r="21" spans="1:18">
      <c r="C21" s="54"/>
      <c r="D21" s="54"/>
      <c r="E21" s="54"/>
      <c r="F21" s="54"/>
      <c r="G21" s="54"/>
      <c r="H21" s="54"/>
      <c r="I21" s="54"/>
      <c r="J21" s="54"/>
    </row>
    <row r="22" spans="1:18">
      <c r="B22" s="8" t="s">
        <v>437</v>
      </c>
      <c r="C22" s="54"/>
      <c r="D22" s="54"/>
      <c r="E22" s="54"/>
      <c r="F22" s="54"/>
      <c r="G22" s="54"/>
      <c r="H22" s="54"/>
      <c r="I22" s="54"/>
      <c r="J22" s="54"/>
      <c r="K22" s="55">
        <f>K12-J12</f>
        <v>1603.427152</v>
      </c>
      <c r="L22" s="55">
        <f>L12-K12</f>
        <v>2159.83349999999</v>
      </c>
      <c r="M22" s="55">
        <f>M12-L12</f>
        <v>2076.90640000001</v>
      </c>
      <c r="N22" s="55">
        <f>N12-M12</f>
        <v>2105.14349999999</v>
      </c>
      <c r="O22" s="55">
        <f>O12-N12</f>
        <v>2354.98610000001</v>
      </c>
    </row>
    <row r="23" spans="1:18">
      <c r="A23" s="8" t="s">
        <v>438</v>
      </c>
      <c r="B23" s="8" t="s">
        <v>439</v>
      </c>
      <c r="C23" s="54">
        <f>SUM(C13:C20)</f>
        <v>15093.5</v>
      </c>
      <c r="D23" s="54">
        <f t="shared" ref="D23:J23" si="0">SUM(D13:D20)</f>
        <v>17642.2</v>
      </c>
      <c r="E23" s="54">
        <f t="shared" si="0"/>
        <v>19426</v>
      </c>
      <c r="F23" s="54">
        <f t="shared" si="0"/>
        <v>21635</v>
      </c>
      <c r="G23" s="54">
        <f t="shared" si="0"/>
        <v>23930.3</v>
      </c>
      <c r="H23" s="54">
        <f t="shared" si="0"/>
        <v>25850</v>
      </c>
      <c r="I23" s="54">
        <f t="shared" si="0"/>
        <v>28963.3</v>
      </c>
      <c r="J23" s="54">
        <f t="shared" si="0"/>
        <v>31257</v>
      </c>
      <c r="K23" s="46">
        <f>SUM(K13:K19)</f>
        <v>33045.7731324027</v>
      </c>
      <c r="L23" s="46">
        <f>SUM(L13:L19)</f>
        <v>34398.0476550681</v>
      </c>
      <c r="M23" s="46">
        <f>SUM(M13:M19)</f>
        <v>35816.4431492003</v>
      </c>
      <c r="N23" s="46">
        <f>SUM(N13:N19)</f>
        <v>37191.8093088777</v>
      </c>
      <c r="O23" s="46">
        <f>SUM(O13:O19)</f>
        <v>38630.2532316865</v>
      </c>
      <c r="R23" s="46">
        <f>SUM(R13:R18)</f>
        <v>53012.2985026639</v>
      </c>
    </row>
    <row r="24" spans="1:18">
      <c r="A24" s="8" t="s">
        <v>440</v>
      </c>
      <c r="B24" s="8" t="s">
        <v>441</v>
      </c>
      <c r="C24" s="54">
        <f>SUM(C14:C20)</f>
        <v>3966.5</v>
      </c>
      <c r="D24" s="54">
        <f t="shared" ref="D24:J24" si="1">SUM(D14:D20)</f>
        <v>5894.2</v>
      </c>
      <c r="E24" s="54">
        <f t="shared" si="1"/>
        <v>7495</v>
      </c>
      <c r="F24" s="54">
        <f t="shared" si="1"/>
        <v>9314</v>
      </c>
      <c r="G24" s="54">
        <f t="shared" si="1"/>
        <v>10909.3</v>
      </c>
      <c r="H24" s="54">
        <f t="shared" si="1"/>
        <v>12297</v>
      </c>
      <c r="I24" s="54">
        <f t="shared" si="1"/>
        <v>15564.3</v>
      </c>
      <c r="J24" s="54">
        <f t="shared" si="1"/>
        <v>17740</v>
      </c>
    </row>
    <row r="25" spans="1:18">
      <c r="B25" s="8" t="s">
        <v>442</v>
      </c>
      <c r="C25" s="54">
        <f t="shared" ref="C25:J25" si="2">SUM(C17,C18)</f>
        <v>2251</v>
      </c>
      <c r="D25" s="54">
        <f t="shared" si="2"/>
        <v>3074</v>
      </c>
      <c r="E25" s="54">
        <f t="shared" si="2"/>
        <v>4200</v>
      </c>
      <c r="F25" s="54">
        <f t="shared" si="2"/>
        <v>5427</v>
      </c>
      <c r="G25" s="54">
        <f t="shared" si="2"/>
        <v>6293</v>
      </c>
      <c r="H25" s="54">
        <f t="shared" si="2"/>
        <v>7276</v>
      </c>
      <c r="I25" s="54">
        <f t="shared" si="2"/>
        <v>9828</v>
      </c>
      <c r="J25" s="54">
        <f t="shared" si="2"/>
        <v>11900</v>
      </c>
    </row>
    <row r="26" spans="1:18">
      <c r="C26" s="54"/>
      <c r="D26" s="54"/>
      <c r="E26" s="54"/>
      <c r="F26" s="54"/>
      <c r="G26" s="54"/>
      <c r="H26" s="54"/>
      <c r="I26" s="54"/>
    </row>
    <row r="27" spans="1:18">
      <c r="A27" s="8" t="s">
        <v>443</v>
      </c>
      <c r="B27" s="8" t="s">
        <v>444</v>
      </c>
      <c r="C27" s="54">
        <f>SUMIFS('historic exchange'!$F:$F,'historic exchange'!$B:$B,"*"&amp;$B$1&amp;"*",'historic exchange'!$C:$C,C$1,'historic exchange'!$D:$D,"1.3. 进口量")+SUMIFS('historic exchange'!$F:$F,'historic exchange'!$B:$B,"*"&amp;$B$1&amp;"*",'historic exchange'!$C:$C,C$1,'historic exchange'!$D:$D,"1.2. 外省(区、市)调入量")</f>
        <v>62.1</v>
      </c>
      <c r="D27" s="54">
        <f>SUMIFS('historic exchange'!$F:$F,'historic exchange'!$B:$B,"*"&amp;$B$1&amp;"*",'historic exchange'!$C:$C,D$1,'historic exchange'!$D:$D,"1.3. 进口量")+SUMIFS('historic exchange'!$F:$F,'historic exchange'!$B:$B,"*"&amp;$B$1&amp;"*",'historic exchange'!$C:$C,D$1,'historic exchange'!$D:$D,"1.2. 外省(区、市)调入量")</f>
        <v>61.85</v>
      </c>
      <c r="E27" s="54">
        <f>SUMIFS('historic exchange'!$F:$F,'historic exchange'!$B:$B,"*"&amp;$B$1&amp;"*",'historic exchange'!$C:$C,E$1,'historic exchange'!$D:$D,"1.3. 进口量")+SUMIFS('historic exchange'!$F:$F,'historic exchange'!$B:$B,"*"&amp;$B$1&amp;"*",'historic exchange'!$C:$C,E$1,'historic exchange'!$D:$D,"1.2. 外省(区、市)调入量")</f>
        <v>64.23</v>
      </c>
      <c r="F27" s="54">
        <f>SUMIFS('historic exchange'!$F:$F,'historic exchange'!$B:$B,"*"&amp;$B$1&amp;"*",'historic exchange'!$C:$C,F$1,'historic exchange'!$D:$D,"1.3. 进口量")+SUMIFS('historic exchange'!$F:$F,'historic exchange'!$B:$B,"*"&amp;$B$1&amp;"*",'historic exchange'!$C:$C,F$1,'historic exchange'!$D:$D,"1.2. 外省(区、市)调入量")</f>
        <v>56.88</v>
      </c>
      <c r="G27" s="54">
        <f>SUMIFS('historic exchange'!$F:$F,'historic exchange'!$B:$B,"*"&amp;$B$1&amp;"*",'historic exchange'!$C:$C,G$1,'historic exchange'!$D:$D,"1.3. 进口量")+SUMIFS('historic exchange'!$F:$F,'historic exchange'!$B:$B,"*"&amp;$B$1&amp;"*",'historic exchange'!$C:$C,G$1,'historic exchange'!$D:$D,"1.2. 外省(区、市)调入量")</f>
        <v>48.58</v>
      </c>
      <c r="H27" s="54">
        <f>SUMIFS('historic exchange'!$F:$F,'historic exchange'!$B:$B,"*"&amp;$B$1&amp;"*",'historic exchange'!$C:$C,H$1,'historic exchange'!$D:$D,"1.3. 进口量")+SUMIFS('historic exchange'!$F:$F,'historic exchange'!$B:$B,"*"&amp;$B$1&amp;"*",'historic exchange'!$C:$C,H$1,'historic exchange'!$D:$D,"1.2. 外省(区、市)调入量")</f>
        <v>47.51</v>
      </c>
      <c r="I27" s="54">
        <f>SUMIFS('historic exchange'!$F:$F,'historic exchange'!$B:$B,"*"&amp;$B$1&amp;"*",'historic exchange'!$C:$C,I$1,'historic exchange'!$D:$D,"1.3. 进口量")+SUMIFS('historic exchange'!$F:$F,'historic exchange'!$B:$B,"*"&amp;$B$1&amp;"*",'historic exchange'!$C:$C,I$1,'historic exchange'!$D:$D,"1.2. 外省(区、市)调入量")</f>
        <v>59.38</v>
      </c>
      <c r="J27" s="54">
        <f>SUMIFS('historic exchange'!$F:$F,'historic exchange'!$B:$B,"*"&amp;$B$1&amp;"*",'historic exchange'!$C:$C,J$1,'historic exchange'!$D:$D,"1.3. 进口量")+SUMIFS('historic exchange'!$F:$F,'historic exchange'!$B:$B,"*"&amp;$B$1&amp;"*",'historic exchange'!$C:$C,J$1,'historic exchange'!$D:$D,"1.2. 外省(区、市)调入量")</f>
        <v>71.38</v>
      </c>
    </row>
    <row r="28" spans="1:18">
      <c r="A28" s="8" t="s">
        <v>445</v>
      </c>
      <c r="B28" s="8" t="s">
        <v>446</v>
      </c>
      <c r="C28" s="54">
        <f>SUMIFS('historic exchange'!$F:$F,'historic exchange'!$B:$B,"*"&amp;$B$1&amp;"*",'historic exchange'!$C:$C,C$1,'historic exchange'!$D:$D,"1.6. 出口量(-)")+SUMIFS('historic exchange'!$F:$F,'historic exchange'!$B:$B,"*"&amp;$B$1&amp;"*",'historic exchange'!$C:$C,C$1,'historic exchange'!$D:$D,"1.5. 本省(区、市)调出量(-)")</f>
        <v>-186.54</v>
      </c>
      <c r="D28" s="54">
        <f>SUMIFS('historic exchange'!$F:$F,'historic exchange'!$B:$B,"*"&amp;$B$1&amp;"*",'historic exchange'!$C:$C,D$1,'historic exchange'!$D:$D,"1.6. 出口量(-)")+SUMIFS('historic exchange'!$F:$F,'historic exchange'!$B:$B,"*"&amp;$B$1&amp;"*",'historic exchange'!$C:$C,D$1,'historic exchange'!$D:$D,"1.5. 本省(区、市)调出量(-)")</f>
        <v>-189.07</v>
      </c>
      <c r="E28" s="54">
        <f>SUMIFS('historic exchange'!$F:$F,'historic exchange'!$B:$B,"*"&amp;$B$1&amp;"*",'historic exchange'!$C:$C,E$1,'historic exchange'!$D:$D,"1.6. 出口量(-)")+SUMIFS('historic exchange'!$F:$F,'historic exchange'!$B:$B,"*"&amp;$B$1&amp;"*",'historic exchange'!$C:$C,E$1,'historic exchange'!$D:$D,"1.5. 本省(区、市)调出量(-)")</f>
        <v>-194.7</v>
      </c>
      <c r="F28" s="54">
        <f>SUMIFS('historic exchange'!$F:$F,'historic exchange'!$B:$B,"*"&amp;$B$1&amp;"*",'historic exchange'!$C:$C,F$1,'historic exchange'!$D:$D,"1.6. 出口量(-)")+SUMIFS('historic exchange'!$F:$F,'historic exchange'!$B:$B,"*"&amp;$B$1&amp;"*",'historic exchange'!$C:$C,F$1,'historic exchange'!$D:$D,"1.5. 本省(区、市)调出量(-)")</f>
        <v>-209.06</v>
      </c>
      <c r="G28" s="54">
        <f>SUMIFS('historic exchange'!$F:$F,'historic exchange'!$B:$B,"*"&amp;$B$1&amp;"*",'historic exchange'!$C:$C,G$1,'historic exchange'!$D:$D,"1.6. 出口量(-)")+SUMIFS('historic exchange'!$F:$F,'historic exchange'!$B:$B,"*"&amp;$B$1&amp;"*",'historic exchange'!$C:$C,G$1,'historic exchange'!$D:$D,"1.5. 本省(区、市)调出量(-)")</f>
        <v>-216.55</v>
      </c>
      <c r="H28" s="54">
        <f>SUMIFS('historic exchange'!$F:$F,'historic exchange'!$B:$B,"*"&amp;$B$1&amp;"*",'historic exchange'!$C:$C,H$1,'historic exchange'!$D:$D,"1.6. 出口量(-)")+SUMIFS('historic exchange'!$F:$F,'historic exchange'!$B:$B,"*"&amp;$B$1&amp;"*",'historic exchange'!$C:$C,H$1,'historic exchange'!$D:$D,"1.5. 本省(区、市)调出量(-)")</f>
        <v>-217.93</v>
      </c>
      <c r="I28" s="54">
        <f>SUMIFS('historic exchange'!$F:$F,'historic exchange'!$B:$B,"*"&amp;$B$1&amp;"*",'historic exchange'!$C:$C,I$1,'historic exchange'!$D:$D,"1.6. 出口量(-)")+SUMIFS('historic exchange'!$F:$F,'historic exchange'!$B:$B,"*"&amp;$B$1&amp;"*",'historic exchange'!$C:$C,I$1,'historic exchange'!$D:$D,"1.5. 本省(区、市)调出量(-)")</f>
        <v>-201.76</v>
      </c>
      <c r="J28" s="54">
        <f>SUMIFS('historic exchange'!$F:$F,'historic exchange'!$B:$B,"*"&amp;$B$1&amp;"*",'historic exchange'!$C:$C,J$1,'historic exchange'!$D:$D,"1.6. 出口量(-)")+SUMIFS('historic exchange'!$F:$F,'historic exchange'!$B:$B,"*"&amp;$B$1&amp;"*",'historic exchange'!$C:$C,J$1,'historic exchange'!$D:$D,"1.5. 本省(区、市)调出量(-)")</f>
        <v>0</v>
      </c>
    </row>
    <row r="29" spans="1:18">
      <c r="A29" s="8" t="s">
        <v>447</v>
      </c>
      <c r="B29" s="8" t="s">
        <v>448</v>
      </c>
      <c r="C29" s="54">
        <f t="shared" ref="C29:J29" si="3">C28*C23/C12</f>
        <v>-49.0512454703833</v>
      </c>
      <c r="D29" s="54">
        <f t="shared" si="3"/>
        <v>-55.3830569502557</v>
      </c>
      <c r="E29" s="54">
        <f t="shared" si="3"/>
        <v>-58.9400539184367</v>
      </c>
      <c r="F29" s="54">
        <f t="shared" si="3"/>
        <v>-64.663432313037</v>
      </c>
      <c r="G29" s="54">
        <f t="shared" si="3"/>
        <v>-70.7271351458325</v>
      </c>
      <c r="H29" s="54">
        <f t="shared" si="3"/>
        <v>-73.8682799223749</v>
      </c>
      <c r="I29" s="54">
        <f t="shared" si="3"/>
        <v>-69.6010601364952</v>
      </c>
      <c r="J29" s="54">
        <f t="shared" si="3"/>
        <v>0</v>
      </c>
    </row>
    <row r="30" spans="1:18">
      <c r="A30" s="8" t="s">
        <v>449</v>
      </c>
      <c r="B30" s="8" t="s">
        <v>450</v>
      </c>
      <c r="C30" s="54">
        <f t="shared" ref="C30:J30" si="4">C28*C24/C12</f>
        <v>-12.8904339721254</v>
      </c>
      <c r="D30" s="54">
        <f t="shared" si="4"/>
        <v>-18.5032940492794</v>
      </c>
      <c r="E30" s="54">
        <f t="shared" si="4"/>
        <v>-22.7404357108351</v>
      </c>
      <c r="F30" s="54">
        <f t="shared" si="4"/>
        <v>-27.8380036313209</v>
      </c>
      <c r="G30" s="54">
        <f t="shared" si="4"/>
        <v>-32.2429528859409</v>
      </c>
      <c r="H30" s="54">
        <f t="shared" si="4"/>
        <v>-35.1395836829959</v>
      </c>
      <c r="I30" s="54">
        <f t="shared" si="4"/>
        <v>-37.4022221322312</v>
      </c>
      <c r="J30" s="54">
        <f t="shared" si="4"/>
        <v>0</v>
      </c>
    </row>
    <row r="31" spans="1:18">
      <c r="A31" s="8" t="s">
        <v>451</v>
      </c>
      <c r="B31" s="8" t="s">
        <v>452</v>
      </c>
      <c r="C31" s="54">
        <f t="shared" ref="C31:I32" si="5">C9-C23-C29</f>
        <v>-1419.44875452962</v>
      </c>
      <c r="D31" s="54">
        <f>D9-D23-D29</f>
        <v>-2528.81694304975</v>
      </c>
      <c r="E31" s="54">
        <f t="shared" si="5"/>
        <v>-2681.05994608156</v>
      </c>
      <c r="F31" s="54">
        <f t="shared" si="5"/>
        <v>-3411.36656768696</v>
      </c>
      <c r="G31" s="54">
        <f>G9-G23-G29</f>
        <v>-3921.57286485417</v>
      </c>
      <c r="H31" s="54">
        <f t="shared" si="5"/>
        <v>-4163.13172007762</v>
      </c>
      <c r="I31" s="54">
        <f t="shared" si="5"/>
        <v>-4447.6989398635</v>
      </c>
      <c r="J31" s="54">
        <f>J9-J23-J29</f>
        <v>-4447</v>
      </c>
    </row>
    <row r="32" spans="1:18">
      <c r="A32" s="8" t="s">
        <v>453</v>
      </c>
      <c r="B32" s="8" t="s">
        <v>454</v>
      </c>
      <c r="C32" s="54">
        <f t="shared" si="5"/>
        <v>-1175.60956602787</v>
      </c>
      <c r="D32" s="54">
        <f t="shared" si="5"/>
        <v>-2158.69670595072</v>
      </c>
      <c r="E32" s="54">
        <f t="shared" si="5"/>
        <v>-2447.25956428916</v>
      </c>
      <c r="F32" s="54">
        <f t="shared" si="5"/>
        <v>-2971.96199636868</v>
      </c>
      <c r="G32" s="54">
        <f t="shared" si="5"/>
        <v>-3489.05704711406</v>
      </c>
      <c r="H32" s="54">
        <f t="shared" si="5"/>
        <v>-3699.860416317</v>
      </c>
      <c r="I32" s="54">
        <f t="shared" si="5"/>
        <v>-4128.89777786777</v>
      </c>
      <c r="J32" s="54">
        <f>J10-J24-J30</f>
        <v>-4064</v>
      </c>
    </row>
    <row r="34" spans="1:48">
      <c r="A34" s="8" t="s">
        <v>455</v>
      </c>
      <c r="B34" s="8" t="s">
        <v>456</v>
      </c>
      <c r="C34" s="44">
        <f>C23/C12</f>
        <v>0.262952961672474</v>
      </c>
      <c r="D34" s="44">
        <f t="shared" ref="D34:O34" si="6">D23/D12</f>
        <v>0.292923557149499</v>
      </c>
      <c r="E34" s="44">
        <f t="shared" si="6"/>
        <v>0.302722413551293</v>
      </c>
      <c r="F34" s="44">
        <f t="shared" si="6"/>
        <v>0.309305617110098</v>
      </c>
      <c r="G34" s="44">
        <f t="shared" si="6"/>
        <v>0.326608797717998</v>
      </c>
      <c r="H34" s="44">
        <f t="shared" si="6"/>
        <v>0.338954159236337</v>
      </c>
      <c r="I34" s="44">
        <f t="shared" si="6"/>
        <v>0.344969568479853</v>
      </c>
      <c r="J34" s="44">
        <f t="shared" si="6"/>
        <v>0.359503134165277</v>
      </c>
      <c r="K34" s="57">
        <f t="shared" si="6"/>
        <v>0.373194354719335</v>
      </c>
      <c r="L34" s="57">
        <f t="shared" si="6"/>
        <v>0.379216263301921</v>
      </c>
      <c r="M34" s="49">
        <f t="shared" si="6"/>
        <v>0.386014750925948</v>
      </c>
      <c r="N34" s="49">
        <f t="shared" si="6"/>
        <v>0.391945279686871</v>
      </c>
      <c r="O34" s="49">
        <f t="shared" si="6"/>
        <v>0.397245466481818</v>
      </c>
      <c r="R34" s="46">
        <f>R23/R12</f>
        <v>0.509143648918925</v>
      </c>
    </row>
    <row r="35" spans="1:48">
      <c r="A35" s="8" t="s">
        <v>457</v>
      </c>
      <c r="B35" s="8" t="s">
        <v>458</v>
      </c>
      <c r="C35" s="44">
        <f>C24/C12</f>
        <v>0.069102787456446</v>
      </c>
      <c r="D35" s="44">
        <f t="shared" ref="D35:J35" si="7">D24/D12</f>
        <v>0.0978647805007638</v>
      </c>
      <c r="E35" s="44">
        <f t="shared" si="7"/>
        <v>0.116797307194839</v>
      </c>
      <c r="F35" s="44">
        <f t="shared" si="7"/>
        <v>0.133157962457289</v>
      </c>
      <c r="G35" s="44">
        <f t="shared" si="7"/>
        <v>0.148893802290191</v>
      </c>
      <c r="H35" s="44">
        <f t="shared" si="7"/>
        <v>0.161242525962446</v>
      </c>
      <c r="I35" s="44">
        <f t="shared" si="7"/>
        <v>0.185379768696626</v>
      </c>
      <c r="J35" s="44">
        <f t="shared" si="7"/>
        <v>0.204037034907125</v>
      </c>
    </row>
    <row r="36" spans="1:48">
      <c r="A36" s="8" t="s">
        <v>459</v>
      </c>
      <c r="B36" s="8" t="s">
        <v>460</v>
      </c>
      <c r="C36" s="44">
        <f>C13/C12</f>
        <v>0.193850174216028</v>
      </c>
      <c r="D36" s="44">
        <f t="shared" ref="D36:J36" si="8">D13/D12</f>
        <v>0.195058776648735</v>
      </c>
      <c r="E36" s="44">
        <f t="shared" si="8"/>
        <v>0.185925106356454</v>
      </c>
      <c r="F36" s="44">
        <f t="shared" si="8"/>
        <v>0.176147654652809</v>
      </c>
      <c r="G36" s="44">
        <f t="shared" si="8"/>
        <v>0.177714995427807</v>
      </c>
      <c r="H36" s="44">
        <f t="shared" si="8"/>
        <v>0.177711633273891</v>
      </c>
      <c r="I36" s="44">
        <f t="shared" si="8"/>
        <v>0.159589799783228</v>
      </c>
      <c r="J36" s="44">
        <f t="shared" si="8"/>
        <v>0.155466099258152</v>
      </c>
    </row>
    <row r="37" spans="1:48">
      <c r="C37" s="44"/>
      <c r="D37" s="44"/>
      <c r="E37" s="44"/>
      <c r="F37" s="44"/>
      <c r="G37" s="44"/>
      <c r="H37" s="44"/>
      <c r="I37" s="44"/>
      <c r="J37" s="44"/>
    </row>
    <row r="38" spans="1:48">
      <c r="A38" s="8" t="s">
        <v>461</v>
      </c>
      <c r="B38" s="8" t="s">
        <v>462</v>
      </c>
      <c r="C38" s="44">
        <f>C31/C27</f>
        <v>-22.8574678668215</v>
      </c>
      <c r="D38" s="44">
        <f>D31/D27</f>
        <v>-40.8862884890824</v>
      </c>
      <c r="E38" s="44">
        <f t="shared" ref="E38:I38" si="9">E31/E27</f>
        <v>-41.7415529516046</v>
      </c>
      <c r="F38" s="44">
        <f t="shared" si="9"/>
        <v>-59.9747990099677</v>
      </c>
      <c r="G38" s="44">
        <f t="shared" si="9"/>
        <v>-80.7240194494477</v>
      </c>
      <c r="H38" s="44">
        <f t="shared" si="9"/>
        <v>-87.6264306478136</v>
      </c>
      <c r="I38" s="44">
        <f t="shared" si="9"/>
        <v>-74.9023061613928</v>
      </c>
    </row>
    <row r="39" spans="1:48">
      <c r="A39" s="8" t="s">
        <v>463</v>
      </c>
      <c r="B39" s="8" t="s">
        <v>464</v>
      </c>
      <c r="C39" s="44">
        <f>C32/C27</f>
        <v>-18.9309108861171</v>
      </c>
      <c r="D39" s="44">
        <f t="shared" ref="D39:I39" si="10">D32/D27</f>
        <v>-34.9021294414021</v>
      </c>
      <c r="E39" s="44">
        <f t="shared" si="10"/>
        <v>-38.1015034141237</v>
      </c>
      <c r="F39" s="44">
        <f t="shared" si="10"/>
        <v>-52.249683480462</v>
      </c>
      <c r="G39" s="44">
        <f t="shared" si="10"/>
        <v>-71.8208531723767</v>
      </c>
      <c r="H39" s="44">
        <f t="shared" si="10"/>
        <v>-77.8754034164808</v>
      </c>
      <c r="I39" s="44">
        <f t="shared" si="10"/>
        <v>-69.5334755450955</v>
      </c>
    </row>
    <row r="41" spans="1:48">
      <c r="A41" s="8" t="s">
        <v>465</v>
      </c>
      <c r="B41" s="8" t="s">
        <v>466</v>
      </c>
      <c r="C41">
        <f t="shared" ref="C41:J41" si="11">C34/C2</f>
        <v>1.07327739458153</v>
      </c>
      <c r="D41">
        <f t="shared" si="11"/>
        <v>1.15324235098228</v>
      </c>
      <c r="E41">
        <f t="shared" si="11"/>
        <v>1.14234873038224</v>
      </c>
      <c r="F41">
        <f t="shared" si="11"/>
        <v>1.16719100796263</v>
      </c>
      <c r="G41">
        <f t="shared" si="11"/>
        <v>1.18766835533817</v>
      </c>
      <c r="H41">
        <f t="shared" si="11"/>
        <v>1.17692416401506</v>
      </c>
      <c r="I41">
        <f t="shared" si="11"/>
        <v>1.17336587918317</v>
      </c>
      <c r="J41">
        <f t="shared" si="11"/>
        <v>1.13766814609265</v>
      </c>
    </row>
    <row r="42" spans="1:48">
      <c r="A42" s="8" t="s">
        <v>467</v>
      </c>
      <c r="B42" s="8" t="s">
        <v>468</v>
      </c>
      <c r="C42">
        <f>C35/C5</f>
        <v>1.38205574912892</v>
      </c>
      <c r="D42">
        <f t="shared" ref="D42:J42" si="12">D35/D5</f>
        <v>1.55340921429784</v>
      </c>
      <c r="E42">
        <f t="shared" si="12"/>
        <v>1.45996633993548</v>
      </c>
      <c r="F42">
        <f t="shared" si="12"/>
        <v>1.44736915714445</v>
      </c>
      <c r="G42">
        <f t="shared" si="12"/>
        <v>1.45974315970775</v>
      </c>
      <c r="H42">
        <f t="shared" si="12"/>
        <v>1.4144081224776</v>
      </c>
      <c r="I42">
        <f t="shared" si="12"/>
        <v>1.35313699778559</v>
      </c>
      <c r="J42">
        <f t="shared" si="12"/>
        <v>1.28325179186871</v>
      </c>
    </row>
    <row r="43" spans="1:48">
      <c r="AU43" s="25"/>
      <c r="AV43" s="25"/>
    </row>
    <row r="44" spans="1:48">
      <c r="AU44" s="25"/>
      <c r="AV44" s="25"/>
    </row>
    <row r="45" s="9" customFormat="1" spans="1:48">
      <c r="B45" s="9" t="s">
        <v>469</v>
      </c>
      <c r="H45" s="9">
        <f t="shared" ref="H45:O45" si="13">H19/H12</f>
        <v>0.0480174131962656</v>
      </c>
      <c r="I45" s="9">
        <f t="shared" si="13"/>
        <v>0.0485355947545826</v>
      </c>
      <c r="J45" s="9">
        <f t="shared" si="13"/>
        <v>0.0480533670711369</v>
      </c>
      <c r="K45" s="9">
        <f t="shared" si="13"/>
        <v>0.051001748913927</v>
      </c>
      <c r="L45" s="9">
        <f t="shared" si="13"/>
        <v>0.0513183898913165</v>
      </c>
      <c r="M45" s="9">
        <f t="shared" si="13"/>
        <v>0.0516922789075229</v>
      </c>
      <c r="N45" s="9">
        <f t="shared" si="13"/>
        <v>0.0518977397774703</v>
      </c>
      <c r="O45" s="9">
        <f t="shared" si="13"/>
        <v>0.0519381631857738</v>
      </c>
      <c r="W45" s="9">
        <v>0.069</v>
      </c>
      <c r="AU45" s="28"/>
      <c r="AV45" s="9">
        <v>0.165</v>
      </c>
    </row>
    <row r="46" spans="1:48">
      <c r="AU46" s="25"/>
      <c r="AV46" s="25"/>
    </row>
    <row r="47" spans="1:48"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</row>
    <row r="48" s="10" customFormat="1" spans="1:48">
      <c r="A48" s="30" t="s">
        <v>470</v>
      </c>
      <c r="B48" s="30" t="s">
        <v>471</v>
      </c>
      <c r="C48" s="58">
        <f t="shared" ref="C48:F48" si="14">C34</f>
        <v>0.262952961672474</v>
      </c>
      <c r="D48" s="58">
        <f t="shared" si="14"/>
        <v>0.292923557149499</v>
      </c>
      <c r="E48" s="58">
        <f t="shared" si="14"/>
        <v>0.302722413551293</v>
      </c>
      <c r="F48" s="58">
        <f t="shared" si="14"/>
        <v>0.309305617110098</v>
      </c>
      <c r="G48" s="58">
        <f t="shared" ref="G48:J48" si="15">G34</f>
        <v>0.326608797717998</v>
      </c>
      <c r="H48" s="58">
        <f t="shared" si="15"/>
        <v>0.338954159236337</v>
      </c>
      <c r="I48" s="58">
        <f t="shared" si="15"/>
        <v>0.344969568479853</v>
      </c>
      <c r="J48" s="58">
        <f t="shared" si="15"/>
        <v>0.359503134165277</v>
      </c>
      <c r="K48" s="34">
        <f>$J$48+($R$48-$J$48)*(K1-$J$1)/($R$1-$J$1)</f>
        <v>0.367065242394617</v>
      </c>
      <c r="L48" s="34">
        <f t="shared" ref="L48:Q48" si="16">$J$48+($R$48-$J$48)*(L1-$J$1)/($R$1-$J$1)</f>
        <v>0.374627350623958</v>
      </c>
      <c r="M48" s="34">
        <f t="shared" si="16"/>
        <v>0.382189458853298</v>
      </c>
      <c r="N48" s="34">
        <f t="shared" si="16"/>
        <v>0.389751567082638</v>
      </c>
      <c r="O48" s="34">
        <f t="shared" si="16"/>
        <v>0.397313675311979</v>
      </c>
      <c r="P48" s="34">
        <f t="shared" si="16"/>
        <v>0.404875783541319</v>
      </c>
      <c r="Q48" s="34">
        <f t="shared" si="16"/>
        <v>0.41243789177066</v>
      </c>
      <c r="R48" s="58">
        <v>0.42</v>
      </c>
      <c r="S48" s="34">
        <f>$R$48+($AL$48-$R$48)*(S1-$R$1)/($AL$1-$R$1)</f>
        <v>0.4315</v>
      </c>
      <c r="T48" s="34">
        <f t="shared" ref="T48:AK48" si="17">$R$48+($AL$48-$R$48)*(T1-$R$1)/($AL$1-$R$1)</f>
        <v>0.443</v>
      </c>
      <c r="U48" s="34">
        <f t="shared" si="17"/>
        <v>0.4545</v>
      </c>
      <c r="V48" s="34">
        <f t="shared" si="17"/>
        <v>0.466</v>
      </c>
      <c r="W48" s="34">
        <f t="shared" si="17"/>
        <v>0.4775</v>
      </c>
      <c r="X48" s="34">
        <f t="shared" si="17"/>
        <v>0.489</v>
      </c>
      <c r="Y48" s="34">
        <f t="shared" si="17"/>
        <v>0.5005</v>
      </c>
      <c r="Z48" s="34">
        <f t="shared" si="17"/>
        <v>0.512</v>
      </c>
      <c r="AA48" s="34">
        <f t="shared" si="17"/>
        <v>0.5235</v>
      </c>
      <c r="AB48" s="34">
        <f t="shared" si="17"/>
        <v>0.535</v>
      </c>
      <c r="AC48" s="34">
        <f t="shared" si="17"/>
        <v>0.5465</v>
      </c>
      <c r="AD48" s="34">
        <f t="shared" si="17"/>
        <v>0.558</v>
      </c>
      <c r="AE48" s="34">
        <f t="shared" si="17"/>
        <v>0.5695</v>
      </c>
      <c r="AF48" s="34">
        <f t="shared" si="17"/>
        <v>0.581</v>
      </c>
      <c r="AG48" s="34">
        <f t="shared" si="17"/>
        <v>0.5925</v>
      </c>
      <c r="AH48" s="34">
        <f t="shared" si="17"/>
        <v>0.604</v>
      </c>
      <c r="AI48" s="34">
        <f t="shared" si="17"/>
        <v>0.6155</v>
      </c>
      <c r="AJ48" s="34">
        <f t="shared" si="17"/>
        <v>0.627</v>
      </c>
      <c r="AK48" s="34">
        <f t="shared" si="17"/>
        <v>0.6385</v>
      </c>
      <c r="AL48" s="35">
        <v>0.65</v>
      </c>
      <c r="AM48" s="34">
        <f>0.0115*(AL1-2030+1)+0.4085</f>
        <v>0.65</v>
      </c>
      <c r="AN48" s="34">
        <f t="shared" ref="AN48:AV48" si="18">0.0115*(AM1-2030+1)+0.4085</f>
        <v>0.6615</v>
      </c>
      <c r="AO48" s="34">
        <f t="shared" si="18"/>
        <v>0.673</v>
      </c>
      <c r="AP48" s="34">
        <f t="shared" si="18"/>
        <v>0.6845</v>
      </c>
      <c r="AQ48" s="34">
        <f t="shared" si="18"/>
        <v>0.696</v>
      </c>
      <c r="AR48" s="34">
        <f t="shared" si="18"/>
        <v>0.7075</v>
      </c>
      <c r="AS48" s="34">
        <f t="shared" si="18"/>
        <v>0.719</v>
      </c>
      <c r="AT48" s="34">
        <f t="shared" si="18"/>
        <v>0.7305</v>
      </c>
      <c r="AU48" s="34">
        <f t="shared" si="18"/>
        <v>0.742</v>
      </c>
      <c r="AV48" s="34">
        <f t="shared" si="18"/>
        <v>0.7535</v>
      </c>
    </row>
    <row r="49" s="10" customFormat="1" spans="1:48">
      <c r="A49" s="30" t="s">
        <v>472</v>
      </c>
      <c r="B49" s="30" t="s">
        <v>473</v>
      </c>
      <c r="C49" s="58">
        <f t="shared" ref="C49:F49" si="19">C35</f>
        <v>0.069102787456446</v>
      </c>
      <c r="D49" s="58">
        <f t="shared" si="19"/>
        <v>0.0978647805007638</v>
      </c>
      <c r="E49" s="58">
        <f t="shared" si="19"/>
        <v>0.116797307194839</v>
      </c>
      <c r="F49" s="58">
        <f t="shared" si="19"/>
        <v>0.133157962457289</v>
      </c>
      <c r="G49" s="58">
        <f t="shared" ref="G49:J49" si="20">G35</f>
        <v>0.148893802290191</v>
      </c>
      <c r="H49" s="58">
        <f t="shared" si="20"/>
        <v>0.161242525962446</v>
      </c>
      <c r="I49" s="58">
        <f t="shared" si="20"/>
        <v>0.185379768696626</v>
      </c>
      <c r="J49" s="58">
        <f t="shared" si="20"/>
        <v>0.204037034907125</v>
      </c>
      <c r="K49" s="126" t="s">
        <v>474</v>
      </c>
      <c r="L49" s="126" t="s">
        <v>475</v>
      </c>
      <c r="M49" s="126" t="s">
        <v>476</v>
      </c>
      <c r="N49" s="126" t="s">
        <v>477</v>
      </c>
      <c r="O49" s="126" t="s">
        <v>478</v>
      </c>
      <c r="P49" s="126" t="s">
        <v>479</v>
      </c>
      <c r="Q49" s="126" t="s">
        <v>480</v>
      </c>
      <c r="R49" s="58">
        <v>0.281</v>
      </c>
      <c r="S49" s="34">
        <f>S48-S51</f>
        <v>0.296241782416602</v>
      </c>
      <c r="T49" s="34">
        <f t="shared" ref="T49:AL49" si="21">T48-T51</f>
        <v>0.311678260530307</v>
      </c>
      <c r="U49" s="34">
        <f t="shared" si="21"/>
        <v>0.326275302962102</v>
      </c>
      <c r="V49" s="34">
        <f t="shared" si="21"/>
        <v>0.341596048024466</v>
      </c>
      <c r="W49" s="34">
        <f t="shared" si="21"/>
        <v>0.356579579687352</v>
      </c>
      <c r="X49" s="34">
        <f t="shared" si="21"/>
        <v>0.370986154198674</v>
      </c>
      <c r="Y49" s="34">
        <f t="shared" si="21"/>
        <v>0.385315502071509</v>
      </c>
      <c r="Z49" s="34">
        <f t="shared" si="21"/>
        <v>0.399527008592995</v>
      </c>
      <c r="AA49" s="34">
        <f t="shared" si="21"/>
        <v>0.41357224237535</v>
      </c>
      <c r="AB49" s="34">
        <f t="shared" si="21"/>
        <v>0.427562967960802</v>
      </c>
      <c r="AC49" s="34">
        <f t="shared" si="21"/>
        <v>0.441256138283085</v>
      </c>
      <c r="AD49" s="34">
        <f t="shared" si="21"/>
        <v>0.454831389666439</v>
      </c>
      <c r="AE49" s="34">
        <f t="shared" si="21"/>
        <v>0.46845109307156</v>
      </c>
      <c r="AF49" s="34">
        <f t="shared" si="21"/>
        <v>0.481959873790838</v>
      </c>
      <c r="AG49" s="34">
        <f t="shared" si="21"/>
        <v>0.495341524576571</v>
      </c>
      <c r="AH49" s="34">
        <f t="shared" si="21"/>
        <v>0.508524603653458</v>
      </c>
      <c r="AI49" s="34">
        <f t="shared" si="21"/>
        <v>0.521633374379285</v>
      </c>
      <c r="AJ49" s="34">
        <f t="shared" si="21"/>
        <v>0.534656380628524</v>
      </c>
      <c r="AK49" s="34">
        <f t="shared" si="21"/>
        <v>0.547461866322031</v>
      </c>
      <c r="AL49" s="34">
        <f t="shared" si="21"/>
        <v>0.560372979354727</v>
      </c>
      <c r="AM49" s="34">
        <f>$AL$49+($AV$49-$AL$49)*(AM1-$AL$1)/($AV$1-$AL$1)</f>
        <v>0.564935681419254</v>
      </c>
      <c r="AN49" s="34">
        <f t="shared" ref="AN49:AU49" si="22">$AL$49+($AV$49-$AL$49)*(AN1-$AL$1)/($AV$1-$AL$1)</f>
        <v>0.569498383483782</v>
      </c>
      <c r="AO49" s="34">
        <f t="shared" si="22"/>
        <v>0.574061085548309</v>
      </c>
      <c r="AP49" s="34">
        <f t="shared" si="22"/>
        <v>0.578623787612836</v>
      </c>
      <c r="AQ49" s="34">
        <f t="shared" si="22"/>
        <v>0.583186489677364</v>
      </c>
      <c r="AR49" s="34">
        <f t="shared" si="22"/>
        <v>0.587749191741891</v>
      </c>
      <c r="AS49" s="34">
        <f t="shared" si="22"/>
        <v>0.592311893806418</v>
      </c>
      <c r="AT49" s="34">
        <f t="shared" si="22"/>
        <v>0.596874595870945</v>
      </c>
      <c r="AU49" s="34">
        <f t="shared" si="22"/>
        <v>0.601437297935473</v>
      </c>
      <c r="AV49" s="35">
        <v>0.606</v>
      </c>
    </row>
    <row r="50" s="10" customFormat="1" spans="1:48">
      <c r="A50" s="30"/>
      <c r="B50" s="30" t="s">
        <v>481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>
        <f>(R48-R49)*R54</f>
        <v>1445804152.48963</v>
      </c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</row>
    <row r="51" s="10" customFormat="1" spans="1:48">
      <c r="A51" s="30"/>
      <c r="B51" s="30" t="s">
        <v>482</v>
      </c>
      <c r="C51" s="29">
        <f t="shared" ref="C51:R51" si="23">C48-C49</f>
        <v>0.193850174216028</v>
      </c>
      <c r="D51" s="29">
        <f t="shared" si="23"/>
        <v>0.195058776648735</v>
      </c>
      <c r="E51" s="29">
        <f t="shared" si="23"/>
        <v>0.185925106356454</v>
      </c>
      <c r="F51" s="29">
        <f t="shared" si="23"/>
        <v>0.176147654652809</v>
      </c>
      <c r="G51" s="29">
        <f t="shared" si="23"/>
        <v>0.177714995427807</v>
      </c>
      <c r="H51" s="29">
        <f t="shared" si="23"/>
        <v>0.177711633273891</v>
      </c>
      <c r="I51" s="29">
        <f t="shared" si="23"/>
        <v>0.159589799783227</v>
      </c>
      <c r="J51" s="29">
        <f t="shared" si="23"/>
        <v>0.155466099258152</v>
      </c>
      <c r="K51" s="29">
        <f t="shared" si="23"/>
        <v>0.195065242394617</v>
      </c>
      <c r="L51" s="29">
        <f t="shared" si="23"/>
        <v>0.187627350623958</v>
      </c>
      <c r="M51" s="29">
        <f t="shared" si="23"/>
        <v>0.179189458853298</v>
      </c>
      <c r="N51" s="29">
        <f t="shared" si="23"/>
        <v>0.171751567082638</v>
      </c>
      <c r="O51" s="29">
        <f t="shared" si="23"/>
        <v>0.163313675311979</v>
      </c>
      <c r="P51" s="29">
        <f t="shared" si="23"/>
        <v>0.154875783541319</v>
      </c>
      <c r="Q51" s="29">
        <f t="shared" si="23"/>
        <v>0.14743789177066</v>
      </c>
      <c r="R51" s="29">
        <f t="shared" si="23"/>
        <v>0.139</v>
      </c>
      <c r="S51" s="29">
        <f t="shared" ref="S51:AV51" si="24">$R$50/S54</f>
        <v>0.135258217583398</v>
      </c>
      <c r="T51" s="29">
        <f t="shared" si="24"/>
        <v>0.131321739469693</v>
      </c>
      <c r="U51" s="29">
        <f t="shared" si="24"/>
        <v>0.128224697037898</v>
      </c>
      <c r="V51" s="29">
        <f t="shared" si="24"/>
        <v>0.124403951975534</v>
      </c>
      <c r="W51" s="29">
        <f t="shared" si="24"/>
        <v>0.120920420312648</v>
      </c>
      <c r="X51" s="29">
        <f t="shared" si="24"/>
        <v>0.118013845801326</v>
      </c>
      <c r="Y51" s="29">
        <f t="shared" si="24"/>
        <v>0.11518449792849</v>
      </c>
      <c r="Z51" s="29">
        <f t="shared" si="24"/>
        <v>0.112472991407005</v>
      </c>
      <c r="AA51" s="29">
        <f t="shared" si="24"/>
        <v>0.10992775762465</v>
      </c>
      <c r="AB51" s="29">
        <f t="shared" si="24"/>
        <v>0.107437032039198</v>
      </c>
      <c r="AC51" s="29">
        <f t="shared" si="24"/>
        <v>0.105243861716915</v>
      </c>
      <c r="AD51" s="29">
        <f t="shared" si="24"/>
        <v>0.103168610333561</v>
      </c>
      <c r="AE51" s="29">
        <f t="shared" si="24"/>
        <v>0.10104890692844</v>
      </c>
      <c r="AF51" s="29">
        <f t="shared" si="24"/>
        <v>0.0990401262091617</v>
      </c>
      <c r="AG51" s="29">
        <f t="shared" si="24"/>
        <v>0.0971584754234294</v>
      </c>
      <c r="AH51" s="29">
        <f t="shared" si="24"/>
        <v>0.0954753963465425</v>
      </c>
      <c r="AI51" s="29">
        <f t="shared" si="24"/>
        <v>0.0938666256207153</v>
      </c>
      <c r="AJ51" s="29">
        <f t="shared" si="24"/>
        <v>0.0923436193714763</v>
      </c>
      <c r="AK51" s="29">
        <f t="shared" si="24"/>
        <v>0.0910381336779686</v>
      </c>
      <c r="AL51" s="29">
        <f t="shared" si="24"/>
        <v>0.0896270206452729</v>
      </c>
      <c r="AM51" s="29">
        <f t="shared" si="24"/>
        <v>0.0885673216015119</v>
      </c>
      <c r="AN51" s="29">
        <f t="shared" si="24"/>
        <v>0.0877302537274127</v>
      </c>
      <c r="AO51" s="29">
        <f t="shared" si="24"/>
        <v>0.0868090737403357</v>
      </c>
      <c r="AP51" s="29">
        <f t="shared" si="24"/>
        <v>0.0861289874845204</v>
      </c>
      <c r="AQ51" s="29">
        <f t="shared" si="24"/>
        <v>0.0855372058740667</v>
      </c>
      <c r="AR51" s="29">
        <f t="shared" si="24"/>
        <v>0.0851500317280696</v>
      </c>
      <c r="AS51" s="29">
        <f t="shared" si="24"/>
        <v>0.0848172493536749</v>
      </c>
      <c r="AT51" s="29">
        <f t="shared" si="24"/>
        <v>0.0847301426460237</v>
      </c>
      <c r="AU51" s="29">
        <f t="shared" si="24"/>
        <v>0.084711497328424</v>
      </c>
      <c r="AV51" s="29">
        <f t="shared" si="24"/>
        <v>0.0838669781860336</v>
      </c>
    </row>
    <row r="52" s="10" customFormat="1" spans="1:48">
      <c r="A52" s="30"/>
      <c r="B52" s="30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>
        <f>AV54*AV51</f>
        <v>1445804152.48963</v>
      </c>
    </row>
    <row r="53" spans="1:48">
      <c r="C53" s="46" t="s">
        <v>483</v>
      </c>
      <c r="D53" s="46"/>
      <c r="E53" s="46"/>
    </row>
    <row r="54" s="10" customFormat="1" spans="1:48">
      <c r="A54" s="30" t="s">
        <v>484</v>
      </c>
      <c r="B54" s="30" t="s">
        <v>485</v>
      </c>
      <c r="I54" s="10">
        <f>SUM('model calibration'!B2:B49)</f>
        <v>509467084.58</v>
      </c>
      <c r="J54" s="10">
        <f>SUM('model calibration'!C2:C49)</f>
        <v>684007257.5691</v>
      </c>
      <c r="K54" s="43">
        <f>SUM('model calibration - 2022'!B2:B49)</f>
        <v>8243640511.3</v>
      </c>
      <c r="L54" s="43">
        <f>SUM('model calibration - 2022'!C2:C49)</f>
        <v>8403673505.2</v>
      </c>
      <c r="M54" s="43">
        <f>SUM('model calibration - 2022'!D2:D49)</f>
        <v>8850884373</v>
      </c>
      <c r="N54" s="43">
        <f>SUM('model calibration - 2022'!E2:E49)</f>
        <v>9260611970.1</v>
      </c>
      <c r="O54" s="43">
        <f>SUM('model calibration - 2022'!F2:F49)</f>
        <v>9573143190</v>
      </c>
      <c r="P54" s="43">
        <f>SUM('model calibration - 2022'!G2:G49)</f>
        <v>9905463049.6507</v>
      </c>
      <c r="Q54" s="43">
        <f>SUM('model calibration - 2022'!H2:H49)</f>
        <v>10210433810.4527</v>
      </c>
      <c r="R54" s="43">
        <f>SUM('model calibration - 2022'!I2:I49)</f>
        <v>10401468722.947</v>
      </c>
      <c r="S54" s="43">
        <f>SUM('model calibration - 2022'!J2:J49)</f>
        <v>10689214883.3632</v>
      </c>
      <c r="T54" s="43">
        <f>SUM('model calibration - 2022'!K2:K49)</f>
        <v>11009632969.5915</v>
      </c>
      <c r="U54" s="43">
        <f>SUM('model calibration - 2022'!L2:L49)</f>
        <v>11275551324.2688</v>
      </c>
      <c r="V54" s="43">
        <f>SUM('model calibration - 2022'!M2:M49)</f>
        <v>11621850668.9721</v>
      </c>
      <c r="W54" s="43">
        <f>SUM('model calibration - 2022'!N2:N49)</f>
        <v>11956658343.987</v>
      </c>
      <c r="X54" s="43">
        <f>SUM('model calibration - 2022'!O2:O49)</f>
        <v>12251140047.784</v>
      </c>
      <c r="Y54" s="43">
        <f>SUM('model calibration - 2022'!P2:P49)</f>
        <v>12552072357.751</v>
      </c>
      <c r="Z54" s="43">
        <f>SUM('model calibration - 2022'!Q2:Q49)</f>
        <v>12854678571.3</v>
      </c>
      <c r="AA54" s="43">
        <f>SUM('model calibration - 2022'!R2:R49)</f>
        <v>13152311879.465</v>
      </c>
      <c r="AB54" s="43">
        <f>SUM('model calibration - 2022'!S2:S49)</f>
        <v>13457223501.503</v>
      </c>
      <c r="AC54" s="43">
        <f>SUM('model calibration - 2022'!T2:T49)</f>
        <v>13737657749.376</v>
      </c>
      <c r="AD54" s="43">
        <f>SUM('model calibration - 2022'!U2:U49)</f>
        <v>14013992703.935</v>
      </c>
      <c r="AE54" s="43">
        <f>SUM('model calibration - 2022'!V2:V49)</f>
        <v>14307964296.076</v>
      </c>
      <c r="AF54" s="43">
        <f>SUM('model calibration - 2022'!W2:W49)</f>
        <v>14598165489.372</v>
      </c>
      <c r="AG54" s="43">
        <f>SUM('model calibration - 2022'!X2:X49)</f>
        <v>14880885544.865</v>
      </c>
      <c r="AH54" s="43">
        <f>SUM('model calibration - 2022'!Y2:Y49)</f>
        <v>15143211841.11</v>
      </c>
      <c r="AI54" s="43">
        <f>SUM('model calibration - 2022'!Z2:Z49)</f>
        <v>15402749837.111</v>
      </c>
      <c r="AJ54" s="43">
        <f>SUM('model calibration - 2022'!AA2:AA49)</f>
        <v>15656784543.754</v>
      </c>
      <c r="AK54" s="43">
        <f>SUM('model calibration - 2022'!AB2:AB49)</f>
        <v>15881302637.463</v>
      </c>
      <c r="AL54" s="43">
        <f>SUM('model calibration - 2022'!AC2:AC49)</f>
        <v>16131342334.94</v>
      </c>
      <c r="AM54" s="43">
        <f>SUM('model calibration - 2022'!AD2:AD49)</f>
        <v>16324352214.18</v>
      </c>
      <c r="AN54" s="43">
        <f>SUM('model calibration - 2022'!AE2:AE49)</f>
        <v>16480109096.48</v>
      </c>
      <c r="AO54" s="43">
        <f>SUM('model calibration - 2022'!AF2:AF49)</f>
        <v>16654988818.5</v>
      </c>
      <c r="AP54" s="43">
        <f>SUM('model calibration - 2022'!AG2:AG49)</f>
        <v>16786498886.33</v>
      </c>
      <c r="AQ54" s="43">
        <f>SUM('model calibration - 2022'!AH2:AH49)</f>
        <v>16902634797.52</v>
      </c>
      <c r="AR54" s="43">
        <f>SUM('model calibration - 2022'!AI2:AI49)</f>
        <v>16979490472.85</v>
      </c>
      <c r="AS54" s="43">
        <f>SUM('model calibration - 2022'!AJ2:AJ49)</f>
        <v>17046109883.39</v>
      </c>
      <c r="AT54" s="43">
        <f>SUM('model calibration - 2022'!AK2:AK49)</f>
        <v>17063634113.42</v>
      </c>
      <c r="AU54" s="43">
        <f>SUM('model calibration - 2022'!AL2:AL49)</f>
        <v>17067389883.15</v>
      </c>
      <c r="AV54" s="43">
        <f>SUM('model calibration - 2022'!AM2:AM49)</f>
        <v>17239254158.92</v>
      </c>
    </row>
    <row r="55" spans="1:48">
      <c r="A55" s="30" t="s">
        <v>486</v>
      </c>
      <c r="B55" s="30" t="s">
        <v>487</v>
      </c>
      <c r="H55" s="44">
        <f>SUMPRODUCT('model calibration'!B52:B67,'model calibration'!B71:B86)</f>
        <v>0.19367227</v>
      </c>
      <c r="I55" s="44" cm="1">
        <f t="array" ref="I55">SUMPRODUCT('model calibration'!C52:C67,'model calibration'!C71:C86)</f>
        <v>0.29906246</v>
      </c>
      <c r="J55" s="44">
        <f>SUMPRODUCT('model calibration'!D52:D67,'model calibration'!D71:D86)</f>
        <v>0.30689672</v>
      </c>
      <c r="K55" s="44" cm="1">
        <f t="array" ref="K55">SUMPRODUCT('model calibration - 2022'!B53:B68,'model calibration - 2022'!B73:B88)</f>
        <v>0.418456517</v>
      </c>
      <c r="L55" s="44" cm="1">
        <f t="array" ref="L55">SUMPRODUCT('model calibration - 2022'!C53:C68,'model calibration - 2022'!C73:C88)</f>
        <v>0.421556515</v>
      </c>
      <c r="M55" s="44" cm="1">
        <f t="array" ref="M55">SUMPRODUCT('model calibration - 2022'!D53:D68,'model calibration - 2022'!D73:D88)</f>
        <v>0.412520274</v>
      </c>
      <c r="N55" s="44" cm="1">
        <f t="array" ref="N55">SUMPRODUCT('model calibration - 2022'!E53:E68,'model calibration - 2022'!E73:E88)</f>
        <v>0.406952719</v>
      </c>
      <c r="O55" s="44" cm="1">
        <f t="array" ref="O55">SUMPRODUCT('model calibration - 2022'!F53:F68,'model calibration - 2022'!F73:F88)</f>
        <v>0.406657683</v>
      </c>
      <c r="P55" s="44" cm="1">
        <f t="array" ref="P55">SUMPRODUCT('model calibration - 2022'!G53:G68,'model calibration - 2022'!G73:G88)</f>
        <v>0.425461004</v>
      </c>
      <c r="Q55" s="44" cm="1">
        <f t="array" ref="Q55">SUMPRODUCT('model calibration - 2022'!H53:H68,'model calibration - 2022'!H73:H88)</f>
        <v>0.451165373</v>
      </c>
      <c r="R55" s="44" cm="1">
        <f t="array" ref="R55">SUMPRODUCT('model calibration - 2022'!I53:I68,'model calibration - 2022'!I73:I88)</f>
        <v>0.4705158</v>
      </c>
      <c r="S55" s="44" cm="1">
        <f t="array" ref="S55">SUMPRODUCT('model calibration - 2022'!J53:J68,'model calibration - 2022'!J73:J88)</f>
        <v>0.49399595</v>
      </c>
      <c r="T55" s="44" cm="1">
        <f t="array" ref="T55">SUMPRODUCT('model calibration - 2022'!K53:K68,'model calibration - 2022'!K73:K88)</f>
        <v>0.517577756</v>
      </c>
      <c r="U55" s="44" cm="1">
        <f t="array" ref="U55">SUMPRODUCT('model calibration - 2022'!L53:L68,'model calibration - 2022'!L73:L88)</f>
        <v>0.538377924</v>
      </c>
      <c r="V55" s="44" cm="1">
        <f t="array" ref="V55">SUMPRODUCT('model calibration - 2022'!M53:M68,'model calibration - 2022'!M73:M88)</f>
        <v>0.561954363</v>
      </c>
      <c r="W55" s="44" cm="1">
        <f t="array" ref="W55">SUMPRODUCT('model calibration - 2022'!N53:N68,'model calibration - 2022'!N73:N88)</f>
        <v>0.583985332</v>
      </c>
      <c r="X55" s="44" cm="1">
        <f t="array" ref="X55">SUMPRODUCT('model calibration - 2022'!O53:O68,'model calibration - 2022'!O73:O88)</f>
        <v>0.604291672</v>
      </c>
      <c r="Y55" s="44" cm="1">
        <f t="array" ref="Y55">SUMPRODUCT('model calibration - 2022'!P53:P68,'model calibration - 2022'!P73:P88)</f>
        <v>0.624370052</v>
      </c>
      <c r="Z55" s="44" cm="1">
        <f t="array" ref="Z55">SUMPRODUCT('model calibration - 2022'!Q53:Q68,'model calibration - 2022'!Q73:Q88)</f>
        <v>0.6440306</v>
      </c>
      <c r="AA55" s="44" cm="1">
        <f t="array" ref="AA55">SUMPRODUCT('model calibration - 2022'!R53:R68,'model calibration - 2022'!R73:R88)</f>
        <v>0.663112332</v>
      </c>
      <c r="AB55" s="44" cm="1">
        <f t="array" ref="AB55">SUMPRODUCT('model calibration - 2022'!S53:S68,'model calibration - 2022'!S73:S88)</f>
        <v>0.681977698</v>
      </c>
      <c r="AC55" s="44" cm="1">
        <f t="array" ref="AC55">SUMPRODUCT('model calibration - 2022'!T53:T68,'model calibration - 2022'!T73:T88)</f>
        <v>0.699911494</v>
      </c>
      <c r="AD55" s="44" cm="1">
        <f t="array" ref="AD55">SUMPRODUCT('model calibration - 2022'!U53:U68,'model calibration - 2022'!U73:U88)</f>
        <v>0.7174287905</v>
      </c>
      <c r="AE55" s="44" cm="1">
        <f t="array" ref="AE55">SUMPRODUCT('model calibration - 2022'!V53:V68,'model calibration - 2022'!V73:V88)</f>
        <v>0.7344309344</v>
      </c>
      <c r="AF55" s="44" cm="1">
        <f t="array" ref="AF55">SUMPRODUCT('model calibration - 2022'!W53:W68,'model calibration - 2022'!W73:W88)</f>
        <v>0.7507089807</v>
      </c>
      <c r="AG55" s="44" cm="1">
        <f t="array" ref="AG55">SUMPRODUCT('model calibration - 2022'!X53:X68,'model calibration - 2022'!X73:X88)</f>
        <v>0.7665300302</v>
      </c>
      <c r="AH55" s="44" cm="1">
        <f t="array" ref="AH55">SUMPRODUCT('model calibration - 2022'!Y53:Y68,'model calibration - 2022'!Y73:Y88)</f>
        <v>0.7817100466</v>
      </c>
      <c r="AI55" s="44" cm="1">
        <f t="array" ref="AI55">SUMPRODUCT('model calibration - 2022'!Z53:Z68,'model calibration - 2022'!Z73:Z88)</f>
        <v>0.7964843961</v>
      </c>
      <c r="AJ55" s="44" cm="1">
        <f t="array" ref="AJ55">SUMPRODUCT('model calibration - 2022'!AA53:AA68,'model calibration - 2022'!AA73:AA88)</f>
        <v>0.8108968141</v>
      </c>
      <c r="AK55" s="44" cm="1">
        <f t="array" ref="AK55">SUMPRODUCT('model calibration - 2022'!AB53:AB68,'model calibration - 2022'!AB73:AB88)</f>
        <v>0.824402002</v>
      </c>
      <c r="AL55" s="44" cm="1">
        <f t="array" ref="AL55">SUMPRODUCT('model calibration - 2022'!AC53:AC68,'model calibration - 2022'!AC73:AC88)</f>
        <v>0.8377259681</v>
      </c>
      <c r="AM55" s="44" cm="1">
        <f t="array" ref="AM55">SUMPRODUCT('model calibration - 2022'!AD53:AD68,'model calibration - 2022'!AD73:AD88)</f>
        <v>0.8499007012</v>
      </c>
      <c r="AN55" s="44" cm="1">
        <f t="array" ref="AN55">SUMPRODUCT('model calibration - 2022'!AE53:AE68,'model calibration - 2022'!AE73:AE88)</f>
        <v>0.8618049285</v>
      </c>
      <c r="AO55" s="44" cm="1">
        <f t="array" ref="AO55">SUMPRODUCT('model calibration - 2022'!AF53:AF68,'model calibration - 2022'!AF73:AF88)</f>
        <v>0.8734061399</v>
      </c>
      <c r="AP55" s="44" cm="1">
        <f t="array" ref="AP55">SUMPRODUCT('model calibration - 2022'!AG53:AG68,'model calibration - 2022'!AG73:AG88)</f>
        <v>0.8842418808</v>
      </c>
      <c r="AQ55" s="44" cm="1">
        <f t="array" ref="AQ55">SUMPRODUCT('model calibration - 2022'!AH53:AH68,'model calibration - 2022'!AH73:AH88)</f>
        <v>0.8947721365</v>
      </c>
      <c r="AR55" s="44" cm="1">
        <f t="array" ref="AR55">SUMPRODUCT('model calibration - 2022'!AI53:AI68,'model calibration - 2022'!AI73:AI88)</f>
        <v>0.9044946337</v>
      </c>
      <c r="AS55" s="44" cm="1">
        <f t="array" ref="AS55">SUMPRODUCT('model calibration - 2022'!AJ53:AJ68,'model calibration - 2022'!AJ73:AJ88)</f>
        <v>0.9138624828</v>
      </c>
      <c r="AT55" s="44" cm="1">
        <f t="array" ref="AT55">SUMPRODUCT('model calibration - 2022'!AK53:AK68,'model calibration - 2022'!AK73:AK88)</f>
        <v>0.9222730982</v>
      </c>
      <c r="AU55" s="44" cm="1">
        <f t="array" ref="AU55">SUMPRODUCT('model calibration - 2022'!AL53:AL68,'model calibration - 2022'!AL73:AL88)</f>
        <v>0.9304854457</v>
      </c>
      <c r="AV55" s="44" cm="1">
        <f t="array" ref="AV55">SUMPRODUCT('model calibration - 2022'!AM53:AM68,'model calibration - 2022'!AM73:AM88)</f>
        <v>0.9386907041</v>
      </c>
    </row>
    <row r="58" spans="1:48">
      <c r="A58" s="30" t="s">
        <v>486</v>
      </c>
      <c r="B58" s="30" t="s">
        <v>487</v>
      </c>
      <c r="H58" s="44">
        <f>SUMPRODUCT('14FYP workbook'!B120:B135,'model calibration'!B71:B86)</f>
        <v>0.146351032</v>
      </c>
      <c r="I58" s="44">
        <f>SUMPRODUCT('14FYP workbook'!C120:C135,'model calibration'!C71:C86)</f>
        <v>0.19909962</v>
      </c>
      <c r="J58" s="44">
        <f>SUMPRODUCT('14FYP workbook'!D120:D135,'model calibration'!D71:D86)</f>
        <v>0.215285076</v>
      </c>
      <c r="K58" s="44">
        <f>SUMPRODUCT('14FYP workbook'!E120:E135,'model calibration'!E71:E86)</f>
        <v>0.23477508</v>
      </c>
      <c r="L58" s="44">
        <f>SUMPRODUCT('14FYP workbook'!F120:F135,'model calibration'!F71:F86)</f>
        <v>0.253392984</v>
      </c>
      <c r="M58" s="44">
        <f>SUMPRODUCT('14FYP workbook'!G120:G135,'model calibration'!G71:G86)</f>
        <v>0.27309046</v>
      </c>
      <c r="N58" s="44">
        <f>SUMPRODUCT('14FYP workbook'!H120:H135,'model calibration'!H71:H86)</f>
        <v>0.297607075</v>
      </c>
      <c r="O58" s="44">
        <f>SUMPRODUCT('14FYP workbook'!I120:I135,'model calibration'!I71:I86)</f>
        <v>0.32355017</v>
      </c>
      <c r="P58" s="44">
        <f>SUMPRODUCT('14FYP workbook'!J120:J135,'model calibration'!J71:J86)</f>
        <v>0.34994519</v>
      </c>
      <c r="Q58" s="44">
        <f>SUMPRODUCT('14FYP workbook'!K120:K135,'model calibration'!K71:K86)</f>
        <v>0.379406742</v>
      </c>
      <c r="R58" s="44">
        <f>SUMPRODUCT('14FYP workbook'!L120:L135,'model calibration'!L71:L86)</f>
        <v>0.41333766</v>
      </c>
      <c r="S58" s="44">
        <f>SUMPRODUCT('14FYP workbook'!M120:M135,'model calibration'!M71:M86)</f>
        <v>0.44643821</v>
      </c>
      <c r="T58" s="44">
        <f>SUMPRODUCT('14FYP workbook'!N120:N135,'model calibration'!N71:N86)</f>
        <v>0.46196148</v>
      </c>
      <c r="U58" s="44">
        <f>SUMPRODUCT('14FYP workbook'!O120:O135,'model calibration'!O71:O86)</f>
        <v>0.47713522</v>
      </c>
      <c r="V58" s="44">
        <f>SUMPRODUCT('14FYP workbook'!P120:P135,'model calibration'!P71:P86)</f>
        <v>0.4907753</v>
      </c>
      <c r="W58" s="44">
        <f>SUMPRODUCT('14FYP workbook'!Q120:Q135,'model calibration'!Q71:Q86)</f>
        <v>0.50356396</v>
      </c>
      <c r="X58" s="44">
        <f>SUMPRODUCT('model calibration'!R55:R70,'model calibration'!R74:R89)</f>
        <v>0.49655542</v>
      </c>
      <c r="Y58" s="44">
        <f>SUMPRODUCT('model calibration'!S55:S70,'model calibration'!S74:S89)</f>
        <v>0.51918241</v>
      </c>
      <c r="Z58" s="44">
        <f>SUMPRODUCT('model calibration'!T55:T70,'model calibration'!T74:T89)</f>
        <v>0.54181955</v>
      </c>
      <c r="AA58" s="44">
        <f>SUMPRODUCT('model calibration'!U55:U70,'model calibration'!U74:U89)</f>
        <v>0.56426987</v>
      </c>
      <c r="AB58" s="44">
        <f>SUMPRODUCT('model calibration'!V55:V70,'model calibration'!V74:V89)</f>
        <v>0.58659781</v>
      </c>
      <c r="AC58" s="44">
        <f>SUMPRODUCT('model calibration'!W55:W70,'model calibration'!W74:W89)</f>
        <v>0.60870524</v>
      </c>
      <c r="AD58" s="44">
        <f>SUMPRODUCT('model calibration'!X55:X70,'model calibration'!X74:X89)</f>
        <v>0.63051351</v>
      </c>
      <c r="AE58" s="44">
        <f>SUMPRODUCT('model calibration'!Y55:Y70,'model calibration'!Y74:Y89)</f>
        <v>0.65180746</v>
      </c>
      <c r="AF58" s="44">
        <f>SUMPRODUCT('model calibration'!Z55:Z70,'model calibration'!Z74:Z89)</f>
        <v>0.67250027</v>
      </c>
      <c r="AG58" s="44">
        <f>SUMPRODUCT('model calibration'!AA55:AA70,'model calibration'!AA74:AA89)</f>
        <v>0.69269739</v>
      </c>
      <c r="AH58" s="44">
        <f>SUMPRODUCT('model calibration'!AB55:AB70,'model calibration'!AB74:AB89)</f>
        <v>0.71221303</v>
      </c>
      <c r="AI58" s="44">
        <f>SUMPRODUCT('model calibration'!AC55:AC70,'model calibration'!AC74:AC89)</f>
        <v>0.73152658</v>
      </c>
      <c r="AJ58" s="44">
        <f>SUMPRODUCT('model calibration'!AD55:AD70,'model calibration'!AD74:AD89)</f>
        <v>0.75035541</v>
      </c>
      <c r="AK58" s="44">
        <f>SUMPRODUCT('model calibration'!AE55:AE70,'model calibration'!AE74:AE89)</f>
        <v>0.76820149</v>
      </c>
      <c r="AL58" s="44">
        <f>SUMPRODUCT('model calibration'!AF55:AF70,'model calibration'!AF74:AF89)</f>
        <v>0.78584415</v>
      </c>
      <c r="AM58" s="44">
        <f>SUMPRODUCT('model calibration'!AG55:AG70,'model calibration'!AG74:AG89)</f>
        <v>0.80110789</v>
      </c>
      <c r="AN58" s="44">
        <f>SUMPRODUCT('model calibration'!AH55:AH70,'model calibration'!AH74:AH89)</f>
        <v>0.81617535</v>
      </c>
      <c r="AO58" s="44">
        <f>SUMPRODUCT('model calibration'!AI55:AI70,'model calibration'!AI74:AI89)</f>
        <v>0.83081782</v>
      </c>
      <c r="AP58" s="44">
        <f>SUMPRODUCT('model calibration'!AJ55:AJ70,'model calibration'!AJ74:AJ89)</f>
        <v>0.84425968</v>
      </c>
      <c r="AQ58" s="44">
        <f>SUMPRODUCT('model calibration'!AK55:AK70,'model calibration'!AK74:AK89)</f>
        <v>0.857010214</v>
      </c>
      <c r="AR58" s="44">
        <f>SUMPRODUCT('model calibration'!AL55:AL70,'model calibration'!AL74:AL89)</f>
        <v>0.868918205</v>
      </c>
      <c r="AS58" s="44">
        <f>SUMPRODUCT('model calibration'!AM55:AM70,'model calibration'!AM74:AM89)</f>
        <v>0.880095295</v>
      </c>
      <c r="AT58" s="44">
        <f>SUMPRODUCT('model calibration'!AN55:AN70,'model calibration'!AN74:AN89)</f>
        <v>0.890502259</v>
      </c>
      <c r="AU58" s="44">
        <f>SUMPRODUCT('model calibration'!AO55:AO70,'model calibration'!AO74:AO89)</f>
        <v>0.899949567</v>
      </c>
      <c r="AV58" s="44">
        <f>SUMPRODUCT('model calibration'!AP55:AP70,'model calibration'!AP74:AP89)</f>
        <v>0.908775291</v>
      </c>
    </row>
    <row r="60" spans="1:48">
      <c r="B60" s="30" t="s">
        <v>488</v>
      </c>
      <c r="J60">
        <f>J48</f>
        <v>0.359503134165277</v>
      </c>
      <c r="K60">
        <f>K34</f>
        <v>0.373194354719335</v>
      </c>
      <c r="L60">
        <f>L34</f>
        <v>0.379216263301921</v>
      </c>
      <c r="M60" s="46">
        <f>M34</f>
        <v>0.386014750925948</v>
      </c>
      <c r="N60" s="46">
        <f>N34</f>
        <v>0.391945279686871</v>
      </c>
      <c r="O60" s="46">
        <f>O34</f>
        <v>0.397245466481818</v>
      </c>
      <c r="R60" s="46"/>
      <c r="W60" s="45">
        <v>0.64</v>
      </c>
      <c r="AV60" s="46">
        <v>0.87</v>
      </c>
    </row>
    <row r="61" spans="1:48">
      <c r="B61" s="30" t="s">
        <v>307</v>
      </c>
      <c r="H61" s="49">
        <f>H48/AV60</f>
        <v>0.389602481880847</v>
      </c>
      <c r="I61" s="49">
        <f>I48/AV60</f>
        <v>0.396516745379141</v>
      </c>
      <c r="J61" s="49">
        <f>J48/AV60</f>
        <v>0.413221993293422</v>
      </c>
      <c r="K61" s="48">
        <f>$J$61+($M$61-$J$61)*(K1-$J$1)/($M$1-$J$1)</f>
        <v>0.42337970086456</v>
      </c>
      <c r="L61" s="48">
        <f>$J$61+($M$61-$J$61)*(L1-$J$1)/($M$1-$J$1)</f>
        <v>0.433537408435699</v>
      </c>
      <c r="M61" s="49">
        <f>M60/$AV$60</f>
        <v>0.443695116006837</v>
      </c>
      <c r="N61" s="49">
        <f>N60/$AV$60</f>
        <v>0.450511815732036</v>
      </c>
      <c r="O61" s="49">
        <f>O60/$AV$60</f>
        <v>0.45660398446186</v>
      </c>
      <c r="P61" s="48">
        <f t="shared" ref="O61:W61" si="25">P66/100/$AV$60</f>
        <v>0.491651102183908</v>
      </c>
      <c r="Q61" s="48">
        <f t="shared" si="25"/>
        <v>0.517537335747126</v>
      </c>
      <c r="R61" s="48">
        <f t="shared" si="25"/>
        <v>0.546899495632184</v>
      </c>
      <c r="S61" s="48">
        <f t="shared" si="25"/>
        <v>0.579366129195402</v>
      </c>
      <c r="T61" s="48">
        <f t="shared" si="25"/>
        <v>0.614664543333333</v>
      </c>
      <c r="U61" s="48">
        <f t="shared" si="25"/>
        <v>0.652583454252874</v>
      </c>
      <c r="V61" s="48">
        <f t="shared" si="25"/>
        <v>0.692952875747126</v>
      </c>
      <c r="W61" s="48">
        <f t="shared" si="25"/>
        <v>0.735632183908046</v>
      </c>
      <c r="X61" s="48">
        <f>$W$61+($AV$61-$W$61)*(X1-$W$1)/($AV$1-$W$1)</f>
        <v>0.746206896551724</v>
      </c>
      <c r="Y61" s="48">
        <f t="shared" ref="Y61:AU61" si="26">$W$61+($AV$61-$W$61)*(Y1-$W$1)/($AV$1-$W$1)</f>
        <v>0.756781609195402</v>
      </c>
      <c r="Z61" s="48">
        <f t="shared" si="26"/>
        <v>0.76735632183908</v>
      </c>
      <c r="AA61" s="48">
        <f t="shared" si="26"/>
        <v>0.777931034482759</v>
      </c>
      <c r="AB61" s="48">
        <f t="shared" si="26"/>
        <v>0.788505747126437</v>
      </c>
      <c r="AC61" s="48">
        <f t="shared" si="26"/>
        <v>0.799080459770115</v>
      </c>
      <c r="AD61" s="48">
        <f t="shared" si="26"/>
        <v>0.809655172413793</v>
      </c>
      <c r="AE61" s="48">
        <f t="shared" si="26"/>
        <v>0.820229885057471</v>
      </c>
      <c r="AF61" s="48">
        <f t="shared" si="26"/>
        <v>0.830804597701149</v>
      </c>
      <c r="AG61" s="48">
        <f t="shared" si="26"/>
        <v>0.841379310344828</v>
      </c>
      <c r="AH61" s="48">
        <f t="shared" si="26"/>
        <v>0.851954022988506</v>
      </c>
      <c r="AI61" s="48">
        <f t="shared" si="26"/>
        <v>0.862528735632184</v>
      </c>
      <c r="AJ61" s="48">
        <f t="shared" si="26"/>
        <v>0.873103448275862</v>
      </c>
      <c r="AK61" s="48">
        <f t="shared" si="26"/>
        <v>0.88367816091954</v>
      </c>
      <c r="AL61" s="48">
        <f t="shared" si="26"/>
        <v>0.894252873563218</v>
      </c>
      <c r="AM61" s="48">
        <f t="shared" si="26"/>
        <v>0.904827586206897</v>
      </c>
      <c r="AN61" s="48">
        <f t="shared" si="26"/>
        <v>0.915402298850575</v>
      </c>
      <c r="AO61" s="48">
        <f t="shared" si="26"/>
        <v>0.925977011494253</v>
      </c>
      <c r="AP61" s="48">
        <f t="shared" si="26"/>
        <v>0.936551724137931</v>
      </c>
      <c r="AQ61" s="48">
        <f t="shared" si="26"/>
        <v>0.947126436781609</v>
      </c>
      <c r="AR61" s="48">
        <f t="shared" si="26"/>
        <v>0.957701149425287</v>
      </c>
      <c r="AS61" s="48">
        <f t="shared" si="26"/>
        <v>0.968275862068966</v>
      </c>
      <c r="AT61" s="48">
        <f t="shared" si="26"/>
        <v>0.978850574712644</v>
      </c>
      <c r="AU61" s="48">
        <f t="shared" si="26"/>
        <v>0.989425287356322</v>
      </c>
      <c r="AV61" s="49">
        <f>AV60/AV60</f>
        <v>1</v>
      </c>
    </row>
    <row r="63" spans="1:48">
      <c r="M63">
        <v>0.443695116006837</v>
      </c>
      <c r="N63">
        <f>$M$61+($W$61-$M$61)*(N1-$M$1)/($W$1-$M$1)</f>
        <v>0.472888822796958</v>
      </c>
      <c r="O63">
        <f t="shared" ref="O63:W63" si="27">$M$61+($W$61-$M$61)*(O1-$M$1)/($W$1-$M$1)</f>
        <v>0.502082529587079</v>
      </c>
      <c r="P63">
        <f t="shared" si="27"/>
        <v>0.5312762363772</v>
      </c>
      <c r="Q63">
        <f t="shared" si="27"/>
        <v>0.56046994316732</v>
      </c>
      <c r="R63">
        <f t="shared" si="27"/>
        <v>0.589663649957441</v>
      </c>
      <c r="S63">
        <f t="shared" si="27"/>
        <v>0.618857356747562</v>
      </c>
      <c r="T63">
        <f t="shared" si="27"/>
        <v>0.648051063537683</v>
      </c>
      <c r="U63">
        <f t="shared" si="27"/>
        <v>0.677244770327804</v>
      </c>
      <c r="V63">
        <f t="shared" si="27"/>
        <v>0.706438477117925</v>
      </c>
      <c r="W63">
        <v>0.735632183908046</v>
      </c>
    </row>
    <row r="64" ht="15" customHeight="1" spans="1:48">
      <c r="C64" t="s">
        <v>489</v>
      </c>
      <c r="D64" t="s">
        <v>490</v>
      </c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</row>
    <row r="66" spans="2:48">
      <c r="M66">
        <v>38.6</v>
      </c>
      <c r="N66">
        <v>39.40321853</v>
      </c>
      <c r="O66">
        <v>40.87184507</v>
      </c>
      <c r="P66">
        <v>42.77364589</v>
      </c>
      <c r="Q66">
        <v>45.02574821</v>
      </c>
      <c r="R66">
        <v>47.58025612</v>
      </c>
      <c r="S66">
        <v>50.40485324</v>
      </c>
      <c r="T66">
        <v>53.47581527</v>
      </c>
      <c r="U66">
        <v>56.77476052</v>
      </c>
      <c r="V66">
        <v>60.28690019</v>
      </c>
      <c r="W66">
        <v>64</v>
      </c>
    </row>
    <row r="69" spans="2:48">
      <c r="B69" s="30" t="s">
        <v>491</v>
      </c>
      <c r="I69">
        <f>I48-I45</f>
        <v>0.29643397372527</v>
      </c>
      <c r="J69">
        <f t="shared" ref="J69:O69" si="28">J60-J45</f>
        <v>0.31144976709414</v>
      </c>
      <c r="K69">
        <f t="shared" si="28"/>
        <v>0.322192605805408</v>
      </c>
      <c r="L69">
        <f t="shared" si="28"/>
        <v>0.327897873410605</v>
      </c>
      <c r="M69">
        <f t="shared" si="28"/>
        <v>0.334322472018425</v>
      </c>
      <c r="N69">
        <f t="shared" si="28"/>
        <v>0.340047539909401</v>
      </c>
      <c r="O69">
        <f t="shared" si="28"/>
        <v>0.345307303296044</v>
      </c>
      <c r="W69">
        <f>W60-W45</f>
        <v>0.571</v>
      </c>
      <c r="AV69">
        <f>AV60-AV45</f>
        <v>0.705</v>
      </c>
    </row>
  </sheetData>
  <mergeCells count="5">
    <mergeCell ref="K17:K18"/>
    <mergeCell ref="L17:L18"/>
    <mergeCell ref="M17:M18"/>
    <mergeCell ref="N17:N18"/>
    <mergeCell ref="O17:O18"/>
  </mergeCells>
  <conditionalFormatting sqref="B19">
    <cfRule type="containsText" dxfId="1" priority="1" operator="between" text="容量">
      <formula>NOT(ISERROR(SEARCH("容量",B19)))</formula>
    </cfRule>
  </conditionalFormatting>
  <conditionalFormatting sqref="B12:B18 B20">
    <cfRule type="containsText" dxfId="1" priority="4" operator="between" text="容量">
      <formula>NOT(ISERROR(SEARCH("容量",B12)))</formula>
    </cfRule>
  </conditionalFormatting>
  <conditionalFormatting sqref="C34:J37 C38:I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A1:AV77"/>
  <sheetViews>
    <sheetView tabSelected="1" workbookViewId="0">
      <pane xSplit="2" ySplit="1" topLeftCell="C47" activePane="bottomRight" state="frozen"/>
      <selection/>
      <selection pane="topRight"/>
      <selection pane="bottomLeft"/>
      <selection pane="bottomRight" activeCell="V79" sqref="V79"/>
    </sheetView>
  </sheetViews>
  <sheetFormatPr defaultColWidth="9" defaultRowHeight="13.85"/>
  <cols>
    <col min="1" max="1" width="36" style="8" customWidth="1"/>
    <col min="2" max="2" width="34.7522123893805" style="8" customWidth="1"/>
    <col min="3" max="7" width="8.6283185840708" style="11" hidden="1" customWidth="1"/>
    <col min="8" max="18" width="8.6283185840708" style="12" customWidth="1"/>
    <col min="19" max="19" width="12.7964601769912"/>
    <col min="20" max="20" width="12.6637168141593"/>
    <col min="21" max="22" width="12.7964601769912"/>
    <col min="23" max="48" width="12.6637168141593"/>
  </cols>
  <sheetData>
    <row r="1" s="8" customFormat="1" ht="13.9" spans="1:48">
      <c r="A1" s="8" t="str">
        <f>About!C56</f>
        <v>全国 National</v>
      </c>
      <c r="B1" s="13" t="str">
        <f>VLOOKUP(A1,'Province Selector'!$B$2:$D$33,3,FALSE)</f>
        <v>全国</v>
      </c>
      <c r="C1" s="14">
        <v>2015</v>
      </c>
      <c r="D1" s="14">
        <v>2016</v>
      </c>
      <c r="E1" s="14">
        <v>2017</v>
      </c>
      <c r="F1" s="14">
        <v>2018</v>
      </c>
      <c r="G1" s="14">
        <v>2019</v>
      </c>
      <c r="H1" s="15">
        <v>2020</v>
      </c>
      <c r="I1" s="15">
        <v>2021</v>
      </c>
      <c r="J1" s="15">
        <v>2022</v>
      </c>
      <c r="K1" s="15">
        <v>2023</v>
      </c>
      <c r="L1" s="15">
        <v>2024</v>
      </c>
      <c r="M1" s="15">
        <v>2025</v>
      </c>
      <c r="N1" s="15">
        <v>2026</v>
      </c>
      <c r="O1" s="15">
        <v>2027</v>
      </c>
      <c r="P1" s="15">
        <v>2028</v>
      </c>
      <c r="Q1" s="15">
        <v>2029</v>
      </c>
      <c r="R1" s="15">
        <v>2030</v>
      </c>
      <c r="S1" s="8">
        <v>2031</v>
      </c>
      <c r="T1" s="8">
        <v>2032</v>
      </c>
      <c r="U1" s="8">
        <v>2033</v>
      </c>
      <c r="V1" s="8">
        <v>2034</v>
      </c>
      <c r="W1" s="8">
        <v>2035</v>
      </c>
      <c r="X1" s="8">
        <v>2036</v>
      </c>
      <c r="Y1" s="8">
        <v>2037</v>
      </c>
      <c r="Z1" s="8">
        <v>2038</v>
      </c>
      <c r="AA1" s="8">
        <v>2039</v>
      </c>
      <c r="AB1" s="8">
        <v>2040</v>
      </c>
      <c r="AC1" s="8">
        <v>2041</v>
      </c>
      <c r="AD1" s="8">
        <v>2042</v>
      </c>
      <c r="AE1" s="8">
        <v>2043</v>
      </c>
      <c r="AF1" s="8">
        <v>2044</v>
      </c>
      <c r="AG1" s="8">
        <v>2045</v>
      </c>
      <c r="AH1" s="8">
        <v>2046</v>
      </c>
      <c r="AI1" s="8">
        <v>2047</v>
      </c>
      <c r="AJ1" s="8">
        <v>2048</v>
      </c>
      <c r="AK1" s="8">
        <v>2049</v>
      </c>
      <c r="AL1" s="8">
        <v>2050</v>
      </c>
      <c r="AM1" s="8">
        <v>2051</v>
      </c>
      <c r="AN1" s="8">
        <v>2052</v>
      </c>
      <c r="AO1" s="8">
        <v>2053</v>
      </c>
      <c r="AP1" s="8">
        <v>2054</v>
      </c>
      <c r="AQ1" s="8">
        <v>2055</v>
      </c>
      <c r="AR1" s="8">
        <v>2056</v>
      </c>
      <c r="AS1" s="8">
        <v>2057</v>
      </c>
      <c r="AT1" s="8">
        <v>2058</v>
      </c>
      <c r="AU1" s="8">
        <v>2059</v>
      </c>
      <c r="AV1" s="8">
        <v>2060</v>
      </c>
    </row>
    <row r="2" spans="1:48">
      <c r="A2" s="8" t="s">
        <v>415</v>
      </c>
      <c r="B2" s="8" t="s">
        <v>416</v>
      </c>
      <c r="C2" s="11">
        <f>VLOOKUP($B$1,'historic consumption'!$A$4:$Q$35,COLUMN(J1),FALSE)</f>
        <v>0.245</v>
      </c>
      <c r="D2" s="11">
        <f>VLOOKUP($B$1,'historic consumption'!$A$4:$Q$35,COLUMN(K1),FALSE)</f>
        <v>0.254</v>
      </c>
      <c r="E2" s="11">
        <f>VLOOKUP($B$1,'historic consumption'!$A$4:$Q$35,COLUMN(L1),FALSE)</f>
        <v>0.265</v>
      </c>
      <c r="F2" s="11">
        <f>VLOOKUP($B$1,'historic consumption'!$A$4:$Q$35,COLUMN(M1),FALSE)</f>
        <v>0.265</v>
      </c>
      <c r="G2" s="11">
        <f>VLOOKUP($B$1,'historic consumption'!$A$4:$Q$35,COLUMN(N1),FALSE)</f>
        <v>0.275</v>
      </c>
      <c r="H2" s="12">
        <f>VLOOKUP($B$1,'historic consumption'!$A$4:$Q$35,COLUMN(O1),FALSE)</f>
        <v>0.288</v>
      </c>
      <c r="I2" s="12">
        <f>VLOOKUP($B$1,'historic consumption'!$A$4:$Q$35,COLUMN(P1),FALSE)</f>
        <v>0.294</v>
      </c>
      <c r="J2" s="12">
        <f>VLOOKUP($B$1,'historic consumption'!$A$4:$Q$35,COLUMN(Q1),FALSE)</f>
        <v>0.316</v>
      </c>
    </row>
    <row r="3" spans="1:48">
      <c r="A3" s="8" t="s">
        <v>417</v>
      </c>
      <c r="B3" s="8" t="s">
        <v>418</v>
      </c>
      <c r="I3" s="12">
        <f>VLOOKUP($B$1,'pre145 21-30 targets'!$B$4:$L$34,COLUMN(B1),FALSE)</f>
        <v>0.287</v>
      </c>
      <c r="J3" s="12">
        <f>VLOOKUP($B$1,'pre145 21-30 targets'!$B$4:$L$34,COLUMN(C1),FALSE)</f>
        <v>0.299</v>
      </c>
      <c r="K3" s="12">
        <f>VLOOKUP($B$1,'pre145 21-30 targets'!$B$4:$L$34,COLUMN(D1),FALSE)</f>
        <v>0.311</v>
      </c>
      <c r="L3" s="12">
        <f>VLOOKUP($B$1,'pre145 21-30 targets'!$B$4:$L$34,COLUMN(E1),FALSE)</f>
        <v>0.324</v>
      </c>
      <c r="M3" s="12">
        <f>VLOOKUP($B$1,'pre145 21-30 targets'!$B$4:$L$34,COLUMN(F1),FALSE)</f>
        <v>0.336</v>
      </c>
      <c r="N3" s="12">
        <f>VLOOKUP($B$1,'pre145 21-30 targets'!$B$4:$L$34,COLUMN(G1),FALSE)</f>
        <v>0.349</v>
      </c>
      <c r="O3" s="12">
        <f>VLOOKUP($B$1,'pre145 21-30 targets'!$B$4:$L$34,COLUMN(H1),FALSE)</f>
        <v>0.361</v>
      </c>
      <c r="P3" s="12">
        <f>VLOOKUP($B$1,'pre145 21-30 targets'!$B$4:$L$34,COLUMN(I1),FALSE)</f>
        <v>0.374</v>
      </c>
      <c r="Q3" s="12">
        <f>VLOOKUP($B$1,'pre145 21-30 targets'!$B$4:$L$34,COLUMN(J1),FALSE)</f>
        <v>0.386</v>
      </c>
      <c r="R3" s="12">
        <f>VLOOKUP($B$1,'pre145 21-30 targets'!$B$4:$L$34,COLUMN(K1),FALSE)</f>
        <v>0.4</v>
      </c>
    </row>
    <row r="4" spans="1:48">
      <c r="A4" s="8" t="s">
        <v>419</v>
      </c>
      <c r="B4" s="8" t="s">
        <v>420</v>
      </c>
      <c r="F4" s="11" t="e">
        <f>VLOOKUP($B$1,'annual consumption target'!$A$4:$H$34,COLUMN(B1),FALSE)</f>
        <v>#N/A</v>
      </c>
      <c r="G4" s="11" t="e">
        <f>VLOOKUP($B$1,'annual consumption target'!$A$4:$H$34,COLUMN(C1),FALSE)</f>
        <v>#N/A</v>
      </c>
      <c r="H4" s="12" t="e">
        <f>VLOOKUP($B$1,'annual consumption target'!$A$4:$H$34,COLUMN(D1),FALSE)</f>
        <v>#N/A</v>
      </c>
      <c r="I4" s="12" t="e">
        <f>VLOOKUP($B$1,'annual consumption target'!$A$4:$H$34,COLUMN(E1),FALSE)</f>
        <v>#N/A</v>
      </c>
      <c r="J4" s="12" t="e">
        <f>VLOOKUP($B$1,'annual consumption target'!$A$4:$H$34,COLUMN(F1),FALSE)</f>
        <v>#N/A</v>
      </c>
      <c r="K4" s="12" t="e">
        <f>VLOOKUP($B$1,'annual consumption target'!$A$4:$H$34,COLUMN(G1),FALSE)</f>
        <v>#N/A</v>
      </c>
      <c r="L4" s="12" t="e">
        <f>VLOOKUP($B$1,'annual consumption target'!$A$4:$H$34,COLUMN(H1),FALSE)</f>
        <v>#N/A</v>
      </c>
    </row>
    <row r="5" spans="1:48">
      <c r="A5" s="8" t="s">
        <v>421</v>
      </c>
      <c r="B5" s="8" t="s">
        <v>422</v>
      </c>
      <c r="C5" s="11">
        <f>VLOOKUP($B$1,'historic consumption'!$A$4:$AG$35,COLUMN(Z1),FALSE)</f>
        <v>0.05</v>
      </c>
      <c r="D5" s="11">
        <f>VLOOKUP($B$1,'historic consumption'!$A$4:$AG$35,COLUMN(AA1),FALSE)</f>
        <v>0.063</v>
      </c>
      <c r="E5" s="11">
        <f>VLOOKUP($B$1,'historic consumption'!$A$4:$AG$35,COLUMN(AB1),FALSE)</f>
        <v>0.08</v>
      </c>
      <c r="F5" s="11">
        <f>VLOOKUP($B$1,'historic consumption'!$A$4:$AG$35,COLUMN(AC1),FALSE)</f>
        <v>0.092</v>
      </c>
      <c r="G5" s="11">
        <f>VLOOKUP($B$1,'historic consumption'!$A$4:$AG$35,COLUMN(AD1),FALSE)</f>
        <v>0.102</v>
      </c>
      <c r="H5" s="12">
        <f>VLOOKUP($B$1,'historic consumption'!$A$4:$AG$35,COLUMN(AE1),FALSE)</f>
        <v>0.114</v>
      </c>
      <c r="I5" s="12">
        <f>VLOOKUP($B$1,'historic consumption'!$A$4:$AG$35,COLUMN(AF1),FALSE)</f>
        <v>0.137</v>
      </c>
      <c r="J5" s="12">
        <f>VLOOKUP($B$1,'historic consumption'!$A$4:$AG$35,COLUMN(AG1),FALSE)</f>
        <v>0.159</v>
      </c>
    </row>
    <row r="6" spans="1:48">
      <c r="A6" s="8" t="s">
        <v>423</v>
      </c>
      <c r="B6" s="8" t="s">
        <v>418</v>
      </c>
      <c r="I6" s="12">
        <f>VLOOKUP($B$1,'pre145 21-30 targets'!$N$4:$X$34,COLUMN(B1),FALSE)</f>
        <v>0.127</v>
      </c>
      <c r="J6" s="12">
        <f>VLOOKUP($B$1,'pre145 21-30 targets'!$N$4:$X$34,COLUMN(C1),FALSE)</f>
        <v>0.142</v>
      </c>
      <c r="K6" s="12">
        <f>VLOOKUP($B$1,'pre145 21-30 targets'!$N$4:$X$34,COLUMN(D1),FALSE)</f>
        <v>0.156</v>
      </c>
      <c r="L6" s="12">
        <f>VLOOKUP($B$1,'pre145 21-30 targets'!$N$4:$X$34,COLUMN(E1),FALSE)</f>
        <v>0.171</v>
      </c>
      <c r="M6" s="12">
        <f>VLOOKUP($B$1,'pre145 21-30 targets'!$N$4:$X$34,COLUMN(F1),FALSE)</f>
        <v>0.186</v>
      </c>
      <c r="N6" s="12">
        <f>VLOOKUP($B$1,'pre145 21-30 targets'!$N$4:$X$34,COLUMN(G1),FALSE)</f>
        <v>0.2</v>
      </c>
      <c r="O6" s="12">
        <f>VLOOKUP($B$1,'pre145 21-30 targets'!$N$4:$X$34,COLUMN(H1),FALSE)</f>
        <v>0.215</v>
      </c>
      <c r="P6" s="12">
        <f>VLOOKUP($B$1,'pre145 21-30 targets'!$N$4:$X$34,COLUMN(I1),FALSE)</f>
        <v>0.23</v>
      </c>
      <c r="Q6" s="12">
        <f>VLOOKUP($B$1,'pre145 21-30 targets'!$N$4:$X$34,COLUMN(J1),FALSE)</f>
        <v>0.244</v>
      </c>
      <c r="R6" s="12">
        <f>VLOOKUP($B$1,'pre145 21-30 targets'!$N$4:$X$34,COLUMN(K1),FALSE)</f>
        <v>0.259</v>
      </c>
    </row>
    <row r="7" spans="1:48">
      <c r="A7" s="8" t="s">
        <v>419</v>
      </c>
      <c r="B7" s="8" t="s">
        <v>420</v>
      </c>
      <c r="F7" s="11" t="e">
        <f>VLOOKUP($B$1,'annual consumption target'!$A$4:$O$34,COLUMN(I1),FALSE)</f>
        <v>#N/A</v>
      </c>
      <c r="G7" s="11" t="e">
        <f>VLOOKUP($B$1,'annual consumption target'!$A$4:$O$34,COLUMN(J1),FALSE)</f>
        <v>#N/A</v>
      </c>
      <c r="H7" s="12" t="e">
        <f>VLOOKUP($B$1,'annual consumption target'!$A$4:$O$34,COLUMN(K1),FALSE)</f>
        <v>#N/A</v>
      </c>
      <c r="I7" s="12" t="e">
        <f>VLOOKUP($B$1,'annual consumption target'!$A$4:$O$34,COLUMN(L1),FALSE)</f>
        <v>#N/A</v>
      </c>
      <c r="J7" s="12" t="e">
        <f>VLOOKUP($B$1,'annual consumption target'!$A$4:$O$34,COLUMN(M1),FALSE)</f>
        <v>#N/A</v>
      </c>
      <c r="K7" s="12" t="e">
        <f>VLOOKUP($B$1,'annual consumption target'!$A$4:$O$34,COLUMN(N1),FALSE)</f>
        <v>#N/A</v>
      </c>
      <c r="L7" s="12" t="e">
        <f>VLOOKUP($B$1,'annual consumption target'!$A$4:$O$34,COLUMN(O1),FALSE)</f>
        <v>#N/A</v>
      </c>
    </row>
    <row r="8" spans="1:48">
      <c r="C8" s="16"/>
      <c r="D8" s="16"/>
      <c r="E8" s="16"/>
      <c r="F8" s="16"/>
      <c r="G8" s="16"/>
      <c r="H8" s="17"/>
      <c r="I8" s="17"/>
    </row>
    <row r="9" spans="1:48">
      <c r="A9" s="8" t="s">
        <v>424</v>
      </c>
      <c r="B9" s="8" t="s">
        <v>425</v>
      </c>
      <c r="C9" s="16">
        <f>VLOOKUP($B$1,'historic consumption'!$A$4:$Q$35,COLUMN(B1),FALSE)</f>
        <v>13625</v>
      </c>
      <c r="D9" s="16">
        <f>VLOOKUP($B$1,'historic consumption'!$A$4:$Q$35,COLUMN(C1),FALSE)</f>
        <v>15058</v>
      </c>
      <c r="E9" s="16">
        <f>VLOOKUP($B$1,'historic consumption'!$A$4:$Q$35,COLUMN(D1),FALSE)</f>
        <v>16686</v>
      </c>
      <c r="F9" s="16">
        <f>VLOOKUP($B$1,'historic consumption'!$A$4:$Q$35,COLUMN(E1),FALSE)</f>
        <v>18158.97</v>
      </c>
      <c r="G9" s="16">
        <f>VLOOKUP($B$1,'historic consumption'!$A$4:$Q$35,COLUMN(F1),FALSE)</f>
        <v>19938</v>
      </c>
      <c r="H9" s="17">
        <f>VLOOKUP($B$1,'historic consumption'!$A$4:$Q$35,COLUMN(G1),FALSE)</f>
        <v>21613</v>
      </c>
      <c r="I9" s="17">
        <f>VLOOKUP($B$1,'historic consumption'!$A$4:$Q$35,COLUMN(H1),FALSE)</f>
        <v>24446</v>
      </c>
      <c r="J9" s="17">
        <f>VLOOKUP($B$1,'historic consumption'!$A$4:$Q$35,COLUMN(I1),FALSE)</f>
        <v>26810</v>
      </c>
    </row>
    <row r="10" spans="1:48">
      <c r="A10" s="8" t="s">
        <v>426</v>
      </c>
      <c r="B10" s="8" t="s">
        <v>427</v>
      </c>
      <c r="C10" s="16">
        <f>VLOOKUP($B$1,'historic consumption'!$A$4:$AG$35,COLUMN(R1),FALSE)</f>
        <v>2778</v>
      </c>
      <c r="D10" s="16">
        <f>VLOOKUP($B$1,'historic consumption'!$A$4:$AG$35,COLUMN(S1),FALSE)</f>
        <v>3717</v>
      </c>
      <c r="E10" s="16">
        <f>VLOOKUP($B$1,'historic consumption'!$A$4:$AG$35,COLUMN(T1),FALSE)</f>
        <v>5025</v>
      </c>
      <c r="F10" s="16">
        <f>VLOOKUP($B$1,'historic consumption'!$A$4:$AG$35,COLUMN(U1),FALSE)</f>
        <v>6314.2</v>
      </c>
      <c r="G10" s="16">
        <f>VLOOKUP($B$1,'historic consumption'!$A$4:$AG$35,COLUMN(V1),FALSE)</f>
        <v>7388</v>
      </c>
      <c r="H10" s="17">
        <f>VLOOKUP($B$1,'historic consumption'!$A$4:$AG$35,COLUMN(W1),FALSE)</f>
        <v>8562</v>
      </c>
      <c r="I10" s="17">
        <f>VLOOKUP($B$1,'historic consumption'!$A$4:$AG$35,COLUMN(X1),FALSE)</f>
        <v>11398</v>
      </c>
      <c r="J10" s="17">
        <f>VLOOKUP($B$1,'historic consumption'!$A$4:$AG$35,COLUMN(Y1),FALSE)</f>
        <v>13676</v>
      </c>
    </row>
    <row r="11" spans="1:48">
      <c r="C11" s="16"/>
      <c r="D11" s="16"/>
      <c r="E11" s="16"/>
      <c r="F11" s="16"/>
      <c r="G11" s="16"/>
      <c r="H11" s="17"/>
      <c r="I11" s="17"/>
      <c r="J11" s="17"/>
    </row>
    <row r="12" spans="1:48">
      <c r="A12" s="8" t="s">
        <v>428</v>
      </c>
      <c r="B12" s="8" t="s">
        <v>260</v>
      </c>
      <c r="C12" s="16">
        <f>SUMIFS('historic generation'!$D:$D,'historic generation'!$A:$A,"*"&amp;$B$1&amp;"*",'historic generation'!$B:$B,$B12,'historic generation'!$C:$C,C$1)</f>
        <v>57400</v>
      </c>
      <c r="D12" s="16">
        <f>SUMIFS('historic generation'!$D:$D,'historic generation'!$A:$A,"*"&amp;$B$1&amp;"*",'historic generation'!$B:$B,$B12,'historic generation'!$C:$C,D$1)</f>
        <v>60228</v>
      </c>
      <c r="E12" s="16">
        <f>SUMIFS('historic generation'!$D:$D,'historic generation'!$A:$A,"*"&amp;$B$1&amp;"*",'historic generation'!$B:$B,$B12,'historic generation'!$C:$C,E$1)</f>
        <v>64171</v>
      </c>
      <c r="F12" s="16">
        <f>SUMIFS('historic generation'!$D:$D,'historic generation'!$A:$A,"*"&amp;$B$1&amp;"*",'historic generation'!$B:$B,$B12,'historic generation'!$C:$C,F$1)</f>
        <v>69947</v>
      </c>
      <c r="G12" s="16">
        <f>SUMIFS('historic generation'!$D:$D,'historic generation'!$A:$A,"*"&amp;$B$1&amp;"*",'historic generation'!$B:$B,$B12,'historic generation'!$C:$C,G$1)</f>
        <v>73269</v>
      </c>
      <c r="H12" s="17">
        <f>SUMIFS('historic generation'!$D:$D,'historic generation'!$A:$A,"*"&amp;$B$1&amp;"*",'historic generation'!$B:$B,$B12,'historic generation'!$C:$C,H$1)</f>
        <v>76264</v>
      </c>
      <c r="I12" s="17">
        <f>SUMIFS('historic generation'!$D:$D,'historic generation'!$A:$A,"*"&amp;$B$1&amp;"*",'historic generation'!$B:$B,$B12,'historic generation'!$C:$C,I$1)</f>
        <v>83959</v>
      </c>
      <c r="J12" s="17">
        <f>SUMIFS('historic generation'!$D:$D,'historic generation'!$A:$A,"*"&amp;$B$1&amp;"*",'historic generation'!$B:$B,$B12,'historic generation'!$C:$C,J$1)</f>
        <v>86945</v>
      </c>
      <c r="K12" s="18">
        <v>88548.427152</v>
      </c>
      <c r="L12" s="18">
        <v>90708.260652</v>
      </c>
      <c r="M12" s="18">
        <v>92785.167052</v>
      </c>
      <c r="N12" s="12">
        <v>94890.310552</v>
      </c>
      <c r="O12" s="12">
        <v>97245.296652</v>
      </c>
      <c r="P12" s="12">
        <v>99523.036352</v>
      </c>
      <c r="Q12" s="12">
        <v>101620.998952</v>
      </c>
      <c r="R12" s="12">
        <v>104120.514152</v>
      </c>
    </row>
    <row r="13" spans="1:48">
      <c r="A13" s="8" t="s">
        <v>429</v>
      </c>
      <c r="B13" s="8" t="s">
        <v>257</v>
      </c>
      <c r="C13" s="16">
        <f>SUMIFS('historic generation'!$D:$D,'historic generation'!$A:$A,"*"&amp;$B$1&amp;"*",'historic generation'!$B:$B,$B13,'historic generation'!$C:$C,C$1)</f>
        <v>11127</v>
      </c>
      <c r="D13" s="16">
        <f>SUMIFS('historic generation'!$D:$D,'historic generation'!$A:$A,"*"&amp;$B$1&amp;"*",'historic generation'!$B:$B,$B13,'historic generation'!$C:$C,D$1)</f>
        <v>11748</v>
      </c>
      <c r="E13" s="16">
        <f>SUMIFS('historic generation'!$D:$D,'historic generation'!$A:$A,"*"&amp;$B$1&amp;"*",'historic generation'!$B:$B,$B13,'historic generation'!$C:$C,E$1)</f>
        <v>11931</v>
      </c>
      <c r="F13" s="16">
        <f>SUMIFS('historic generation'!$D:$D,'historic generation'!$A:$A,"*"&amp;$B$1&amp;"*",'historic generation'!$B:$B,$B13,'historic generation'!$C:$C,F$1)</f>
        <v>12321</v>
      </c>
      <c r="G13" s="16">
        <f>SUMIFS('historic generation'!$D:$D,'historic generation'!$A:$A,"*"&amp;$B$1&amp;"*",'historic generation'!$B:$B,$B13,'historic generation'!$C:$C,G$1)</f>
        <v>13021</v>
      </c>
      <c r="H13" s="17">
        <f>SUMIFS('historic generation'!$D:$D,'historic generation'!$A:$A,"*"&amp;$B$1&amp;"*",'historic generation'!$B:$B,$B13,'historic generation'!$C:$C,H$1)</f>
        <v>13553</v>
      </c>
      <c r="I13" s="17">
        <f>SUMIFS('historic generation'!$D:$D,'historic generation'!$A:$A,"*"&amp;$B$1&amp;"*",'historic generation'!$B:$B,$B13,'historic generation'!$C:$C,I$1)</f>
        <v>13399</v>
      </c>
      <c r="J13" s="17">
        <f>SUMIFS('historic generation'!$D:$D,'historic generation'!$A:$A,"*"&amp;$B$1&amp;"*",'historic generation'!$B:$B,$B13,'historic generation'!$C:$C,J$1)</f>
        <v>13517</v>
      </c>
      <c r="K13" s="12" cm="1">
        <f t="array" ref="K13">FORECAST(K12,C13:J13,C12:J12)</f>
        <v>13960.1773160336</v>
      </c>
      <c r="L13" s="12" cm="1">
        <f t="array" ref="L13">FORECAST(L12,D13:K13,D12:K12)</f>
        <v>14065.2239592269</v>
      </c>
      <c r="M13" s="12" cm="1">
        <f t="array" ref="M13">FORECAST(M12,E13:L13,E12:L12)</f>
        <v>14204.0401715498</v>
      </c>
      <c r="N13" s="12" cm="1">
        <f t="array" ref="N13">FORECAST(N12,F13:M13,F12:M12)</f>
        <v>14294.3453672123</v>
      </c>
      <c r="O13" s="12" cm="1">
        <f t="array" ref="O13">FORECAST(O12,G13:N13,G12:N12)</f>
        <v>14341.2359247391</v>
      </c>
      <c r="P13" s="12" cm="1">
        <f t="array" ref="P13">FORECAST(P12,H13:O13,H12:O12)</f>
        <v>14430.4706987966</v>
      </c>
      <c r="Q13" s="12" cm="1">
        <f t="array" ref="Q13">FORECAST(Q12,I13:P13,I12:P12)</f>
        <v>14694.161501513</v>
      </c>
      <c r="R13" s="12" cm="1">
        <f t="array" ref="R13">FORECAST(R12,J13:Q13,J12:Q12)</f>
        <v>14827.6018953113</v>
      </c>
    </row>
    <row r="14" spans="1:48">
      <c r="A14" s="8" t="s">
        <v>430</v>
      </c>
      <c r="B14" s="8" t="s">
        <v>259</v>
      </c>
      <c r="C14" s="16">
        <f>SUMIFS('historic generation'!$D:$D,'historic generation'!$A:$A,"*"&amp;$B$1&amp;"*",'historic generation'!$B:$B,$B14,'historic generation'!$C:$C,C$1)</f>
        <v>0</v>
      </c>
      <c r="D14" s="16">
        <f>SUMIFS('historic generation'!$D:$D,'historic generation'!$A:$A,"*"&amp;$B$1&amp;"*",'historic generation'!$B:$B,$B14,'historic generation'!$C:$C,D$1)</f>
        <v>21</v>
      </c>
      <c r="E14" s="16">
        <f>SUMIFS('historic generation'!$D:$D,'historic generation'!$A:$A,"*"&amp;$B$1&amp;"*",'historic generation'!$B:$B,$B14,'historic generation'!$C:$C,E$1)</f>
        <v>18</v>
      </c>
      <c r="F14" s="16">
        <f>SUMIFS('historic generation'!$D:$D,'historic generation'!$A:$A,"*"&amp;$B$1&amp;"*",'historic generation'!$B:$B,$B14,'historic generation'!$C:$C,F$1)</f>
        <v>22</v>
      </c>
      <c r="G14" s="16">
        <f>SUMIFS('historic generation'!$D:$D,'historic generation'!$A:$A,"*"&amp;$B$1&amp;"*",'historic generation'!$B:$B,$B14,'historic generation'!$C:$C,G$1)</f>
        <v>30.3</v>
      </c>
      <c r="H14" s="17">
        <f>SUMIFS('historic generation'!$D:$D,'historic generation'!$A:$A,"*"&amp;$B$1&amp;"*",'historic generation'!$B:$B,$B14,'historic generation'!$C:$C,H$1)</f>
        <v>38</v>
      </c>
      <c r="I14" s="17">
        <f>SUMIFS('historic generation'!$D:$D,'historic generation'!$A:$A,"*"&amp;$B$1&amp;"*",'historic generation'!$B:$B,$B14,'historic generation'!$C:$C,I$1)</f>
        <v>37</v>
      </c>
      <c r="J14" s="17">
        <f>SUMIFS('historic generation'!$D:$D,'historic generation'!$A:$A,"*"&amp;$B$1&amp;"*",'historic generation'!$B:$B,$B14,'historic generation'!$C:$C,J$1)</f>
        <v>40</v>
      </c>
      <c r="K14" s="12" cm="1">
        <f t="array" ref="K14">FORECAST(K12,C14:J14,C12:J12)</f>
        <v>45.0285048552952</v>
      </c>
      <c r="L14" s="12" cm="1">
        <f t="array" ref="L14">FORECAST(L12,D14:K14,D12:K12)</f>
        <v>45.1850206338771</v>
      </c>
      <c r="M14" s="12" cm="1">
        <f t="array" ref="M14">FORECAST(M12,E14:L14,E12:L12)</f>
        <v>47.9242571892033</v>
      </c>
      <c r="N14" s="12" cm="1">
        <f t="array" ref="N14">FORECAST(N12,F14:M14,F12:M12)</f>
        <v>49.5572567241643</v>
      </c>
      <c r="O14" s="12" cm="1">
        <f t="array" ref="O14">FORECAST(O12,G14:N14,G12:N12)</f>
        <v>50.5087698863344</v>
      </c>
      <c r="P14" s="12" cm="1">
        <f t="array" ref="P14">FORECAST(P12,H14:O14,H12:O12)</f>
        <v>51.7266678940772</v>
      </c>
      <c r="Q14" s="12" cm="1">
        <f t="array" ref="Q14">FORECAST(Q12,I14:P14,I12:P12)</f>
        <v>55.1044820650384</v>
      </c>
      <c r="R14" s="12" cm="1">
        <f t="array" ref="R14">FORECAST(R12,J14:Q14,J12:Q12)</f>
        <v>56.8755095636959</v>
      </c>
    </row>
    <row r="15" spans="1:48">
      <c r="A15" s="8" t="s">
        <v>431</v>
      </c>
      <c r="B15" s="8" t="s">
        <v>246</v>
      </c>
      <c r="C15" s="16">
        <f>SUMIFS('historic generation'!$D:$D,'historic generation'!$A:$A,"*"&amp;$B$1&amp;"*",'historic generation'!$B:$B,$B15,'historic generation'!$C:$C,C$1)</f>
        <v>0</v>
      </c>
      <c r="D15" s="16">
        <f>SUMIFS('historic generation'!$D:$D,'historic generation'!$A:$A,"*"&amp;$B$1&amp;"*",'historic generation'!$B:$B,$B15,'historic generation'!$C:$C,D$1)</f>
        <v>351</v>
      </c>
      <c r="E15" s="16">
        <f>SUMIFS('historic generation'!$D:$D,'historic generation'!$A:$A,"*"&amp;$B$1&amp;"*",'historic generation'!$B:$B,$B15,'historic generation'!$C:$C,E$1)</f>
        <v>415</v>
      </c>
      <c r="F15" s="16">
        <f>SUMIFS('historic generation'!$D:$D,'historic generation'!$A:$A,"*"&amp;$B$1&amp;"*",'historic generation'!$B:$B,$B15,'historic generation'!$C:$C,F$1)</f>
        <v>429</v>
      </c>
      <c r="G15" s="16">
        <f>SUMIFS('historic generation'!$D:$D,'historic generation'!$A:$A,"*"&amp;$B$1&amp;"*",'historic generation'!$B:$B,$B15,'historic generation'!$C:$C,G$1)</f>
        <v>485</v>
      </c>
      <c r="H15" s="17">
        <f>SUMIFS('historic generation'!$D:$D,'historic generation'!$A:$A,"*"&amp;$B$1&amp;"*",'historic generation'!$B:$B,$B15,'historic generation'!$C:$C,H$1)</f>
        <v>533</v>
      </c>
      <c r="I15" s="17">
        <f>SUMIFS('historic generation'!$D:$D,'historic generation'!$A:$A,"*"&amp;$B$1&amp;"*",'historic generation'!$B:$B,$B15,'historic generation'!$C:$C,I$1)</f>
        <v>533</v>
      </c>
      <c r="J15" s="17">
        <f>SUMIFS('historic generation'!$D:$D,'historic generation'!$A:$A,"*"&amp;$B$1&amp;"*",'historic generation'!$B:$B,$B15,'historic generation'!$C:$C,J$1)</f>
        <v>533</v>
      </c>
      <c r="K15" s="12" cm="1">
        <f t="array" ref="K15">FORECAST(K$12,C15:J15,C$12:J$12)</f>
        <v>633.545522881635</v>
      </c>
      <c r="L15" s="12" cm="1">
        <f t="array" ref="L15">FORECAST(L$12,D15:K15,D$12:K$12)</f>
        <v>609.770192438188</v>
      </c>
      <c r="M15" s="12" cm="1">
        <f t="array" ref="M15">FORECAST(M$12,E15:L15,E$12:L$12)</f>
        <v>621.315694763064</v>
      </c>
      <c r="N15" s="12" cm="1">
        <f t="array" ref="N15">FORECAST(N$12,F15:M15,F$12:M$12)</f>
        <v>638.245862987248</v>
      </c>
      <c r="O15" s="12" cm="1">
        <f t="array" ref="O15">FORECAST(O$12,G15:N15,G$12:N$12)</f>
        <v>649.354563430865</v>
      </c>
      <c r="P15" s="12" cm="1">
        <f t="array" ref="P15">FORECAST(P$12,H15:O15,H$12:O$12)</f>
        <v>663.234714329946</v>
      </c>
      <c r="Q15" s="12" cm="1">
        <f t="array" ref="Q15">FORECAST(Q$12,I15:P15,I$12:P$12)</f>
        <v>691.141381013947</v>
      </c>
      <c r="R15" s="12" cm="1">
        <f t="array" ref="R15">FORECAST(R$12,J15:Q15,J$12:Q$12)</f>
        <v>706.870664368603</v>
      </c>
    </row>
    <row r="16" spans="1:48">
      <c r="A16" s="8" t="s">
        <v>432</v>
      </c>
      <c r="B16" s="8" t="s">
        <v>247</v>
      </c>
      <c r="C16" s="16">
        <f>SUMIFS('historic generation'!$D:$D,'historic generation'!$A:$A,"*"&amp;$B$1&amp;"*",'historic generation'!$B:$B,$B16,'historic generation'!$C:$C,C$1)</f>
        <v>0</v>
      </c>
      <c r="D16" s="16">
        <f>SUMIFS('historic generation'!$D:$D,'historic generation'!$A:$A,"*"&amp;$B$1&amp;"*",'historic generation'!$B:$B,$B16,'historic generation'!$C:$C,D$1)</f>
        <v>315</v>
      </c>
      <c r="E16" s="16">
        <f>SUMIFS('historic generation'!$D:$D,'historic generation'!$A:$A,"*"&amp;$B$1&amp;"*",'historic generation'!$B:$B,$B16,'historic generation'!$C:$C,E$1)</f>
        <v>380</v>
      </c>
      <c r="F16" s="16">
        <f>SUMIFS('historic generation'!$D:$D,'historic generation'!$A:$A,"*"&amp;$B$1&amp;"*",'historic generation'!$B:$B,$B16,'historic generation'!$C:$C,F$1)</f>
        <v>485</v>
      </c>
      <c r="G16" s="16">
        <f>SUMIFS('historic generation'!$D:$D,'historic generation'!$A:$A,"*"&amp;$B$1&amp;"*",'historic generation'!$B:$B,$B16,'historic generation'!$C:$C,G$1)</f>
        <v>611</v>
      </c>
      <c r="H16" s="17">
        <f>SUMIFS('historic generation'!$D:$D,'historic generation'!$A:$A,"*"&amp;$B$1&amp;"*",'historic generation'!$B:$B,$B16,'historic generation'!$C:$C,H$1)</f>
        <v>785</v>
      </c>
      <c r="I16" s="17">
        <f>SUMIFS('historic generation'!$D:$D,'historic generation'!$A:$A,"*"&amp;$B$1&amp;"*",'historic generation'!$B:$B,$B16,'historic generation'!$C:$C,I$1)</f>
        <v>1089</v>
      </c>
      <c r="J16" s="17">
        <f>SUMIFS('historic generation'!$D:$D,'historic generation'!$A:$A,"*"&amp;$B$1&amp;"*",'historic generation'!$B:$B,$B16,'historic generation'!$C:$C,J$1)</f>
        <v>1089</v>
      </c>
      <c r="K16" s="12" cm="1">
        <f t="array" ref="K16">FORECAST(K$12,C16:J16,C$12:J$12)</f>
        <v>1189.18356430269</v>
      </c>
      <c r="L16" s="12" cm="1">
        <f t="array" ref="L16">FORECAST(L$12,D16:K16,D$12:K$12)</f>
        <v>1241.23627026665</v>
      </c>
      <c r="M16" s="12" cm="1">
        <f t="array" ref="M16">FORECAST(M$12,E16:L16,E$12:L$12)</f>
        <v>1326.8027659651</v>
      </c>
      <c r="N16" s="12" cm="1">
        <f t="array" ref="N16">FORECAST(N$12,F16:M16,F$12:M$12)</f>
        <v>1412.41290152296</v>
      </c>
      <c r="O16" s="12" cm="1">
        <f t="array" ref="O16">FORECAST(O$12,G16:N16,G$12:N$12)</f>
        <v>1488.26356106963</v>
      </c>
      <c r="P16" s="12" cm="1">
        <f t="array" ref="P16">FORECAST(P$12,H16:O16,H$12:O$12)</f>
        <v>1551.37697586176</v>
      </c>
      <c r="Q16" s="12" cm="1">
        <f t="array" ref="Q16">FORECAST(Q$12,I16:P16,I$12:P$12)</f>
        <v>1619.42976080255</v>
      </c>
      <c r="R16" s="12" cm="1">
        <f t="array" ref="R16">FORECAST(R$12,J16:Q16,J$12:Q$12)</f>
        <v>1720.95043342026</v>
      </c>
    </row>
    <row r="17" spans="1:18">
      <c r="A17" s="8" t="s">
        <v>433</v>
      </c>
      <c r="B17" s="8" t="s">
        <v>242</v>
      </c>
      <c r="C17" s="16">
        <f>SUMIFS('historic generation'!$D:$D,'historic generation'!$A:$A,"*"&amp;$B$1&amp;"*",'historic generation'!$B:$B,$B17,'historic generation'!$C:$C,C$1)</f>
        <v>1856</v>
      </c>
      <c r="D17" s="16">
        <f>SUMIFS('historic generation'!$D:$D,'historic generation'!$A:$A,"*"&amp;$B$1&amp;"*",'historic generation'!$B:$B,$B17,'historic generation'!$C:$C,D$1)</f>
        <v>2409</v>
      </c>
      <c r="E17" s="16">
        <f>SUMIFS('historic generation'!$D:$D,'historic generation'!$A:$A,"*"&amp;$B$1&amp;"*",'historic generation'!$B:$B,$B17,'historic generation'!$C:$C,E$1)</f>
        <v>3034</v>
      </c>
      <c r="F17" s="16">
        <f>SUMIFS('historic generation'!$D:$D,'historic generation'!$A:$A,"*"&amp;$B$1&amp;"*",'historic generation'!$B:$B,$B17,'historic generation'!$C:$C,F$1)</f>
        <v>3658</v>
      </c>
      <c r="G17" s="16">
        <f>SUMIFS('historic generation'!$D:$D,'historic generation'!$A:$A,"*"&amp;$B$1&amp;"*",'historic generation'!$B:$B,$B17,'historic generation'!$C:$C,G$1)</f>
        <v>4053</v>
      </c>
      <c r="H17" s="17">
        <f>SUMIFS('historic generation'!$D:$D,'historic generation'!$A:$A,"*"&amp;$B$1&amp;"*",'historic generation'!$B:$B,$B17,'historic generation'!$C:$C,H$1)</f>
        <v>4665</v>
      </c>
      <c r="I17" s="17">
        <f>SUMIFS('historic generation'!$D:$D,'historic generation'!$A:$A,"*"&amp;$B$1&amp;"*",'historic generation'!$B:$B,$B17,'historic generation'!$C:$C,I$1)</f>
        <v>6558</v>
      </c>
      <c r="J17" s="17">
        <f>SUMIFS('historic generation'!$D:$D,'historic generation'!$A:$A,"*"&amp;$B$1&amp;"*",'historic generation'!$B:$B,$B17,'historic generation'!$C:$C,J$1)</f>
        <v>7624</v>
      </c>
      <c r="K17" s="19">
        <f t="shared" ref="K17:O17" si="0">J18+J17+(K12-J12)*0.5</f>
        <v>12701.713576</v>
      </c>
      <c r="L17" s="19">
        <f t="shared" si="0"/>
        <v>13781.630326</v>
      </c>
      <c r="M17" s="19">
        <f t="shared" si="0"/>
        <v>14820.083526</v>
      </c>
      <c r="N17" s="19">
        <f t="shared" si="0"/>
        <v>15872.655276</v>
      </c>
      <c r="O17" s="19">
        <f t="shared" si="0"/>
        <v>17050.148326</v>
      </c>
      <c r="R17" s="20">
        <f>J17*3</f>
        <v>22872</v>
      </c>
    </row>
    <row r="18" spans="1:18">
      <c r="A18" s="8" t="s">
        <v>434</v>
      </c>
      <c r="B18" s="8" t="s">
        <v>258</v>
      </c>
      <c r="C18" s="16">
        <f>SUMIFS('historic generation'!$D:$D,'historic generation'!$A:$A,"*"&amp;$B$1&amp;"*",'historic generation'!$B:$B,$B18,'historic generation'!$C:$C,C$1)</f>
        <v>395</v>
      </c>
      <c r="D18" s="16">
        <f>SUMIFS('historic generation'!$D:$D,'historic generation'!$A:$A,"*"&amp;$B$1&amp;"*",'historic generation'!$B:$B,$B18,'historic generation'!$C:$C,D$1)</f>
        <v>665</v>
      </c>
      <c r="E18" s="16">
        <f>SUMIFS('historic generation'!$D:$D,'historic generation'!$A:$A,"*"&amp;$B$1&amp;"*",'historic generation'!$B:$B,$B18,'historic generation'!$C:$C,E$1)</f>
        <v>1166</v>
      </c>
      <c r="F18" s="16">
        <f>SUMIFS('historic generation'!$D:$D,'historic generation'!$A:$A,"*"&amp;$B$1&amp;"*",'historic generation'!$B:$B,$B18,'historic generation'!$C:$C,F$1)</f>
        <v>1769</v>
      </c>
      <c r="G18" s="16">
        <f>SUMIFS('historic generation'!$D:$D,'historic generation'!$A:$A,"*"&amp;$B$1&amp;"*",'historic generation'!$B:$B,$B18,'historic generation'!$C:$C,G$1)</f>
        <v>2240</v>
      </c>
      <c r="H18" s="17">
        <f>SUMIFS('historic generation'!$D:$D,'historic generation'!$A:$A,"*"&amp;$B$1&amp;"*",'historic generation'!$B:$B,$B18,'historic generation'!$C:$C,H$1)</f>
        <v>2611</v>
      </c>
      <c r="I18" s="17">
        <f>SUMIFS('historic generation'!$D:$D,'historic generation'!$A:$A,"*"&amp;$B$1&amp;"*",'historic generation'!$B:$B,$B18,'historic generation'!$C:$C,I$1)</f>
        <v>3270</v>
      </c>
      <c r="J18" s="17">
        <f>SUMIFS('historic generation'!$D:$D,'historic generation'!$A:$A,"*"&amp;$B$1&amp;"*",'historic generation'!$B:$B,$B18,'historic generation'!$C:$C,J$1)</f>
        <v>4276</v>
      </c>
      <c r="K18" s="19"/>
      <c r="L18" s="19"/>
      <c r="M18" s="19"/>
      <c r="N18" s="19"/>
      <c r="O18" s="19"/>
      <c r="R18" s="20">
        <f>J18*3</f>
        <v>12828</v>
      </c>
    </row>
    <row r="19" spans="1:18">
      <c r="A19" s="8" t="s">
        <v>435</v>
      </c>
      <c r="B19" t="s">
        <v>244</v>
      </c>
      <c r="C19" s="16">
        <f>SUMIFS('historic generation'!$D:$D,'historic generation'!$A:$A,"*"&amp;$B$1&amp;"*",'historic generation'!$B:$B,$B19,'historic generation'!$C:$C,C$1)</f>
        <v>1714</v>
      </c>
      <c r="D19" s="16">
        <f>SUMIFS('historic generation'!$D:$D,'historic generation'!$A:$A,"*"&amp;$B$1&amp;"*",'historic generation'!$B:$B,$B19,'historic generation'!$C:$C,D$1)</f>
        <v>2132</v>
      </c>
      <c r="E19" s="16">
        <f>SUMIFS('historic generation'!$D:$D,'historic generation'!$A:$A,"*"&amp;$B$1&amp;"*",'historic generation'!$B:$B,$B19,'historic generation'!$C:$C,E$1)</f>
        <v>2481</v>
      </c>
      <c r="F19" s="16">
        <f>SUMIFS('historic generation'!$D:$D,'historic generation'!$A:$A,"*"&amp;$B$1&amp;"*",'historic generation'!$B:$B,$B19,'historic generation'!$C:$C,F$1)</f>
        <v>2950</v>
      </c>
      <c r="G19" s="16">
        <f>SUMIFS('historic generation'!$D:$D,'historic generation'!$A:$A,"*"&amp;$B$1&amp;"*",'historic generation'!$B:$B,$B19,'historic generation'!$C:$C,G$1)</f>
        <v>3487</v>
      </c>
      <c r="H19" s="17">
        <f>SUMIFS('historic generation'!$D:$D,'historic generation'!$A:$A,"*"&amp;$B$1&amp;"*",'historic generation'!$B:$B,$B19,'historic generation'!$C:$C,H$1)</f>
        <v>3662</v>
      </c>
      <c r="I19" s="17">
        <f>SUMIFS('historic generation'!$D:$D,'historic generation'!$A:$A,"*"&amp;$B$1&amp;"*",'historic generation'!$B:$B,$B19,'historic generation'!$C:$C,I$1)</f>
        <v>4075</v>
      </c>
      <c r="J19" s="17">
        <f>SUMIFS('historic generation'!$D:$D,'historic generation'!$A:$A,"*"&amp;$B$1&amp;"*",'historic generation'!$B:$B,$B19,'historic generation'!$C:$C,J$1)</f>
        <v>4178</v>
      </c>
      <c r="K19" s="12" cm="1">
        <f t="array" ref="K19">FORECAST(K$12,C19:J19,C$12:J$12)</f>
        <v>4516.12464832946</v>
      </c>
      <c r="L19" s="12" cm="1">
        <f t="array" ref="L19">FORECAST(L$12,D19:K19,D$12:K$12)</f>
        <v>4655.0018865025</v>
      </c>
      <c r="M19" s="12" cm="1">
        <f t="array" ref="M19">FORECAST(M$12,E19:L19,E$12:L$12)</f>
        <v>4796.27673373309</v>
      </c>
      <c r="N19" s="12" cm="1">
        <f t="array" ref="N19">FORECAST(N$12,F19:M19,F$12:M$12)</f>
        <v>4924.59264443104</v>
      </c>
      <c r="O19" s="12" cm="1">
        <f t="array" ref="O19">FORECAST(O$12,G19:N19,G$12:N$12)</f>
        <v>5050.74208656056</v>
      </c>
      <c r="P19" s="12" cm="1">
        <f t="array" ref="P19">FORECAST(P$12,H19:O19,H$12:O$12)</f>
        <v>5226.32633925114</v>
      </c>
      <c r="Q19" s="12" cm="1">
        <f t="array" ref="Q19">FORECAST(Q$12,I19:P19,I$12:P$12)</f>
        <v>5417.54564504353</v>
      </c>
      <c r="R19" s="12" cm="1">
        <f t="array" ref="R19">FORECAST(R$12,J19:Q19,J$12:Q$12)</f>
        <v>5602.81572981115</v>
      </c>
    </row>
    <row r="20" spans="1:18">
      <c r="A20" s="8" t="s">
        <v>436</v>
      </c>
      <c r="B20" s="8" t="s">
        <v>249</v>
      </c>
      <c r="C20" s="16">
        <f>SUMIFS('historic generation'!$D:$D,'historic generation'!$A:$A,"*"&amp;$B$1&amp;"*",'historic generation'!$B:$B,$B20,'historic generation'!$C:$C,C$1)</f>
        <v>1.5</v>
      </c>
      <c r="D20" s="16">
        <f>SUMIFS('historic generation'!$D:$D,'historic generation'!$A:$A,"*"&amp;$B$1&amp;"*",'historic generation'!$B:$B,$B20,'historic generation'!$C:$C,D$1)</f>
        <v>1.2</v>
      </c>
      <c r="E20" s="16">
        <f>SUMIFS('historic generation'!$D:$D,'historic generation'!$A:$A,"*"&amp;$B$1&amp;"*",'historic generation'!$B:$B,$B20,'historic generation'!$C:$C,E$1)</f>
        <v>1</v>
      </c>
      <c r="F20" s="16">
        <f>SUMIFS('historic generation'!$D:$D,'historic generation'!$A:$A,"*"&amp;$B$1&amp;"*",'historic generation'!$B:$B,$B20,'historic generation'!$C:$C,F$1)</f>
        <v>1</v>
      </c>
      <c r="G20" s="16">
        <f>SUMIFS('historic generation'!$D:$D,'historic generation'!$A:$A,"*"&amp;$B$1&amp;"*",'historic generation'!$B:$B,$B20,'historic generation'!$C:$C,G$1)</f>
        <v>3</v>
      </c>
      <c r="H20" s="17">
        <f>SUMIFS('historic generation'!$D:$D,'historic generation'!$A:$A,"*"&amp;$B$1&amp;"*",'historic generation'!$B:$B,$B20,'historic generation'!$C:$C,H$1)</f>
        <v>3</v>
      </c>
      <c r="I20" s="17">
        <f>SUMIFS('historic generation'!$D:$D,'historic generation'!$A:$A,"*"&amp;$B$1&amp;"*",'historic generation'!$B:$B,$B20,'historic generation'!$C:$C,I$1)</f>
        <v>2.3</v>
      </c>
      <c r="J20" s="17">
        <f>SUMIFS('historic generation'!$D:$D,'historic generation'!$A:$A,"*"&amp;$B$1&amp;"*",'historic generation'!$B:$B,$B20,'historic generation'!$C:$C,J$1)</f>
        <v>0</v>
      </c>
    </row>
    <row r="21" spans="1:18">
      <c r="C21" s="16"/>
      <c r="D21" s="16"/>
      <c r="E21" s="16"/>
      <c r="F21" s="16"/>
      <c r="G21" s="16"/>
      <c r="H21" s="17"/>
      <c r="I21" s="17"/>
      <c r="J21" s="17"/>
    </row>
    <row r="22" spans="1:18">
      <c r="B22" s="8" t="s">
        <v>437</v>
      </c>
      <c r="C22" s="16"/>
      <c r="D22" s="16"/>
      <c r="E22" s="16"/>
      <c r="F22" s="16"/>
      <c r="G22" s="16"/>
      <c r="H22" s="17"/>
      <c r="I22" s="17"/>
      <c r="J22" s="17"/>
      <c r="K22" s="18">
        <f t="shared" ref="K22:O22" si="1">K12-J12</f>
        <v>1603.427152</v>
      </c>
      <c r="L22" s="18">
        <f t="shared" si="1"/>
        <v>2159.83349999999</v>
      </c>
      <c r="M22" s="18">
        <f t="shared" si="1"/>
        <v>2076.90640000001</v>
      </c>
      <c r="N22" s="18">
        <f t="shared" si="1"/>
        <v>2105.14349999999</v>
      </c>
      <c r="O22" s="18">
        <f t="shared" si="1"/>
        <v>2354.98610000001</v>
      </c>
    </row>
    <row r="23" spans="1:18">
      <c r="A23" s="8" t="s">
        <v>438</v>
      </c>
      <c r="B23" s="8" t="s">
        <v>439</v>
      </c>
      <c r="C23" s="16">
        <f t="shared" ref="C23:J23" si="2">SUM(C13:C20)</f>
        <v>15093.5</v>
      </c>
      <c r="D23" s="16">
        <f t="shared" si="2"/>
        <v>17642.2</v>
      </c>
      <c r="E23" s="16">
        <f t="shared" si="2"/>
        <v>19426</v>
      </c>
      <c r="F23" s="16">
        <f t="shared" si="2"/>
        <v>21635</v>
      </c>
      <c r="G23" s="16">
        <f t="shared" si="2"/>
        <v>23930.3</v>
      </c>
      <c r="H23" s="17">
        <f t="shared" si="2"/>
        <v>25850</v>
      </c>
      <c r="I23" s="17">
        <f t="shared" si="2"/>
        <v>28963.3</v>
      </c>
      <c r="J23" s="17">
        <f t="shared" si="2"/>
        <v>31257</v>
      </c>
      <c r="K23" s="20">
        <f t="shared" ref="K23:O23" si="3">SUM(K13:K19)</f>
        <v>33045.7731324027</v>
      </c>
      <c r="L23" s="20">
        <f t="shared" si="3"/>
        <v>34398.0476550681</v>
      </c>
      <c r="M23" s="20">
        <f t="shared" si="3"/>
        <v>35816.4431492003</v>
      </c>
      <c r="N23" s="20">
        <f t="shared" si="3"/>
        <v>37191.8093088777</v>
      </c>
      <c r="O23" s="20">
        <f t="shared" si="3"/>
        <v>38630.2532316865</v>
      </c>
      <c r="R23" s="20">
        <f>SUM(R13:R18)</f>
        <v>53012.2985026639</v>
      </c>
    </row>
    <row r="24" spans="1:18">
      <c r="A24" s="8" t="s">
        <v>440</v>
      </c>
      <c r="B24" s="8" t="s">
        <v>441</v>
      </c>
      <c r="C24" s="16">
        <f t="shared" ref="C24:J24" si="4">SUM(C14:C20)</f>
        <v>3966.5</v>
      </c>
      <c r="D24" s="16">
        <f t="shared" si="4"/>
        <v>5894.2</v>
      </c>
      <c r="E24" s="16">
        <f t="shared" si="4"/>
        <v>7495</v>
      </c>
      <c r="F24" s="16">
        <f t="shared" si="4"/>
        <v>9314</v>
      </c>
      <c r="G24" s="16">
        <f t="shared" si="4"/>
        <v>10909.3</v>
      </c>
      <c r="H24" s="17">
        <f t="shared" si="4"/>
        <v>12297</v>
      </c>
      <c r="I24" s="17">
        <f t="shared" si="4"/>
        <v>15564.3</v>
      </c>
      <c r="J24" s="17">
        <f t="shared" si="4"/>
        <v>17740</v>
      </c>
    </row>
    <row r="25" spans="1:18">
      <c r="B25" s="8" t="s">
        <v>442</v>
      </c>
      <c r="C25" s="16">
        <f t="shared" ref="C25:J25" si="5">SUM(C17,C18)</f>
        <v>2251</v>
      </c>
      <c r="D25" s="16">
        <f t="shared" si="5"/>
        <v>3074</v>
      </c>
      <c r="E25" s="16">
        <f t="shared" si="5"/>
        <v>4200</v>
      </c>
      <c r="F25" s="16">
        <f t="shared" si="5"/>
        <v>5427</v>
      </c>
      <c r="G25" s="16">
        <f t="shared" si="5"/>
        <v>6293</v>
      </c>
      <c r="H25" s="17">
        <f t="shared" si="5"/>
        <v>7276</v>
      </c>
      <c r="I25" s="17">
        <f t="shared" si="5"/>
        <v>9828</v>
      </c>
      <c r="J25" s="17">
        <f t="shared" si="5"/>
        <v>11900</v>
      </c>
    </row>
    <row r="26" spans="1:18">
      <c r="C26" s="16"/>
      <c r="D26" s="16"/>
      <c r="E26" s="16"/>
      <c r="F26" s="16"/>
      <c r="G26" s="16"/>
      <c r="H26" s="17"/>
      <c r="I26" s="17"/>
    </row>
    <row r="27" spans="1:18">
      <c r="A27" s="8" t="s">
        <v>443</v>
      </c>
      <c r="B27" s="8" t="s">
        <v>444</v>
      </c>
      <c r="C27" s="16">
        <f>SUMIFS('historic exchange'!$F:$F,'historic exchange'!$B:$B,"*"&amp;$B$1&amp;"*",'historic exchange'!$C:$C,C$1,'historic exchange'!$D:$D,"1.3. 进口量")+SUMIFS('historic exchange'!$F:$F,'historic exchange'!$B:$B,"*"&amp;$B$1&amp;"*",'historic exchange'!$C:$C,C$1,'historic exchange'!$D:$D,"1.2. 外省(区、市)调入量")</f>
        <v>62.1</v>
      </c>
      <c r="D27" s="16">
        <f>SUMIFS('historic exchange'!$F:$F,'historic exchange'!$B:$B,"*"&amp;$B$1&amp;"*",'historic exchange'!$C:$C,D$1,'historic exchange'!$D:$D,"1.3. 进口量")+SUMIFS('historic exchange'!$F:$F,'historic exchange'!$B:$B,"*"&amp;$B$1&amp;"*",'historic exchange'!$C:$C,D$1,'historic exchange'!$D:$D,"1.2. 外省(区、市)调入量")</f>
        <v>61.85</v>
      </c>
      <c r="E27" s="16">
        <f>SUMIFS('historic exchange'!$F:$F,'historic exchange'!$B:$B,"*"&amp;$B$1&amp;"*",'historic exchange'!$C:$C,E$1,'historic exchange'!$D:$D,"1.3. 进口量")+SUMIFS('historic exchange'!$F:$F,'historic exchange'!$B:$B,"*"&amp;$B$1&amp;"*",'historic exchange'!$C:$C,E$1,'historic exchange'!$D:$D,"1.2. 外省(区、市)调入量")</f>
        <v>64.23</v>
      </c>
      <c r="F27" s="16">
        <f>SUMIFS('historic exchange'!$F:$F,'historic exchange'!$B:$B,"*"&amp;$B$1&amp;"*",'historic exchange'!$C:$C,F$1,'historic exchange'!$D:$D,"1.3. 进口量")+SUMIFS('historic exchange'!$F:$F,'historic exchange'!$B:$B,"*"&amp;$B$1&amp;"*",'historic exchange'!$C:$C,F$1,'historic exchange'!$D:$D,"1.2. 外省(区、市)调入量")</f>
        <v>56.88</v>
      </c>
      <c r="G27" s="16">
        <f>SUMIFS('historic exchange'!$F:$F,'historic exchange'!$B:$B,"*"&amp;$B$1&amp;"*",'historic exchange'!$C:$C,G$1,'historic exchange'!$D:$D,"1.3. 进口量")+SUMIFS('historic exchange'!$F:$F,'historic exchange'!$B:$B,"*"&amp;$B$1&amp;"*",'historic exchange'!$C:$C,G$1,'historic exchange'!$D:$D,"1.2. 外省(区、市)调入量")</f>
        <v>48.58</v>
      </c>
      <c r="H27" s="17">
        <f>SUMIFS('historic exchange'!$F:$F,'historic exchange'!$B:$B,"*"&amp;$B$1&amp;"*",'historic exchange'!$C:$C,H$1,'historic exchange'!$D:$D,"1.3. 进口量")+SUMIFS('historic exchange'!$F:$F,'historic exchange'!$B:$B,"*"&amp;$B$1&amp;"*",'historic exchange'!$C:$C,H$1,'historic exchange'!$D:$D,"1.2. 外省(区、市)调入量")</f>
        <v>47.51</v>
      </c>
      <c r="I27" s="17">
        <f>SUMIFS('historic exchange'!$F:$F,'historic exchange'!$B:$B,"*"&amp;$B$1&amp;"*",'historic exchange'!$C:$C,I$1,'historic exchange'!$D:$D,"1.3. 进口量")+SUMIFS('historic exchange'!$F:$F,'historic exchange'!$B:$B,"*"&amp;$B$1&amp;"*",'historic exchange'!$C:$C,I$1,'historic exchange'!$D:$D,"1.2. 外省(区、市)调入量")</f>
        <v>59.38</v>
      </c>
      <c r="J27" s="17">
        <f>SUMIFS('historic exchange'!$F:$F,'historic exchange'!$B:$B,"*"&amp;$B$1&amp;"*",'historic exchange'!$C:$C,J$1,'historic exchange'!$D:$D,"1.3. 进口量")+SUMIFS('historic exchange'!$F:$F,'historic exchange'!$B:$B,"*"&amp;$B$1&amp;"*",'historic exchange'!$C:$C,J$1,'historic exchange'!$D:$D,"1.2. 外省(区、市)调入量")</f>
        <v>71.38</v>
      </c>
    </row>
    <row r="28" spans="1:18">
      <c r="A28" s="8" t="s">
        <v>445</v>
      </c>
      <c r="B28" s="8" t="s">
        <v>446</v>
      </c>
      <c r="C28" s="16">
        <f>SUMIFS('historic exchange'!$F:$F,'historic exchange'!$B:$B,"*"&amp;$B$1&amp;"*",'historic exchange'!$C:$C,C$1,'historic exchange'!$D:$D,"1.6. 出口量(-)")+SUMIFS('historic exchange'!$F:$F,'historic exchange'!$B:$B,"*"&amp;$B$1&amp;"*",'historic exchange'!$C:$C,C$1,'historic exchange'!$D:$D,"1.5. 本省(区、市)调出量(-)")</f>
        <v>-186.54</v>
      </c>
      <c r="D28" s="16">
        <f>SUMIFS('historic exchange'!$F:$F,'historic exchange'!$B:$B,"*"&amp;$B$1&amp;"*",'historic exchange'!$C:$C,D$1,'historic exchange'!$D:$D,"1.6. 出口量(-)")+SUMIFS('historic exchange'!$F:$F,'historic exchange'!$B:$B,"*"&amp;$B$1&amp;"*",'historic exchange'!$C:$C,D$1,'historic exchange'!$D:$D,"1.5. 本省(区、市)调出量(-)")</f>
        <v>-189.07</v>
      </c>
      <c r="E28" s="16">
        <f>SUMIFS('historic exchange'!$F:$F,'historic exchange'!$B:$B,"*"&amp;$B$1&amp;"*",'historic exchange'!$C:$C,E$1,'historic exchange'!$D:$D,"1.6. 出口量(-)")+SUMIFS('historic exchange'!$F:$F,'historic exchange'!$B:$B,"*"&amp;$B$1&amp;"*",'historic exchange'!$C:$C,E$1,'historic exchange'!$D:$D,"1.5. 本省(区、市)调出量(-)")</f>
        <v>-194.7</v>
      </c>
      <c r="F28" s="16">
        <f>SUMIFS('historic exchange'!$F:$F,'historic exchange'!$B:$B,"*"&amp;$B$1&amp;"*",'historic exchange'!$C:$C,F$1,'historic exchange'!$D:$D,"1.6. 出口量(-)")+SUMIFS('historic exchange'!$F:$F,'historic exchange'!$B:$B,"*"&amp;$B$1&amp;"*",'historic exchange'!$C:$C,F$1,'historic exchange'!$D:$D,"1.5. 本省(区、市)调出量(-)")</f>
        <v>-209.06</v>
      </c>
      <c r="G28" s="16">
        <f>SUMIFS('historic exchange'!$F:$F,'historic exchange'!$B:$B,"*"&amp;$B$1&amp;"*",'historic exchange'!$C:$C,G$1,'historic exchange'!$D:$D,"1.6. 出口量(-)")+SUMIFS('historic exchange'!$F:$F,'historic exchange'!$B:$B,"*"&amp;$B$1&amp;"*",'historic exchange'!$C:$C,G$1,'historic exchange'!$D:$D,"1.5. 本省(区、市)调出量(-)")</f>
        <v>-216.55</v>
      </c>
      <c r="H28" s="17">
        <f>SUMIFS('historic exchange'!$F:$F,'historic exchange'!$B:$B,"*"&amp;$B$1&amp;"*",'historic exchange'!$C:$C,H$1,'historic exchange'!$D:$D,"1.6. 出口量(-)")+SUMIFS('historic exchange'!$F:$F,'historic exchange'!$B:$B,"*"&amp;$B$1&amp;"*",'historic exchange'!$C:$C,H$1,'historic exchange'!$D:$D,"1.5. 本省(区、市)调出量(-)")</f>
        <v>-217.93</v>
      </c>
      <c r="I28" s="17">
        <f>SUMIFS('historic exchange'!$F:$F,'historic exchange'!$B:$B,"*"&amp;$B$1&amp;"*",'historic exchange'!$C:$C,I$1,'historic exchange'!$D:$D,"1.6. 出口量(-)")+SUMIFS('historic exchange'!$F:$F,'historic exchange'!$B:$B,"*"&amp;$B$1&amp;"*",'historic exchange'!$C:$C,I$1,'historic exchange'!$D:$D,"1.5. 本省(区、市)调出量(-)")</f>
        <v>-201.76</v>
      </c>
      <c r="J28" s="17">
        <f>SUMIFS('historic exchange'!$F:$F,'historic exchange'!$B:$B,"*"&amp;$B$1&amp;"*",'historic exchange'!$C:$C,J$1,'historic exchange'!$D:$D,"1.6. 出口量(-)")+SUMIFS('historic exchange'!$F:$F,'historic exchange'!$B:$B,"*"&amp;$B$1&amp;"*",'historic exchange'!$C:$C,J$1,'historic exchange'!$D:$D,"1.5. 本省(区、市)调出量(-)")</f>
        <v>0</v>
      </c>
    </row>
    <row r="29" spans="1:18">
      <c r="A29" s="8" t="s">
        <v>447</v>
      </c>
      <c r="B29" s="8" t="s">
        <v>448</v>
      </c>
      <c r="C29" s="16">
        <f t="shared" ref="C29:J29" si="6">C28*C23/C12</f>
        <v>-49.0512454703833</v>
      </c>
      <c r="D29" s="16">
        <f t="shared" si="6"/>
        <v>-55.3830569502557</v>
      </c>
      <c r="E29" s="16">
        <f t="shared" si="6"/>
        <v>-58.9400539184367</v>
      </c>
      <c r="F29" s="16">
        <f t="shared" si="6"/>
        <v>-64.663432313037</v>
      </c>
      <c r="G29" s="16">
        <f t="shared" si="6"/>
        <v>-70.7271351458325</v>
      </c>
      <c r="H29" s="17">
        <f t="shared" si="6"/>
        <v>-73.8682799223749</v>
      </c>
      <c r="I29" s="17">
        <f t="shared" si="6"/>
        <v>-69.6010601364952</v>
      </c>
      <c r="J29" s="17">
        <f t="shared" si="6"/>
        <v>0</v>
      </c>
    </row>
    <row r="30" spans="1:18">
      <c r="A30" s="8" t="s">
        <v>449</v>
      </c>
      <c r="B30" s="8" t="s">
        <v>450</v>
      </c>
      <c r="C30" s="16">
        <f t="shared" ref="C30:J30" si="7">C28*C24/C12</f>
        <v>-12.8904339721254</v>
      </c>
      <c r="D30" s="16">
        <f t="shared" si="7"/>
        <v>-18.5032940492794</v>
      </c>
      <c r="E30" s="16">
        <f t="shared" si="7"/>
        <v>-22.7404357108351</v>
      </c>
      <c r="F30" s="16">
        <f t="shared" si="7"/>
        <v>-27.8380036313209</v>
      </c>
      <c r="G30" s="16">
        <f t="shared" si="7"/>
        <v>-32.2429528859409</v>
      </c>
      <c r="H30" s="17">
        <f t="shared" si="7"/>
        <v>-35.1395836829959</v>
      </c>
      <c r="I30" s="17">
        <f t="shared" si="7"/>
        <v>-37.4022221322312</v>
      </c>
      <c r="J30" s="17">
        <f t="shared" si="7"/>
        <v>0</v>
      </c>
    </row>
    <row r="31" spans="1:18">
      <c r="A31" s="8" t="s">
        <v>451</v>
      </c>
      <c r="B31" s="8" t="s">
        <v>452</v>
      </c>
      <c r="C31" s="16">
        <f t="shared" ref="C31:J31" si="8">C9-C23-C29</f>
        <v>-1419.44875452962</v>
      </c>
      <c r="D31" s="16">
        <f t="shared" si="8"/>
        <v>-2528.81694304975</v>
      </c>
      <c r="E31" s="16">
        <f t="shared" si="8"/>
        <v>-2681.05994608156</v>
      </c>
      <c r="F31" s="16">
        <f t="shared" si="8"/>
        <v>-3411.36656768696</v>
      </c>
      <c r="G31" s="16">
        <f t="shared" si="8"/>
        <v>-3921.57286485417</v>
      </c>
      <c r="H31" s="17">
        <f t="shared" si="8"/>
        <v>-4163.13172007762</v>
      </c>
      <c r="I31" s="17">
        <f t="shared" si="8"/>
        <v>-4447.6989398635</v>
      </c>
      <c r="J31" s="17">
        <f t="shared" si="8"/>
        <v>-4447</v>
      </c>
    </row>
    <row r="32" spans="1:18">
      <c r="A32" s="8" t="s">
        <v>453</v>
      </c>
      <c r="B32" s="8" t="s">
        <v>454</v>
      </c>
      <c r="C32" s="16">
        <f t="shared" ref="C32:J32" si="9">C10-C24-C30</f>
        <v>-1175.60956602787</v>
      </c>
      <c r="D32" s="16">
        <f t="shared" si="9"/>
        <v>-2158.69670595072</v>
      </c>
      <c r="E32" s="16">
        <f t="shared" si="9"/>
        <v>-2447.25956428916</v>
      </c>
      <c r="F32" s="16">
        <f t="shared" si="9"/>
        <v>-2971.96199636868</v>
      </c>
      <c r="G32" s="16">
        <f t="shared" si="9"/>
        <v>-3489.05704711406</v>
      </c>
      <c r="H32" s="17">
        <f t="shared" si="9"/>
        <v>-3699.860416317</v>
      </c>
      <c r="I32" s="17">
        <f t="shared" si="9"/>
        <v>-4128.89777786777</v>
      </c>
      <c r="J32" s="17">
        <f t="shared" si="9"/>
        <v>-4064</v>
      </c>
    </row>
    <row r="34" spans="1:48">
      <c r="A34" s="8" t="s">
        <v>455</v>
      </c>
      <c r="B34" s="8" t="s">
        <v>456</v>
      </c>
      <c r="C34" s="21">
        <f t="shared" ref="C34:O34" si="10">C23/C12</f>
        <v>0.262952961672474</v>
      </c>
      <c r="D34" s="21">
        <f t="shared" si="10"/>
        <v>0.292923557149499</v>
      </c>
      <c r="E34" s="21">
        <f t="shared" si="10"/>
        <v>0.302722413551293</v>
      </c>
      <c r="F34" s="21">
        <f t="shared" si="10"/>
        <v>0.309305617110098</v>
      </c>
      <c r="G34" s="21">
        <f t="shared" si="10"/>
        <v>0.326608797717998</v>
      </c>
      <c r="H34" s="22">
        <f t="shared" si="10"/>
        <v>0.338954159236337</v>
      </c>
      <c r="I34" s="22">
        <f t="shared" si="10"/>
        <v>0.344969568479853</v>
      </c>
      <c r="J34" s="22">
        <f t="shared" si="10"/>
        <v>0.359503134165277</v>
      </c>
      <c r="K34" s="23">
        <f t="shared" si="10"/>
        <v>0.373194354719335</v>
      </c>
      <c r="L34" s="23">
        <f t="shared" si="10"/>
        <v>0.379216263301921</v>
      </c>
      <c r="M34" s="24">
        <f t="shared" si="10"/>
        <v>0.386014750925948</v>
      </c>
      <c r="N34" s="24">
        <f t="shared" si="10"/>
        <v>0.391945279686871</v>
      </c>
      <c r="O34" s="24">
        <f t="shared" si="10"/>
        <v>0.397245466481818</v>
      </c>
      <c r="R34" s="20">
        <f>R23/R12</f>
        <v>0.509143648918925</v>
      </c>
    </row>
    <row r="35" spans="1:48">
      <c r="A35" s="8" t="s">
        <v>457</v>
      </c>
      <c r="B35" s="8" t="s">
        <v>458</v>
      </c>
      <c r="C35" s="21">
        <f t="shared" ref="C35:J35" si="11">C24/C12</f>
        <v>0.069102787456446</v>
      </c>
      <c r="D35" s="21">
        <f t="shared" si="11"/>
        <v>0.0978647805007638</v>
      </c>
      <c r="E35" s="21">
        <f t="shared" si="11"/>
        <v>0.116797307194839</v>
      </c>
      <c r="F35" s="21">
        <f t="shared" si="11"/>
        <v>0.133157962457289</v>
      </c>
      <c r="G35" s="21">
        <f t="shared" si="11"/>
        <v>0.148893802290191</v>
      </c>
      <c r="H35" s="22">
        <f t="shared" si="11"/>
        <v>0.161242525962446</v>
      </c>
      <c r="I35" s="22">
        <f t="shared" si="11"/>
        <v>0.185379768696626</v>
      </c>
      <c r="J35" s="22">
        <f t="shared" si="11"/>
        <v>0.204037034907125</v>
      </c>
    </row>
    <row r="36" spans="1:48">
      <c r="A36" s="8" t="s">
        <v>459</v>
      </c>
      <c r="B36" s="8" t="s">
        <v>460</v>
      </c>
      <c r="C36" s="21">
        <f t="shared" ref="C36:J36" si="12">C13/C12</f>
        <v>0.193850174216028</v>
      </c>
      <c r="D36" s="21">
        <f t="shared" si="12"/>
        <v>0.195058776648735</v>
      </c>
      <c r="E36" s="21">
        <f t="shared" si="12"/>
        <v>0.185925106356454</v>
      </c>
      <c r="F36" s="21">
        <f t="shared" si="12"/>
        <v>0.176147654652809</v>
      </c>
      <c r="G36" s="21">
        <f t="shared" si="12"/>
        <v>0.177714995427807</v>
      </c>
      <c r="H36" s="22">
        <f t="shared" si="12"/>
        <v>0.177711633273891</v>
      </c>
      <c r="I36" s="22">
        <f t="shared" si="12"/>
        <v>0.159589799783228</v>
      </c>
      <c r="J36" s="22">
        <f t="shared" si="12"/>
        <v>0.155466099258152</v>
      </c>
    </row>
    <row r="37" spans="1:48">
      <c r="C37" s="21"/>
      <c r="D37" s="21"/>
      <c r="E37" s="21"/>
      <c r="F37" s="21"/>
      <c r="G37" s="21"/>
      <c r="H37" s="22"/>
      <c r="I37" s="22"/>
      <c r="J37" s="22"/>
    </row>
    <row r="38" spans="1:48">
      <c r="A38" s="8" t="s">
        <v>461</v>
      </c>
      <c r="B38" s="8" t="s">
        <v>462</v>
      </c>
      <c r="C38" s="21">
        <f t="shared" ref="C38:I38" si="13">C31/C27</f>
        <v>-22.8574678668215</v>
      </c>
      <c r="D38" s="21">
        <f t="shared" si="13"/>
        <v>-40.8862884890824</v>
      </c>
      <c r="E38" s="21">
        <f t="shared" si="13"/>
        <v>-41.7415529516046</v>
      </c>
      <c r="F38" s="21">
        <f t="shared" si="13"/>
        <v>-59.9747990099677</v>
      </c>
      <c r="G38" s="21">
        <f t="shared" si="13"/>
        <v>-80.7240194494477</v>
      </c>
      <c r="H38" s="22">
        <f t="shared" si="13"/>
        <v>-87.6264306478136</v>
      </c>
      <c r="I38" s="22">
        <f t="shared" si="13"/>
        <v>-74.9023061613928</v>
      </c>
    </row>
    <row r="39" spans="1:48">
      <c r="A39" s="8" t="s">
        <v>463</v>
      </c>
      <c r="B39" s="8" t="s">
        <v>464</v>
      </c>
      <c r="C39" s="21">
        <f t="shared" ref="C39:I39" si="14">C32/C27</f>
        <v>-18.9309108861171</v>
      </c>
      <c r="D39" s="21">
        <f t="shared" si="14"/>
        <v>-34.9021294414021</v>
      </c>
      <c r="E39" s="21">
        <f t="shared" si="14"/>
        <v>-38.1015034141237</v>
      </c>
      <c r="F39" s="21">
        <f t="shared" si="14"/>
        <v>-52.249683480462</v>
      </c>
      <c r="G39" s="21">
        <f t="shared" si="14"/>
        <v>-71.8208531723767</v>
      </c>
      <c r="H39" s="22">
        <f t="shared" si="14"/>
        <v>-77.8754034164808</v>
      </c>
      <c r="I39" s="22">
        <f t="shared" si="14"/>
        <v>-69.5334755450955</v>
      </c>
    </row>
    <row r="41" spans="1:48">
      <c r="A41" s="8" t="s">
        <v>465</v>
      </c>
      <c r="B41" s="8" t="s">
        <v>466</v>
      </c>
      <c r="C41" s="11">
        <f t="shared" ref="C41:J41" si="15">C34/C2</f>
        <v>1.07327739458153</v>
      </c>
      <c r="D41" s="11">
        <f t="shared" si="15"/>
        <v>1.15324235098228</v>
      </c>
      <c r="E41" s="11">
        <f t="shared" si="15"/>
        <v>1.14234873038224</v>
      </c>
      <c r="F41" s="11">
        <f t="shared" si="15"/>
        <v>1.16719100796263</v>
      </c>
      <c r="G41" s="11">
        <f t="shared" si="15"/>
        <v>1.18766835533817</v>
      </c>
      <c r="H41" s="12">
        <f t="shared" si="15"/>
        <v>1.17692416401506</v>
      </c>
      <c r="I41" s="12">
        <f t="shared" si="15"/>
        <v>1.17336587918317</v>
      </c>
      <c r="J41" s="12">
        <f t="shared" si="15"/>
        <v>1.13766814609265</v>
      </c>
    </row>
    <row r="42" spans="1:48">
      <c r="A42" s="8" t="s">
        <v>467</v>
      </c>
      <c r="B42" s="8" t="s">
        <v>468</v>
      </c>
      <c r="C42" s="11">
        <f t="shared" ref="C42:J42" si="16">C35/C5</f>
        <v>1.38205574912892</v>
      </c>
      <c r="D42" s="11">
        <f t="shared" si="16"/>
        <v>1.55340921429784</v>
      </c>
      <c r="E42" s="11">
        <f t="shared" si="16"/>
        <v>1.45996633993548</v>
      </c>
      <c r="F42" s="11">
        <f t="shared" si="16"/>
        <v>1.44736915714445</v>
      </c>
      <c r="G42" s="11">
        <f t="shared" si="16"/>
        <v>1.45974315970775</v>
      </c>
      <c r="H42" s="12">
        <f t="shared" si="16"/>
        <v>1.4144081224776</v>
      </c>
      <c r="I42" s="12">
        <f t="shared" si="16"/>
        <v>1.35313699778559</v>
      </c>
      <c r="J42" s="12">
        <f t="shared" si="16"/>
        <v>1.28325179186871</v>
      </c>
    </row>
    <row r="43" spans="1:48">
      <c r="AU43" s="25"/>
      <c r="AV43" s="25"/>
    </row>
    <row r="44" spans="1:48">
      <c r="AU44" s="25"/>
      <c r="AV44" s="25"/>
    </row>
    <row r="45" s="9" customFormat="1" spans="1:48">
      <c r="B45" s="9" t="s">
        <v>469</v>
      </c>
      <c r="C45" s="26"/>
      <c r="D45" s="26"/>
      <c r="E45" s="26"/>
      <c r="F45" s="26"/>
      <c r="G45" s="26"/>
      <c r="H45" s="27">
        <f t="shared" ref="H45:O45" si="17">H19/H12</f>
        <v>0.0480174131962656</v>
      </c>
      <c r="I45" s="27">
        <f t="shared" si="17"/>
        <v>0.0485355947545826</v>
      </c>
      <c r="J45" s="27">
        <f t="shared" si="17"/>
        <v>0.0480533670711369</v>
      </c>
      <c r="K45" s="27">
        <f t="shared" si="17"/>
        <v>0.051001748913927</v>
      </c>
      <c r="L45" s="27">
        <f t="shared" si="17"/>
        <v>0.0513183898913165</v>
      </c>
      <c r="M45" s="27">
        <f t="shared" si="17"/>
        <v>0.0516922789075229</v>
      </c>
      <c r="N45" s="27">
        <f t="shared" si="17"/>
        <v>0.0518977397774703</v>
      </c>
      <c r="O45" s="27">
        <f t="shared" si="17"/>
        <v>0.0519381631857738</v>
      </c>
      <c r="P45" s="27"/>
      <c r="Q45" s="27"/>
      <c r="R45" s="27"/>
      <c r="W45" s="9">
        <v>0.069</v>
      </c>
      <c r="AU45" s="28"/>
      <c r="AV45" s="9">
        <v>0.165</v>
      </c>
    </row>
    <row r="46" spans="1:48">
      <c r="AU46" s="25"/>
      <c r="AV46" s="25"/>
    </row>
    <row r="47" spans="1:48"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</row>
    <row r="48" s="10" customFormat="1" spans="1:48">
      <c r="A48" s="30" t="s">
        <v>470</v>
      </c>
      <c r="B48" s="30" t="s">
        <v>471</v>
      </c>
      <c r="C48" s="31">
        <f t="shared" ref="C48:J48" si="18">C34</f>
        <v>0.262952961672474</v>
      </c>
      <c r="D48" s="31">
        <f t="shared" si="18"/>
        <v>0.292923557149499</v>
      </c>
      <c r="E48" s="31">
        <f t="shared" si="18"/>
        <v>0.302722413551293</v>
      </c>
      <c r="F48" s="31">
        <f t="shared" si="18"/>
        <v>0.309305617110098</v>
      </c>
      <c r="G48" s="31">
        <f t="shared" si="18"/>
        <v>0.326608797717998</v>
      </c>
      <c r="H48" s="32">
        <f t="shared" si="18"/>
        <v>0.338954159236337</v>
      </c>
      <c r="I48" s="32">
        <f t="shared" si="18"/>
        <v>0.344969568479853</v>
      </c>
      <c r="J48" s="32">
        <f t="shared" si="18"/>
        <v>0.359503134165277</v>
      </c>
      <c r="K48" s="33">
        <f t="shared" ref="K48:Q48" si="19">$J$48+($R$48-$J$48)*(K1-$J$1)/($R$1-$J$1)</f>
        <v>0.367065242394617</v>
      </c>
      <c r="L48" s="33">
        <f t="shared" si="19"/>
        <v>0.374627350623958</v>
      </c>
      <c r="M48" s="33">
        <f t="shared" si="19"/>
        <v>0.382189458853298</v>
      </c>
      <c r="N48" s="33">
        <f t="shared" si="19"/>
        <v>0.389751567082638</v>
      </c>
      <c r="O48" s="33">
        <f t="shared" si="19"/>
        <v>0.397313675311979</v>
      </c>
      <c r="P48" s="33">
        <f t="shared" si="19"/>
        <v>0.404875783541319</v>
      </c>
      <c r="Q48" s="33">
        <f t="shared" si="19"/>
        <v>0.41243789177066</v>
      </c>
      <c r="R48" s="32">
        <v>0.42</v>
      </c>
      <c r="S48" s="34">
        <f t="shared" ref="S48:AK48" si="20">$R$48+($AL$48-$R$48)*(S1-$R$1)/($AL$1-$R$1)</f>
        <v>0.4315</v>
      </c>
      <c r="T48" s="34">
        <f t="shared" si="20"/>
        <v>0.443</v>
      </c>
      <c r="U48" s="34">
        <f t="shared" si="20"/>
        <v>0.4545</v>
      </c>
      <c r="V48" s="34">
        <f t="shared" si="20"/>
        <v>0.466</v>
      </c>
      <c r="W48" s="34">
        <f t="shared" si="20"/>
        <v>0.4775</v>
      </c>
      <c r="X48" s="34">
        <f t="shared" si="20"/>
        <v>0.489</v>
      </c>
      <c r="Y48" s="34">
        <f t="shared" si="20"/>
        <v>0.5005</v>
      </c>
      <c r="Z48" s="34">
        <f t="shared" si="20"/>
        <v>0.512</v>
      </c>
      <c r="AA48" s="34">
        <f t="shared" si="20"/>
        <v>0.5235</v>
      </c>
      <c r="AB48" s="34">
        <f t="shared" si="20"/>
        <v>0.535</v>
      </c>
      <c r="AC48" s="34">
        <f t="shared" si="20"/>
        <v>0.5465</v>
      </c>
      <c r="AD48" s="34">
        <f t="shared" si="20"/>
        <v>0.558</v>
      </c>
      <c r="AE48" s="34">
        <f t="shared" si="20"/>
        <v>0.5695</v>
      </c>
      <c r="AF48" s="34">
        <f t="shared" si="20"/>
        <v>0.581</v>
      </c>
      <c r="AG48" s="34">
        <f t="shared" si="20"/>
        <v>0.5925</v>
      </c>
      <c r="AH48" s="34">
        <f t="shared" si="20"/>
        <v>0.604</v>
      </c>
      <c r="AI48" s="34">
        <f t="shared" si="20"/>
        <v>0.6155</v>
      </c>
      <c r="AJ48" s="34">
        <f t="shared" si="20"/>
        <v>0.627</v>
      </c>
      <c r="AK48" s="34">
        <f t="shared" si="20"/>
        <v>0.6385</v>
      </c>
      <c r="AL48" s="35">
        <v>0.65</v>
      </c>
      <c r="AM48" s="34">
        <f t="shared" ref="AM48:AV48" si="21">0.0115*(AL1-2030+1)+0.4085</f>
        <v>0.65</v>
      </c>
      <c r="AN48" s="34">
        <f t="shared" si="21"/>
        <v>0.6615</v>
      </c>
      <c r="AO48" s="34">
        <f t="shared" si="21"/>
        <v>0.673</v>
      </c>
      <c r="AP48" s="34">
        <f t="shared" si="21"/>
        <v>0.6845</v>
      </c>
      <c r="AQ48" s="34">
        <f t="shared" si="21"/>
        <v>0.696</v>
      </c>
      <c r="AR48" s="34">
        <f t="shared" si="21"/>
        <v>0.7075</v>
      </c>
      <c r="AS48" s="34">
        <f t="shared" si="21"/>
        <v>0.719</v>
      </c>
      <c r="AT48" s="34">
        <f t="shared" si="21"/>
        <v>0.7305</v>
      </c>
      <c r="AU48" s="34">
        <f t="shared" si="21"/>
        <v>0.742</v>
      </c>
      <c r="AV48" s="34">
        <f t="shared" si="21"/>
        <v>0.7535</v>
      </c>
    </row>
    <row r="49" s="10" customFormat="1" spans="1:48">
      <c r="A49" s="30" t="s">
        <v>472</v>
      </c>
      <c r="B49" s="30" t="s">
        <v>473</v>
      </c>
      <c r="C49" s="31">
        <f t="shared" ref="C49:J49" si="22">C35</f>
        <v>0.069102787456446</v>
      </c>
      <c r="D49" s="31">
        <f t="shared" si="22"/>
        <v>0.0978647805007638</v>
      </c>
      <c r="E49" s="31">
        <f t="shared" si="22"/>
        <v>0.116797307194839</v>
      </c>
      <c r="F49" s="31">
        <f t="shared" si="22"/>
        <v>0.133157962457289</v>
      </c>
      <c r="G49" s="31">
        <f t="shared" si="22"/>
        <v>0.148893802290191</v>
      </c>
      <c r="H49" s="32">
        <f t="shared" si="22"/>
        <v>0.161242525962446</v>
      </c>
      <c r="I49" s="32">
        <f t="shared" si="22"/>
        <v>0.185379768696626</v>
      </c>
      <c r="J49" s="32">
        <f t="shared" si="22"/>
        <v>0.204037034907125</v>
      </c>
      <c r="K49" s="127" t="s">
        <v>474</v>
      </c>
      <c r="L49" s="127" t="s">
        <v>475</v>
      </c>
      <c r="M49" s="127" t="s">
        <v>476</v>
      </c>
      <c r="N49" s="127" t="s">
        <v>477</v>
      </c>
      <c r="O49" s="127" t="s">
        <v>478</v>
      </c>
      <c r="P49" s="127" t="s">
        <v>479</v>
      </c>
      <c r="Q49" s="127" t="s">
        <v>480</v>
      </c>
      <c r="R49" s="32">
        <v>0.281</v>
      </c>
      <c r="S49" s="34">
        <f t="shared" ref="S49:AL49" si="23">S48-S51</f>
        <v>0.296241782416602</v>
      </c>
      <c r="T49" s="34">
        <f t="shared" si="23"/>
        <v>0.311678260530307</v>
      </c>
      <c r="U49" s="34">
        <f t="shared" si="23"/>
        <v>0.326275302962102</v>
      </c>
      <c r="V49" s="34">
        <f t="shared" si="23"/>
        <v>0.341596048024466</v>
      </c>
      <c r="W49" s="34">
        <f t="shared" si="23"/>
        <v>0.356579579687352</v>
      </c>
      <c r="X49" s="34">
        <f t="shared" si="23"/>
        <v>0.370986154198674</v>
      </c>
      <c r="Y49" s="34">
        <f t="shared" si="23"/>
        <v>0.385315502071509</v>
      </c>
      <c r="Z49" s="34">
        <f t="shared" si="23"/>
        <v>0.399527008592995</v>
      </c>
      <c r="AA49" s="34">
        <f t="shared" si="23"/>
        <v>0.41357224237535</v>
      </c>
      <c r="AB49" s="34">
        <f t="shared" si="23"/>
        <v>0.427562967960802</v>
      </c>
      <c r="AC49" s="34">
        <f t="shared" si="23"/>
        <v>0.441256138283085</v>
      </c>
      <c r="AD49" s="34">
        <f t="shared" si="23"/>
        <v>0.454831389666439</v>
      </c>
      <c r="AE49" s="34">
        <f t="shared" si="23"/>
        <v>0.46845109307156</v>
      </c>
      <c r="AF49" s="34">
        <f t="shared" si="23"/>
        <v>0.481959873790838</v>
      </c>
      <c r="AG49" s="34">
        <f t="shared" si="23"/>
        <v>0.495341524576571</v>
      </c>
      <c r="AH49" s="34">
        <f t="shared" si="23"/>
        <v>0.508524603653458</v>
      </c>
      <c r="AI49" s="34">
        <f t="shared" si="23"/>
        <v>0.521633374379285</v>
      </c>
      <c r="AJ49" s="34">
        <f t="shared" si="23"/>
        <v>0.534656380628524</v>
      </c>
      <c r="AK49" s="34">
        <f t="shared" si="23"/>
        <v>0.547461866322031</v>
      </c>
      <c r="AL49" s="34">
        <f t="shared" si="23"/>
        <v>0.560372979354727</v>
      </c>
      <c r="AM49" s="34">
        <f t="shared" ref="AM49:AU49" si="24">$AL$49+($AV$49-$AL$49)*(AM1-$AL$1)/($AV$1-$AL$1)</f>
        <v>0.564935681419254</v>
      </c>
      <c r="AN49" s="34">
        <f t="shared" si="24"/>
        <v>0.569498383483782</v>
      </c>
      <c r="AO49" s="34">
        <f t="shared" si="24"/>
        <v>0.574061085548309</v>
      </c>
      <c r="AP49" s="34">
        <f t="shared" si="24"/>
        <v>0.578623787612836</v>
      </c>
      <c r="AQ49" s="34">
        <f t="shared" si="24"/>
        <v>0.583186489677364</v>
      </c>
      <c r="AR49" s="34">
        <f t="shared" si="24"/>
        <v>0.587749191741891</v>
      </c>
      <c r="AS49" s="34">
        <f t="shared" si="24"/>
        <v>0.592311893806418</v>
      </c>
      <c r="AT49" s="34">
        <f t="shared" si="24"/>
        <v>0.596874595870945</v>
      </c>
      <c r="AU49" s="34">
        <f t="shared" si="24"/>
        <v>0.601437297935473</v>
      </c>
      <c r="AV49" s="35">
        <v>0.606</v>
      </c>
    </row>
    <row r="50" s="10" customFormat="1" spans="1:48">
      <c r="A50" s="30"/>
      <c r="B50" s="30" t="s">
        <v>481</v>
      </c>
      <c r="C50" s="37"/>
      <c r="D50" s="37"/>
      <c r="E50" s="37"/>
      <c r="F50" s="37"/>
      <c r="G50" s="37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>
        <f>(R48-R49)*R54</f>
        <v>1445804152.48963</v>
      </c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</row>
    <row r="51" s="10" customFormat="1" spans="1:48">
      <c r="A51" s="30"/>
      <c r="B51" s="30" t="s">
        <v>482</v>
      </c>
      <c r="C51" s="37">
        <f t="shared" ref="C51:R51" si="25">C48-C49</f>
        <v>0.193850174216028</v>
      </c>
      <c r="D51" s="37">
        <f t="shared" si="25"/>
        <v>0.195058776648735</v>
      </c>
      <c r="E51" s="37">
        <f t="shared" si="25"/>
        <v>0.185925106356454</v>
      </c>
      <c r="F51" s="37">
        <f t="shared" si="25"/>
        <v>0.176147654652809</v>
      </c>
      <c r="G51" s="37">
        <f t="shared" si="25"/>
        <v>0.177714995427807</v>
      </c>
      <c r="H51" s="38">
        <f t="shared" si="25"/>
        <v>0.177711633273891</v>
      </c>
      <c r="I51" s="38">
        <f t="shared" si="25"/>
        <v>0.159589799783228</v>
      </c>
      <c r="J51" s="38">
        <f t="shared" si="25"/>
        <v>0.155466099258152</v>
      </c>
      <c r="K51" s="38">
        <f t="shared" si="25"/>
        <v>0.195065242394617</v>
      </c>
      <c r="L51" s="38">
        <f t="shared" si="25"/>
        <v>0.187627350623958</v>
      </c>
      <c r="M51" s="38">
        <f t="shared" si="25"/>
        <v>0.179189458853298</v>
      </c>
      <c r="N51" s="38">
        <f t="shared" si="25"/>
        <v>0.171751567082638</v>
      </c>
      <c r="O51" s="38">
        <f t="shared" si="25"/>
        <v>0.163313675311979</v>
      </c>
      <c r="P51" s="38">
        <f t="shared" si="25"/>
        <v>0.154875783541319</v>
      </c>
      <c r="Q51" s="38">
        <f t="shared" si="25"/>
        <v>0.14743789177066</v>
      </c>
      <c r="R51" s="38">
        <f t="shared" si="25"/>
        <v>0.139</v>
      </c>
      <c r="S51" s="29">
        <f t="shared" ref="S51:AV51" si="26">$R$50/S54</f>
        <v>0.135258217583398</v>
      </c>
      <c r="T51" s="29">
        <f t="shared" si="26"/>
        <v>0.131321739469693</v>
      </c>
      <c r="U51" s="29">
        <f t="shared" si="26"/>
        <v>0.128224697037898</v>
      </c>
      <c r="V51" s="29">
        <f t="shared" si="26"/>
        <v>0.124403951975534</v>
      </c>
      <c r="W51" s="29">
        <f t="shared" si="26"/>
        <v>0.120920420312648</v>
      </c>
      <c r="X51" s="29">
        <f t="shared" si="26"/>
        <v>0.118013845801326</v>
      </c>
      <c r="Y51" s="29">
        <f t="shared" si="26"/>
        <v>0.11518449792849</v>
      </c>
      <c r="Z51" s="29">
        <f t="shared" si="26"/>
        <v>0.112472991407005</v>
      </c>
      <c r="AA51" s="29">
        <f t="shared" si="26"/>
        <v>0.10992775762465</v>
      </c>
      <c r="AB51" s="29">
        <f t="shared" si="26"/>
        <v>0.107437032039198</v>
      </c>
      <c r="AC51" s="29">
        <f t="shared" si="26"/>
        <v>0.105243861716915</v>
      </c>
      <c r="AD51" s="29">
        <f t="shared" si="26"/>
        <v>0.103168610333561</v>
      </c>
      <c r="AE51" s="29">
        <f t="shared" si="26"/>
        <v>0.10104890692844</v>
      </c>
      <c r="AF51" s="29">
        <f t="shared" si="26"/>
        <v>0.0990401262091617</v>
      </c>
      <c r="AG51" s="29">
        <f t="shared" si="26"/>
        <v>0.0971584754234294</v>
      </c>
      <c r="AH51" s="29">
        <f t="shared" si="26"/>
        <v>0.0954753963465425</v>
      </c>
      <c r="AI51" s="29">
        <f t="shared" si="26"/>
        <v>0.0938666256207153</v>
      </c>
      <c r="AJ51" s="29">
        <f t="shared" si="26"/>
        <v>0.0923436193714763</v>
      </c>
      <c r="AK51" s="29">
        <f t="shared" si="26"/>
        <v>0.0910381336779686</v>
      </c>
      <c r="AL51" s="29">
        <f t="shared" si="26"/>
        <v>0.0896270206452729</v>
      </c>
      <c r="AM51" s="29">
        <f t="shared" si="26"/>
        <v>0.0885673216015119</v>
      </c>
      <c r="AN51" s="29">
        <f t="shared" si="26"/>
        <v>0.0877302537274127</v>
      </c>
      <c r="AO51" s="29">
        <f t="shared" si="26"/>
        <v>0.0868090737403357</v>
      </c>
      <c r="AP51" s="29">
        <f t="shared" si="26"/>
        <v>0.0861289874845204</v>
      </c>
      <c r="AQ51" s="29">
        <f t="shared" si="26"/>
        <v>0.0855372058740667</v>
      </c>
      <c r="AR51" s="29">
        <f t="shared" si="26"/>
        <v>0.0851500317280696</v>
      </c>
      <c r="AS51" s="29">
        <f t="shared" si="26"/>
        <v>0.0848172493536749</v>
      </c>
      <c r="AT51" s="29">
        <f t="shared" si="26"/>
        <v>0.0847301426460237</v>
      </c>
      <c r="AU51" s="29">
        <f t="shared" si="26"/>
        <v>0.084711497328424</v>
      </c>
      <c r="AV51" s="29">
        <f t="shared" si="26"/>
        <v>0.0838669781860336</v>
      </c>
    </row>
    <row r="52" s="10" customFormat="1" spans="1:48">
      <c r="A52" s="30"/>
      <c r="B52" s="30"/>
      <c r="C52" s="37"/>
      <c r="D52" s="37"/>
      <c r="E52" s="37"/>
      <c r="F52" s="37"/>
      <c r="G52" s="37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>
        <f>AV54*AV51</f>
        <v>1445804152.48963</v>
      </c>
    </row>
    <row r="53" spans="1:48">
      <c r="C53" s="39" t="s">
        <v>483</v>
      </c>
      <c r="D53" s="39"/>
      <c r="E53" s="39"/>
    </row>
    <row r="54" s="10" customFormat="1" spans="1:48">
      <c r="A54" s="30" t="s">
        <v>484</v>
      </c>
      <c r="B54" s="30" t="s">
        <v>485</v>
      </c>
      <c r="C54" s="40"/>
      <c r="D54" s="40"/>
      <c r="E54" s="40"/>
      <c r="F54" s="40"/>
      <c r="G54" s="40"/>
      <c r="H54" s="41"/>
      <c r="I54" s="41">
        <f>SUM('model calibration'!B2:B49)</f>
        <v>509467084.58</v>
      </c>
      <c r="J54" s="41">
        <f>SUM('model calibration'!C2:C49)</f>
        <v>684007257.5691</v>
      </c>
      <c r="K54" s="42">
        <f>SUM('model calibration - 2022'!B2:B49)</f>
        <v>8243640511.3</v>
      </c>
      <c r="L54" s="42">
        <f>SUM('model calibration - 2022'!C2:C49)</f>
        <v>8403673505.2</v>
      </c>
      <c r="M54" s="42">
        <f>SUM('model calibration - 2022'!D2:D49)</f>
        <v>8850884373</v>
      </c>
      <c r="N54" s="42">
        <f>SUM('model calibration - 2022'!E2:E49)</f>
        <v>9260611970.1</v>
      </c>
      <c r="O54" s="42">
        <f>SUM('model calibration - 2022'!F2:F49)</f>
        <v>9573143190</v>
      </c>
      <c r="P54" s="42">
        <f>SUM('model calibration - 2022'!G2:G49)</f>
        <v>9905463049.6507</v>
      </c>
      <c r="Q54" s="42">
        <f>SUM('model calibration - 2022'!H2:H49)</f>
        <v>10210433810.4527</v>
      </c>
      <c r="R54" s="42">
        <f>SUM('model calibration - 2022'!I2:I49)</f>
        <v>10401468722.947</v>
      </c>
      <c r="S54" s="43">
        <f>SUM('model calibration - 2022'!J2:J49)</f>
        <v>10689214883.3632</v>
      </c>
      <c r="T54" s="43">
        <f>SUM('model calibration - 2022'!K2:K49)</f>
        <v>11009632969.5915</v>
      </c>
      <c r="U54" s="43">
        <f>SUM('model calibration - 2022'!L2:L49)</f>
        <v>11275551324.2688</v>
      </c>
      <c r="V54" s="43">
        <f>SUM('model calibration - 2022'!M2:M49)</f>
        <v>11621850668.9721</v>
      </c>
      <c r="W54" s="43">
        <f>SUM('model calibration - 2022'!N2:N49)</f>
        <v>11956658343.987</v>
      </c>
      <c r="X54" s="43">
        <f>SUM('model calibration - 2022'!O2:O49)</f>
        <v>12251140047.784</v>
      </c>
      <c r="Y54" s="43">
        <f>SUM('model calibration - 2022'!P2:P49)</f>
        <v>12552072357.751</v>
      </c>
      <c r="Z54" s="43">
        <f>SUM('model calibration - 2022'!Q2:Q49)</f>
        <v>12854678571.3</v>
      </c>
      <c r="AA54" s="43">
        <f>SUM('model calibration - 2022'!R2:R49)</f>
        <v>13152311879.465</v>
      </c>
      <c r="AB54" s="43">
        <f>SUM('model calibration - 2022'!S2:S49)</f>
        <v>13457223501.503</v>
      </c>
      <c r="AC54" s="43">
        <f>SUM('model calibration - 2022'!T2:T49)</f>
        <v>13737657749.376</v>
      </c>
      <c r="AD54" s="43">
        <f>SUM('model calibration - 2022'!U2:U49)</f>
        <v>14013992703.935</v>
      </c>
      <c r="AE54" s="43">
        <f>SUM('model calibration - 2022'!V2:V49)</f>
        <v>14307964296.076</v>
      </c>
      <c r="AF54" s="43">
        <f>SUM('model calibration - 2022'!W2:W49)</f>
        <v>14598165489.372</v>
      </c>
      <c r="AG54" s="43">
        <f>SUM('model calibration - 2022'!X2:X49)</f>
        <v>14880885544.865</v>
      </c>
      <c r="AH54" s="43">
        <f>SUM('model calibration - 2022'!Y2:Y49)</f>
        <v>15143211841.11</v>
      </c>
      <c r="AI54" s="43">
        <f>SUM('model calibration - 2022'!Z2:Z49)</f>
        <v>15402749837.111</v>
      </c>
      <c r="AJ54" s="43">
        <f>SUM('model calibration - 2022'!AA2:AA49)</f>
        <v>15656784543.754</v>
      </c>
      <c r="AK54" s="43">
        <f>SUM('model calibration - 2022'!AB2:AB49)</f>
        <v>15881302637.463</v>
      </c>
      <c r="AL54" s="43">
        <f>SUM('model calibration - 2022'!AC2:AC49)</f>
        <v>16131342334.94</v>
      </c>
      <c r="AM54" s="43">
        <f>SUM('model calibration - 2022'!AD2:AD49)</f>
        <v>16324352214.18</v>
      </c>
      <c r="AN54" s="43">
        <f>SUM('model calibration - 2022'!AE2:AE49)</f>
        <v>16480109096.48</v>
      </c>
      <c r="AO54" s="43">
        <f>SUM('model calibration - 2022'!AF2:AF49)</f>
        <v>16654988818.5</v>
      </c>
      <c r="AP54" s="43">
        <f>SUM('model calibration - 2022'!AG2:AG49)</f>
        <v>16786498886.33</v>
      </c>
      <c r="AQ54" s="43">
        <f>SUM('model calibration - 2022'!AH2:AH49)</f>
        <v>16902634797.52</v>
      </c>
      <c r="AR54" s="43">
        <f>SUM('model calibration - 2022'!AI2:AI49)</f>
        <v>16979490472.85</v>
      </c>
      <c r="AS54" s="43">
        <f>SUM('model calibration - 2022'!AJ2:AJ49)</f>
        <v>17046109883.39</v>
      </c>
      <c r="AT54" s="43">
        <f>SUM('model calibration - 2022'!AK2:AK49)</f>
        <v>17063634113.42</v>
      </c>
      <c r="AU54" s="43">
        <f>SUM('model calibration - 2022'!AL2:AL49)</f>
        <v>17067389883.15</v>
      </c>
      <c r="AV54" s="43">
        <f>SUM('model calibration - 2022'!AM2:AM49)</f>
        <v>17239254158.92</v>
      </c>
    </row>
    <row r="55" spans="1:48">
      <c r="A55" s="30" t="s">
        <v>486</v>
      </c>
      <c r="B55" s="30" t="s">
        <v>487</v>
      </c>
      <c r="H55" s="22">
        <f>SUMPRODUCT('model calibration'!B52:B67,'model calibration'!B71:B86)</f>
        <v>0.19367227</v>
      </c>
      <c r="I55" s="22" cm="1">
        <f t="array" ref="I55">SUMPRODUCT('model calibration'!C52:C67,'model calibration'!C71:C86)</f>
        <v>0.29906246</v>
      </c>
      <c r="J55" s="22">
        <f>SUMPRODUCT('model calibration'!D52:D67,'model calibration'!D71:D86)</f>
        <v>0.30689672</v>
      </c>
      <c r="K55" s="22" cm="1">
        <f t="array" ref="K55">SUMPRODUCT('model calibration - 2022'!B53:B68,'model calibration - 2022'!B73:B88)</f>
        <v>0.418456517</v>
      </c>
      <c r="L55" s="22" cm="1">
        <f t="array" ref="L55">SUMPRODUCT('model calibration - 2022'!C53:C68,'model calibration - 2022'!C73:C88)</f>
        <v>0.421556515</v>
      </c>
      <c r="M55" s="22" cm="1">
        <f t="array" ref="M55">SUMPRODUCT('model calibration - 2022'!D53:D68,'model calibration - 2022'!D73:D88)</f>
        <v>0.412520274</v>
      </c>
      <c r="N55" s="22" cm="1">
        <f t="array" ref="N55">SUMPRODUCT('model calibration - 2022'!E53:E68,'model calibration - 2022'!E73:E88)</f>
        <v>0.406952719</v>
      </c>
      <c r="O55" s="22" cm="1">
        <f t="array" ref="O55">SUMPRODUCT('model calibration - 2022'!F53:F68,'model calibration - 2022'!F73:F88)</f>
        <v>0.406657683</v>
      </c>
      <c r="P55" s="22" cm="1">
        <f t="array" ref="P55">SUMPRODUCT('model calibration - 2022'!G53:G68,'model calibration - 2022'!G73:G88)</f>
        <v>0.425461004</v>
      </c>
      <c r="Q55" s="22" cm="1">
        <f t="array" ref="Q55">SUMPRODUCT('model calibration - 2022'!H53:H68,'model calibration - 2022'!H73:H88)</f>
        <v>0.451165373</v>
      </c>
      <c r="R55" s="22" cm="1">
        <f t="array" ref="R55">SUMPRODUCT('model calibration - 2022'!I53:I68,'model calibration - 2022'!I73:I88)</f>
        <v>0.4705158</v>
      </c>
      <c r="S55" s="44" cm="1">
        <f t="array" ref="S55">SUMPRODUCT('model calibration - 2022'!J53:J68,'model calibration - 2022'!J73:J88)</f>
        <v>0.49399595</v>
      </c>
      <c r="T55" s="44" cm="1">
        <f t="array" ref="T55">SUMPRODUCT('model calibration - 2022'!K53:K68,'model calibration - 2022'!K73:K88)</f>
        <v>0.517577756</v>
      </c>
      <c r="U55" s="44" cm="1">
        <f t="array" ref="U55">SUMPRODUCT('model calibration - 2022'!L53:L68,'model calibration - 2022'!L73:L88)</f>
        <v>0.538377924</v>
      </c>
      <c r="V55" s="44" cm="1">
        <f t="array" ref="V55">SUMPRODUCT('model calibration - 2022'!M53:M68,'model calibration - 2022'!M73:M88)</f>
        <v>0.561954363</v>
      </c>
      <c r="W55" s="44" cm="1">
        <f t="array" ref="W55">SUMPRODUCT('model calibration - 2022'!N53:N68,'model calibration - 2022'!N73:N88)</f>
        <v>0.583985332</v>
      </c>
      <c r="X55" s="44" cm="1">
        <f t="array" ref="X55">SUMPRODUCT('model calibration - 2022'!O53:O68,'model calibration - 2022'!O73:O88)</f>
        <v>0.604291672</v>
      </c>
      <c r="Y55" s="44" cm="1">
        <f t="array" ref="Y55">SUMPRODUCT('model calibration - 2022'!P53:P68,'model calibration - 2022'!P73:P88)</f>
        <v>0.624370052</v>
      </c>
      <c r="Z55" s="44" cm="1">
        <f t="array" ref="Z55">SUMPRODUCT('model calibration - 2022'!Q53:Q68,'model calibration - 2022'!Q73:Q88)</f>
        <v>0.6440306</v>
      </c>
      <c r="AA55" s="44" cm="1">
        <f t="array" ref="AA55">SUMPRODUCT('model calibration - 2022'!R53:R68,'model calibration - 2022'!R73:R88)</f>
        <v>0.663112332</v>
      </c>
      <c r="AB55" s="44" cm="1">
        <f t="array" ref="AB55">SUMPRODUCT('model calibration - 2022'!S53:S68,'model calibration - 2022'!S73:S88)</f>
        <v>0.681977698</v>
      </c>
      <c r="AC55" s="44" cm="1">
        <f t="array" ref="AC55">SUMPRODUCT('model calibration - 2022'!T53:T68,'model calibration - 2022'!T73:T88)</f>
        <v>0.699911494</v>
      </c>
      <c r="AD55" s="44" cm="1">
        <f t="array" ref="AD55">SUMPRODUCT('model calibration - 2022'!U53:U68,'model calibration - 2022'!U73:U88)</f>
        <v>0.7174287905</v>
      </c>
      <c r="AE55" s="44" cm="1">
        <f t="array" ref="AE55">SUMPRODUCT('model calibration - 2022'!V53:V68,'model calibration - 2022'!V73:V88)</f>
        <v>0.7344309344</v>
      </c>
      <c r="AF55" s="44" cm="1">
        <f t="array" ref="AF55">SUMPRODUCT('model calibration - 2022'!W53:W68,'model calibration - 2022'!W73:W88)</f>
        <v>0.7507089807</v>
      </c>
      <c r="AG55" s="44" cm="1">
        <f t="array" ref="AG55">SUMPRODUCT('model calibration - 2022'!X53:X68,'model calibration - 2022'!X73:X88)</f>
        <v>0.7665300302</v>
      </c>
      <c r="AH55" s="44" cm="1">
        <f t="array" ref="AH55">SUMPRODUCT('model calibration - 2022'!Y53:Y68,'model calibration - 2022'!Y73:Y88)</f>
        <v>0.7817100466</v>
      </c>
      <c r="AI55" s="44" cm="1">
        <f t="array" ref="AI55">SUMPRODUCT('model calibration - 2022'!Z53:Z68,'model calibration - 2022'!Z73:Z88)</f>
        <v>0.7964843961</v>
      </c>
      <c r="AJ55" s="44" cm="1">
        <f t="array" ref="AJ55">SUMPRODUCT('model calibration - 2022'!AA53:AA68,'model calibration - 2022'!AA73:AA88)</f>
        <v>0.8108968141</v>
      </c>
      <c r="AK55" s="44" cm="1">
        <f t="array" ref="AK55">SUMPRODUCT('model calibration - 2022'!AB53:AB68,'model calibration - 2022'!AB73:AB88)</f>
        <v>0.824402002</v>
      </c>
      <c r="AL55" s="44" cm="1">
        <f t="array" ref="AL55">SUMPRODUCT('model calibration - 2022'!AC53:AC68,'model calibration - 2022'!AC73:AC88)</f>
        <v>0.8377259681</v>
      </c>
      <c r="AM55" s="44" cm="1">
        <f t="array" ref="AM55">SUMPRODUCT('model calibration - 2022'!AD53:AD68,'model calibration - 2022'!AD73:AD88)</f>
        <v>0.8499007012</v>
      </c>
      <c r="AN55" s="44" cm="1">
        <f t="array" ref="AN55">SUMPRODUCT('model calibration - 2022'!AE53:AE68,'model calibration - 2022'!AE73:AE88)</f>
        <v>0.8618049285</v>
      </c>
      <c r="AO55" s="44" cm="1">
        <f t="array" ref="AO55">SUMPRODUCT('model calibration - 2022'!AF53:AF68,'model calibration - 2022'!AF73:AF88)</f>
        <v>0.8734061399</v>
      </c>
      <c r="AP55" s="44" cm="1">
        <f t="array" ref="AP55">SUMPRODUCT('model calibration - 2022'!AG53:AG68,'model calibration - 2022'!AG73:AG88)</f>
        <v>0.8842418808</v>
      </c>
      <c r="AQ55" s="44" cm="1">
        <f t="array" ref="AQ55">SUMPRODUCT('model calibration - 2022'!AH53:AH68,'model calibration - 2022'!AH73:AH88)</f>
        <v>0.8947721365</v>
      </c>
      <c r="AR55" s="44" cm="1">
        <f t="array" ref="AR55">SUMPRODUCT('model calibration - 2022'!AI53:AI68,'model calibration - 2022'!AI73:AI88)</f>
        <v>0.9044946337</v>
      </c>
      <c r="AS55" s="44" cm="1">
        <f t="array" ref="AS55">SUMPRODUCT('model calibration - 2022'!AJ53:AJ68,'model calibration - 2022'!AJ73:AJ88)</f>
        <v>0.9138624828</v>
      </c>
      <c r="AT55" s="44" cm="1">
        <f t="array" ref="AT55">SUMPRODUCT('model calibration - 2022'!AK53:AK68,'model calibration - 2022'!AK73:AK88)</f>
        <v>0.9222730982</v>
      </c>
      <c r="AU55" s="44" cm="1">
        <f t="array" ref="AU55">SUMPRODUCT('model calibration - 2022'!AL53:AL68,'model calibration - 2022'!AL73:AL88)</f>
        <v>0.9304854457</v>
      </c>
      <c r="AV55" s="44" cm="1">
        <f t="array" ref="AV55">SUMPRODUCT('model calibration - 2022'!AM53:AM68,'model calibration - 2022'!AM73:AM88)</f>
        <v>0.9386907041</v>
      </c>
    </row>
    <row r="58" spans="1:48">
      <c r="A58" s="30" t="s">
        <v>486</v>
      </c>
      <c r="B58" s="30" t="s">
        <v>487</v>
      </c>
      <c r="H58" s="22">
        <f>SUMPRODUCT('14FYP workbook'!B120:B135,'model calibration'!B71:B86)</f>
        <v>0.146351032</v>
      </c>
      <c r="I58" s="22">
        <f>SUMPRODUCT('14FYP workbook'!C120:C135,'model calibration'!C71:C86)</f>
        <v>0.19909962</v>
      </c>
      <c r="J58" s="22">
        <f>SUMPRODUCT('14FYP workbook'!D120:D135,'model calibration'!D71:D86)</f>
        <v>0.215285076</v>
      </c>
      <c r="K58" s="22">
        <f>SUMPRODUCT('14FYP workbook'!E120:E135,'model calibration'!E71:E86)</f>
        <v>0.23477508</v>
      </c>
      <c r="L58" s="22">
        <f>SUMPRODUCT('14FYP workbook'!F120:F135,'model calibration'!F71:F86)</f>
        <v>0.253392984</v>
      </c>
      <c r="M58" s="22">
        <f>SUMPRODUCT('14FYP workbook'!G120:G135,'model calibration'!G71:G86)</f>
        <v>0.27309046</v>
      </c>
      <c r="N58" s="22">
        <f>SUMPRODUCT('14FYP workbook'!H120:H135,'model calibration'!H71:H86)</f>
        <v>0.297607075</v>
      </c>
      <c r="O58" s="22">
        <f>SUMPRODUCT('14FYP workbook'!I120:I135,'model calibration'!I71:I86)</f>
        <v>0.32355017</v>
      </c>
      <c r="P58" s="22">
        <f>SUMPRODUCT('14FYP workbook'!J120:J135,'model calibration'!J71:J86)</f>
        <v>0.34994519</v>
      </c>
      <c r="Q58" s="22">
        <f>SUMPRODUCT('14FYP workbook'!K120:K135,'model calibration'!K71:K86)</f>
        <v>0.379406742</v>
      </c>
      <c r="R58" s="22">
        <f>SUMPRODUCT('14FYP workbook'!L120:L135,'model calibration'!L71:L86)</f>
        <v>0.41333766</v>
      </c>
      <c r="S58" s="44">
        <f>SUMPRODUCT('14FYP workbook'!M120:M135,'model calibration'!M71:M86)</f>
        <v>0.44643821</v>
      </c>
      <c r="T58" s="44">
        <f>SUMPRODUCT('14FYP workbook'!N120:N135,'model calibration'!N71:N86)</f>
        <v>0.46196148</v>
      </c>
      <c r="U58" s="44">
        <f>SUMPRODUCT('14FYP workbook'!O120:O135,'model calibration'!O71:O86)</f>
        <v>0.47713522</v>
      </c>
      <c r="V58" s="44">
        <f>SUMPRODUCT('14FYP workbook'!P120:P135,'model calibration'!P71:P86)</f>
        <v>0.4907753</v>
      </c>
      <c r="W58" s="44">
        <f>SUMPRODUCT('14FYP workbook'!Q120:Q135,'model calibration'!Q71:Q86)</f>
        <v>0.50356396</v>
      </c>
      <c r="X58" s="44">
        <f>SUMPRODUCT('model calibration'!R55:R70,'model calibration'!R74:R89)</f>
        <v>0.49655542</v>
      </c>
      <c r="Y58" s="44">
        <f>SUMPRODUCT('model calibration'!S55:S70,'model calibration'!S74:S89)</f>
        <v>0.51918241</v>
      </c>
      <c r="Z58" s="44">
        <f>SUMPRODUCT('model calibration'!T55:T70,'model calibration'!T74:T89)</f>
        <v>0.54181955</v>
      </c>
      <c r="AA58" s="44">
        <f>SUMPRODUCT('model calibration'!U55:U70,'model calibration'!U74:U89)</f>
        <v>0.56426987</v>
      </c>
      <c r="AB58" s="44">
        <f>SUMPRODUCT('model calibration'!V55:V70,'model calibration'!V74:V89)</f>
        <v>0.58659781</v>
      </c>
      <c r="AC58" s="44">
        <f>SUMPRODUCT('model calibration'!W55:W70,'model calibration'!W74:W89)</f>
        <v>0.60870524</v>
      </c>
      <c r="AD58" s="44">
        <f>SUMPRODUCT('model calibration'!X55:X70,'model calibration'!X74:X89)</f>
        <v>0.63051351</v>
      </c>
      <c r="AE58" s="44">
        <f>SUMPRODUCT('model calibration'!Y55:Y70,'model calibration'!Y74:Y89)</f>
        <v>0.65180746</v>
      </c>
      <c r="AF58" s="44">
        <f>SUMPRODUCT('model calibration'!Z55:Z70,'model calibration'!Z74:Z89)</f>
        <v>0.67250027</v>
      </c>
      <c r="AG58" s="44">
        <f>SUMPRODUCT('model calibration'!AA55:AA70,'model calibration'!AA74:AA89)</f>
        <v>0.69269739</v>
      </c>
      <c r="AH58" s="44">
        <f>SUMPRODUCT('model calibration'!AB55:AB70,'model calibration'!AB74:AB89)</f>
        <v>0.71221303</v>
      </c>
      <c r="AI58" s="44">
        <f>SUMPRODUCT('model calibration'!AC55:AC70,'model calibration'!AC74:AC89)</f>
        <v>0.73152658</v>
      </c>
      <c r="AJ58" s="44">
        <f>SUMPRODUCT('model calibration'!AD55:AD70,'model calibration'!AD74:AD89)</f>
        <v>0.75035541</v>
      </c>
      <c r="AK58" s="44">
        <f>SUMPRODUCT('model calibration'!AE55:AE70,'model calibration'!AE74:AE89)</f>
        <v>0.76820149</v>
      </c>
      <c r="AL58" s="44">
        <f>SUMPRODUCT('model calibration'!AF55:AF70,'model calibration'!AF74:AF89)</f>
        <v>0.78584415</v>
      </c>
      <c r="AM58" s="44">
        <f>SUMPRODUCT('model calibration'!AG55:AG70,'model calibration'!AG74:AG89)</f>
        <v>0.80110789</v>
      </c>
      <c r="AN58" s="44">
        <f>SUMPRODUCT('model calibration'!AH55:AH70,'model calibration'!AH74:AH89)</f>
        <v>0.81617535</v>
      </c>
      <c r="AO58" s="44">
        <f>SUMPRODUCT('model calibration'!AI55:AI70,'model calibration'!AI74:AI89)</f>
        <v>0.83081782</v>
      </c>
      <c r="AP58" s="44">
        <f>SUMPRODUCT('model calibration'!AJ55:AJ70,'model calibration'!AJ74:AJ89)</f>
        <v>0.84425968</v>
      </c>
      <c r="AQ58" s="44">
        <f>SUMPRODUCT('model calibration'!AK55:AK70,'model calibration'!AK74:AK89)</f>
        <v>0.857010214</v>
      </c>
      <c r="AR58" s="44">
        <f>SUMPRODUCT('model calibration'!AL55:AL70,'model calibration'!AL74:AL89)</f>
        <v>0.868918205</v>
      </c>
      <c r="AS58" s="44">
        <f>SUMPRODUCT('model calibration'!AM55:AM70,'model calibration'!AM74:AM89)</f>
        <v>0.880095295</v>
      </c>
      <c r="AT58" s="44">
        <f>SUMPRODUCT('model calibration'!AN55:AN70,'model calibration'!AN74:AN89)</f>
        <v>0.890502259</v>
      </c>
      <c r="AU58" s="44">
        <f>SUMPRODUCT('model calibration'!AO55:AO70,'model calibration'!AO74:AO89)</f>
        <v>0.899949567</v>
      </c>
      <c r="AV58" s="44">
        <f>SUMPRODUCT('model calibration'!AP55:AP70,'model calibration'!AP74:AP89)</f>
        <v>0.908775291</v>
      </c>
    </row>
    <row r="60" spans="1:48">
      <c r="B60" s="30" t="s">
        <v>488</v>
      </c>
      <c r="J60" s="12">
        <f>J48</f>
        <v>0.359503134165277</v>
      </c>
      <c r="K60" s="12">
        <f t="shared" ref="K60:O60" si="27">K34</f>
        <v>0.373194354719335</v>
      </c>
      <c r="L60" s="12">
        <f t="shared" si="27"/>
        <v>0.379216263301921</v>
      </c>
      <c r="M60" s="20">
        <f t="shared" si="27"/>
        <v>0.386014750925948</v>
      </c>
      <c r="N60" s="20">
        <f t="shared" si="27"/>
        <v>0.391945279686871</v>
      </c>
      <c r="O60" s="20">
        <f t="shared" si="27"/>
        <v>0.397245466481818</v>
      </c>
      <c r="R60" s="20"/>
      <c r="W60" s="45">
        <v>0.64</v>
      </c>
      <c r="AV60" s="46">
        <v>0.87</v>
      </c>
    </row>
    <row r="61" spans="1:48">
      <c r="B61" s="30" t="s">
        <v>307</v>
      </c>
      <c r="H61" s="24">
        <f>H48/AV60</f>
        <v>0.389602481880847</v>
      </c>
      <c r="I61" s="24">
        <f>I48/AV60</f>
        <v>0.396516745379142</v>
      </c>
      <c r="J61" s="24">
        <f>J48/AV60</f>
        <v>0.413221993293422</v>
      </c>
      <c r="K61" s="47">
        <f>$J$61+($M$61-$J$61)*(K1-$J$1)/($M$1-$J$1)</f>
        <v>0.42337970086456</v>
      </c>
      <c r="L61" s="47">
        <f>$J$61+($M$61-$J$61)*(L1-$J$1)/($M$1-$J$1)</f>
        <v>0.433537408435698</v>
      </c>
      <c r="M61" s="24">
        <f t="shared" ref="M61:O61" si="28">M60/$AV$60</f>
        <v>0.443695116006837</v>
      </c>
      <c r="N61" s="24">
        <f t="shared" si="28"/>
        <v>0.450511815732035</v>
      </c>
      <c r="O61" s="24">
        <f t="shared" si="28"/>
        <v>0.456603984461859</v>
      </c>
      <c r="P61" s="47">
        <f t="shared" ref="P61:W61" si="29">P66/100/$AV$60</f>
        <v>0.491651102183908</v>
      </c>
      <c r="Q61" s="47">
        <f t="shared" si="29"/>
        <v>0.517537335747126</v>
      </c>
      <c r="R61" s="47">
        <f t="shared" si="29"/>
        <v>0.546899495632184</v>
      </c>
      <c r="S61" s="48">
        <f t="shared" si="29"/>
        <v>0.579366129195402</v>
      </c>
      <c r="T61" s="48">
        <f t="shared" si="29"/>
        <v>0.614664543333333</v>
      </c>
      <c r="U61" s="48">
        <f t="shared" si="29"/>
        <v>0.652583454252874</v>
      </c>
      <c r="V61" s="48">
        <f t="shared" si="29"/>
        <v>0.692952875747126</v>
      </c>
      <c r="W61" s="48">
        <f t="shared" si="29"/>
        <v>0.735632183908046</v>
      </c>
      <c r="X61" s="48">
        <f t="shared" ref="X61:AU61" si="30">$W$61+($AV$61-$W$61)*(X1-$W$1)/($AV$1-$W$1)</f>
        <v>0.746206896551724</v>
      </c>
      <c r="Y61" s="48">
        <f t="shared" si="30"/>
        <v>0.756781609195402</v>
      </c>
      <c r="Z61" s="48">
        <f t="shared" si="30"/>
        <v>0.76735632183908</v>
      </c>
      <c r="AA61" s="48">
        <f t="shared" si="30"/>
        <v>0.777931034482759</v>
      </c>
      <c r="AB61" s="48">
        <f t="shared" si="30"/>
        <v>0.788505747126437</v>
      </c>
      <c r="AC61" s="48">
        <f t="shared" si="30"/>
        <v>0.799080459770115</v>
      </c>
      <c r="AD61" s="48">
        <f t="shared" si="30"/>
        <v>0.809655172413793</v>
      </c>
      <c r="AE61" s="48">
        <f t="shared" si="30"/>
        <v>0.820229885057471</v>
      </c>
      <c r="AF61" s="48">
        <f t="shared" si="30"/>
        <v>0.830804597701149</v>
      </c>
      <c r="AG61" s="48">
        <f t="shared" si="30"/>
        <v>0.841379310344828</v>
      </c>
      <c r="AH61" s="48">
        <f t="shared" si="30"/>
        <v>0.851954022988506</v>
      </c>
      <c r="AI61" s="48">
        <f t="shared" si="30"/>
        <v>0.862528735632184</v>
      </c>
      <c r="AJ61" s="48">
        <f t="shared" si="30"/>
        <v>0.873103448275862</v>
      </c>
      <c r="AK61" s="48">
        <f t="shared" si="30"/>
        <v>0.88367816091954</v>
      </c>
      <c r="AL61" s="48">
        <f t="shared" si="30"/>
        <v>0.894252873563218</v>
      </c>
      <c r="AM61" s="48">
        <f t="shared" si="30"/>
        <v>0.904827586206897</v>
      </c>
      <c r="AN61" s="48">
        <f t="shared" si="30"/>
        <v>0.915402298850575</v>
      </c>
      <c r="AO61" s="48">
        <f t="shared" si="30"/>
        <v>0.925977011494253</v>
      </c>
      <c r="AP61" s="48">
        <f t="shared" si="30"/>
        <v>0.936551724137931</v>
      </c>
      <c r="AQ61" s="48">
        <f t="shared" si="30"/>
        <v>0.947126436781609</v>
      </c>
      <c r="AR61" s="48">
        <f t="shared" si="30"/>
        <v>0.957701149425287</v>
      </c>
      <c r="AS61" s="48">
        <f t="shared" si="30"/>
        <v>0.968275862068966</v>
      </c>
      <c r="AT61" s="48">
        <f t="shared" si="30"/>
        <v>0.978850574712644</v>
      </c>
      <c r="AU61" s="48">
        <f t="shared" si="30"/>
        <v>0.989425287356322</v>
      </c>
      <c r="AV61" s="49">
        <f>AV60/AV60</f>
        <v>1</v>
      </c>
    </row>
    <row r="63" spans="1:48">
      <c r="M63" s="12">
        <v>0.443695116006837</v>
      </c>
      <c r="N63" s="12">
        <f t="shared" ref="N63:V63" si="31">$M$61+($W$61-$M$61)*(N1-$M$1)/($W$1-$M$1)</f>
        <v>0.472888822796958</v>
      </c>
      <c r="O63" s="12">
        <f t="shared" si="31"/>
        <v>0.502082529587079</v>
      </c>
      <c r="P63" s="12">
        <f t="shared" si="31"/>
        <v>0.5312762363772</v>
      </c>
      <c r="Q63" s="12">
        <f t="shared" si="31"/>
        <v>0.56046994316732</v>
      </c>
      <c r="R63" s="12">
        <f t="shared" si="31"/>
        <v>0.589663649957441</v>
      </c>
      <c r="S63">
        <f t="shared" si="31"/>
        <v>0.618857356747562</v>
      </c>
      <c r="T63">
        <f t="shared" si="31"/>
        <v>0.648051063537683</v>
      </c>
      <c r="U63">
        <f t="shared" si="31"/>
        <v>0.677244770327804</v>
      </c>
      <c r="V63">
        <f t="shared" si="31"/>
        <v>0.706438477117925</v>
      </c>
      <c r="W63">
        <v>0.735632183908046</v>
      </c>
    </row>
    <row r="64" ht="15" customHeight="1" spans="1:48">
      <c r="C64" s="11" t="s">
        <v>489</v>
      </c>
      <c r="D64" s="11" t="s">
        <v>490</v>
      </c>
      <c r="E64" s="50"/>
      <c r="F64" s="50"/>
      <c r="G64" s="50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2"/>
      <c r="T64" s="52"/>
      <c r="U64" s="52"/>
      <c r="V64" s="52"/>
      <c r="W64" s="52"/>
    </row>
    <row r="66" spans="2:48">
      <c r="M66" s="12">
        <v>38.6</v>
      </c>
      <c r="N66" s="12">
        <v>39.40321853</v>
      </c>
      <c r="O66" s="12">
        <v>40.87184507</v>
      </c>
      <c r="P66" s="12">
        <v>42.77364589</v>
      </c>
      <c r="Q66" s="12">
        <v>45.02574821</v>
      </c>
      <c r="R66" s="12">
        <v>47.58025612</v>
      </c>
      <c r="S66">
        <v>50.40485324</v>
      </c>
      <c r="T66">
        <v>53.47581527</v>
      </c>
      <c r="U66">
        <v>56.77476052</v>
      </c>
      <c r="V66">
        <v>60.28690019</v>
      </c>
      <c r="W66">
        <v>64</v>
      </c>
    </row>
    <row r="69" spans="2:48">
      <c r="B69" s="30" t="s">
        <v>491</v>
      </c>
      <c r="I69" s="12">
        <f>I48-I45</f>
        <v>0.296433973725271</v>
      </c>
      <c r="J69" s="12">
        <f t="shared" ref="J69:O69" si="32">J60-J45</f>
        <v>0.31144976709414</v>
      </c>
      <c r="K69" s="12">
        <f t="shared" si="32"/>
        <v>0.322192605805408</v>
      </c>
      <c r="L69" s="12">
        <f t="shared" si="32"/>
        <v>0.327897873410605</v>
      </c>
      <c r="M69" s="12">
        <f t="shared" si="32"/>
        <v>0.334322472018425</v>
      </c>
      <c r="N69" s="12">
        <f t="shared" si="32"/>
        <v>0.340047539909401</v>
      </c>
      <c r="O69" s="12">
        <f t="shared" si="32"/>
        <v>0.345307303296044</v>
      </c>
      <c r="W69">
        <f>W60-W45</f>
        <v>0.571</v>
      </c>
      <c r="AV69">
        <f>AV60-AV45</f>
        <v>0.705</v>
      </c>
    </row>
    <row r="71" spans="2:48">
      <c r="B71" s="30" t="s">
        <v>492</v>
      </c>
      <c r="C71" s="11">
        <f>C48</f>
        <v>0.262952961672474</v>
      </c>
      <c r="D71" s="11">
        <f>D48</f>
        <v>0.292923557149499</v>
      </c>
      <c r="E71" s="11">
        <f>E48</f>
        <v>0.302722413551293</v>
      </c>
      <c r="F71" s="11">
        <f>F48</f>
        <v>0.309305617110098</v>
      </c>
      <c r="G71" s="11">
        <f>G48</f>
        <v>0.326608797717998</v>
      </c>
      <c r="H71" s="12">
        <f>$G$71+($M$71-$G$71)*(H1-$G$1)/($M$1-$G$1)</f>
        <v>0.337173998098332</v>
      </c>
      <c r="I71" s="12">
        <f>$G$71+($M$71-$G$71)*(I1-$G$1)/($M$1-$G$1)</f>
        <v>0.347739198478665</v>
      </c>
      <c r="J71" s="12">
        <f>$G$71+($M$71-$G$71)*(J1-$G$1)/($M$1-$G$1)</f>
        <v>0.358304398858999</v>
      </c>
      <c r="K71" s="12">
        <f>$G$71+($M$71-$G$71)*(K1-$G$1)/($M$1-$G$1)</f>
        <v>0.368869599239333</v>
      </c>
      <c r="L71" s="12">
        <f>$G$71+($M$71-$G$71)*(L1-$G$1)/($M$1-$G$1)</f>
        <v>0.379434799619666</v>
      </c>
      <c r="M71" s="53">
        <v>0.39</v>
      </c>
    </row>
    <row r="73" spans="2:48">
      <c r="B73" s="8" t="s">
        <v>307</v>
      </c>
      <c r="H73" s="12">
        <f t="shared" ref="H73:M73" si="33">H71/MAX($C$71:$M$71)</f>
        <v>0.864548713072645</v>
      </c>
      <c r="I73" s="12">
        <f t="shared" si="33"/>
        <v>0.891638970458116</v>
      </c>
      <c r="J73" s="12">
        <f t="shared" si="33"/>
        <v>0.918729227843587</v>
      </c>
      <c r="K73" s="12">
        <f t="shared" si="33"/>
        <v>0.945819485229058</v>
      </c>
      <c r="L73" s="12">
        <f t="shared" si="33"/>
        <v>0.972909742614529</v>
      </c>
      <c r="M73" s="12">
        <f t="shared" si="33"/>
        <v>1</v>
      </c>
    </row>
    <row r="75" spans="2:48">
      <c r="B75" s="30" t="s">
        <v>493</v>
      </c>
      <c r="H75" s="12">
        <f t="shared" ref="H75:M75" si="34">H71</f>
        <v>0.337173998098332</v>
      </c>
      <c r="I75" s="12">
        <f t="shared" si="34"/>
        <v>0.347739198478665</v>
      </c>
      <c r="J75" s="12">
        <f t="shared" si="34"/>
        <v>0.358304398858999</v>
      </c>
      <c r="K75" s="12">
        <f t="shared" si="34"/>
        <v>0.368869599239333</v>
      </c>
      <c r="L75" s="12">
        <f t="shared" si="34"/>
        <v>0.379434799619666</v>
      </c>
      <c r="M75" s="12">
        <f t="shared" si="34"/>
        <v>0.39</v>
      </c>
      <c r="N75" s="12">
        <f>M75+($R$75-$M$75)/($R$1-$M$1)</f>
        <v>0.412</v>
      </c>
      <c r="O75" s="12">
        <f>N75+($R$75-$M$75)/($R$1-$M$1)</f>
        <v>0.434</v>
      </c>
      <c r="P75" s="12">
        <f>O75+($R$75-$M$75)/($R$1-$M$1)</f>
        <v>0.456</v>
      </c>
      <c r="Q75" s="12">
        <f>P75+($R$75-$M$75)/($R$1-$M$1)</f>
        <v>0.478</v>
      </c>
      <c r="R75" s="53">
        <v>0.5</v>
      </c>
      <c r="S75">
        <f>R75+($W$75-$R$75)/($W$1-$R$1)</f>
        <v>0.52</v>
      </c>
      <c r="T75">
        <f>S75+($W$75-$R$75)/($W$1-$R$1)</f>
        <v>0.54</v>
      </c>
      <c r="U75">
        <f>T75+($W$75-$R$75)/($W$1-$R$1)</f>
        <v>0.56</v>
      </c>
      <c r="V75">
        <f>U75+($W$75-$R$75)/($W$1-$R$1)</f>
        <v>0.58</v>
      </c>
      <c r="W75" s="53">
        <v>0.6</v>
      </c>
    </row>
    <row r="77" spans="2:48">
      <c r="B77" s="8" t="s">
        <v>307</v>
      </c>
      <c r="H77" s="12">
        <f>H75/MAX($H$75:$W$75)</f>
        <v>0.56195666349722</v>
      </c>
      <c r="I77" s="12">
        <f t="shared" ref="I77:W77" si="35">I75/MAX($H$75:$W$75)</f>
        <v>0.579565330797775</v>
      </c>
      <c r="J77" s="12">
        <f t="shared" si="35"/>
        <v>0.597173998098332</v>
      </c>
      <c r="K77" s="12">
        <f t="shared" si="35"/>
        <v>0.614782665398888</v>
      </c>
      <c r="L77" s="12">
        <f t="shared" si="35"/>
        <v>0.632391332699443</v>
      </c>
      <c r="M77" s="12">
        <f t="shared" si="35"/>
        <v>0.65</v>
      </c>
      <c r="N77" s="12">
        <f t="shared" si="35"/>
        <v>0.686666666666667</v>
      </c>
      <c r="O77" s="12">
        <f t="shared" si="35"/>
        <v>0.723333333333333</v>
      </c>
      <c r="P77" s="12">
        <f t="shared" si="35"/>
        <v>0.76</v>
      </c>
      <c r="Q77" s="12">
        <f t="shared" si="35"/>
        <v>0.796666666666667</v>
      </c>
      <c r="R77" s="12">
        <f t="shared" si="35"/>
        <v>0.833333333333333</v>
      </c>
      <c r="S77" s="12">
        <f t="shared" si="35"/>
        <v>0.866666666666667</v>
      </c>
      <c r="T77" s="12">
        <f t="shared" si="35"/>
        <v>0.9</v>
      </c>
      <c r="U77" s="12">
        <f t="shared" si="35"/>
        <v>0.933333333333333</v>
      </c>
      <c r="V77" s="12">
        <f t="shared" si="35"/>
        <v>0.966666666666667</v>
      </c>
      <c r="W77" s="12">
        <f t="shared" si="35"/>
        <v>1</v>
      </c>
    </row>
  </sheetData>
  <mergeCells count="5">
    <mergeCell ref="K17:K18"/>
    <mergeCell ref="L17:L18"/>
    <mergeCell ref="M17:M18"/>
    <mergeCell ref="N17:N18"/>
    <mergeCell ref="O17:O18"/>
  </mergeCells>
  <conditionalFormatting sqref="B19">
    <cfRule type="containsText" dxfId="1" priority="1" operator="between" text="容量">
      <formula>NOT(ISERROR(SEARCH("容量",B19)))</formula>
    </cfRule>
  </conditionalFormatting>
  <conditionalFormatting sqref="B12:B18 B20">
    <cfRule type="containsText" dxfId="1" priority="3" operator="between" text="容量">
      <formula>NOT(ISERROR(SEARCH("容量",B12)))</formula>
    </cfRule>
  </conditionalFormatting>
  <conditionalFormatting sqref="C34:J37 C38:I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CD4"/>
  <sheetViews>
    <sheetView workbookViewId="0">
      <selection activeCell="K5" sqref="K5"/>
    </sheetView>
  </sheetViews>
  <sheetFormatPr defaultColWidth="9" defaultRowHeight="13.85" outlineLevelRow="3"/>
  <cols>
    <col min="1" max="1" width="19.2477876106195" style="1" customWidth="1"/>
    <col min="2" max="82" width="9.6283185840708" style="1" customWidth="1"/>
    <col min="83" max="16384" width="9" style="1"/>
  </cols>
  <sheetData>
    <row r="1" spans="1:82">
      <c r="A1" s="2" t="s">
        <v>494</v>
      </c>
      <c r="B1" s="3" t="s">
        <v>495</v>
      </c>
      <c r="C1" s="3" t="s">
        <v>496</v>
      </c>
      <c r="D1" s="3" t="s">
        <v>497</v>
      </c>
      <c r="E1" s="3" t="s">
        <v>498</v>
      </c>
      <c r="F1" s="3" t="s">
        <v>499</v>
      </c>
      <c r="G1" s="3" t="s">
        <v>500</v>
      </c>
      <c r="H1" s="3" t="s">
        <v>501</v>
      </c>
      <c r="I1" s="3" t="s">
        <v>502</v>
      </c>
      <c r="J1" s="3" t="s">
        <v>503</v>
      </c>
      <c r="K1" s="3" t="s">
        <v>504</v>
      </c>
      <c r="L1" s="3" t="s">
        <v>505</v>
      </c>
      <c r="M1" s="3" t="s">
        <v>506</v>
      </c>
      <c r="N1" s="3" t="s">
        <v>507</v>
      </c>
      <c r="O1" s="3" t="s">
        <v>508</v>
      </c>
      <c r="P1" s="3" t="s">
        <v>509</v>
      </c>
      <c r="Q1" s="3" t="s">
        <v>510</v>
      </c>
      <c r="R1" s="3" t="s">
        <v>511</v>
      </c>
      <c r="S1" s="3" t="s">
        <v>512</v>
      </c>
      <c r="T1" s="3" t="s">
        <v>513</v>
      </c>
      <c r="U1" s="3" t="s">
        <v>514</v>
      </c>
      <c r="V1" s="3" t="s">
        <v>515</v>
      </c>
      <c r="W1" s="3" t="s">
        <v>516</v>
      </c>
      <c r="X1" s="3" t="s">
        <v>517</v>
      </c>
      <c r="Y1" s="3" t="s">
        <v>518</v>
      </c>
      <c r="Z1" s="3" t="s">
        <v>519</v>
      </c>
      <c r="AA1" s="3" t="s">
        <v>520</v>
      </c>
      <c r="AB1" s="3" t="s">
        <v>521</v>
      </c>
      <c r="AC1" s="3" t="s">
        <v>522</v>
      </c>
      <c r="AD1" s="3" t="s">
        <v>523</v>
      </c>
      <c r="AE1" s="3" t="s">
        <v>524</v>
      </c>
      <c r="AF1" s="3" t="s">
        <v>525</v>
      </c>
      <c r="AG1" s="3" t="s">
        <v>526</v>
      </c>
      <c r="AH1" s="3" t="s">
        <v>527</v>
      </c>
      <c r="AI1" s="3" t="s">
        <v>528</v>
      </c>
      <c r="AJ1" s="3" t="s">
        <v>529</v>
      </c>
      <c r="AK1" s="3" t="s">
        <v>530</v>
      </c>
      <c r="AL1" s="3" t="s">
        <v>531</v>
      </c>
      <c r="AM1" s="3" t="s">
        <v>532</v>
      </c>
      <c r="AN1" s="3" t="s">
        <v>533</v>
      </c>
      <c r="AO1" s="3" t="s">
        <v>534</v>
      </c>
      <c r="AP1" s="3" t="s">
        <v>535</v>
      </c>
      <c r="AQ1" s="4" t="s">
        <v>536</v>
      </c>
      <c r="AR1" s="4" t="s">
        <v>537</v>
      </c>
      <c r="AS1" s="4" t="s">
        <v>538</v>
      </c>
      <c r="AT1" s="4" t="s">
        <v>539</v>
      </c>
      <c r="AU1" s="4" t="s">
        <v>540</v>
      </c>
      <c r="AV1" s="4" t="s">
        <v>541</v>
      </c>
      <c r="AW1" s="4" t="s">
        <v>542</v>
      </c>
      <c r="AX1" s="4" t="s">
        <v>543</v>
      </c>
      <c r="AY1" s="4" t="s">
        <v>544</v>
      </c>
      <c r="AZ1" s="4" t="s">
        <v>545</v>
      </c>
      <c r="BA1" s="4" t="s">
        <v>546</v>
      </c>
      <c r="BB1" s="4" t="s">
        <v>547</v>
      </c>
      <c r="BC1" s="4" t="s">
        <v>548</v>
      </c>
      <c r="BD1" s="4" t="s">
        <v>549</v>
      </c>
      <c r="BE1" s="4" t="s">
        <v>550</v>
      </c>
      <c r="BF1" s="4" t="s">
        <v>551</v>
      </c>
      <c r="BG1" s="4" t="s">
        <v>552</v>
      </c>
      <c r="BH1" s="4" t="s">
        <v>553</v>
      </c>
      <c r="BI1" s="4" t="s">
        <v>554</v>
      </c>
      <c r="BJ1" s="4" t="s">
        <v>555</v>
      </c>
      <c r="BK1" s="4" t="s">
        <v>556</v>
      </c>
      <c r="BL1" s="4" t="s">
        <v>557</v>
      </c>
      <c r="BM1" s="4" t="s">
        <v>558</v>
      </c>
      <c r="BN1" s="4" t="s">
        <v>559</v>
      </c>
      <c r="BO1" s="4" t="s">
        <v>560</v>
      </c>
      <c r="BP1" s="4" t="s">
        <v>561</v>
      </c>
      <c r="BQ1" s="4" t="s">
        <v>562</v>
      </c>
      <c r="BR1" s="4" t="s">
        <v>563</v>
      </c>
      <c r="BS1" s="4" t="s">
        <v>564</v>
      </c>
      <c r="BT1" s="4" t="s">
        <v>565</v>
      </c>
      <c r="BU1" s="4" t="s">
        <v>566</v>
      </c>
      <c r="BV1" s="4" t="s">
        <v>567</v>
      </c>
      <c r="BW1" s="4" t="s">
        <v>568</v>
      </c>
      <c r="BX1" s="4" t="s">
        <v>569</v>
      </c>
      <c r="BY1" s="4" t="s">
        <v>570</v>
      </c>
      <c r="BZ1" s="4" t="s">
        <v>571</v>
      </c>
      <c r="CA1" s="4" t="s">
        <v>572</v>
      </c>
      <c r="CB1" s="4" t="s">
        <v>573</v>
      </c>
      <c r="CC1" s="4" t="s">
        <v>574</v>
      </c>
      <c r="CD1" s="4" t="s">
        <v>575</v>
      </c>
    </row>
    <row r="2" ht="13.9" spans="1:82">
      <c r="A2" s="5" t="s">
        <v>576</v>
      </c>
      <c r="B2" s="6">
        <f>'calculation - 2019 Scenario'!G48</f>
        <v>0.326608797717998</v>
      </c>
      <c r="C2" s="6">
        <f t="shared" ref="C2:BN2" si="0">$B$2</f>
        <v>0.326608797717998</v>
      </c>
      <c r="D2" s="6">
        <f t="shared" si="0"/>
        <v>0.326608797717998</v>
      </c>
      <c r="E2" s="6">
        <f t="shared" si="0"/>
        <v>0.326608797717998</v>
      </c>
      <c r="F2" s="6">
        <f t="shared" si="0"/>
        <v>0.326608797717998</v>
      </c>
      <c r="G2" s="6">
        <f t="shared" si="0"/>
        <v>0.326608797717998</v>
      </c>
      <c r="H2" s="6">
        <f t="shared" si="0"/>
        <v>0.326608797717998</v>
      </c>
      <c r="I2" s="6">
        <f t="shared" si="0"/>
        <v>0.326608797717998</v>
      </c>
      <c r="J2" s="6">
        <f t="shared" si="0"/>
        <v>0.326608797717998</v>
      </c>
      <c r="K2" s="6">
        <f t="shared" si="0"/>
        <v>0.326608797717998</v>
      </c>
      <c r="L2" s="6">
        <f t="shared" si="0"/>
        <v>0.326608797717998</v>
      </c>
      <c r="M2" s="6">
        <f t="shared" si="0"/>
        <v>0.326608797717998</v>
      </c>
      <c r="N2" s="6">
        <f t="shared" si="0"/>
        <v>0.326608797717998</v>
      </c>
      <c r="O2" s="6">
        <f t="shared" si="0"/>
        <v>0.326608797717998</v>
      </c>
      <c r="P2" s="6">
        <f t="shared" si="0"/>
        <v>0.326608797717998</v>
      </c>
      <c r="Q2" s="6">
        <f t="shared" si="0"/>
        <v>0.326608797717998</v>
      </c>
      <c r="R2" s="6">
        <f t="shared" si="0"/>
        <v>0.326608797717998</v>
      </c>
      <c r="S2" s="6">
        <f t="shared" si="0"/>
        <v>0.326608797717998</v>
      </c>
      <c r="T2" s="6">
        <f t="shared" si="0"/>
        <v>0.326608797717998</v>
      </c>
      <c r="U2" s="6">
        <f t="shared" si="0"/>
        <v>0.326608797717998</v>
      </c>
      <c r="V2" s="6">
        <f t="shared" si="0"/>
        <v>0.326608797717998</v>
      </c>
      <c r="W2" s="6">
        <f t="shared" si="0"/>
        <v>0.326608797717998</v>
      </c>
      <c r="X2" s="6">
        <f t="shared" si="0"/>
        <v>0.326608797717998</v>
      </c>
      <c r="Y2" s="6">
        <f t="shared" si="0"/>
        <v>0.326608797717998</v>
      </c>
      <c r="Z2" s="6">
        <f t="shared" si="0"/>
        <v>0.326608797717998</v>
      </c>
      <c r="AA2" s="6">
        <f t="shared" si="0"/>
        <v>0.326608797717998</v>
      </c>
      <c r="AB2" s="6">
        <f t="shared" si="0"/>
        <v>0.326608797717998</v>
      </c>
      <c r="AC2" s="6">
        <f t="shared" si="0"/>
        <v>0.326608797717998</v>
      </c>
      <c r="AD2" s="6">
        <f t="shared" si="0"/>
        <v>0.326608797717998</v>
      </c>
      <c r="AE2" s="6">
        <f t="shared" si="0"/>
        <v>0.326608797717998</v>
      </c>
      <c r="AF2" s="6">
        <f t="shared" si="0"/>
        <v>0.326608797717998</v>
      </c>
      <c r="AG2" s="6">
        <f t="shared" si="0"/>
        <v>0.326608797717998</v>
      </c>
      <c r="AH2" s="6">
        <f t="shared" si="0"/>
        <v>0.326608797717998</v>
      </c>
      <c r="AI2" s="6">
        <f t="shared" si="0"/>
        <v>0.326608797717998</v>
      </c>
      <c r="AJ2" s="6">
        <f t="shared" si="0"/>
        <v>0.326608797717998</v>
      </c>
      <c r="AK2" s="6">
        <f t="shared" si="0"/>
        <v>0.326608797717998</v>
      </c>
      <c r="AL2" s="6">
        <f t="shared" si="0"/>
        <v>0.326608797717998</v>
      </c>
      <c r="AM2" s="6">
        <f t="shared" si="0"/>
        <v>0.326608797717998</v>
      </c>
      <c r="AN2" s="6">
        <f t="shared" si="0"/>
        <v>0.326608797717998</v>
      </c>
      <c r="AO2" s="6">
        <f t="shared" si="0"/>
        <v>0.326608797717998</v>
      </c>
      <c r="AP2" s="6">
        <f t="shared" si="0"/>
        <v>0.326608797717998</v>
      </c>
      <c r="AQ2" s="6">
        <f t="shared" si="0"/>
        <v>0.326608797717998</v>
      </c>
      <c r="AR2" s="6">
        <f t="shared" si="0"/>
        <v>0.326608797717998</v>
      </c>
      <c r="AS2" s="6">
        <f t="shared" si="0"/>
        <v>0.326608797717998</v>
      </c>
      <c r="AT2" s="6">
        <f t="shared" si="0"/>
        <v>0.326608797717998</v>
      </c>
      <c r="AU2" s="6">
        <f t="shared" si="0"/>
        <v>0.326608797717998</v>
      </c>
      <c r="AV2" s="6">
        <f t="shared" si="0"/>
        <v>0.326608797717998</v>
      </c>
      <c r="AW2" s="6">
        <f t="shared" si="0"/>
        <v>0.326608797717998</v>
      </c>
      <c r="AX2" s="6">
        <f t="shared" si="0"/>
        <v>0.326608797717998</v>
      </c>
      <c r="AY2" s="6">
        <f t="shared" si="0"/>
        <v>0.326608797717998</v>
      </c>
      <c r="AZ2" s="6">
        <f t="shared" si="0"/>
        <v>0.326608797717998</v>
      </c>
      <c r="BA2" s="6">
        <f t="shared" si="0"/>
        <v>0.326608797717998</v>
      </c>
      <c r="BB2" s="6">
        <f t="shared" si="0"/>
        <v>0.326608797717998</v>
      </c>
      <c r="BC2" s="6">
        <f t="shared" si="0"/>
        <v>0.326608797717998</v>
      </c>
      <c r="BD2" s="6">
        <f t="shared" si="0"/>
        <v>0.326608797717998</v>
      </c>
      <c r="BE2" s="6">
        <f t="shared" si="0"/>
        <v>0.326608797717998</v>
      </c>
      <c r="BF2" s="6">
        <f t="shared" si="0"/>
        <v>0.326608797717998</v>
      </c>
      <c r="BG2" s="6">
        <f t="shared" si="0"/>
        <v>0.326608797717998</v>
      </c>
      <c r="BH2" s="6">
        <f t="shared" si="0"/>
        <v>0.326608797717998</v>
      </c>
      <c r="BI2" s="6">
        <f t="shared" si="0"/>
        <v>0.326608797717998</v>
      </c>
      <c r="BJ2" s="6">
        <f t="shared" si="0"/>
        <v>0.326608797717998</v>
      </c>
      <c r="BK2" s="6">
        <f t="shared" si="0"/>
        <v>0.326608797717998</v>
      </c>
      <c r="BL2" s="6">
        <f t="shared" si="0"/>
        <v>0.326608797717998</v>
      </c>
      <c r="BM2" s="6">
        <f t="shared" si="0"/>
        <v>0.326608797717998</v>
      </c>
      <c r="BN2" s="6">
        <f t="shared" si="0"/>
        <v>0.326608797717998</v>
      </c>
      <c r="BO2" s="6">
        <f t="shared" ref="BO2:CD2" si="1">$B$2</f>
        <v>0.326608797717998</v>
      </c>
      <c r="BP2" s="6">
        <f t="shared" si="1"/>
        <v>0.326608797717998</v>
      </c>
      <c r="BQ2" s="6">
        <f t="shared" si="1"/>
        <v>0.326608797717998</v>
      </c>
      <c r="BR2" s="6">
        <f t="shared" si="1"/>
        <v>0.326608797717998</v>
      </c>
      <c r="BS2" s="6">
        <f t="shared" si="1"/>
        <v>0.326608797717998</v>
      </c>
      <c r="BT2" s="6">
        <f t="shared" si="1"/>
        <v>0.326608797717998</v>
      </c>
      <c r="BU2" s="6">
        <f t="shared" si="1"/>
        <v>0.326608797717998</v>
      </c>
      <c r="BV2" s="6">
        <f t="shared" si="1"/>
        <v>0.326608797717998</v>
      </c>
      <c r="BW2" s="6">
        <f t="shared" si="1"/>
        <v>0.326608797717998</v>
      </c>
      <c r="BX2" s="6">
        <f t="shared" si="1"/>
        <v>0.326608797717998</v>
      </c>
      <c r="BY2" s="6">
        <f t="shared" si="1"/>
        <v>0.326608797717998</v>
      </c>
      <c r="BZ2" s="6">
        <f t="shared" si="1"/>
        <v>0.326608797717998</v>
      </c>
      <c r="CA2" s="6">
        <f t="shared" si="1"/>
        <v>0.326608797717998</v>
      </c>
      <c r="CB2" s="6">
        <f t="shared" si="1"/>
        <v>0.326608797717998</v>
      </c>
      <c r="CC2" s="6">
        <f t="shared" si="1"/>
        <v>0.326608797717998</v>
      </c>
      <c r="CD2" s="6">
        <f t="shared" si="1"/>
        <v>0.326608797717998</v>
      </c>
    </row>
    <row r="4" spans="1:82">
      <c r="A4" s="7" t="s">
        <v>577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About</vt:lpstr>
      <vt:lpstr>Province Selector</vt:lpstr>
      <vt:lpstr>historic consumption</vt:lpstr>
      <vt:lpstr>historic generation</vt:lpstr>
      <vt:lpstr>historic exchange</vt:lpstr>
      <vt:lpstr>pre145 21-30 targets</vt:lpstr>
      <vt:lpstr>annual consumption target</vt:lpstr>
      <vt:lpstr>Provincial 145RPS</vt:lpstr>
      <vt:lpstr>14FYP workbook</vt:lpstr>
      <vt:lpstr>model calibration</vt:lpstr>
      <vt:lpstr>model calibration - 2022</vt:lpstr>
      <vt:lpstr>calculation</vt:lpstr>
      <vt:lpstr>calculation - 2019 Scenario</vt:lpstr>
      <vt:lpstr>BRPSPTY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Wang</dc:creator>
  <cp:lastModifiedBy>仰望星空✨✨</cp:lastModifiedBy>
  <dcterms:created xsi:type="dcterms:W3CDTF">2023-12-06T06:18:00Z</dcterms:created>
  <dcterms:modified xsi:type="dcterms:W3CDTF">2026-08-05T07:12:37Z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E2D1124D71C14EBFB92774DE87C109A6_13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