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2"/>
  </bookViews>
  <sheets>
    <sheet name="Data" sheetId="1" r:id="rId1"/>
    <sheet name="Region Selection" sheetId="3" r:id="rId2"/>
    <sheet name="BTaDLP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<sst xmlns="http://schemas.openxmlformats.org/spreadsheetml/2006/main" count="40" uniqueCount="39">
  <si>
    <t>Input</t>
  </si>
  <si>
    <t>diff</t>
  </si>
  <si>
    <t>%change</t>
  </si>
  <si>
    <t>地 区</t>
  </si>
  <si>
    <t>全国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</si>
  <si>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</si>
  <si>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</si>
  <si>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</si>
  <si>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</si>
  <si>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</si>
  <si>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</si>
  <si>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</si>
  <si>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</si>
  <si>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</si>
  <si>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</si>
  <si>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</si>
  <si>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</si>
  <si>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</si>
  <si>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</si>
  <si>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</si>
  <si>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</si>
  <si>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</si>
  <si>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</si>
  <si>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</si>
  <si>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</si>
  <si>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</si>
  <si>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</si>
  <si>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</si>
  <si>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</si>
  <si>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</si>
  <si>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</si>
  <si>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</si>
  <si>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</si>
  <si>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</si>
  <si>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</si>
  <si>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</si>
  <si>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查询省份</t>
  </si>
  <si>
    <t>Year</t>
  </si>
  <si>
    <t>Trans and Dist Loss Perc (dimensionless)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</si>
</sst>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</numFmts>
  <fonts count="24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7" fontId="0" fillId="0" borderId="0" xfId="0" applyNumberFormat="1" applyFont="1" applyFill="1" applyAlignment="1">
      <alignment vertical="center"/>
    </xf>
    <xf numFmtId="10" fontId="0" fillId="0" borderId="0" xfId="0" applyNumberForma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10" fontId="2" fillId="0" borderId="1" xfId="0" applyNumberFormat="1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4"/>
  <sheetViews>
    <sheetView workbookViewId="0">
      <selection activeCell="T13" sqref="T13"/>
    </sheetView>
  </sheetViews>
  <sheetFormatPr defaultColWidth="9" defaultRowHeight="13.85"/>
  <sheetData>
    <row r="1" spans="1:17">
      <c r="B1" t="s">
        <v>0</v>
      </c>
      <c r="H1" t="s">
        <v>1</v>
      </c>
      <c r="M1" t="s">
        <v>2</v>
      </c>
      <c r="Q1" s="4">
        <f>AVERAGE(M3:Q34)</f>
        <v>-0.0309658091154447</v>
      </c>
    </row>
    <row r="2" ht="13.9" spans="1:17">
      <c r="A2" s="5" t="s">
        <v>3</v>
      </c>
      <c r="B2" s="6">
        <v>2015</v>
      </c>
      <c r="C2" s="5">
        <v>2016</v>
      </c>
      <c r="D2" s="6">
        <v>2017</v>
      </c>
      <c r="E2" s="5">
        <v>2018</v>
      </c>
      <c r="F2" s="6">
        <v>2019</v>
      </c>
      <c r="G2" s="5">
        <v>2020</v>
      </c>
      <c r="H2" s="6">
        <v>2015</v>
      </c>
      <c r="I2" s="5">
        <v>2016</v>
      </c>
      <c r="J2" s="6">
        <v>2017</v>
      </c>
      <c r="K2" s="5">
        <v>2018</v>
      </c>
      <c r="L2" s="6">
        <v>2019</v>
      </c>
      <c r="M2" s="6">
        <v>2015</v>
      </c>
      <c r="N2" s="5">
        <v>2016</v>
      </c>
      <c r="O2" s="6">
        <v>2017</v>
      </c>
      <c r="P2" s="5">
        <v>2018</v>
      </c>
      <c r="Q2" s="6">
        <v>2019</v>
      </c>
    </row>
    <row r="3" ht="13.9" spans="1:17">
      <c r="A3" s="7" t="s">
        <v>4</v>
      </c>
      <c r="B3" s="6">
        <v>6.64</v>
      </c>
      <c r="C3" s="8">
        <v>6.49</v>
      </c>
      <c r="D3" s="8">
        <v>6.48</v>
      </c>
      <c r="E3" s="8">
        <v>6.27</v>
      </c>
      <c r="F3" s="8">
        <v>5.93</v>
      </c>
      <c r="G3" s="8">
        <v>5.6</v>
      </c>
      <c r="H3" s="6">
        <v>-0.149999999999999</v>
      </c>
      <c r="I3" s="6">
        <v>-0.00999999999999979</v>
      </c>
      <c r="J3" s="6">
        <v>-0.210000000000001</v>
      </c>
      <c r="K3" s="6">
        <v>-0.34</v>
      </c>
      <c r="L3" s="6">
        <v>-0.33</v>
      </c>
      <c r="M3" s="9">
        <f t="shared" ref="M3:M34" si="0">H3/B3</f>
        <v>-0.0225903614457831</v>
      </c>
      <c r="N3" s="9">
        <f t="shared" ref="N3:N34" si="1">I3/C3</f>
        <v>-0.00154083204930659</v>
      </c>
      <c r="O3" s="9">
        <f t="shared" ref="O3:O34" si="2">J3/D3</f>
        <v>-0.0324074074074075</v>
      </c>
      <c r="P3" s="9">
        <f t="shared" ref="P3:P34" si="3">K3/E3</f>
        <v>-0.0542264752791068</v>
      </c>
      <c r="Q3" s="9">
        <f t="shared" ref="Q3:Q34" si="4">L3/F3</f>
        <v>-0.0556492411467117</v>
      </c>
    </row>
    <row r="4" ht="13.9" spans="1:17">
      <c r="A4" s="5" t="s">
        <v>5</v>
      </c>
      <c r="B4" s="6">
        <v>6.88</v>
      </c>
      <c r="C4" s="8">
        <v>6.88</v>
      </c>
      <c r="D4" s="8">
        <v>6.85</v>
      </c>
      <c r="E4" s="8">
        <v>6.55</v>
      </c>
      <c r="F4" s="8">
        <v>6.15</v>
      </c>
      <c r="G4" s="8">
        <v>4.32</v>
      </c>
      <c r="H4" s="6">
        <v>0</v>
      </c>
      <c r="I4" s="6">
        <v>-0.0300000000000002</v>
      </c>
      <c r="J4" s="6">
        <v>-0.3</v>
      </c>
      <c r="K4" s="6">
        <v>-0.399999999999999</v>
      </c>
      <c r="L4" s="6">
        <v>-1.83</v>
      </c>
      <c r="M4" s="9">
        <f t="shared" si="0"/>
        <v>0</v>
      </c>
      <c r="N4" s="9">
        <f t="shared" si="1"/>
        <v>-0.00436046511627911</v>
      </c>
      <c r="O4" s="9">
        <f t="shared" si="2"/>
        <v>-0.0437956204379562</v>
      </c>
      <c r="P4" s="9">
        <f t="shared" si="3"/>
        <v>-0.0610687022900763</v>
      </c>
      <c r="Q4" s="9">
        <f t="shared" si="4"/>
        <v>-0.297560975609756</v>
      </c>
    </row>
    <row r="5" ht="13.9" spans="1:17">
      <c r="A5" s="5" t="s">
        <v>6</v>
      </c>
      <c r="B5" s="6">
        <v>6.75</v>
      </c>
      <c r="C5" s="8">
        <v>6.74</v>
      </c>
      <c r="D5" s="8">
        <v>6.72</v>
      </c>
      <c r="E5" s="8">
        <v>6.71</v>
      </c>
      <c r="F5" s="8">
        <v>6.3</v>
      </c>
      <c r="G5" s="8">
        <v>4.75</v>
      </c>
      <c r="H5" s="6">
        <v>-0.00999999999999979</v>
      </c>
      <c r="I5" s="6">
        <v>-0.0200000000000005</v>
      </c>
      <c r="J5" s="6">
        <v>-0.00999999999999979</v>
      </c>
      <c r="K5" s="6">
        <v>-0.41</v>
      </c>
      <c r="L5" s="6">
        <v>-1.55</v>
      </c>
      <c r="M5" s="9">
        <f t="shared" si="0"/>
        <v>-0.00148148148148145</v>
      </c>
      <c r="N5" s="9">
        <f t="shared" si="1"/>
        <v>-0.00296735905044517</v>
      </c>
      <c r="O5" s="9">
        <f t="shared" si="2"/>
        <v>-0.00148809523809521</v>
      </c>
      <c r="P5" s="9">
        <f t="shared" si="3"/>
        <v>-0.0611028315946349</v>
      </c>
      <c r="Q5" s="9">
        <f t="shared" si="4"/>
        <v>-0.246031746031746</v>
      </c>
    </row>
    <row r="6" ht="13.9" spans="1:17">
      <c r="A6" s="5" t="s">
        <v>7</v>
      </c>
      <c r="B6" s="6">
        <v>6.68</v>
      </c>
      <c r="C6" s="8">
        <v>6.68</v>
      </c>
      <c r="D6" s="8">
        <v>6.55</v>
      </c>
      <c r="E6" s="8">
        <v>6.65</v>
      </c>
      <c r="F6" s="8">
        <v>6.39</v>
      </c>
      <c r="G6" s="8">
        <v>5.86</v>
      </c>
      <c r="H6" s="6">
        <v>0</v>
      </c>
      <c r="I6" s="6">
        <v>-0.13</v>
      </c>
      <c r="J6" s="6">
        <v>0.100000000000001</v>
      </c>
      <c r="K6" s="6">
        <v>-0.260000000000001</v>
      </c>
      <c r="L6" s="6">
        <v>-0.529999999999999</v>
      </c>
      <c r="M6" s="9">
        <f t="shared" si="0"/>
        <v>0</v>
      </c>
      <c r="N6" s="9">
        <f t="shared" si="1"/>
        <v>-0.0194610778443114</v>
      </c>
      <c r="O6" s="9">
        <f t="shared" si="2"/>
        <v>0.0152671755725192</v>
      </c>
      <c r="P6" s="9">
        <f t="shared" si="3"/>
        <v>-0.0390977443609024</v>
      </c>
      <c r="Q6" s="9">
        <f t="shared" si="4"/>
        <v>-0.082942097026604</v>
      </c>
    </row>
    <row r="7" ht="13.9" spans="1:17">
      <c r="A7" s="5" t="s">
        <v>8</v>
      </c>
      <c r="B7" s="6">
        <v>6.49</v>
      </c>
      <c r="C7" s="8">
        <v>6.17</v>
      </c>
      <c r="D7" s="8">
        <v>5.89</v>
      </c>
      <c r="E7" s="8">
        <v>5.68</v>
      </c>
      <c r="F7" s="8">
        <v>5.5</v>
      </c>
      <c r="G7" s="8">
        <v>5.19</v>
      </c>
      <c r="H7" s="6">
        <v>-0.32</v>
      </c>
      <c r="I7" s="6">
        <v>-0.28</v>
      </c>
      <c r="J7" s="6">
        <v>-0.21</v>
      </c>
      <c r="K7" s="6">
        <v>-0.18</v>
      </c>
      <c r="L7" s="6">
        <v>-0.31</v>
      </c>
      <c r="M7" s="9">
        <f t="shared" si="0"/>
        <v>-0.0493066255778121</v>
      </c>
      <c r="N7" s="9">
        <f t="shared" si="1"/>
        <v>-0.0453808752025932</v>
      </c>
      <c r="O7" s="9">
        <f t="shared" si="2"/>
        <v>-0.0356536502546689</v>
      </c>
      <c r="P7" s="9">
        <f t="shared" si="3"/>
        <v>-0.0316901408450704</v>
      </c>
      <c r="Q7" s="9">
        <f t="shared" si="4"/>
        <v>-0.0563636363636363</v>
      </c>
    </row>
    <row r="8" ht="13.9" spans="1:17">
      <c r="A8" s="5" t="s">
        <v>9</v>
      </c>
      <c r="B8" s="6">
        <v>5.72</v>
      </c>
      <c r="C8" s="8">
        <v>5.26</v>
      </c>
      <c r="D8" s="8">
        <v>5.25</v>
      </c>
      <c r="E8" s="8">
        <v>4.2</v>
      </c>
      <c r="F8" s="8">
        <v>3.71</v>
      </c>
      <c r="G8" s="8">
        <v>3.78</v>
      </c>
      <c r="H8" s="6">
        <v>-0.46</v>
      </c>
      <c r="I8" s="6">
        <v>-0.00999999999999979</v>
      </c>
      <c r="J8" s="6">
        <v>-1.05</v>
      </c>
      <c r="K8" s="6">
        <v>-0.49</v>
      </c>
      <c r="L8" s="6">
        <v>0.0699999999999998</v>
      </c>
      <c r="M8" s="9">
        <f t="shared" si="0"/>
        <v>-0.0804195804195804</v>
      </c>
      <c r="N8" s="9">
        <f t="shared" si="1"/>
        <v>-0.00190114068441061</v>
      </c>
      <c r="O8" s="9">
        <f t="shared" si="2"/>
        <v>-0.2</v>
      </c>
      <c r="P8" s="9">
        <f t="shared" si="3"/>
        <v>-0.116666666666667</v>
      </c>
      <c r="Q8" s="9">
        <f t="shared" si="4"/>
        <v>0.0188679245283018</v>
      </c>
    </row>
    <row r="9" ht="13.9" spans="1:17">
      <c r="A9" s="5" t="s">
        <v>10</v>
      </c>
      <c r="B9" s="6">
        <v>5.78</v>
      </c>
      <c r="C9" s="8">
        <v>6.1</v>
      </c>
      <c r="D9" s="8">
        <v>6.07</v>
      </c>
      <c r="E9" s="8">
        <v>6.01</v>
      </c>
      <c r="F9" s="8">
        <v>5.67</v>
      </c>
      <c r="G9" s="8">
        <v>5.01</v>
      </c>
      <c r="H9" s="6">
        <v>0.319999999999999</v>
      </c>
      <c r="I9" s="6">
        <v>-0.0299999999999994</v>
      </c>
      <c r="J9" s="6">
        <v>-0.0600000000000005</v>
      </c>
      <c r="K9" s="6">
        <v>-0.34</v>
      </c>
      <c r="L9" s="6">
        <v>-0.66</v>
      </c>
      <c r="M9" s="9">
        <f t="shared" si="0"/>
        <v>0.0553633217993078</v>
      </c>
      <c r="N9" s="9">
        <f t="shared" si="1"/>
        <v>-0.00491803278688514</v>
      </c>
      <c r="O9" s="9">
        <f t="shared" si="2"/>
        <v>-0.00988467874794077</v>
      </c>
      <c r="P9" s="9">
        <f t="shared" si="3"/>
        <v>-0.0565723793677204</v>
      </c>
      <c r="Q9" s="9">
        <f t="shared" si="4"/>
        <v>-0.116402116402116</v>
      </c>
    </row>
    <row r="10" ht="13.9" spans="1:17">
      <c r="A10" s="5" t="s">
        <v>11</v>
      </c>
      <c r="B10" s="6">
        <v>7.44</v>
      </c>
      <c r="C10" s="8">
        <v>7.54</v>
      </c>
      <c r="D10" s="8">
        <v>7.49</v>
      </c>
      <c r="E10" s="8">
        <v>7.39</v>
      </c>
      <c r="F10" s="8">
        <v>7.21</v>
      </c>
      <c r="G10" s="8">
        <v>7.2</v>
      </c>
      <c r="H10" s="6">
        <v>0.0999999999999996</v>
      </c>
      <c r="I10" s="6">
        <v>-0.0499999999999998</v>
      </c>
      <c r="J10" s="6">
        <v>-0.100000000000001</v>
      </c>
      <c r="K10" s="6">
        <v>-0.18</v>
      </c>
      <c r="L10" s="6">
        <v>-0.00999999999999979</v>
      </c>
      <c r="M10" s="9">
        <f t="shared" si="0"/>
        <v>0.0134408602150537</v>
      </c>
      <c r="N10" s="9">
        <f t="shared" si="1"/>
        <v>-0.00663129973474799</v>
      </c>
      <c r="O10" s="9">
        <f t="shared" si="2"/>
        <v>-0.013351134846462</v>
      </c>
      <c r="P10" s="9">
        <f t="shared" si="3"/>
        <v>-0.0243572395128552</v>
      </c>
      <c r="Q10" s="9">
        <f t="shared" si="4"/>
        <v>-0.00138696255201107</v>
      </c>
    </row>
    <row r="11" ht="13.9" spans="1:17">
      <c r="A11" s="5" t="s">
        <v>12</v>
      </c>
      <c r="B11" s="6">
        <v>7.1</v>
      </c>
      <c r="C11" s="8">
        <v>7</v>
      </c>
      <c r="D11" s="8">
        <v>6.9</v>
      </c>
      <c r="E11" s="8">
        <v>7.86</v>
      </c>
      <c r="F11" s="8">
        <v>8.7</v>
      </c>
      <c r="G11" s="8">
        <v>8</v>
      </c>
      <c r="H11" s="6">
        <v>-0.0999999999999996</v>
      </c>
      <c r="I11" s="6">
        <v>-0.0999999999999996</v>
      </c>
      <c r="J11" s="6">
        <v>0.96</v>
      </c>
      <c r="K11" s="6">
        <v>0.839999999999999</v>
      </c>
      <c r="L11" s="6">
        <v>-0.699999999999999</v>
      </c>
      <c r="M11" s="9">
        <f t="shared" si="0"/>
        <v>-0.0140845070422535</v>
      </c>
      <c r="N11" s="9">
        <f t="shared" si="1"/>
        <v>-0.0142857142857142</v>
      </c>
      <c r="O11" s="9">
        <f t="shared" si="2"/>
        <v>0.139130434782609</v>
      </c>
      <c r="P11" s="9">
        <f t="shared" si="3"/>
        <v>0.106870229007633</v>
      </c>
      <c r="Q11" s="9">
        <f t="shared" si="4"/>
        <v>-0.0804597701149425</v>
      </c>
    </row>
    <row r="12" ht="13.9" spans="1:17">
      <c r="A12" s="5" t="s">
        <v>13</v>
      </c>
      <c r="B12" s="6">
        <v>6.12</v>
      </c>
      <c r="C12" s="8">
        <v>6.06</v>
      </c>
      <c r="D12" s="8">
        <v>6.03</v>
      </c>
      <c r="E12" s="8">
        <v>5.3</v>
      </c>
      <c r="F12" s="8">
        <v>2.23</v>
      </c>
      <c r="G12" s="8">
        <v>4.29</v>
      </c>
      <c r="H12" s="6">
        <v>-0.0600000000000005</v>
      </c>
      <c r="I12" s="6">
        <v>-0.0299999999999994</v>
      </c>
      <c r="J12" s="6">
        <v>-0.73</v>
      </c>
      <c r="K12" s="6">
        <v>-3.07</v>
      </c>
      <c r="L12" s="6">
        <v>2.06</v>
      </c>
      <c r="M12" s="9">
        <f t="shared" si="0"/>
        <v>-0.00980392156862753</v>
      </c>
      <c r="N12" s="9">
        <f t="shared" si="1"/>
        <v>-0.00495049504950485</v>
      </c>
      <c r="O12" s="9">
        <f t="shared" si="2"/>
        <v>-0.12106135986733</v>
      </c>
      <c r="P12" s="9">
        <f t="shared" si="3"/>
        <v>-0.579245283018868</v>
      </c>
      <c r="Q12" s="9">
        <f t="shared" si="4"/>
        <v>0.923766816143498</v>
      </c>
    </row>
    <row r="13" ht="13.9" spans="1:17">
      <c r="A13" s="5" t="s">
        <v>14</v>
      </c>
      <c r="B13" s="6">
        <v>4.28</v>
      </c>
      <c r="C13" s="8">
        <v>4.18</v>
      </c>
      <c r="D13" s="8">
        <v>4.08</v>
      </c>
      <c r="E13" s="8">
        <v>3.31</v>
      </c>
      <c r="F13" s="8">
        <v>3.34</v>
      </c>
      <c r="G13" s="8">
        <v>3.3</v>
      </c>
      <c r="H13" s="6">
        <v>-0.100000000000001</v>
      </c>
      <c r="I13" s="6">
        <v>-0.0999999999999996</v>
      </c>
      <c r="J13" s="6">
        <v>-0.77</v>
      </c>
      <c r="K13" s="6">
        <v>0.0299999999999998</v>
      </c>
      <c r="L13" s="6">
        <v>-0.04</v>
      </c>
      <c r="M13" s="9">
        <f t="shared" si="0"/>
        <v>-0.0233644859813085</v>
      </c>
      <c r="N13" s="9">
        <f t="shared" si="1"/>
        <v>-0.0239234449760765</v>
      </c>
      <c r="O13" s="9">
        <f t="shared" si="2"/>
        <v>-0.188725490196078</v>
      </c>
      <c r="P13" s="9">
        <f t="shared" si="3"/>
        <v>0.00906344410876127</v>
      </c>
      <c r="Q13" s="9">
        <f t="shared" si="4"/>
        <v>-0.0119760479041916</v>
      </c>
    </row>
    <row r="14" ht="13.9" spans="1:17">
      <c r="A14" s="5" t="s">
        <v>15</v>
      </c>
      <c r="B14" s="6">
        <v>4.24</v>
      </c>
      <c r="C14" s="8">
        <v>4.19</v>
      </c>
      <c r="D14" s="8">
        <v>4.13</v>
      </c>
      <c r="E14" s="8">
        <v>3.92</v>
      </c>
      <c r="F14" s="8">
        <v>3.79</v>
      </c>
      <c r="G14" s="8">
        <v>3.72</v>
      </c>
      <c r="H14" s="6">
        <v>-0.0499999999999998</v>
      </c>
      <c r="I14" s="6">
        <v>-0.0600000000000005</v>
      </c>
      <c r="J14" s="6">
        <v>-0.21</v>
      </c>
      <c r="K14" s="6">
        <v>-0.13</v>
      </c>
      <c r="L14" s="6">
        <v>-0.0699999999999998</v>
      </c>
      <c r="M14" s="9">
        <f t="shared" si="0"/>
        <v>-0.0117924528301886</v>
      </c>
      <c r="N14" s="9">
        <f t="shared" si="1"/>
        <v>-0.0143198090692125</v>
      </c>
      <c r="O14" s="9">
        <f t="shared" si="2"/>
        <v>-0.0508474576271186</v>
      </c>
      <c r="P14" s="9">
        <f t="shared" si="3"/>
        <v>-0.0331632653061224</v>
      </c>
      <c r="Q14" s="9">
        <f t="shared" si="4"/>
        <v>-0.0184696569920844</v>
      </c>
    </row>
    <row r="15" ht="13.9" spans="1:17">
      <c r="A15" s="5" t="s">
        <v>16</v>
      </c>
      <c r="B15" s="6">
        <v>7.42</v>
      </c>
      <c r="C15" s="8">
        <v>7.36</v>
      </c>
      <c r="D15" s="8">
        <v>7.18</v>
      </c>
      <c r="E15" s="8">
        <v>6.94</v>
      </c>
      <c r="F15" s="8">
        <v>6.7</v>
      </c>
      <c r="G15" s="8">
        <v>6.2</v>
      </c>
      <c r="H15" s="6">
        <v>-0.0599999999999996</v>
      </c>
      <c r="I15" s="6">
        <v>-0.180000000000001</v>
      </c>
      <c r="J15" s="6">
        <v>-0.239999999999999</v>
      </c>
      <c r="K15" s="6">
        <v>-0.24</v>
      </c>
      <c r="L15" s="6">
        <v>-0.5</v>
      </c>
      <c r="M15" s="9">
        <f t="shared" si="0"/>
        <v>-0.00808625336927218</v>
      </c>
      <c r="N15" s="9">
        <f t="shared" si="1"/>
        <v>-0.0244565217391305</v>
      </c>
      <c r="O15" s="9">
        <f t="shared" si="2"/>
        <v>-0.033426183844011</v>
      </c>
      <c r="P15" s="9">
        <f t="shared" si="3"/>
        <v>-0.0345821325648415</v>
      </c>
      <c r="Q15" s="9">
        <f t="shared" si="4"/>
        <v>-0.0746268656716418</v>
      </c>
    </row>
    <row r="16" ht="13.9" spans="1:17">
      <c r="A16" s="5" t="s">
        <v>17</v>
      </c>
      <c r="B16" s="6">
        <v>4.75</v>
      </c>
      <c r="C16" s="8">
        <v>4.75</v>
      </c>
      <c r="D16" s="8">
        <v>4.65</v>
      </c>
      <c r="E16" s="8">
        <v>3.63</v>
      </c>
      <c r="F16" s="8">
        <v>3.65</v>
      </c>
      <c r="G16" s="8">
        <v>3.75</v>
      </c>
      <c r="H16" s="6">
        <v>0</v>
      </c>
      <c r="I16" s="6">
        <v>-0.0999999999999996</v>
      </c>
      <c r="J16" s="6">
        <v>-1.02</v>
      </c>
      <c r="K16" s="6">
        <v>0.02</v>
      </c>
      <c r="L16" s="6">
        <v>0.1</v>
      </c>
      <c r="M16" s="9">
        <f t="shared" si="0"/>
        <v>0</v>
      </c>
      <c r="N16" s="9">
        <f t="shared" si="1"/>
        <v>-0.0210526315789473</v>
      </c>
      <c r="O16" s="9">
        <f t="shared" si="2"/>
        <v>-0.219354838709678</v>
      </c>
      <c r="P16" s="9">
        <f t="shared" si="3"/>
        <v>0.00550964187327824</v>
      </c>
      <c r="Q16" s="9">
        <f t="shared" si="4"/>
        <v>0.0273972602739726</v>
      </c>
    </row>
    <row r="17" ht="13.9" spans="1:17">
      <c r="A17" s="5" t="s">
        <v>18</v>
      </c>
      <c r="B17" s="6">
        <v>6.99</v>
      </c>
      <c r="C17" s="8">
        <v>6.95</v>
      </c>
      <c r="D17" s="8">
        <v>6.92</v>
      </c>
      <c r="E17" s="8">
        <v>6.91</v>
      </c>
      <c r="F17" s="8">
        <v>6.37</v>
      </c>
      <c r="G17" s="8">
        <v>4.2</v>
      </c>
      <c r="H17" s="6">
        <v>-0.04</v>
      </c>
      <c r="I17" s="6">
        <v>-0.0300000000000002</v>
      </c>
      <c r="J17" s="6">
        <v>-0.00999999999999979</v>
      </c>
      <c r="K17" s="6">
        <v>-0.54</v>
      </c>
      <c r="L17" s="6">
        <v>-2.17</v>
      </c>
      <c r="M17" s="9">
        <f t="shared" si="0"/>
        <v>-0.00572246065808298</v>
      </c>
      <c r="N17" s="9">
        <f t="shared" si="1"/>
        <v>-0.00431654676258996</v>
      </c>
      <c r="O17" s="9">
        <f t="shared" si="2"/>
        <v>-0.00144508670520228</v>
      </c>
      <c r="P17" s="9">
        <f t="shared" si="3"/>
        <v>-0.0781476121562952</v>
      </c>
      <c r="Q17" s="9">
        <f t="shared" si="4"/>
        <v>-0.340659340659341</v>
      </c>
    </row>
    <row r="18" ht="13.9" spans="1:17">
      <c r="A18" s="5" t="s">
        <v>19</v>
      </c>
      <c r="B18" s="6">
        <v>6.58</v>
      </c>
      <c r="C18" s="8">
        <v>6.35</v>
      </c>
      <c r="D18" s="8">
        <v>6.01</v>
      </c>
      <c r="E18" s="8">
        <v>5.83</v>
      </c>
      <c r="F18" s="8">
        <v>5.53</v>
      </c>
      <c r="G18" s="8">
        <v>4.33</v>
      </c>
      <c r="H18" s="6">
        <v>-0.23</v>
      </c>
      <c r="I18" s="6">
        <v>-0.34</v>
      </c>
      <c r="J18" s="6">
        <v>-0.18</v>
      </c>
      <c r="K18" s="6">
        <v>-0.3</v>
      </c>
      <c r="L18" s="6">
        <v>-1.2</v>
      </c>
      <c r="M18" s="9">
        <f t="shared" si="0"/>
        <v>-0.0349544072948329</v>
      </c>
      <c r="N18" s="9">
        <f t="shared" si="1"/>
        <v>-0.0535433070866142</v>
      </c>
      <c r="O18" s="9">
        <f t="shared" si="2"/>
        <v>-0.0299500831946755</v>
      </c>
      <c r="P18" s="9">
        <f t="shared" si="3"/>
        <v>-0.0514579759862778</v>
      </c>
      <c r="Q18" s="9">
        <f t="shared" si="4"/>
        <v>-0.216998191681736</v>
      </c>
    </row>
    <row r="19" ht="13.9" spans="1:17">
      <c r="A19" s="5" t="s">
        <v>20</v>
      </c>
      <c r="B19" s="6">
        <v>7.87</v>
      </c>
      <c r="C19" s="8">
        <v>7.97</v>
      </c>
      <c r="D19" s="8">
        <v>7.94</v>
      </c>
      <c r="E19" s="8">
        <v>7.84</v>
      </c>
      <c r="F19" s="8">
        <v>7.55</v>
      </c>
      <c r="G19" s="8">
        <v>7.45</v>
      </c>
      <c r="H19" s="6">
        <v>0.0999999999999996</v>
      </c>
      <c r="I19" s="6">
        <v>-0.0299999999999994</v>
      </c>
      <c r="J19" s="6">
        <v>-0.100000000000001</v>
      </c>
      <c r="K19" s="6">
        <v>-0.29</v>
      </c>
      <c r="L19" s="6">
        <v>-0.0999999999999996</v>
      </c>
      <c r="M19" s="9">
        <f t="shared" si="0"/>
        <v>0.0127064803049555</v>
      </c>
      <c r="N19" s="9">
        <f t="shared" si="1"/>
        <v>-0.00376411543287319</v>
      </c>
      <c r="O19" s="9">
        <f t="shared" si="2"/>
        <v>-0.0125944584382872</v>
      </c>
      <c r="P19" s="9">
        <f t="shared" si="3"/>
        <v>-0.0369897959183674</v>
      </c>
      <c r="Q19" s="9">
        <f t="shared" si="4"/>
        <v>-0.0132450331125827</v>
      </c>
    </row>
    <row r="20" ht="13.9" spans="1:17">
      <c r="A20" s="5" t="s">
        <v>21</v>
      </c>
      <c r="B20" s="6">
        <v>6.58</v>
      </c>
      <c r="C20" s="8">
        <v>6.82</v>
      </c>
      <c r="D20" s="8">
        <v>6.78</v>
      </c>
      <c r="E20" s="8">
        <v>6.75</v>
      </c>
      <c r="F20" s="8">
        <v>6.63</v>
      </c>
      <c r="G20" s="8">
        <v>5.34</v>
      </c>
      <c r="H20" s="6">
        <v>0.24</v>
      </c>
      <c r="I20" s="6">
        <v>-0.04</v>
      </c>
      <c r="J20" s="6">
        <v>-0.0300000000000002</v>
      </c>
      <c r="K20" s="6">
        <v>-0.12</v>
      </c>
      <c r="L20" s="6">
        <v>-1.29</v>
      </c>
      <c r="M20" s="9">
        <f t="shared" si="0"/>
        <v>0.0364741641337386</v>
      </c>
      <c r="N20" s="9">
        <f t="shared" si="1"/>
        <v>-0.00586510263929619</v>
      </c>
      <c r="O20" s="9">
        <f t="shared" si="2"/>
        <v>-0.00442477876106198</v>
      </c>
      <c r="P20" s="9">
        <f t="shared" si="3"/>
        <v>-0.0177777777777778</v>
      </c>
      <c r="Q20" s="9">
        <f t="shared" si="4"/>
        <v>-0.194570135746606</v>
      </c>
    </row>
    <row r="21" ht="13.9" spans="1:17">
      <c r="A21" s="5" t="s">
        <v>22</v>
      </c>
      <c r="B21" s="6">
        <v>8.8</v>
      </c>
      <c r="C21" s="8">
        <v>8.53</v>
      </c>
      <c r="D21" s="8">
        <v>8.47</v>
      </c>
      <c r="E21" s="8">
        <v>8.16</v>
      </c>
      <c r="F21" s="8">
        <v>7.96</v>
      </c>
      <c r="G21" s="8">
        <v>7.98</v>
      </c>
      <c r="H21" s="6">
        <v>-0.270000000000001</v>
      </c>
      <c r="I21" s="6">
        <v>-0.0599999999999987</v>
      </c>
      <c r="J21" s="6">
        <v>-0.31</v>
      </c>
      <c r="K21" s="6">
        <v>-0.2</v>
      </c>
      <c r="L21" s="6">
        <v>0.0200000000000005</v>
      </c>
      <c r="M21" s="9">
        <f t="shared" si="0"/>
        <v>-0.0306818181818183</v>
      </c>
      <c r="N21" s="9">
        <f t="shared" si="1"/>
        <v>-0.00703399765533397</v>
      </c>
      <c r="O21" s="9">
        <f t="shared" si="2"/>
        <v>-0.0365997638724912</v>
      </c>
      <c r="P21" s="9">
        <f t="shared" si="3"/>
        <v>-0.0245098039215686</v>
      </c>
      <c r="Q21" s="9">
        <f t="shared" si="4"/>
        <v>0.00251256281407041</v>
      </c>
    </row>
    <row r="22" ht="13.9" spans="1:17">
      <c r="A22" s="5" t="s">
        <v>23</v>
      </c>
      <c r="B22" s="6">
        <v>4.41</v>
      </c>
      <c r="C22" s="8">
        <v>4.09</v>
      </c>
      <c r="D22" s="8">
        <v>4.59</v>
      </c>
      <c r="E22" s="8">
        <v>4.32</v>
      </c>
      <c r="F22" s="8">
        <v>3.87</v>
      </c>
      <c r="G22" s="8">
        <v>3.63</v>
      </c>
      <c r="H22" s="6">
        <v>-0.32</v>
      </c>
      <c r="I22" s="6">
        <v>0.5</v>
      </c>
      <c r="J22" s="6">
        <v>-0.27</v>
      </c>
      <c r="K22" s="6">
        <v>-0.45</v>
      </c>
      <c r="L22" s="6">
        <v>-0.24</v>
      </c>
      <c r="M22" s="9">
        <f t="shared" si="0"/>
        <v>-0.072562358276644</v>
      </c>
      <c r="N22" s="9">
        <f t="shared" si="1"/>
        <v>0.122249388753056</v>
      </c>
      <c r="O22" s="9">
        <f t="shared" si="2"/>
        <v>-0.0588235294117646</v>
      </c>
      <c r="P22" s="9">
        <f t="shared" si="3"/>
        <v>-0.104166666666667</v>
      </c>
      <c r="Q22" s="9">
        <f t="shared" si="4"/>
        <v>-0.062015503875969</v>
      </c>
    </row>
    <row r="23" ht="13.9" spans="1:17">
      <c r="A23" s="5" t="s">
        <v>24</v>
      </c>
      <c r="B23" s="6">
        <v>6.19</v>
      </c>
      <c r="C23" s="8">
        <v>5.58</v>
      </c>
      <c r="D23" s="8">
        <v>7.94</v>
      </c>
      <c r="E23" s="8">
        <v>5.81</v>
      </c>
      <c r="F23" s="8">
        <v>5.09</v>
      </c>
      <c r="G23" s="8">
        <v>4.61</v>
      </c>
      <c r="H23" s="6">
        <v>-0.61</v>
      </c>
      <c r="I23" s="6">
        <v>2.36</v>
      </c>
      <c r="J23" s="6">
        <v>-2.13</v>
      </c>
      <c r="K23" s="6">
        <v>-0.72</v>
      </c>
      <c r="L23" s="6">
        <v>-0.48</v>
      </c>
      <c r="M23" s="9">
        <f t="shared" si="0"/>
        <v>-0.0985460420032311</v>
      </c>
      <c r="N23" s="9">
        <f t="shared" si="1"/>
        <v>0.422939068100358</v>
      </c>
      <c r="O23" s="9">
        <f t="shared" si="2"/>
        <v>-0.268261964735516</v>
      </c>
      <c r="P23" s="9">
        <f t="shared" si="3"/>
        <v>-0.123924268502582</v>
      </c>
      <c r="Q23" s="9">
        <f t="shared" si="4"/>
        <v>-0.0943025540275048</v>
      </c>
    </row>
    <row r="24" ht="13.9" spans="1:17">
      <c r="A24" s="5" t="s">
        <v>25</v>
      </c>
      <c r="B24" s="6">
        <v>7.24</v>
      </c>
      <c r="C24" s="8">
        <v>7.34</v>
      </c>
      <c r="D24" s="8">
        <v>7.25</v>
      </c>
      <c r="E24" s="8">
        <v>7.17</v>
      </c>
      <c r="F24" s="8">
        <v>6.02</v>
      </c>
      <c r="G24" s="8">
        <v>5.53</v>
      </c>
      <c r="H24" s="6">
        <v>0.0999999999999996</v>
      </c>
      <c r="I24" s="6">
        <v>-0.0899999999999999</v>
      </c>
      <c r="J24" s="6">
        <v>-0.0800000000000001</v>
      </c>
      <c r="K24" s="6">
        <v>-1.15</v>
      </c>
      <c r="L24" s="6">
        <v>-0.489999999999999</v>
      </c>
      <c r="M24" s="9">
        <f t="shared" si="0"/>
        <v>0.0138121546961325</v>
      </c>
      <c r="N24" s="9">
        <f t="shared" si="1"/>
        <v>-0.0122615803814714</v>
      </c>
      <c r="O24" s="9">
        <f t="shared" si="2"/>
        <v>-0.0110344827586207</v>
      </c>
      <c r="P24" s="9">
        <f t="shared" si="3"/>
        <v>-0.160390516039052</v>
      </c>
      <c r="Q24" s="9">
        <f t="shared" si="4"/>
        <v>-0.0813953488372092</v>
      </c>
    </row>
    <row r="25" ht="13.9" spans="1:17">
      <c r="A25" s="5" t="s">
        <v>26</v>
      </c>
      <c r="B25" s="6">
        <v>6.8</v>
      </c>
      <c r="C25" s="8">
        <v>6.99</v>
      </c>
      <c r="D25" s="8">
        <v>6.92</v>
      </c>
      <c r="E25" s="8">
        <v>6.73</v>
      </c>
      <c r="F25" s="8">
        <v>5.15</v>
      </c>
      <c r="G25" s="8">
        <v>4.99</v>
      </c>
      <c r="H25" s="6">
        <v>0.19</v>
      </c>
      <c r="I25" s="6">
        <v>-0.0700000000000003</v>
      </c>
      <c r="J25" s="6">
        <v>-0.19</v>
      </c>
      <c r="K25" s="6">
        <v>-1.58</v>
      </c>
      <c r="L25" s="6">
        <v>-0.16</v>
      </c>
      <c r="M25" s="9">
        <f t="shared" si="0"/>
        <v>0.0279411764705883</v>
      </c>
      <c r="N25" s="9">
        <f t="shared" si="1"/>
        <v>-0.0100143061516452</v>
      </c>
      <c r="O25" s="9">
        <f t="shared" si="2"/>
        <v>-0.0274566473988439</v>
      </c>
      <c r="P25" s="9">
        <f t="shared" si="3"/>
        <v>-0.234769687964339</v>
      </c>
      <c r="Q25" s="9">
        <f t="shared" si="4"/>
        <v>-0.0310679611650486</v>
      </c>
    </row>
    <row r="26" ht="13.9" spans="1:17">
      <c r="A26" s="5" t="s">
        <v>27</v>
      </c>
      <c r="B26" s="6">
        <v>9.12</v>
      </c>
      <c r="C26" s="8">
        <v>8.92</v>
      </c>
      <c r="D26" s="8">
        <v>8.43</v>
      </c>
      <c r="E26" s="8">
        <v>8.41</v>
      </c>
      <c r="F26" s="8">
        <v>7.78</v>
      </c>
      <c r="G26" s="8">
        <v>7.94</v>
      </c>
      <c r="H26" s="6">
        <v>-0.199999999999999</v>
      </c>
      <c r="I26" s="6">
        <v>-0.49</v>
      </c>
      <c r="J26" s="6">
        <v>-0.0199999999999996</v>
      </c>
      <c r="K26" s="6">
        <v>-0.63</v>
      </c>
      <c r="L26" s="6">
        <v>0.16</v>
      </c>
      <c r="M26" s="9">
        <f t="shared" si="0"/>
        <v>-0.0219298245614034</v>
      </c>
      <c r="N26" s="9">
        <f t="shared" si="1"/>
        <v>-0.054932735426009</v>
      </c>
      <c r="O26" s="9">
        <f t="shared" si="2"/>
        <v>-0.00237247924080659</v>
      </c>
      <c r="P26" s="9">
        <f t="shared" si="3"/>
        <v>-0.074910820451843</v>
      </c>
      <c r="Q26" s="9">
        <f t="shared" si="4"/>
        <v>0.0205655526992288</v>
      </c>
    </row>
    <row r="27" ht="13.9" spans="1:17">
      <c r="A27" s="5" t="s">
        <v>28</v>
      </c>
      <c r="B27" s="6">
        <v>6.36</v>
      </c>
      <c r="C27" s="8">
        <v>6.28</v>
      </c>
      <c r="D27" s="8">
        <v>5.5</v>
      </c>
      <c r="E27" s="8">
        <v>6.36</v>
      </c>
      <c r="F27" s="8">
        <v>4.69</v>
      </c>
      <c r="G27" s="8">
        <v>4.81</v>
      </c>
      <c r="H27" s="6">
        <v>-0.0800000000000001</v>
      </c>
      <c r="I27" s="6">
        <v>-0.78</v>
      </c>
      <c r="J27" s="6">
        <v>0.86</v>
      </c>
      <c r="K27" s="6">
        <v>-1.67</v>
      </c>
      <c r="L27" s="6">
        <v>0.119999999999999</v>
      </c>
      <c r="M27" s="9">
        <f t="shared" si="0"/>
        <v>-0.0125786163522013</v>
      </c>
      <c r="N27" s="9">
        <f t="shared" si="1"/>
        <v>-0.124203821656051</v>
      </c>
      <c r="O27" s="9">
        <f t="shared" si="2"/>
        <v>0.156363636363636</v>
      </c>
      <c r="P27" s="9">
        <f t="shared" si="3"/>
        <v>-0.262578616352201</v>
      </c>
      <c r="Q27" s="9">
        <f t="shared" si="4"/>
        <v>0.0255863539445627</v>
      </c>
    </row>
    <row r="28" ht="13.9" spans="1:17">
      <c r="A28" s="5" t="s">
        <v>29</v>
      </c>
      <c r="B28" s="6">
        <v>6.16</v>
      </c>
      <c r="C28" s="8">
        <v>4.68</v>
      </c>
      <c r="D28" s="8">
        <v>4.64</v>
      </c>
      <c r="E28" s="8">
        <v>5.05</v>
      </c>
      <c r="F28" s="8">
        <v>4.2</v>
      </c>
      <c r="G28" s="8">
        <v>4.31</v>
      </c>
      <c r="H28" s="6">
        <v>-1.48</v>
      </c>
      <c r="I28" s="6">
        <v>-0.04</v>
      </c>
      <c r="J28" s="6">
        <v>0.41</v>
      </c>
      <c r="K28" s="6">
        <v>-0.85</v>
      </c>
      <c r="L28" s="6">
        <v>0.109999999999999</v>
      </c>
      <c r="M28" s="9">
        <f t="shared" si="0"/>
        <v>-0.24025974025974</v>
      </c>
      <c r="N28" s="9">
        <f t="shared" si="1"/>
        <v>-0.00854700854700855</v>
      </c>
      <c r="O28" s="9">
        <f t="shared" si="2"/>
        <v>0.0883620689655173</v>
      </c>
      <c r="P28" s="9">
        <f t="shared" si="3"/>
        <v>-0.168316831683168</v>
      </c>
      <c r="Q28" s="9">
        <f t="shared" si="4"/>
        <v>0.0261904761904761</v>
      </c>
    </row>
    <row r="29" ht="13.9" spans="1:17">
      <c r="A29" s="5" t="s">
        <v>30</v>
      </c>
      <c r="B29" s="6">
        <v>13.84</v>
      </c>
      <c r="C29" s="8">
        <v>13.83</v>
      </c>
      <c r="D29" s="8">
        <v>13.74</v>
      </c>
      <c r="E29" s="8">
        <v>12.92</v>
      </c>
      <c r="F29" s="8">
        <v>12.8</v>
      </c>
      <c r="G29" s="8">
        <v>13.1</v>
      </c>
      <c r="H29" s="6">
        <v>-0.00999999999999979</v>
      </c>
      <c r="I29" s="6">
        <v>-0.0899999999999999</v>
      </c>
      <c r="J29" s="6">
        <v>-0.82</v>
      </c>
      <c r="K29" s="6">
        <v>-0.119999999999999</v>
      </c>
      <c r="L29" s="6">
        <v>0.299999999999999</v>
      </c>
      <c r="M29" s="9">
        <f t="shared" si="0"/>
        <v>-0.000722543352601141</v>
      </c>
      <c r="N29" s="9">
        <f t="shared" si="1"/>
        <v>-0.00650759219088936</v>
      </c>
      <c r="O29" s="9">
        <f t="shared" si="2"/>
        <v>-0.0596797671033479</v>
      </c>
      <c r="P29" s="9">
        <f t="shared" si="3"/>
        <v>-0.00928792569659437</v>
      </c>
      <c r="Q29" s="9">
        <f t="shared" si="4"/>
        <v>0.0234374999999999</v>
      </c>
    </row>
    <row r="30" ht="13.9" spans="1:17">
      <c r="A30" s="5" t="s">
        <v>31</v>
      </c>
      <c r="B30" s="6">
        <v>6.61</v>
      </c>
      <c r="C30" s="8">
        <v>6.31</v>
      </c>
      <c r="D30" s="8">
        <v>6.25</v>
      </c>
      <c r="E30" s="8">
        <v>5.99</v>
      </c>
      <c r="F30" s="8">
        <v>5.9</v>
      </c>
      <c r="G30" s="8">
        <v>5.22</v>
      </c>
      <c r="H30" s="6">
        <v>-0.300000000000001</v>
      </c>
      <c r="I30" s="6">
        <v>-0.0599999999999996</v>
      </c>
      <c r="J30" s="6">
        <v>-0.26</v>
      </c>
      <c r="K30" s="6">
        <v>-0.0899999999999999</v>
      </c>
      <c r="L30" s="6">
        <v>-0.680000000000001</v>
      </c>
      <c r="M30" s="9">
        <f t="shared" si="0"/>
        <v>-0.0453857791225417</v>
      </c>
      <c r="N30" s="9">
        <f t="shared" si="1"/>
        <v>-0.00950871632329629</v>
      </c>
      <c r="O30" s="9">
        <f t="shared" si="2"/>
        <v>-0.0416</v>
      </c>
      <c r="P30" s="9">
        <f t="shared" si="3"/>
        <v>-0.015025041736227</v>
      </c>
      <c r="Q30" s="9">
        <f t="shared" si="4"/>
        <v>-0.115254237288136</v>
      </c>
    </row>
    <row r="31" ht="13.9" spans="1:17">
      <c r="A31" s="5" t="s">
        <v>32</v>
      </c>
      <c r="B31" s="6">
        <v>6.44</v>
      </c>
      <c r="C31" s="8">
        <v>6.64</v>
      </c>
      <c r="D31" s="8">
        <v>6.56</v>
      </c>
      <c r="E31" s="8">
        <v>6.36</v>
      </c>
      <c r="F31" s="8">
        <v>6.3</v>
      </c>
      <c r="G31" s="8">
        <v>6.25</v>
      </c>
      <c r="H31" s="6">
        <v>0.199999999999999</v>
      </c>
      <c r="I31" s="6">
        <v>-0.0800000000000001</v>
      </c>
      <c r="J31" s="6">
        <v>-0.199999999999999</v>
      </c>
      <c r="K31" s="6">
        <v>-0.0600000000000005</v>
      </c>
      <c r="L31" s="6">
        <v>-0.0499999999999998</v>
      </c>
      <c r="M31" s="9">
        <f t="shared" si="0"/>
        <v>0.0310559006211179</v>
      </c>
      <c r="N31" s="9">
        <f t="shared" si="1"/>
        <v>-0.0120481927710843</v>
      </c>
      <c r="O31" s="9">
        <f t="shared" si="2"/>
        <v>-0.0304878048780487</v>
      </c>
      <c r="P31" s="9">
        <f t="shared" si="3"/>
        <v>-0.00943396226415102</v>
      </c>
      <c r="Q31" s="9">
        <f t="shared" si="4"/>
        <v>-0.00793650793650791</v>
      </c>
    </row>
    <row r="32" ht="13.9" spans="1:17">
      <c r="A32" s="5" t="s">
        <v>33</v>
      </c>
      <c r="B32" s="6">
        <v>2.97</v>
      </c>
      <c r="C32" s="8">
        <v>3.35</v>
      </c>
      <c r="D32" s="8">
        <v>3.49</v>
      </c>
      <c r="E32" s="8">
        <v>3.74</v>
      </c>
      <c r="F32" s="8">
        <v>3.7</v>
      </c>
      <c r="G32" s="8">
        <v>3.7</v>
      </c>
      <c r="H32" s="6">
        <v>0.38</v>
      </c>
      <c r="I32" s="6">
        <v>0.14</v>
      </c>
      <c r="J32" s="6">
        <v>0.25</v>
      </c>
      <c r="K32" s="6">
        <v>-0.04</v>
      </c>
      <c r="L32" s="6">
        <v>0</v>
      </c>
      <c r="M32" s="9">
        <f t="shared" si="0"/>
        <v>0.127946127946128</v>
      </c>
      <c r="N32" s="9">
        <f t="shared" si="1"/>
        <v>0.0417910447761194</v>
      </c>
      <c r="O32" s="9">
        <f t="shared" si="2"/>
        <v>0.0716332378223496</v>
      </c>
      <c r="P32" s="9">
        <f t="shared" si="3"/>
        <v>-0.0106951871657754</v>
      </c>
      <c r="Q32" s="9">
        <f t="shared" si="4"/>
        <v>0</v>
      </c>
    </row>
    <row r="33" ht="13.9" spans="1:17">
      <c r="A33" s="5" t="s">
        <v>34</v>
      </c>
      <c r="B33" s="6">
        <v>3.55</v>
      </c>
      <c r="C33" s="8">
        <v>3.55</v>
      </c>
      <c r="D33" s="8">
        <v>3.52</v>
      </c>
      <c r="E33" s="8">
        <v>3.51</v>
      </c>
      <c r="F33" s="8">
        <v>3.5</v>
      </c>
      <c r="G33" s="8">
        <v>3.49</v>
      </c>
      <c r="H33" s="6">
        <v>0</v>
      </c>
      <c r="I33" s="6">
        <v>-0.0299999999999998</v>
      </c>
      <c r="J33" s="6">
        <v>-0.0100000000000002</v>
      </c>
      <c r="K33" s="6">
        <v>-0.00999999999999979</v>
      </c>
      <c r="L33" s="6">
        <v>-0.00999999999999979</v>
      </c>
      <c r="M33" s="9">
        <f t="shared" si="0"/>
        <v>0</v>
      </c>
      <c r="N33" s="9">
        <f t="shared" si="1"/>
        <v>-0.00845070422535206</v>
      </c>
      <c r="O33" s="9">
        <f t="shared" si="2"/>
        <v>-0.00284090909090916</v>
      </c>
      <c r="P33" s="9">
        <f t="shared" si="3"/>
        <v>-0.00284900284900279</v>
      </c>
      <c r="Q33" s="9">
        <f t="shared" si="4"/>
        <v>-0.0028571428571428</v>
      </c>
    </row>
    <row r="34" ht="13.9" spans="1:17">
      <c r="A34" s="5" t="s">
        <v>35</v>
      </c>
      <c r="B34" s="6">
        <v>7.82</v>
      </c>
      <c r="C34" s="8">
        <v>7.92</v>
      </c>
      <c r="D34" s="8">
        <v>7.8</v>
      </c>
      <c r="E34" s="8">
        <v>7.75</v>
      </c>
      <c r="F34" s="8">
        <v>7.85</v>
      </c>
      <c r="G34" s="8">
        <v>7.75</v>
      </c>
      <c r="H34" s="6">
        <v>0.0999999999999996</v>
      </c>
      <c r="I34" s="6">
        <v>-0.12</v>
      </c>
      <c r="J34" s="6">
        <v>-0.0499999999999998</v>
      </c>
      <c r="K34" s="6">
        <v>0.0999999999999996</v>
      </c>
      <c r="L34" s="6">
        <v>-0.0999999999999996</v>
      </c>
      <c r="M34" s="9">
        <f t="shared" si="0"/>
        <v>0.0127877237851662</v>
      </c>
      <c r="N34" s="9">
        <f t="shared" si="1"/>
        <v>-0.0151515151515152</v>
      </c>
      <c r="O34" s="9">
        <f t="shared" si="2"/>
        <v>-0.00641025641025639</v>
      </c>
      <c r="P34" s="9">
        <f t="shared" si="3"/>
        <v>0.0129032258064516</v>
      </c>
      <c r="Q34" s="9">
        <f t="shared" si="4"/>
        <v>-0.0127388535031847</v>
      </c>
    </row>
  </sheetData>
  <conditionalFormatting sqref="H3:L34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3"/>
  <sheetViews>
    <sheetView workbookViewId="0">
      <selection activeCell="A3" sqref="A3"/>
    </sheetView>
  </sheetViews>
  <sheetFormatPr defaultColWidth="9" defaultRowHeight="13.85" outlineLevelRow="2"/>
  <sheetData>
    <row r="2" spans="1:1">
      <c r="A2" t="s">
        <v>36</v>
      </c>
    </row>
    <row r="3" spans="1:1">
      <c r="A3" t="s">
        <v>4</v>
      </c>
    </row>
  </sheetData>
  <dataValidations count="1">
    <dataValidation type="list" allowBlank="1" showInputMessage="1" showErrorMessage="1" sqref="A3">
      <formula1>Data!$A$3:$A$34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2"/>
  <sheetViews>
    <sheetView tabSelected="1" workbookViewId="0">
      <selection activeCell="L14" sqref="L14"/>
    </sheetView>
  </sheetViews>
  <sheetFormatPr defaultColWidth="9" defaultRowHeight="13.85" outlineLevelRow="1"/>
  <sheetData>
    <row r="1" spans="1:47">
      <c r="A1" t="s">
        <v>37</v>
      </c>
      <c r="B1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  <c r="AL1">
        <v>2051</v>
      </c>
      <c r="AM1">
        <v>2052</v>
      </c>
      <c r="AN1">
        <v>2053</v>
      </c>
      <c r="AO1">
        <v>2054</v>
      </c>
      <c r="AP1">
        <v>2055</v>
      </c>
      <c r="AQ1">
        <v>2056</v>
      </c>
      <c r="AR1">
        <v>2057</v>
      </c>
      <c r="AS1">
        <v>2058</v>
      </c>
      <c r="AT1">
        <v>2059</v>
      </c>
      <c r="AU1">
        <v>2060</v>
      </c>
    </row>
    <row r="2" s="1" customFormat="1" spans="1:47">
      <c r="A2" t="s">
        <v>38</v>
      </c>
      <c r="B2" s="2">
        <f>IF(IFERROR(VLOOKUP('Region Selection'!$A$3,Data!$A$3:$G$34,BTaDLP!B$1-2013,FALSE),A2*(1+Data!$Q$1))&gt;3,IFERROR(VLOOKUP('Region Selection'!$A$3,Data!$A$3:$G$34,BTaDLP!B$1-2013,FALSE),A2*(1+Data!$Q$1)),3)/100</f>
        <v>0.0664</v>
      </c>
      <c r="C2" s="2">
        <f>IF(IFERROR(VLOOKUP('Region Selection'!$A$3,Data!$A$3:$G$34,BTaDLP!C$1-2013,FALSE),B2*(1+Data!$Q$1))&gt;3,IFERROR(VLOOKUP('Region Selection'!$A$3,Data!$A$3:$G$34,BTaDLP!C$1-2013,FALSE),B2*(1+Data!$Q$1)),3)/100</f>
        <v>0.0649</v>
      </c>
      <c r="D2" s="2">
        <f>IF(IFERROR(VLOOKUP('Region Selection'!$A$3,Data!$A$3:$G$34,BTaDLP!D$1-2013,FALSE),C2*(1+Data!$Q$1))&gt;3,IFERROR(VLOOKUP('Region Selection'!$A$3,Data!$A$3:$G$34,BTaDLP!D$1-2013,FALSE),C2*(1+Data!$Q$1)),3)/100</f>
        <v>0.0648</v>
      </c>
      <c r="E2" s="2">
        <f>IF(IFERROR(VLOOKUP('Region Selection'!$A$3,Data!$A$3:$G$34,BTaDLP!E$1-2013,FALSE),D2*(1+Data!$Q$1))&gt;3,IFERROR(VLOOKUP('Region Selection'!$A$3,Data!$A$3:$G$34,BTaDLP!E$1-2013,FALSE),D2*(1+Data!$Q$1)),3)/100</f>
        <v>0.0627</v>
      </c>
      <c r="F2" s="2">
        <f>IF(IFERROR(VLOOKUP('Region Selection'!$A$3,Data!$A$3:$G$34,BTaDLP!F$1-2013,FALSE),E2*(1+Data!$Q$1))&gt;3,IFERROR(VLOOKUP('Region Selection'!$A$3,Data!$A$3:$G$34,BTaDLP!F$1-2013,FALSE),E2*(1+Data!$Q$1)),3)/100</f>
        <v>0.0593</v>
      </c>
      <c r="G2" s="3">
        <f t="shared" ref="G2:AU2" si="0">$F$2</f>
        <v>0.0593</v>
      </c>
      <c r="H2" s="3">
        <f t="shared" si="0"/>
        <v>0.0593</v>
      </c>
      <c r="I2" s="3">
        <f t="shared" si="0"/>
        <v>0.0593</v>
      </c>
      <c r="J2" s="3">
        <f t="shared" si="0"/>
        <v>0.0593</v>
      </c>
      <c r="K2" s="3">
        <f t="shared" si="0"/>
        <v>0.0593</v>
      </c>
      <c r="L2" s="3">
        <f t="shared" si="0"/>
        <v>0.0593</v>
      </c>
      <c r="M2" s="3">
        <f t="shared" si="0"/>
        <v>0.0593</v>
      </c>
      <c r="N2" s="3">
        <f t="shared" si="0"/>
        <v>0.0593</v>
      </c>
      <c r="O2" s="3">
        <f t="shared" si="0"/>
        <v>0.0593</v>
      </c>
      <c r="P2" s="3">
        <f t="shared" si="0"/>
        <v>0.0593</v>
      </c>
      <c r="Q2" s="3">
        <f t="shared" si="0"/>
        <v>0.0593</v>
      </c>
      <c r="R2" s="3">
        <f t="shared" si="0"/>
        <v>0.0593</v>
      </c>
      <c r="S2" s="3">
        <f t="shared" si="0"/>
        <v>0.0593</v>
      </c>
      <c r="T2" s="3">
        <f t="shared" si="0"/>
        <v>0.0593</v>
      </c>
      <c r="U2" s="3">
        <f t="shared" si="0"/>
        <v>0.0593</v>
      </c>
      <c r="V2" s="3">
        <f t="shared" si="0"/>
        <v>0.0593</v>
      </c>
      <c r="W2" s="3">
        <f t="shared" si="0"/>
        <v>0.0593</v>
      </c>
      <c r="X2" s="3">
        <f t="shared" si="0"/>
        <v>0.0593</v>
      </c>
      <c r="Y2" s="3">
        <f t="shared" si="0"/>
        <v>0.0593</v>
      </c>
      <c r="Z2" s="3">
        <f t="shared" si="0"/>
        <v>0.0593</v>
      </c>
      <c r="AA2" s="3">
        <f t="shared" si="0"/>
        <v>0.0593</v>
      </c>
      <c r="AB2" s="3">
        <f t="shared" si="0"/>
        <v>0.0593</v>
      </c>
      <c r="AC2" s="3">
        <f t="shared" si="0"/>
        <v>0.0593</v>
      </c>
      <c r="AD2" s="3">
        <f t="shared" si="0"/>
        <v>0.0593</v>
      </c>
      <c r="AE2" s="3">
        <f t="shared" si="0"/>
        <v>0.0593</v>
      </c>
      <c r="AF2" s="3">
        <f t="shared" si="0"/>
        <v>0.0593</v>
      </c>
      <c r="AG2" s="3">
        <f t="shared" si="0"/>
        <v>0.0593</v>
      </c>
      <c r="AH2" s="3">
        <f t="shared" si="0"/>
        <v>0.0593</v>
      </c>
      <c r="AI2" s="3">
        <f t="shared" si="0"/>
        <v>0.0593</v>
      </c>
      <c r="AJ2" s="3">
        <f t="shared" si="0"/>
        <v>0.0593</v>
      </c>
      <c r="AK2" s="3">
        <f t="shared" si="0"/>
        <v>0.0593</v>
      </c>
      <c r="AL2" s="3">
        <f t="shared" si="0"/>
        <v>0.0593</v>
      </c>
      <c r="AM2" s="3">
        <f t="shared" si="0"/>
        <v>0.0593</v>
      </c>
      <c r="AN2" s="3">
        <f t="shared" si="0"/>
        <v>0.0593</v>
      </c>
      <c r="AO2" s="3">
        <f t="shared" si="0"/>
        <v>0.0593</v>
      </c>
      <c r="AP2" s="3">
        <f t="shared" si="0"/>
        <v>0.0593</v>
      </c>
      <c r="AQ2" s="3">
        <f t="shared" si="0"/>
        <v>0.0593</v>
      </c>
      <c r="AR2" s="3">
        <f t="shared" si="0"/>
        <v>0.0593</v>
      </c>
      <c r="AS2" s="3">
        <f t="shared" si="0"/>
        <v>0.0593</v>
      </c>
      <c r="AT2" s="3">
        <f t="shared" si="0"/>
        <v>0.0593</v>
      </c>
      <c r="AU2" s="3">
        <f t="shared" si="0"/>
        <v>0.0593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Region Selection</vt:lpstr>
      <vt:lpstr>BTaDLP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仰望星空✨✨</cp:lastModifiedBy>
  <dcterms:created xsi:type="dcterms:W3CDTF">2022-01-13T14:59:00Z</dcterms:created>
  <dcterms:modified xsi:type="dcterms:W3CDTF">2026-04-02T07:20:07Z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5144389D4ADB45A888394B5FD56D3ACD_12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