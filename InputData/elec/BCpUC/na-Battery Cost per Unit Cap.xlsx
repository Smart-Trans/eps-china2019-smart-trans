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2" windowHeight="12255" tabRatio="787" firstSheet="2" activeTab="9"/>
  </bookViews>
  <sheets>
    <sheet name="About" sheetId="2" r:id="rId1"/>
    <sheet name="Exchange Rate" sheetId="8" r:id="rId2"/>
    <sheet name="NREL ATB" sheetId="6" r:id="rId3"/>
    <sheet name="China Historical Battery Cost" sheetId="9" r:id="rId4"/>
    <sheet name="MIT Cost Projection" sheetId="12" r:id="rId5"/>
    <sheet name="China Battery Cost Breakdown" sheetId="10" r:id="rId6"/>
    <sheet name="BNEF Outlook" sheetId="11" r:id="rId7"/>
    <sheet name="Balance of System Calculations" sheetId="5" r:id="rId8"/>
    <sheet name="Cost per Unit Capacity Calc" sheetId="14" r:id="rId9"/>
    <sheet name="BCpUC" sheetId="3" r:id="rId10"/>
    <sheet name="BBoSCpUC" sheetId="4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<sst xmlns="http://schemas.openxmlformats.org/spreadsheetml/2006/main" count="264" uniqueCount="192">
  <si>
    <t>BCpUC Battery Cost per Unit Capacity</t>
  </si>
  <si>
    <t>BCpUC Battery Balance of System Cost per Unit Capacity</t>
  </si>
  <si>
    <t>Sources:</t>
  </si>
  <si>
    <t>Battery cost projections per kWh</t>
  </si>
  <si>
    <t>China Historical Battery Cost</t>
  </si>
  <si>
    <t>Rocky Mountain Institute</t>
  </si>
  <si>
    <t>2021 Data</t>
  </si>
  <si>
    <t>北极星储能网</t>
  </si>
  <si>
    <t>The Economics of Grid Defection</t>
  </si>
  <si>
    <t>2021储能中标均价1.476元/Wh</t>
  </si>
  <si>
    <t>http://www.rmi.org/electricity_grid_defection</t>
  </si>
  <si>
    <t>Page 61, First Table, "Li-ion Battery Capital Cost"</t>
  </si>
  <si>
    <t>2022 Data</t>
  </si>
  <si>
    <t>储能与电力市场</t>
  </si>
  <si>
    <t>2010 Battery Costs per kW</t>
  </si>
  <si>
    <t>https://mp.weixin.qq.com/s/2dLCmA_6qSvE5v-GP6WXLg</t>
  </si>
  <si>
    <t>Sandia National Laboratory</t>
  </si>
  <si>
    <t>2023H1 Data</t>
  </si>
  <si>
    <t>DOE/EPRI 2013 Electricity Storage Handbook in Collaboration with NRECA</t>
  </si>
  <si>
    <t>http://www.sandia.gov/ess/publications/SAND2013-5131.pdf</t>
  </si>
  <si>
    <t>2023上半年储能盘点：储能系统和EPC价格全景分析</t>
  </si>
  <si>
    <t>Page B-45, Table B-28</t>
  </si>
  <si>
    <t>Capital Costs</t>
  </si>
  <si>
    <t>China Battery Cost Breakdown</t>
  </si>
  <si>
    <t>National Renewable Energy Laboratory</t>
  </si>
  <si>
    <t>ESCN 2022</t>
  </si>
  <si>
    <t>大储 ~ P2：成本测算</t>
  </si>
  <si>
    <t>Annual Technology Baseline</t>
  </si>
  <si>
    <t>https://atb.nrel.gov/</t>
  </si>
  <si>
    <t>BNEF 2020</t>
  </si>
  <si>
    <t>Utility-Scale Battery Storage tab, CAPEX, Moderate scenario</t>
  </si>
  <si>
    <t>新型储能系统成本分析</t>
  </si>
  <si>
    <t>Balance of System Costs</t>
  </si>
  <si>
    <t>Wind &amp; Weibo 2022</t>
  </si>
  <si>
    <t>韦伯咨询：2023年中国储能行业专题调研与深度分析报告</t>
  </si>
  <si>
    <t>2018 U.S. Utility-Scale Photovoltaics Plus-Energy Storage System Costs Benchmark</t>
  </si>
  <si>
    <t>https://www.nrel.gov/docs/fy19osti/71714.pdf</t>
  </si>
  <si>
    <t>Capital Cost Price Projections</t>
  </si>
  <si>
    <t>Page 12, Table 3</t>
  </si>
  <si>
    <t>Note:</t>
  </si>
  <si>
    <t>Used to calculate battery storage deployment. Only the first year of this time series</t>
  </si>
  <si>
    <t>BNEF 2022</t>
  </si>
  <si>
    <t xml:space="preserve">input variable is used, and the remaining years are handled via endogenous </t>
  </si>
  <si>
    <t>2022年储能系统成本调查_电力网 (chinapower.com.cn)</t>
  </si>
  <si>
    <t>learning.</t>
  </si>
  <si>
    <t>MIT Energy Storage for the Future</t>
  </si>
  <si>
    <t>Balance of System</t>
  </si>
  <si>
    <t>The "balance of system" should include all costs the utility must pay to purchase and</t>
  </si>
  <si>
    <t>Chapoter 2, Page 19 (44), Table 2.1</t>
  </si>
  <si>
    <t>install the battery system, apart from the batteries themselves (and apart from sales</t>
  </si>
  <si>
    <t>The-Future-of-Energy-Storage.pdf (mit.edu)</t>
  </si>
  <si>
    <t>tax on the batteries).  This includes the inverter, labor, etc.</t>
  </si>
  <si>
    <t>Only the battery cost is affected by endogenous learning.  The "Balance of System"</t>
  </si>
  <si>
    <t>costs are read directly from this variable and are not modified via endogenous learning</t>
  </si>
  <si>
    <t>inside the simulator.</t>
  </si>
  <si>
    <t>Currency Adjustment</t>
  </si>
  <si>
    <t>We adjust currency using the following conversion factors:</t>
  </si>
  <si>
    <t>2010 to 2012 USD</t>
  </si>
  <si>
    <t>2018 to 2012 USD</t>
  </si>
  <si>
    <t>See "cpi.xlsx" in the InputData folder for source information.</t>
  </si>
  <si>
    <t>Note on China:</t>
  </si>
  <si>
    <t>The capital cost of Battery is projected from the BNEF in the near term for China,</t>
  </si>
  <si>
    <t xml:space="preserve">and the low li-ion battery cost scenario of MIT's energy storage for the future is </t>
  </si>
  <si>
    <t>used to estimate the cost of battery in 2050; the annualized rate of change is then used to calculate the annual cost</t>
  </si>
  <si>
    <t>Year</t>
  </si>
  <si>
    <t>Current RMB / 2012 USD</t>
  </si>
  <si>
    <t>2012 USD / Current RMB</t>
  </si>
  <si>
    <t>Current USD / 2012 USD</t>
  </si>
  <si>
    <t>For  15-year life (values in 2019$):</t>
  </si>
  <si>
    <t>Techno-Economic Cost and Performance Parameters</t>
  </si>
  <si>
    <t>CAPEX ($/kW)</t>
  </si>
  <si>
    <t>2Hr Battery Storage - Advanced</t>
  </si>
  <si>
    <t>2Hr Battery Storage - Moderate</t>
  </si>
  <si>
    <t>2Hr Battery Storage - Conservative</t>
  </si>
  <si>
    <t>4Hr Battery Storage - Advanced</t>
  </si>
  <si>
    <t>4Hr Battery Storage - Moderate</t>
  </si>
  <si>
    <t>4Hr Battery Storage - Conservative</t>
  </si>
  <si>
    <t>6Hr Battery Storage - Advanced</t>
  </si>
  <si>
    <t>6Hr Battery Storage - Moderate</t>
  </si>
  <si>
    <t>6Hr Battery Storage - Conservative</t>
  </si>
  <si>
    <t>8Hr Battery Storage - Advanced</t>
  </si>
  <si>
    <t>8Hr Battery Storage - Moderate</t>
  </si>
  <si>
    <t>8Hr Battery Storage - Conservative</t>
  </si>
  <si>
    <t>10Hr Battery Storage - Advanced</t>
  </si>
  <si>
    <t>10Hr Battery Storage - Moderate</t>
  </si>
  <si>
    <t>10Hr Battery Storage - Conservative</t>
  </si>
  <si>
    <t>LiFePO4 Battery System (2022)</t>
  </si>
  <si>
    <t>LiFePO4 Battery System (2023H1)</t>
  </si>
  <si>
    <t>system vs EPC price differnce</t>
  </si>
  <si>
    <t>Average EPC Price excluding Battery System</t>
  </si>
  <si>
    <t>EPC Price</t>
  </si>
  <si>
    <t>system cost (rmb/Wh)</t>
  </si>
  <si>
    <t>EPC price</t>
  </si>
  <si>
    <t>2022RMB/Wh</t>
  </si>
  <si>
    <t>Average EPC Price excluding Battery Only</t>
  </si>
  <si>
    <t>1hr system</t>
  </si>
  <si>
    <t>2hr system</t>
  </si>
  <si>
    <t>2012USD/MW</t>
  </si>
  <si>
    <t>4hr system</t>
  </si>
  <si>
    <t>average</t>
  </si>
  <si>
    <t>Average Battery System Cost</t>
  </si>
  <si>
    <t>Difference from 2hr system</t>
  </si>
  <si>
    <r>
      <rPr>
        <b/>
        <sz val="8"/>
        <color rgb="FF231F20"/>
        <rFont val="Arial"/>
        <charset val="134"/>
      </rPr>
      <t>Tech</t>
    </r>
  </si>
  <si>
    <r>
      <rPr>
        <b/>
        <sz val="8"/>
        <color rgb="FF231F20"/>
        <rFont val="Arial"/>
        <charset val="134"/>
      </rPr>
      <t>Discharging capital cost ($/kW)</t>
    </r>
  </si>
  <si>
    <r>
      <rPr>
        <b/>
        <sz val="8"/>
        <color rgb="FF231F20"/>
        <rFont val="Arial"/>
        <charset val="134"/>
      </rPr>
      <t>Storage capital cost ($/kWh)</t>
    </r>
  </si>
  <si>
    <r>
      <rPr>
        <b/>
        <sz val="8"/>
        <color rgb="FF231F20"/>
        <rFont val="Arial"/>
        <charset val="134"/>
      </rPr>
      <t xml:space="preserve">FOM
</t>
    </r>
    <r>
      <rPr>
        <b/>
        <sz val="8"/>
        <color rgb="FF231F20"/>
        <rFont val="Arial"/>
        <charset val="134"/>
      </rPr>
      <t>($/kW-year)</t>
    </r>
  </si>
  <si>
    <r>
      <rPr>
        <b/>
        <sz val="8"/>
        <color rgb="FF231F20"/>
        <rFont val="Arial"/>
        <charset val="134"/>
      </rPr>
      <t xml:space="preserve">FOM
</t>
    </r>
    <r>
      <rPr>
        <b/>
        <sz val="8"/>
        <color rgb="FF231F20"/>
        <rFont val="Arial"/>
        <charset val="134"/>
      </rPr>
      <t>($/kWh-year)</t>
    </r>
  </si>
  <si>
    <r>
      <rPr>
        <b/>
        <sz val="8"/>
        <color rgb="FF231F20"/>
        <rFont val="Arial"/>
        <charset val="134"/>
      </rPr>
      <t>Efficiency- charge (%)</t>
    </r>
  </si>
  <si>
    <r>
      <rPr>
        <b/>
        <sz val="8"/>
        <color rgb="FF231F20"/>
        <rFont val="Arial"/>
        <charset val="134"/>
      </rPr>
      <t>Efficiency- discharge (%)</t>
    </r>
  </si>
  <si>
    <r>
      <rPr>
        <b/>
        <sz val="8"/>
        <color rgb="FF231F20"/>
        <rFont val="Arial"/>
        <charset val="134"/>
      </rPr>
      <t>Self- discharge rate (%/month)</t>
    </r>
  </si>
  <si>
    <r>
      <rPr>
        <b/>
        <sz val="9"/>
        <color rgb="FF231F20"/>
        <rFont val="Arial"/>
        <charset val="134"/>
      </rPr>
      <t>Li-ion</t>
    </r>
  </si>
  <si>
    <r>
      <rPr>
        <sz val="9"/>
        <color rgb="FF231F20"/>
        <rFont val="Calibri"/>
        <charset val="134"/>
      </rPr>
      <t>Li-ion</t>
    </r>
  </si>
  <si>
    <r>
      <rPr>
        <sz val="9"/>
        <color rgb="FF231F20"/>
        <rFont val="Calibri"/>
        <charset val="134"/>
      </rPr>
      <t>2050 Low</t>
    </r>
  </si>
  <si>
    <r>
      <rPr>
        <sz val="9"/>
        <color rgb="FF231F20"/>
        <rFont val="Calibri"/>
        <charset val="134"/>
      </rPr>
      <t>2050 Mid</t>
    </r>
  </si>
  <si>
    <r>
      <rPr>
        <sz val="9"/>
        <color rgb="FF231F20"/>
        <rFont val="Calibri"/>
        <charset val="134"/>
      </rPr>
      <t>2050 High</t>
    </r>
  </si>
  <si>
    <r>
      <rPr>
        <b/>
        <sz val="9"/>
        <color rgb="FF231F20"/>
        <rFont val="Arial"/>
        <charset val="134"/>
      </rPr>
      <t>RFB</t>
    </r>
  </si>
  <si>
    <r>
      <rPr>
        <b/>
        <sz val="9"/>
        <color rgb="FF231F20"/>
        <rFont val="Arial"/>
        <charset val="134"/>
      </rPr>
      <t>583–650</t>
    </r>
  </si>
  <si>
    <r>
      <rPr>
        <sz val="9"/>
        <color rgb="FF231F20"/>
        <rFont val="Calibri"/>
        <charset val="134"/>
      </rPr>
      <t>RFB</t>
    </r>
  </si>
  <si>
    <r>
      <rPr>
        <b/>
        <sz val="9"/>
        <color rgb="FF231F20"/>
        <rFont val="Arial"/>
        <charset val="134"/>
      </rPr>
      <t>Metal-air</t>
    </r>
  </si>
  <si>
    <r>
      <rPr>
        <b/>
        <sz val="9"/>
        <color rgb="FF231F20"/>
        <rFont val="Arial"/>
        <charset val="134"/>
      </rPr>
      <t>1,068–1,135</t>
    </r>
  </si>
  <si>
    <r>
      <rPr>
        <b/>
        <sz val="9"/>
        <color rgb="FF231F20"/>
        <rFont val="Arial"/>
        <charset val="134"/>
      </rPr>
      <t>26.7–28.4</t>
    </r>
  </si>
  <si>
    <r>
      <rPr>
        <sz val="9"/>
        <color rgb="FF231F20"/>
        <rFont val="Calibri"/>
        <charset val="134"/>
      </rPr>
      <t>Metal-air</t>
    </r>
  </si>
  <si>
    <t>all costs are in 2021 USD, when converted to 2012 USD</t>
  </si>
  <si>
    <t>电池模组</t>
  </si>
  <si>
    <t>Battery</t>
  </si>
  <si>
    <t>CAPEX</t>
  </si>
  <si>
    <t>Battety</t>
  </si>
  <si>
    <t>电池管理系统</t>
  </si>
  <si>
    <t>Battery Management System (BMS)</t>
  </si>
  <si>
    <t>Battery System</t>
  </si>
  <si>
    <t>储能逆变器</t>
  </si>
  <si>
    <t>Power Conversion System (PCS)</t>
  </si>
  <si>
    <t>Installation</t>
  </si>
  <si>
    <t>能量管理系统</t>
  </si>
  <si>
    <t>Energy Management System (EMS)</t>
  </si>
  <si>
    <t>OM Cost</t>
  </si>
  <si>
    <t>集装箱</t>
  </si>
  <si>
    <t>Container</t>
  </si>
  <si>
    <t>Financing Cost</t>
  </si>
  <si>
    <t>变压器</t>
  </si>
  <si>
    <t>Transfomer</t>
  </si>
  <si>
    <t>安装等</t>
  </si>
  <si>
    <t>China 2hr storage system</t>
  </si>
  <si>
    <t>Global 4hr storage systen</t>
  </si>
  <si>
    <t>Global 4hr storage system</t>
  </si>
  <si>
    <t>China 4hr storage system inferred</t>
  </si>
  <si>
    <t>2020RMB/Wh</t>
  </si>
  <si>
    <t>2020USD/KWh</t>
  </si>
  <si>
    <t>2022USD/KWh</t>
  </si>
  <si>
    <t>2012USD/KWh</t>
  </si>
  <si>
    <t>Table 3. Detailed Cost Breakdown for a 60-MW U.S. Li-ion Standalone Storage System with Durations of 0.5–4 Hours</t>
  </si>
  <si>
    <t>60-MW, 4-hour Duration, 240-MWh</t>
  </si>
  <si>
    <t>60-MW, 2-hour Duration, 120-MWh</t>
  </si>
  <si>
    <t>60-MW, 1-hour Duration, 60-MWh</t>
  </si>
  <si>
    <t>60-MW, 0.5-hour Duration, 30-MWh</t>
  </si>
  <si>
    <t>Model Component</t>
  </si>
  <si>
    <t>Total Cost ($)</t>
  </si>
  <si>
    <t>$/kWh</t>
  </si>
  <si>
    <t>$/W</t>
  </si>
  <si>
    <t>Total Cost</t>
  </si>
  <si>
    <t>Li-ion battery</t>
  </si>
  <si>
    <t>Battery central inverter</t>
  </si>
  <si>
    <t>Structural BOS</t>
  </si>
  <si>
    <t>Electrical BOS</t>
  </si>
  <si>
    <t>Installation labor &amp; equipment</t>
  </si>
  <si>
    <t>EPC overhead</t>
  </si>
  <si>
    <t>Sales tax</t>
  </si>
  <si>
    <t>∑ EPC cost</t>
  </si>
  <si>
    <t>Land acquisition</t>
  </si>
  <si>
    <t>Permitting fee</t>
  </si>
  <si>
    <t>Interconnection fee</t>
  </si>
  <si>
    <t>Contingency</t>
  </si>
  <si>
    <t>Developer overhead</t>
  </si>
  <si>
    <t>EPC/developer net profit</t>
  </si>
  <si>
    <t>∑ Developer cost</t>
  </si>
  <si>
    <t>We use the largest (4-hour duration) for our estimate.</t>
  </si>
  <si>
    <t>Balance of System (excl. sales tax)</t>
  </si>
  <si>
    <t>2018 $/W</t>
  </si>
  <si>
    <t>Sales tax on balance of system elements</t>
  </si>
  <si>
    <t>2018 $/MW</t>
  </si>
  <si>
    <t>2012 $/MW</t>
  </si>
  <si>
    <t>For the U.S. model, we assume the balance of system costs remain constant throughout the model run.</t>
  </si>
  <si>
    <t>EPC Cost (exclude Battery)</t>
  </si>
  <si>
    <t>Non EPC Cost</t>
  </si>
  <si>
    <t>China EPC Cost (exclude Battery)</t>
  </si>
  <si>
    <t>China Balance of System Cost</t>
  </si>
  <si>
    <t>BNEF China</t>
  </si>
  <si>
    <t>MIT Li-Low</t>
  </si>
  <si>
    <t>China Capital Cost (2012USD/KWH)</t>
  </si>
  <si>
    <t>China Capital Cost （2012USD/MW)</t>
  </si>
  <si>
    <t>Battery Cost ($/MW)</t>
  </si>
  <si>
    <t>Unit: $/MW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</si>
</sst>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_);[Red]\(0\)"/>
    <numFmt numFmtId="178" formatCode="###0.00;###0.00"/>
    <numFmt numFmtId="179" formatCode="0.00_ "/>
    <numFmt numFmtId="180" formatCode="#,##0;#,##0"/>
    <numFmt numFmtId="181" formatCode="###0;###0"/>
    <numFmt numFmtId="182" formatCode="0.00_);[Red]\(0.00\)"/>
    <numFmt numFmtId="183" formatCode="0.0"/>
    <numFmt numFmtId="184" formatCode="0.000"/>
  </numFmts>
  <fonts count="3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theme="10"/>
      <name val="宋体"/>
      <charset val="134"/>
      <scheme val="minor"/>
    </font>
    <font>
      <b/>
      <sz val="8"/>
      <name val="Arial"/>
      <charset val="134"/>
    </font>
    <font>
      <b/>
      <sz val="9"/>
      <name val="Arial"/>
      <charset val="134"/>
    </font>
    <font>
      <b/>
      <sz val="9"/>
      <color rgb="FF231F20"/>
      <name val="Arial"/>
      <charset val="134"/>
    </font>
    <font>
      <sz val="9"/>
      <name val="Calibri"/>
      <charset val="134"/>
    </font>
    <font>
      <sz val="9"/>
      <color rgb="FF231F2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b/>
      <sz val="12"/>
      <color theme="4"/>
      <name val="宋体"/>
      <charset val="134"/>
      <scheme val="minor"/>
    </font>
    <font>
      <b/>
      <sz val="8"/>
      <color rgb="FF231F20"/>
      <name val="Arial"/>
      <charset val="134"/>
    </font>
  </fonts>
  <fills count="42">
    <fill>
      <patternFill patternType="none"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DD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ashed">
        <color theme="0" tint="-0.249946592608417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0" tint="-0.249977111117893"/>
      </bottom>
      <diagonal/>
    </border>
  </borders>
  <cellStyleXfs count="58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10" fillId="11" borderId="1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20" applyNumberFormat="0" applyAlignment="0" applyProtection="0">
      <alignment vertical="center"/>
    </xf>
    <xf numFmtId="0" fontId="19" fillId="13" borderId="21" applyNumberFormat="0" applyAlignment="0" applyProtection="0">
      <alignment vertical="center"/>
    </xf>
    <xf numFmtId="0" fontId="20" fillId="13" borderId="20" applyNumberFormat="0" applyAlignment="0" applyProtection="0">
      <alignment vertical="center"/>
    </xf>
    <xf numFmtId="0" fontId="21" fillId="14" borderId="22" applyNumberFormat="0" applyAlignment="0" applyProtection="0">
      <alignment vertical="center"/>
    </xf>
    <xf numFmtId="0" fontId="22" fillId="0" borderId="23" applyNumberFormat="0" applyFill="0" applyAlignment="0" applyProtection="0">
      <alignment vertical="center"/>
    </xf>
    <xf numFmtId="0" fontId="23" fillId="0" borderId="24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9" fillId="0" borderId="25" applyNumberFormat="0" applyFont="0" applyProtection="0">
      <alignment wrapText="1"/>
    </xf>
    <xf numFmtId="0" fontId="29" fillId="0" borderId="0" applyNumberFormat="0" applyFill="0" applyBorder="0" applyAlignment="0" applyProtection="0"/>
    <xf numFmtId="0" fontId="29" fillId="0" borderId="26" applyNumberFormat="0" applyProtection="0">
      <alignment vertical="top" wrapText="1"/>
    </xf>
    <xf numFmtId="0" fontId="30" fillId="0" borderId="27" applyNumberFormat="0" applyProtection="0">
      <alignment wrapText="1"/>
    </xf>
    <xf numFmtId="0" fontId="30" fillId="0" borderId="28" applyNumberFormat="0" applyProtection="0">
      <alignment wrapText="1"/>
    </xf>
    <xf numFmtId="0" fontId="31" fillId="0" borderId="0" applyNumberFormat="0" applyProtection="0">
      <alignment horizontal="left"/>
    </xf>
    <xf numFmtId="0" fontId="0" fillId="0" borderId="0">
      <alignment vertical="center"/>
    </xf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96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right"/>
    </xf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horizontal="right"/>
    </xf>
    <xf numFmtId="177" fontId="0" fillId="0" borderId="0" xfId="0" applyNumberFormat="1" applyAlignment="1">
      <alignment horizontal="right"/>
    </xf>
    <xf numFmtId="179" fontId="0" fillId="0" borderId="0" xfId="0" applyNumberFormat="1"/>
    <xf numFmtId="0" fontId="1" fillId="2" borderId="0" xfId="0" applyFont="1" applyFill="1"/>
    <xf numFmtId="0" fontId="0" fillId="2" borderId="0" xfId="0" applyFill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/>
    <xf numFmtId="0" fontId="2" fillId="0" borderId="6" xfId="0" applyFont="1" applyBorder="1" applyAlignment="1">
      <alignment horizontal="left" vertical="top"/>
    </xf>
    <xf numFmtId="0" fontId="1" fillId="0" borderId="6" xfId="0" applyFont="1" applyBorder="1"/>
    <xf numFmtId="0" fontId="1" fillId="0" borderId="7" xfId="0" applyFont="1" applyBorder="1"/>
    <xf numFmtId="0" fontId="3" fillId="0" borderId="1" xfId="0" applyFont="1" applyBorder="1" applyAlignment="1">
      <alignment horizontal="left" vertical="top" wrapText="1"/>
    </xf>
    <xf numFmtId="180" fontId="3" fillId="0" borderId="0" xfId="0" applyNumberFormat="1" applyFont="1" applyAlignment="1">
      <alignment horizontal="left" vertical="top" wrapText="1"/>
    </xf>
    <xf numFmtId="181" fontId="3" fillId="0" borderId="0" xfId="0" applyNumberFormat="1" applyFont="1" applyAlignment="1">
      <alignment horizontal="left" vertical="top" wrapText="1"/>
    </xf>
    <xf numFmtId="178" fontId="3" fillId="0" borderId="1" xfId="0" applyNumberFormat="1" applyFont="1" applyBorder="1" applyAlignment="1">
      <alignment horizontal="left" vertical="top" wrapText="1"/>
    </xf>
    <xf numFmtId="180" fontId="3" fillId="0" borderId="8" xfId="0" applyNumberFormat="1" applyFont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180" fontId="2" fillId="3" borderId="10" xfId="0" applyNumberFormat="1" applyFont="1" applyFill="1" applyBorder="1" applyAlignment="1">
      <alignment horizontal="left" vertical="top" wrapText="1"/>
    </xf>
    <xf numFmtId="181" fontId="2" fillId="3" borderId="10" xfId="0" applyNumberFormat="1" applyFont="1" applyFill="1" applyBorder="1" applyAlignment="1">
      <alignment horizontal="left" vertical="top" wrapText="1"/>
    </xf>
    <xf numFmtId="178" fontId="2" fillId="3" borderId="9" xfId="0" applyNumberFormat="1" applyFont="1" applyFill="1" applyBorder="1" applyAlignment="1">
      <alignment horizontal="left" vertical="top" wrapText="1"/>
    </xf>
    <xf numFmtId="180" fontId="2" fillId="3" borderId="11" xfId="0" applyNumberFormat="1" applyFont="1" applyFill="1" applyBorder="1" applyAlignment="1">
      <alignment horizontal="left" vertical="top" wrapText="1"/>
    </xf>
    <xf numFmtId="0" fontId="3" fillId="0" borderId="12" xfId="0" applyFont="1" applyBorder="1" applyAlignment="1">
      <alignment horizontal="left" vertical="center" wrapText="1"/>
    </xf>
    <xf numFmtId="180" fontId="3" fillId="0" borderId="13" xfId="0" applyNumberFormat="1" applyFont="1" applyBorder="1" applyAlignment="1">
      <alignment horizontal="left" vertical="center" wrapText="1"/>
    </xf>
    <xf numFmtId="181" fontId="3" fillId="0" borderId="13" xfId="0" applyNumberFormat="1" applyFont="1" applyBorder="1" applyAlignment="1">
      <alignment horizontal="left" vertical="center" wrapText="1"/>
    </xf>
    <xf numFmtId="178" fontId="3" fillId="0" borderId="12" xfId="0" applyNumberFormat="1" applyFont="1" applyBorder="1" applyAlignment="1">
      <alignment horizontal="left" vertical="center" wrapText="1"/>
    </xf>
    <xf numFmtId="180" fontId="3" fillId="0" borderId="14" xfId="0" applyNumberFormat="1" applyFont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top" wrapText="1"/>
    </xf>
    <xf numFmtId="180" fontId="3" fillId="3" borderId="6" xfId="0" applyNumberFormat="1" applyFont="1" applyFill="1" applyBorder="1" applyAlignment="1">
      <alignment horizontal="left" vertical="top" wrapText="1"/>
    </xf>
    <xf numFmtId="181" fontId="3" fillId="3" borderId="6" xfId="0" applyNumberFormat="1" applyFont="1" applyFill="1" applyBorder="1" applyAlignment="1">
      <alignment horizontal="left" vertical="top" wrapText="1"/>
    </xf>
    <xf numFmtId="178" fontId="3" fillId="3" borderId="5" xfId="0" applyNumberFormat="1" applyFont="1" applyFill="1" applyBorder="1" applyAlignment="1">
      <alignment horizontal="left" vertical="top" wrapText="1"/>
    </xf>
    <xf numFmtId="180" fontId="3" fillId="3" borderId="7" xfId="0" applyNumberFormat="1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2" fontId="0" fillId="0" borderId="0" xfId="0" applyNumberFormat="1"/>
    <xf numFmtId="0" fontId="0" fillId="0" borderId="0" xfId="55">
      <alignment vertical="center"/>
    </xf>
    <xf numFmtId="182" fontId="0" fillId="0" borderId="0" xfId="55" applyNumberFormat="1">
      <alignment vertical="center"/>
    </xf>
    <xf numFmtId="182" fontId="0" fillId="4" borderId="0" xfId="55" applyNumberFormat="1" applyFill="1">
      <alignment vertical="center"/>
    </xf>
    <xf numFmtId="182" fontId="0" fillId="5" borderId="0" xfId="55" applyNumberFormat="1" applyFill="1">
      <alignment vertical="center"/>
    </xf>
    <xf numFmtId="182" fontId="0" fillId="6" borderId="0" xfId="55" applyNumberFormat="1" applyFill="1">
      <alignment vertical="center"/>
    </xf>
    <xf numFmtId="182" fontId="0" fillId="7" borderId="0" xfId="55" applyNumberFormat="1" applyFill="1">
      <alignment vertical="center"/>
    </xf>
    <xf numFmtId="182" fontId="4" fillId="0" borderId="0" xfId="57" applyNumberFormat="1">
      <alignment vertical="center"/>
    </xf>
    <xf numFmtId="9" fontId="0" fillId="0" borderId="0" xfId="55" applyNumberFormat="1">
      <alignment vertical="center"/>
    </xf>
    <xf numFmtId="0" fontId="0" fillId="0" borderId="0" xfId="55" applyAlignment="1">
      <alignment horizontal="center" vertical="center"/>
    </xf>
    <xf numFmtId="0" fontId="4" fillId="0" borderId="0" xfId="57">
      <alignment vertical="center"/>
    </xf>
    <xf numFmtId="0" fontId="5" fillId="8" borderId="15" xfId="0" applyFont="1" applyFill="1" applyBorder="1" applyAlignment="1">
      <alignment horizontal="left" vertical="top" wrapText="1"/>
    </xf>
    <xf numFmtId="0" fontId="0" fillId="8" borderId="15" xfId="0" applyFill="1" applyBorder="1" applyAlignment="1">
      <alignment horizontal="left" vertical="top" wrapText="1"/>
    </xf>
    <xf numFmtId="0" fontId="5" fillId="8" borderId="15" xfId="0" applyFont="1" applyFill="1" applyBorder="1" applyAlignment="1">
      <alignment horizontal="center" vertical="top" wrapText="1"/>
    </xf>
    <xf numFmtId="0" fontId="0" fillId="8" borderId="16" xfId="0" applyFill="1" applyBorder="1" applyAlignment="1">
      <alignment horizontal="center" vertical="center" wrapText="1"/>
    </xf>
    <xf numFmtId="0" fontId="0" fillId="8" borderId="15" xfId="0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top" wrapText="1"/>
    </xf>
    <xf numFmtId="1" fontId="7" fillId="0" borderId="15" xfId="0" applyNumberFormat="1" applyFont="1" applyBorder="1" applyAlignment="1">
      <alignment horizontal="left" vertical="top" shrinkToFit="1"/>
    </xf>
    <xf numFmtId="1" fontId="7" fillId="0" borderId="15" xfId="0" applyNumberFormat="1" applyFont="1" applyBorder="1" applyAlignment="1">
      <alignment horizontal="center" vertical="top" shrinkToFit="1"/>
    </xf>
    <xf numFmtId="1" fontId="7" fillId="0" borderId="15" xfId="0" applyNumberFormat="1" applyFont="1" applyBorder="1" applyAlignment="1">
      <alignment horizontal="right" vertical="top" indent="1" shrinkToFit="1"/>
    </xf>
    <xf numFmtId="183" fontId="7" fillId="0" borderId="16" xfId="0" applyNumberFormat="1" applyFont="1" applyBorder="1" applyAlignment="1">
      <alignment horizontal="center" vertical="top" shrinkToFit="1"/>
    </xf>
    <xf numFmtId="183" fontId="7" fillId="0" borderId="15" xfId="0" applyNumberFormat="1" applyFont="1" applyBorder="1" applyAlignment="1">
      <alignment horizontal="left" vertical="top" indent="3" shrinkToFit="1"/>
    </xf>
    <xf numFmtId="9" fontId="7" fillId="0" borderId="15" xfId="0" applyNumberFormat="1" applyFont="1" applyBorder="1" applyAlignment="1">
      <alignment horizontal="center" vertical="top" shrinkToFit="1"/>
    </xf>
    <xf numFmtId="9" fontId="7" fillId="0" borderId="15" xfId="0" applyNumberFormat="1" applyFont="1" applyBorder="1" applyAlignment="1">
      <alignment horizontal="right" vertical="top" indent="1" shrinkToFit="1"/>
    </xf>
    <xf numFmtId="183" fontId="7" fillId="0" borderId="15" xfId="0" applyNumberFormat="1" applyFont="1" applyBorder="1" applyAlignment="1">
      <alignment horizontal="right" vertical="top" indent="2" shrinkToFit="1"/>
    </xf>
    <xf numFmtId="0" fontId="8" fillId="0" borderId="15" xfId="0" applyFont="1" applyBorder="1" applyAlignment="1">
      <alignment horizontal="left" vertical="top" wrapText="1"/>
    </xf>
    <xf numFmtId="1" fontId="9" fillId="0" borderId="15" xfId="0" applyNumberFormat="1" applyFont="1" applyBorder="1" applyAlignment="1">
      <alignment horizontal="center" vertical="top" shrinkToFit="1"/>
    </xf>
    <xf numFmtId="183" fontId="9" fillId="0" borderId="15" xfId="0" applyNumberFormat="1" applyFont="1" applyBorder="1" applyAlignment="1">
      <alignment horizontal="right" vertical="top" indent="1" shrinkToFit="1"/>
    </xf>
    <xf numFmtId="183" fontId="9" fillId="0" borderId="16" xfId="0" applyNumberFormat="1" applyFont="1" applyBorder="1" applyAlignment="1">
      <alignment horizontal="center" vertical="top" shrinkToFit="1"/>
    </xf>
    <xf numFmtId="183" fontId="9" fillId="0" borderId="15" xfId="0" applyNumberFormat="1" applyFont="1" applyBorder="1" applyAlignment="1">
      <alignment horizontal="left" vertical="top" indent="3" shrinkToFit="1"/>
    </xf>
    <xf numFmtId="9" fontId="9" fillId="0" borderId="15" xfId="0" applyNumberFormat="1" applyFont="1" applyBorder="1" applyAlignment="1">
      <alignment horizontal="center" vertical="top" shrinkToFit="1"/>
    </xf>
    <xf numFmtId="9" fontId="9" fillId="0" borderId="15" xfId="0" applyNumberFormat="1" applyFont="1" applyBorder="1" applyAlignment="1">
      <alignment horizontal="right" vertical="top" indent="2" shrinkToFit="1"/>
    </xf>
    <xf numFmtId="183" fontId="9" fillId="0" borderId="15" xfId="0" applyNumberFormat="1" applyFont="1" applyBorder="1" applyAlignment="1">
      <alignment horizontal="right" vertical="top" indent="2" shrinkToFit="1"/>
    </xf>
    <xf numFmtId="0" fontId="6" fillId="0" borderId="15" xfId="0" applyFont="1" applyBorder="1" applyAlignment="1">
      <alignment horizontal="center" vertical="top" wrapText="1"/>
    </xf>
    <xf numFmtId="0" fontId="6" fillId="0" borderId="16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/>
    </xf>
    <xf numFmtId="182" fontId="7" fillId="0" borderId="15" xfId="0" applyNumberFormat="1" applyFont="1" applyBorder="1" applyAlignment="1">
      <alignment horizontal="center" vertical="top" shrinkToFit="1"/>
    </xf>
    <xf numFmtId="182" fontId="7" fillId="0" borderId="16" xfId="0" applyNumberFormat="1" applyFont="1" applyBorder="1" applyAlignment="1">
      <alignment horizontal="center" vertical="top" shrinkToFit="1"/>
    </xf>
    <xf numFmtId="182" fontId="8" fillId="0" borderId="15" xfId="0" applyNumberFormat="1" applyFont="1" applyBorder="1" applyAlignment="1">
      <alignment horizontal="center" vertical="top" wrapText="1"/>
    </xf>
    <xf numFmtId="179" fontId="0" fillId="9" borderId="0" xfId="55" applyNumberFormat="1" applyFill="1">
      <alignment vertical="center"/>
    </xf>
    <xf numFmtId="179" fontId="0" fillId="0" borderId="0" xfId="55" applyNumberFormat="1">
      <alignment vertical="center"/>
    </xf>
    <xf numFmtId="176" fontId="0" fillId="0" borderId="0" xfId="55" applyNumberFormat="1">
      <alignment vertical="center"/>
    </xf>
    <xf numFmtId="0" fontId="0" fillId="0" borderId="0" xfId="55" applyAlignment="1">
      <alignment horizontal="center" vertical="center" wrapText="1"/>
    </xf>
    <xf numFmtId="10" fontId="0" fillId="0" borderId="0" xfId="55" applyNumberFormat="1">
      <alignment vertical="center"/>
    </xf>
    <xf numFmtId="10" fontId="0" fillId="9" borderId="0" xfId="55" applyNumberFormat="1" applyFill="1">
      <alignment vertical="center"/>
    </xf>
    <xf numFmtId="0" fontId="0" fillId="0" borderId="0" xfId="55" applyAlignment="1">
      <alignment vertical="center" wrapText="1"/>
    </xf>
    <xf numFmtId="182" fontId="0" fillId="0" borderId="0" xfId="56" applyNumberFormat="1"/>
    <xf numFmtId="0" fontId="1" fillId="0" borderId="0" xfId="0" applyFont="1"/>
    <xf numFmtId="0" fontId="1" fillId="10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4" fillId="0" borderId="0" xfId="6" applyAlignment="1">
      <alignment vertical="center"/>
    </xf>
    <xf numFmtId="0" fontId="4" fillId="0" borderId="0" xfId="6"/>
    <xf numFmtId="182" fontId="0" fillId="0" borderId="0" xfId="0" applyNumberFormat="1" applyAlignment="1">
      <alignment vertical="center"/>
    </xf>
    <xf numFmtId="182" fontId="4" fillId="0" borderId="0" xfId="6" applyNumberFormat="1" applyAlignment="1">
      <alignment vertical="center"/>
    </xf>
    <xf numFmtId="184" fontId="0" fillId="0" borderId="0" xfId="0" applyNumberFormat="1"/>
  </cellXfs>
  <cellStyles count="58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Body: normal cell" xfId="49"/>
    <cellStyle name="Font: Calibri, 9pt regular" xfId="50"/>
    <cellStyle name="Footnotes: top row" xfId="51"/>
    <cellStyle name="Header: bottom row" xfId="52"/>
    <cellStyle name="Parent row" xfId="53"/>
    <cellStyle name="Table title" xfId="54"/>
    <cellStyle name="常规 2" xfId="55"/>
    <cellStyle name="常规 2 2" xfId="56"/>
    <cellStyle name="超链接 2" xfId="57"/>
  </cellStyles>
  <tableStyles count="0" defaultTableStyle="TableStyleMedium2" defaultPivotStyle="PivotStyleLight16"/>
  <colors>
    <mruColors>
      <color rgb="0000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smooth"/>
        <c:varyColors val="0"/>
        <c:ser>
          <c:idx val="0"/>
          <c:order val="0"/>
          <c:tx>
            <c:strRef>
              <c:f>'BNEF Outlook'!$E$1</c:f>
              <c:strCache>
                <c:ptCount val="1"/>
                <c:pt idx="0">
                  <c:v>China 2hr storage system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'BNEF Outlook'!$A$3:$A$16</c:f>
              <c:numCache>
                <c:formatCode>General</c:formatCode>
                <c:ptCount val="1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numCache>
            </c:numRef>
          </c:xVal>
          <c:yVal>
            <c:numRef>
              <c:f>'BNEF Outlook'!$E$3:$E$16</c:f>
              <c:numCache>
                <c:formatCode>0.00_);[Red]\(0.00\)</c:formatCode>
                <c:ptCount val="14"/>
                <c:pt idx="2">
                  <c:v>268.418822077057</c:v>
                </c:pt>
                <c:pt idx="3">
                  <c:v>206.476016982351</c:v>
                </c:pt>
                <c:pt idx="4">
                  <c:v>178.945881384705</c:v>
                </c:pt>
                <c:pt idx="5">
                  <c:v>165.180813585881</c:v>
                </c:pt>
                <c:pt idx="6">
                  <c:v>151.415745787058</c:v>
                </c:pt>
                <c:pt idx="7">
                  <c:v>137.650677988234</c:v>
                </c:pt>
                <c:pt idx="8">
                  <c:v>123.885610189411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'BNEF Outlook'!$G$1</c:f>
              <c:strCache>
                <c:ptCount val="1"/>
                <c:pt idx="0">
                  <c:v>Global 4hr storage systen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'BNEF Outlook'!$A$3:$A$16</c:f>
              <c:numCache>
                <c:formatCode>General</c:formatCode>
                <c:ptCount val="1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numCache>
            </c:numRef>
          </c:xVal>
          <c:yVal>
            <c:numRef>
              <c:f>'BNEF Outlook'!$G$3:$G$16</c:f>
              <c:numCache>
                <c:formatCode>0.00_);[Red]\(0.00\)</c:formatCode>
                <c:ptCount val="14"/>
                <c:pt idx="2">
                  <c:v>296.036556665934</c:v>
                </c:pt>
                <c:pt idx="3">
                  <c:v>265.458120640956</c:v>
                </c:pt>
                <c:pt idx="4">
                  <c:v>247.424684010841</c:v>
                </c:pt>
                <c:pt idx="5">
                  <c:v>230.175309842905</c:v>
                </c:pt>
                <c:pt idx="6">
                  <c:v>212.141873212789</c:v>
                </c:pt>
                <c:pt idx="7">
                  <c:v>196.460623969211</c:v>
                </c:pt>
                <c:pt idx="8">
                  <c:v>185.483749498706</c:v>
                </c:pt>
                <c:pt idx="9">
                  <c:v>176.859062414738</c:v>
                </c:pt>
                <c:pt idx="10">
                  <c:v>167.45031286859</c:v>
                </c:pt>
                <c:pt idx="11">
                  <c:v>160.39375070898</c:v>
                </c:pt>
                <c:pt idx="12">
                  <c:v>154.905313473728</c:v>
                </c:pt>
                <c:pt idx="13">
                  <c:v>148.632813776296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'BNEF Outlook'!$H$1</c:f>
              <c:strCache>
                <c:ptCount val="1"/>
                <c:pt idx="0">
                  <c:v>Global 4hr storage system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'BNEF Outlook'!$A$3:$A$16</c:f>
              <c:numCache>
                <c:formatCode>General</c:formatCode>
                <c:ptCount val="1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numCache>
            </c:numRef>
          </c:xVal>
          <c:yVal>
            <c:numRef>
              <c:f>'BNEF Outlook'!$H$3:$H$16</c:f>
              <c:numCache>
                <c:formatCode>0.00_);[Red]\(0.00\)</c:formatCode>
                <c:ptCount val="14"/>
                <c:pt idx="0">
                  <c:v>439.700005019006</c:v>
                </c:pt>
                <c:pt idx="1">
                  <c:v>304.953229287375</c:v>
                </c:pt>
                <c:pt idx="2">
                  <c:v>268.705558622726</c:v>
                </c:pt>
                <c:pt idx="3">
                  <c:v>210.394088423073</c:v>
                </c:pt>
                <c:pt idx="4">
                  <c:v>201.726167177178</c:v>
                </c:pt>
                <c:pt idx="5">
                  <c:v>255.309680333616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'BNEF Outlook'!$F$1</c:f>
              <c:strCache>
                <c:ptCount val="1"/>
                <c:pt idx="0">
                  <c:v>China 4hr storage system inferred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'BNEF Outlook'!$A$3:$A$16</c:f>
              <c:numCache>
                <c:formatCode>General</c:formatCode>
                <c:ptCount val="14"/>
                <c:pt idx="0">
                  <c:v>2017</c:v>
                </c:pt>
                <c:pt idx="1">
                  <c:v>2018</c:v>
                </c:pt>
                <c:pt idx="2">
                  <c:v>2019</c:v>
                </c:pt>
                <c:pt idx="3">
                  <c:v>2020</c:v>
                </c:pt>
                <c:pt idx="4">
                  <c:v>2021</c:v>
                </c:pt>
                <c:pt idx="5">
                  <c:v>2022</c:v>
                </c:pt>
                <c:pt idx="6">
                  <c:v>2023</c:v>
                </c:pt>
                <c:pt idx="7">
                  <c:v>2024</c:v>
                </c:pt>
                <c:pt idx="8">
                  <c:v>2025</c:v>
                </c:pt>
                <c:pt idx="9">
                  <c:v>2026</c:v>
                </c:pt>
                <c:pt idx="10">
                  <c:v>2027</c:v>
                </c:pt>
                <c:pt idx="11">
                  <c:v>2028</c:v>
                </c:pt>
                <c:pt idx="12">
                  <c:v>2029</c:v>
                </c:pt>
                <c:pt idx="13">
                  <c:v>2030</c:v>
                </c:pt>
              </c:numCache>
            </c:numRef>
          </c:xVal>
          <c:yVal>
            <c:numRef>
              <c:f>'BNEF Outlook'!$F$3:$F$16</c:f>
              <c:numCache>
                <c:formatCode>0.00_);[Red]\(0.00\)</c:formatCode>
                <c:ptCount val="14"/>
                <c:pt idx="3">
                  <c:v>188.630311424023</c:v>
                </c:pt>
                <c:pt idx="4">
                  <c:v>163.479603234154</c:v>
                </c:pt>
                <c:pt idx="5">
                  <c:v>150.904249139219</c:v>
                </c:pt>
                <c:pt idx="6">
                  <c:v>138.328895044284</c:v>
                </c:pt>
                <c:pt idx="7">
                  <c:v>125.753540949349</c:v>
                </c:pt>
                <c:pt idx="8">
                  <c:v>113.178186854414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2811152"/>
        <c:axId val="353627168"/>
      </c:scatterChart>
      <c:valAx>
        <c:axId val="1112811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3627168"/>
        <c:crosses val="autoZero"/>
        <c:crossBetween val="midCat"/>
      </c:valAx>
      <c:valAx>
        <c:axId val="353627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);[Red]\(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2811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d44999a-182a-4f8a-bd45-f2a0cd90858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../media/image7.png"/><Relationship Id="rId3" Type="http://schemas.openxmlformats.org/officeDocument/2006/relationships/image" Target="../media/image6.jpe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0</xdr:colOff>
      <xdr:row>11</xdr:row>
      <xdr:rowOff>180974</xdr:rowOff>
    </xdr:from>
    <xdr:ext cx="4115820" cy="3114675"/>
    <xdr:pic>
      <xdr:nvPicPr>
        <xdr:cNvPr id="2" name="图片 1" descr="图片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1590" y="2085975"/>
          <a:ext cx="4115435" cy="3114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31</xdr:row>
      <xdr:rowOff>0</xdr:rowOff>
    </xdr:from>
    <xdr:ext cx="4111826" cy="2838450"/>
    <xdr:pic>
      <xdr:nvPicPr>
        <xdr:cNvPr id="3" name="图片 2" descr="图片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91590" y="5343525"/>
          <a:ext cx="4111625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12</xdr:row>
      <xdr:rowOff>0</xdr:rowOff>
    </xdr:from>
    <xdr:ext cx="4667250" cy="2814559"/>
    <xdr:pic>
      <xdr:nvPicPr>
        <xdr:cNvPr id="4" name="图片 3" descr="图片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2155" y="2085975"/>
          <a:ext cx="4667250" cy="2814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9</xdr:col>
      <xdr:colOff>0</xdr:colOff>
      <xdr:row>30</xdr:row>
      <xdr:rowOff>0</xdr:rowOff>
    </xdr:from>
    <xdr:ext cx="4789262" cy="2257425"/>
    <xdr:pic>
      <xdr:nvPicPr>
        <xdr:cNvPr id="5" name="图片 4" descr="图片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812155" y="5172075"/>
          <a:ext cx="4789170" cy="2257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9</xdr:col>
      <xdr:colOff>0</xdr:colOff>
      <xdr:row>1</xdr:row>
      <xdr:rowOff>0</xdr:rowOff>
    </xdr:from>
    <xdr:ext cx="3460296" cy="2156792"/>
    <xdr:pic>
      <xdr:nvPicPr>
        <xdr:cNvPr id="2" name="图片 1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1650" y="171450"/>
          <a:ext cx="3460115" cy="2156460"/>
        </a:xfrm>
        <a:prstGeom prst="rect">
          <a:avLst/>
        </a:prstGeom>
      </xdr:spPr>
    </xdr:pic>
    <xdr:clientData/>
  </xdr:oneCellAnchor>
  <xdr:oneCellAnchor>
    <xdr:from>
      <xdr:col>9</xdr:col>
      <xdr:colOff>0</xdr:colOff>
      <xdr:row>13</xdr:row>
      <xdr:rowOff>0</xdr:rowOff>
    </xdr:from>
    <xdr:ext cx="3453016" cy="2733260"/>
    <xdr:pic>
      <xdr:nvPicPr>
        <xdr:cNvPr id="3" name="图片 2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931650" y="2228850"/>
          <a:ext cx="3452495" cy="2733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5</xdr:col>
      <xdr:colOff>45553</xdr:colOff>
      <xdr:row>17</xdr:row>
      <xdr:rowOff>7453</xdr:rowOff>
    </xdr:from>
    <xdr:to>
      <xdr:col>8</xdr:col>
      <xdr:colOff>41413</xdr:colOff>
      <xdr:row>32</xdr:row>
      <xdr:rowOff>17392</xdr:rowOff>
    </xdr:to>
    <xdr:graphicFrame>
      <xdr:nvGraphicFramePr>
        <xdr:cNvPr id="4" name="图表 3"/>
        <xdr:cNvGraphicFramePr/>
      </xdr:nvGraphicFramePr>
      <xdr:xfrm>
        <a:off x="6378575" y="2921635"/>
        <a:ext cx="4194810" cy="2581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43180</xdr:colOff>
      <xdr:row>21</xdr:row>
      <xdr:rowOff>1905</xdr:rowOff>
    </xdr:from>
    <xdr:to>
      <xdr:col>4</xdr:col>
      <xdr:colOff>1017905</xdr:colOff>
      <xdr:row>30</xdr:row>
      <xdr:rowOff>158115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3180" y="3602355"/>
          <a:ext cx="5908675" cy="16992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://www.chinapower.com.cn/chuneng/dongtai1/20230129/185118.html" TargetMode="External"/><Relationship Id="rId8" Type="http://schemas.openxmlformats.org/officeDocument/2006/relationships/hyperlink" Target="https://zhuanlan.zhihu.com/p/649406345" TargetMode="External"/><Relationship Id="rId7" Type="http://schemas.openxmlformats.org/officeDocument/2006/relationships/hyperlink" Target="https://zhuanlan.zhihu.com/p/461381539" TargetMode="External"/><Relationship Id="rId6" Type="http://schemas.openxmlformats.org/officeDocument/2006/relationships/hyperlink" Target="https://zhuanlan.zhihu.com/p/601092720" TargetMode="External"/><Relationship Id="rId5" Type="http://schemas.openxmlformats.org/officeDocument/2006/relationships/hyperlink" Target="https://mp.weixin.qq.com/s/R99_EAVshBIcldYMXXvxHA" TargetMode="External"/><Relationship Id="rId4" Type="http://schemas.openxmlformats.org/officeDocument/2006/relationships/hyperlink" Target="https://news.bjx.com.cn/html/20220114/1199377.shtml" TargetMode="External"/><Relationship Id="rId3" Type="http://schemas.openxmlformats.org/officeDocument/2006/relationships/hyperlink" Target="https://www.nrel.gov/docs/fy19osti/71714.pdf" TargetMode="External"/><Relationship Id="rId2" Type="http://schemas.openxmlformats.org/officeDocument/2006/relationships/hyperlink" Target="http://www.sandia.gov/ess/publications/SAND2013-5131.pdf" TargetMode="External"/><Relationship Id="rId10" Type="http://schemas.openxmlformats.org/officeDocument/2006/relationships/hyperlink" Target="https://energy.mit.edu/wp-content/uploads/2022/05/The-Future-of-Energy-Storage.pdf" TargetMode="External"/><Relationship Id="rId1" Type="http://schemas.openxmlformats.org/officeDocument/2006/relationships/hyperlink" Target="http://www.rmi.org/electricity_grid_defection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zhuanlan.zhihu.com/p/649406345" TargetMode="External"/><Relationship Id="rId2" Type="http://schemas.openxmlformats.org/officeDocument/2006/relationships/hyperlink" Target="https://zhuanlan.zhihu.com/p/461381539" TargetMode="External"/><Relationship Id="rId1" Type="http://schemas.openxmlformats.org/officeDocument/2006/relationships/hyperlink" Target="https://zhuanlan.zhihu.com/p/601092720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www.chinapower.com.cn/chuneng/dongtai1/20230129/185118.html" TargetMode="External"/><Relationship Id="rId2" Type="http://schemas.openxmlformats.org/officeDocument/2006/relationships/hyperlink" Target="https://zhuanlan.zhihu.com/p/649406345" TargetMode="Externa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B67" sqref="B67"/>
    </sheetView>
  </sheetViews>
  <sheetFormatPr defaultColWidth="9" defaultRowHeight="13.5" outlineLevelCol="4"/>
  <cols>
    <col min="2" max="2" width="67.1238938053097" customWidth="1"/>
    <col min="5" max="5" width="47.2477876106195" customWidth="1"/>
  </cols>
  <sheetData>
    <row r="1" spans="1:5">
      <c r="A1" s="87" t="s">
        <v>0</v>
      </c>
    </row>
    <row r="2" spans="1:5">
      <c r="A2" s="87" t="s">
        <v>1</v>
      </c>
    </row>
    <row r="4" spans="1:5">
      <c r="A4" s="87" t="s">
        <v>2</v>
      </c>
      <c r="B4" s="88" t="s">
        <v>3</v>
      </c>
      <c r="E4" s="88" t="s">
        <v>4</v>
      </c>
    </row>
    <row r="5" spans="1:5">
      <c r="B5" t="s">
        <v>5</v>
      </c>
      <c r="E5" s="89" t="s">
        <v>6</v>
      </c>
    </row>
    <row r="6" spans="1:5">
      <c r="B6" s="90">
        <v>2014</v>
      </c>
      <c r="E6" s="89" t="s">
        <v>7</v>
      </c>
    </row>
    <row r="7" spans="1:5">
      <c r="B7" t="s">
        <v>8</v>
      </c>
      <c r="E7" s="91" t="s">
        <v>9</v>
      </c>
    </row>
    <row r="8" spans="1:5">
      <c r="B8" s="92" t="s">
        <v>10</v>
      </c>
      <c r="E8" s="89"/>
    </row>
    <row r="9" spans="1:5">
      <c r="B9" t="s">
        <v>11</v>
      </c>
      <c r="E9" s="89" t="s">
        <v>12</v>
      </c>
    </row>
    <row r="10" spans="1:5">
      <c r="E10" s="89" t="s">
        <v>13</v>
      </c>
    </row>
    <row r="11" spans="1:5">
      <c r="B11" s="88" t="s">
        <v>14</v>
      </c>
      <c r="E11" s="89" t="s">
        <v>15</v>
      </c>
    </row>
    <row r="12" spans="1:5">
      <c r="B12" t="s">
        <v>16</v>
      </c>
      <c r="E12" s="89"/>
    </row>
    <row r="13" spans="1:5">
      <c r="B13" s="90">
        <v>2013</v>
      </c>
      <c r="E13" s="89" t="s">
        <v>17</v>
      </c>
    </row>
    <row r="14" spans="1:5">
      <c r="B14" t="s">
        <v>18</v>
      </c>
      <c r="E14" s="89" t="s">
        <v>13</v>
      </c>
    </row>
    <row r="15" spans="1:5">
      <c r="B15" s="92" t="s">
        <v>19</v>
      </c>
      <c r="E15" s="91" t="s">
        <v>20</v>
      </c>
    </row>
    <row r="16" spans="1:5">
      <c r="B16" t="s">
        <v>21</v>
      </c>
    </row>
    <row r="18" spans="1:5">
      <c r="B18" s="88" t="s">
        <v>22</v>
      </c>
      <c r="E18" s="88" t="s">
        <v>23</v>
      </c>
    </row>
    <row r="19" spans="1:5">
      <c r="B19" t="s">
        <v>24</v>
      </c>
      <c r="E19" s="89" t="s">
        <v>25</v>
      </c>
    </row>
    <row r="20" spans="1:5">
      <c r="B20" s="90">
        <v>2021</v>
      </c>
      <c r="E20" s="91" t="s">
        <v>26</v>
      </c>
    </row>
    <row r="21" spans="1:5">
      <c r="B21" t="s">
        <v>27</v>
      </c>
    </row>
    <row r="22" spans="1:5">
      <c r="B22" s="92" t="s">
        <v>28</v>
      </c>
      <c r="E22" s="89" t="s">
        <v>29</v>
      </c>
    </row>
    <row r="23" spans="1:5">
      <c r="B23" t="s">
        <v>30</v>
      </c>
      <c r="E23" s="91" t="s">
        <v>31</v>
      </c>
    </row>
    <row r="25" spans="1:5">
      <c r="B25" s="88" t="s">
        <v>32</v>
      </c>
      <c r="E25" s="89" t="s">
        <v>33</v>
      </c>
    </row>
    <row r="26" spans="1:5">
      <c r="B26" t="s">
        <v>24</v>
      </c>
      <c r="E26" s="91" t="s">
        <v>34</v>
      </c>
    </row>
    <row r="27" spans="1:5">
      <c r="B27" s="90">
        <v>2018</v>
      </c>
    </row>
    <row r="28" spans="1:5">
      <c r="B28" t="s">
        <v>35</v>
      </c>
    </row>
    <row r="29" spans="1:5">
      <c r="B29" s="92" t="s">
        <v>36</v>
      </c>
      <c r="E29" s="88" t="s">
        <v>37</v>
      </c>
    </row>
    <row r="30" spans="1:5">
      <c r="B30" t="s">
        <v>38</v>
      </c>
      <c r="E30" s="93" t="s">
        <v>29</v>
      </c>
    </row>
    <row r="31" spans="1:5">
      <c r="E31" s="94" t="s">
        <v>34</v>
      </c>
    </row>
    <row r="32" spans="1:5">
      <c r="A32" s="87" t="s">
        <v>39</v>
      </c>
    </row>
    <row r="33" spans="1:5">
      <c r="A33" t="s">
        <v>40</v>
      </c>
      <c r="E33" s="93" t="s">
        <v>41</v>
      </c>
    </row>
    <row r="34" spans="1:5">
      <c r="A34" t="s">
        <v>42</v>
      </c>
      <c r="E34" s="94" t="s">
        <v>43</v>
      </c>
    </row>
    <row r="35" spans="1:5">
      <c r="A35" t="s">
        <v>44</v>
      </c>
    </row>
    <row r="36" spans="1:5">
      <c r="E36" t="s">
        <v>45</v>
      </c>
    </row>
    <row r="37" spans="1:5">
      <c r="A37" s="87" t="s">
        <v>46</v>
      </c>
      <c r="E37" s="90">
        <v>2022</v>
      </c>
    </row>
    <row r="38" spans="1:5">
      <c r="A38" t="s">
        <v>47</v>
      </c>
      <c r="E38" t="s">
        <v>48</v>
      </c>
    </row>
    <row r="39" spans="1:5">
      <c r="A39" t="s">
        <v>49</v>
      </c>
      <c r="E39" s="92" t="s">
        <v>50</v>
      </c>
    </row>
    <row r="40" spans="1:5">
      <c r="A40" t="s">
        <v>51</v>
      </c>
    </row>
    <row r="42" spans="1:5">
      <c r="A42" t="s">
        <v>52</v>
      </c>
    </row>
    <row r="43" spans="1:5">
      <c r="A43" t="s">
        <v>53</v>
      </c>
    </row>
    <row r="44" spans="1:5">
      <c r="A44" t="s">
        <v>54</v>
      </c>
    </row>
    <row r="46" spans="1:5">
      <c r="A46" s="87" t="s">
        <v>55</v>
      </c>
    </row>
    <row r="47" spans="1:5">
      <c r="A47" t="s">
        <v>56</v>
      </c>
    </row>
    <row r="48" spans="1:5">
      <c r="A48">
        <v>1.055</v>
      </c>
      <c r="B48" t="s">
        <v>57</v>
      </c>
    </row>
    <row r="49" spans="1:2">
      <c r="A49" s="95">
        <v>0.914327358456754</v>
      </c>
      <c r="B49" t="s">
        <v>58</v>
      </c>
    </row>
    <row r="50" spans="1:2">
      <c r="A50" t="s">
        <v>59</v>
      </c>
    </row>
    <row r="52" spans="1:2">
      <c r="A52" s="87" t="s">
        <v>60</v>
      </c>
    </row>
    <row r="53" spans="1:2">
      <c r="A53" t="s">
        <v>61</v>
      </c>
    </row>
    <row r="54" spans="1:2">
      <c r="A54" t="s">
        <v>62</v>
      </c>
    </row>
    <row r="55" spans="1:2">
      <c r="A55" t="s">
        <v>63</v>
      </c>
    </row>
  </sheetData>
  <hyperlinks>
    <hyperlink ref="B8" r:id="rId1" display="http://www.rmi.org/electricity_grid_defection"/>
    <hyperlink ref="B15" r:id="rId2" display="http://www.sandia.gov/ess/publications/SAND2013-5131.pdf"/>
    <hyperlink ref="B29" r:id="rId3" display="https://www.nrel.gov/docs/fy19osti/71714.pdf"/>
    <hyperlink ref="E7" r:id="rId4" display="2021储能中标均价1.476元/Wh"/>
    <hyperlink ref="E15" r:id="rId5" display="2023上半年储能盘点：储能系统和EPC价格全景分析"/>
    <hyperlink ref="E20" r:id="rId6" location=":~:text=%E6%88%90%E6%9C%AC%E6%9E%84%E6%88%90%20%E9%94%82%E7%94%B5%E5%82%A8%E8%83%BD%E7%B3%BB%E7%BB%9F%E5%B7%A5%E7%A8%8B%E5%BB%BA%E8%AE%BE%E6%88%90%E6%9C%AC%E5%A4%A7%E8%87%B4%E4%B8%BA%E7%BA%A6%201.5-2%20%E5%85%83%2FWh%EF%BC%8C%E5%85%B6%E4%B8%AD%E5%82%A8%E8%83%BD%E7%B3%BB%E7%BB%9F%E5%8D%A0,90%25%E4%BB%A5%E4%B8%8A%E3%80%82%20%E5%82%A8%E8%83%BD%E7%B3%BB%E7%BB%9F%E4%B8%AD%E5%8F%88%E4%BB%A5%E7%94%B5%E6%B1%A0%E5%8D%A0%E6%AF%94%E6%9C%80%E9%AB%98%EF%BC%8C%E5%A4%A7%E8%87%B4%E4%B8%BA%2050%25-70%25%EF%BC%88%E8%80%83%E8%99%91%E7%94%B5%E8%8A%AF%E6%B6%A8%E4%BB%B7%E5%90%8E%EF%BC%8C%E5%8D%A0%E6%AF%94%E6%8F%90%E5%8D%87%EF%BC%89%EF%BC%8C%E5%85%B6%E4%BB%96%E7%B3%BB%E7%BB%9F%E7%BB%84%E4%BB%B6%E3%80%81%E7%AE%A1%E7%90%86%E7%B3%BB%E7%BB%9F%E5%88%86%E5%88%AB%E5%8D%A0%2020%25%E3%80%8115%25%E3%80%82" display="大储 ~ P2：成本测算"/>
    <hyperlink ref="E23" r:id="rId7" display="新型储能系统成本分析"/>
    <hyperlink ref="E26" r:id="rId8" display="韦伯咨询：2023年中国储能行业专题调研与深度分析报告"/>
    <hyperlink ref="E31" r:id="rId8" display="韦伯咨询：2023年中国储能行业专题调研与深度分析报告"/>
    <hyperlink ref="E34" r:id="rId9" display="2022年储能系统成本调查_电力网 (chinapower.com.cn)"/>
    <hyperlink ref="E39" r:id="rId10" display="The-Future-of-Energy-Storage.pdf (mit.edu)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B25" sqref="B25"/>
    </sheetView>
  </sheetViews>
  <sheetFormatPr defaultColWidth="9" defaultRowHeight="13.5" outlineLevelCol="3"/>
  <cols>
    <col min="1" max="1" width="10.1238938053097" style="41" customWidth="1"/>
    <col min="2" max="3" width="15.6283185840708" style="41" customWidth="1"/>
    <col min="4" max="16384" width="9" style="41"/>
  </cols>
  <sheetData>
    <row r="1" s="85" customFormat="1" ht="40.5" spans="1:4">
      <c r="A1" s="85" t="s">
        <v>64</v>
      </c>
      <c r="B1" s="85" t="s">
        <v>65</v>
      </c>
      <c r="C1" s="85" t="s">
        <v>66</v>
      </c>
      <c r="D1" s="85" t="s">
        <v>67</v>
      </c>
    </row>
    <row r="2" spans="1:4">
      <c r="A2" s="41">
        <v>2000</v>
      </c>
      <c r="B2" s="42">
        <v>0.264027318393146</v>
      </c>
      <c r="C2" s="42">
        <v>3.78748686342738</v>
      </c>
      <c r="D2" s="86">
        <v>1.33329849012776</v>
      </c>
    </row>
    <row r="3" spans="1:4">
      <c r="A3" s="41">
        <v>2001</v>
      </c>
      <c r="B3" s="42">
        <v>0.258730967526493</v>
      </c>
      <c r="C3" s="42">
        <v>3.86501859271099</v>
      </c>
      <c r="D3" s="86">
        <v>1.29640880858272</v>
      </c>
    </row>
    <row r="4" spans="1:4">
      <c r="A4" s="41">
        <v>2002</v>
      </c>
      <c r="B4" s="42">
        <v>0.257182474220425</v>
      </c>
      <c r="C4" s="42">
        <v>3.88828983402238</v>
      </c>
      <c r="D4" s="86">
        <v>1.27623123957754</v>
      </c>
    </row>
    <row r="5" spans="1:4">
      <c r="A5" s="41">
        <v>2003</v>
      </c>
      <c r="B5" s="42">
        <v>0.250657416210714</v>
      </c>
      <c r="C5" s="42">
        <v>3.98950892863012</v>
      </c>
      <c r="D5" s="86">
        <v>1.24779347826087</v>
      </c>
    </row>
    <row r="6" spans="1:4">
      <c r="A6" s="41">
        <v>2004</v>
      </c>
      <c r="B6" s="42">
        <v>0.234364418959083</v>
      </c>
      <c r="C6" s="42">
        <v>4.26685929733466</v>
      </c>
      <c r="D6" s="86">
        <v>1.21542615140286</v>
      </c>
    </row>
    <row r="7" spans="1:4">
      <c r="A7" s="41">
        <v>2005</v>
      </c>
      <c r="B7" s="42">
        <v>0.225559165944784</v>
      </c>
      <c r="C7" s="42">
        <v>4.43342657263059</v>
      </c>
      <c r="D7" s="86">
        <v>1.17559651817716</v>
      </c>
    </row>
    <row r="8" spans="1:4">
      <c r="A8" s="41">
        <v>2006</v>
      </c>
      <c r="B8" s="42">
        <v>0.217037097117422</v>
      </c>
      <c r="C8" s="42">
        <v>4.60750725696896</v>
      </c>
      <c r="D8" s="86">
        <v>1.13885912698413</v>
      </c>
    </row>
    <row r="9" spans="1:4">
      <c r="A9" s="41">
        <v>2007</v>
      </c>
      <c r="B9" s="42">
        <v>0.201427126315792</v>
      </c>
      <c r="C9" s="42">
        <v>4.96457462453308</v>
      </c>
      <c r="D9" s="86">
        <v>1.10732027278602</v>
      </c>
    </row>
    <row r="10" spans="1:4">
      <c r="A10" s="41">
        <v>2008</v>
      </c>
      <c r="B10" s="42">
        <v>0.186860689001348</v>
      </c>
      <c r="C10" s="42">
        <v>5.35158039577165</v>
      </c>
      <c r="D10" s="86">
        <v>1.06637622327603</v>
      </c>
    </row>
    <row r="11" spans="1:4">
      <c r="A11" s="41">
        <v>2009</v>
      </c>
      <c r="B11" s="42">
        <v>0.187253046603439</v>
      </c>
      <c r="C11" s="42">
        <v>5.3403670495027</v>
      </c>
      <c r="D11" s="86">
        <v>1.07018369791691</v>
      </c>
    </row>
    <row r="12" spans="1:4">
      <c r="A12" s="41">
        <v>2010</v>
      </c>
      <c r="B12" s="42">
        <v>0.175197070022782</v>
      </c>
      <c r="C12" s="42">
        <v>5.70785801309328</v>
      </c>
      <c r="D12" s="86">
        <v>1.05291301317093</v>
      </c>
    </row>
    <row r="13" spans="1:4">
      <c r="A13" s="41">
        <v>2011</v>
      </c>
      <c r="B13" s="42">
        <v>0.162105908361236</v>
      </c>
      <c r="C13" s="42">
        <v>6.16880661605253</v>
      </c>
      <c r="D13" s="86">
        <v>1.02069449939761</v>
      </c>
    </row>
    <row r="14" spans="1:4">
      <c r="A14" s="41">
        <v>2012</v>
      </c>
      <c r="B14" s="42">
        <v>0.158412957650193</v>
      </c>
      <c r="C14" s="42">
        <v>6.31261492010141</v>
      </c>
      <c r="D14" s="86">
        <v>1</v>
      </c>
    </row>
    <row r="15" spans="1:4">
      <c r="A15" s="41">
        <v>2013</v>
      </c>
      <c r="B15" s="42">
        <v>0.155058469203377</v>
      </c>
      <c r="C15" s="42">
        <v>6.44918013919244</v>
      </c>
      <c r="D15" s="86">
        <v>0.985563859424701</v>
      </c>
    </row>
    <row r="16" spans="1:4">
      <c r="A16" s="41">
        <v>2014</v>
      </c>
      <c r="B16" s="42">
        <v>0.153476033552131</v>
      </c>
      <c r="C16" s="42">
        <v>6.51567529376063</v>
      </c>
      <c r="D16" s="86">
        <v>0.969831373344147</v>
      </c>
    </row>
    <row r="17" spans="1:4">
      <c r="A17" s="41">
        <v>2015</v>
      </c>
      <c r="B17" s="42">
        <v>0.153480552163204</v>
      </c>
      <c r="C17" s="42">
        <v>6.51548346618306</v>
      </c>
      <c r="D17" s="86">
        <v>0.968681571364079</v>
      </c>
    </row>
    <row r="18" spans="1:4">
      <c r="A18" s="41">
        <v>2016</v>
      </c>
      <c r="B18" s="42">
        <v>0.151350526540712</v>
      </c>
      <c r="C18" s="42">
        <v>6.60717886390048</v>
      </c>
      <c r="D18" s="86">
        <v>0.956613765431842</v>
      </c>
    </row>
    <row r="19" spans="1:4">
      <c r="A19" s="41">
        <v>2017</v>
      </c>
      <c r="B19" s="42">
        <v>0.145204482579299</v>
      </c>
      <c r="C19" s="42">
        <v>6.88683973274641</v>
      </c>
      <c r="D19" s="86">
        <v>0.936659595300261</v>
      </c>
    </row>
    <row r="20" spans="1:4">
      <c r="A20" s="41">
        <v>2018</v>
      </c>
      <c r="B20" s="42">
        <v>0.140294528147456</v>
      </c>
      <c r="C20" s="42">
        <v>7.12786174346697</v>
      </c>
      <c r="D20" s="86">
        <v>0.914327358456754</v>
      </c>
    </row>
    <row r="21" spans="1:4">
      <c r="A21" s="41">
        <v>2019</v>
      </c>
      <c r="B21" s="42">
        <v>0.138511262027254</v>
      </c>
      <c r="C21" s="42">
        <v>7.2196295475471</v>
      </c>
      <c r="D21" s="86">
        <v>0.898054815631882</v>
      </c>
    </row>
    <row r="22" spans="1:4">
      <c r="A22" s="41">
        <v>2020</v>
      </c>
      <c r="B22" s="42">
        <v>0.137650677988234</v>
      </c>
      <c r="C22" s="42">
        <v>7.26476625189943</v>
      </c>
      <c r="D22" s="86">
        <v>0.88711067149387</v>
      </c>
    </row>
    <row r="23" spans="1:4">
      <c r="A23" s="41">
        <v>2021</v>
      </c>
      <c r="B23" s="42">
        <v>0.131872968338906</v>
      </c>
      <c r="C23" s="42">
        <v>7.5830552128777</v>
      </c>
      <c r="D23" s="86">
        <v>0.847304129608444</v>
      </c>
    </row>
    <row r="24" spans="1:4">
      <c r="A24" s="41">
        <v>2022</v>
      </c>
      <c r="B24" s="42">
        <v>0.12836129061488</v>
      </c>
      <c r="C24" s="42">
        <v>7.79051063766788</v>
      </c>
      <c r="D24" s="42">
        <f>D23*0.93</f>
        <v>0.787992840535853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K17"/>
  <sheetViews>
    <sheetView workbookViewId="0">
      <selection activeCell="AK34" sqref="F19:AK34"/>
    </sheetView>
  </sheetViews>
  <sheetFormatPr defaultColWidth="9" defaultRowHeight="13.5"/>
  <cols>
    <col min="5" max="5" width="33.3716814159292" customWidth="1"/>
  </cols>
  <sheetData>
    <row r="1" spans="2:37">
      <c r="D1" t="s">
        <v>68</v>
      </c>
    </row>
    <row r="2" spans="2:37">
      <c r="F2">
        <v>2019</v>
      </c>
      <c r="G2">
        <v>2020</v>
      </c>
      <c r="H2">
        <v>2021</v>
      </c>
      <c r="I2">
        <v>2022</v>
      </c>
      <c r="J2">
        <v>2023</v>
      </c>
      <c r="K2">
        <v>2024</v>
      </c>
      <c r="L2">
        <v>2025</v>
      </c>
      <c r="M2">
        <v>2026</v>
      </c>
      <c r="N2">
        <v>2027</v>
      </c>
      <c r="O2">
        <v>2028</v>
      </c>
      <c r="P2">
        <v>2029</v>
      </c>
      <c r="Q2">
        <v>2030</v>
      </c>
      <c r="R2">
        <v>2031</v>
      </c>
      <c r="S2">
        <v>2032</v>
      </c>
      <c r="T2">
        <v>2033</v>
      </c>
      <c r="U2">
        <v>2034</v>
      </c>
      <c r="V2">
        <v>2035</v>
      </c>
      <c r="W2">
        <v>2036</v>
      </c>
      <c r="X2">
        <v>2037</v>
      </c>
      <c r="Y2">
        <v>2038</v>
      </c>
      <c r="Z2">
        <v>2039</v>
      </c>
      <c r="AA2">
        <v>2040</v>
      </c>
      <c r="AB2">
        <v>2041</v>
      </c>
      <c r="AC2">
        <v>2042</v>
      </c>
      <c r="AD2">
        <v>2043</v>
      </c>
      <c r="AE2">
        <v>2044</v>
      </c>
      <c r="AF2">
        <v>2045</v>
      </c>
      <c r="AG2">
        <v>2046</v>
      </c>
      <c r="AH2">
        <v>2047</v>
      </c>
      <c r="AI2">
        <v>2048</v>
      </c>
      <c r="AJ2">
        <v>2049</v>
      </c>
      <c r="AK2">
        <v>2050</v>
      </c>
    </row>
    <row r="3" ht="15" customHeight="1" spans="2:37">
      <c r="B3" t="s">
        <v>69</v>
      </c>
      <c r="D3" t="s">
        <v>70</v>
      </c>
      <c r="E3" t="s">
        <v>71</v>
      </c>
      <c r="F3">
        <v>853.4592</v>
      </c>
      <c r="G3">
        <v>810.034844105546</v>
      </c>
      <c r="H3">
        <v>743.8134</v>
      </c>
      <c r="I3">
        <v>682.5698</v>
      </c>
      <c r="J3">
        <v>621.3262</v>
      </c>
      <c r="K3">
        <v>560.0826</v>
      </c>
      <c r="L3">
        <v>498.839</v>
      </c>
      <c r="M3">
        <v>467.2294</v>
      </c>
      <c r="N3">
        <v>432.6564</v>
      </c>
      <c r="O3">
        <v>401.0468</v>
      </c>
      <c r="P3">
        <v>369.4372</v>
      </c>
      <c r="Q3">
        <v>336.8398</v>
      </c>
      <c r="R3">
        <v>330.913</v>
      </c>
      <c r="S3">
        <v>324.9862</v>
      </c>
      <c r="T3">
        <v>317.0838</v>
      </c>
      <c r="U3">
        <v>311.157</v>
      </c>
      <c r="V3">
        <v>304.2424</v>
      </c>
      <c r="W3">
        <v>296.34</v>
      </c>
      <c r="X3">
        <v>290.4132</v>
      </c>
      <c r="Y3">
        <v>284.4864</v>
      </c>
      <c r="Z3">
        <v>278.5596</v>
      </c>
      <c r="AA3">
        <v>270.6572</v>
      </c>
      <c r="AB3">
        <v>264.7304</v>
      </c>
      <c r="AC3">
        <v>257.8158</v>
      </c>
      <c r="AD3">
        <v>251.889</v>
      </c>
      <c r="AE3">
        <v>243.9866</v>
      </c>
      <c r="AF3">
        <v>238.0598</v>
      </c>
      <c r="AG3">
        <v>232.133</v>
      </c>
      <c r="AH3">
        <v>226.2062</v>
      </c>
      <c r="AI3">
        <v>218.3038</v>
      </c>
      <c r="AJ3">
        <v>212.377</v>
      </c>
      <c r="AK3">
        <v>205.4624</v>
      </c>
    </row>
    <row r="4" spans="2:37">
      <c r="E4" t="s">
        <v>72</v>
      </c>
      <c r="F4">
        <v>853.4592</v>
      </c>
      <c r="G4">
        <v>810.034844105546</v>
      </c>
      <c r="H4">
        <v>763.396365990771</v>
      </c>
      <c r="I4">
        <v>716.757887875997</v>
      </c>
      <c r="J4">
        <v>670.119409761222</v>
      </c>
      <c r="K4">
        <v>623.480931646448</v>
      </c>
      <c r="L4">
        <v>576.842453531673</v>
      </c>
      <c r="M4">
        <v>559.576452008747</v>
      </c>
      <c r="N4">
        <v>542.310450485821</v>
      </c>
      <c r="O4">
        <v>525.044448962894</v>
      </c>
      <c r="P4">
        <v>507.778447439968</v>
      </c>
      <c r="Q4">
        <v>490.512445917042</v>
      </c>
      <c r="R4">
        <v>485.225562192187</v>
      </c>
      <c r="S4">
        <v>479.938678467333</v>
      </c>
      <c r="T4">
        <v>474.651794742479</v>
      </c>
      <c r="U4">
        <v>469.364911017625</v>
      </c>
      <c r="V4">
        <v>464.078027292771</v>
      </c>
      <c r="W4">
        <v>458.791143567917</v>
      </c>
      <c r="X4">
        <v>453.504259843062</v>
      </c>
      <c r="Y4">
        <v>448.217376118208</v>
      </c>
      <c r="Z4">
        <v>442.930492393354</v>
      </c>
      <c r="AA4">
        <v>437.6436086685</v>
      </c>
      <c r="AB4">
        <v>432.356724943646</v>
      </c>
      <c r="AC4">
        <v>427.069841218791</v>
      </c>
      <c r="AD4">
        <v>421.782957493937</v>
      </c>
      <c r="AE4">
        <v>416.496073769083</v>
      </c>
      <c r="AF4">
        <v>411.209190044229</v>
      </c>
      <c r="AG4">
        <v>405.922306319375</v>
      </c>
      <c r="AH4">
        <v>400.635422594521</v>
      </c>
      <c r="AI4">
        <v>395.348538869667</v>
      </c>
      <c r="AJ4">
        <v>390.061655144812</v>
      </c>
      <c r="AK4">
        <v>384.774771419959</v>
      </c>
    </row>
    <row r="5" spans="2:37">
      <c r="E5" t="s">
        <v>73</v>
      </c>
      <c r="F5">
        <v>853.4592</v>
      </c>
      <c r="G5">
        <v>810.034844105546</v>
      </c>
      <c r="H5">
        <v>784.3132</v>
      </c>
      <c r="I5">
        <v>760.606</v>
      </c>
      <c r="J5">
        <v>739.8622</v>
      </c>
      <c r="K5">
        <v>717.1428</v>
      </c>
      <c r="L5">
        <v>694.4234</v>
      </c>
      <c r="M5">
        <v>674.37106</v>
      </c>
      <c r="N5">
        <v>654.31872</v>
      </c>
      <c r="O5">
        <v>634.26638</v>
      </c>
      <c r="P5">
        <v>614.21404</v>
      </c>
      <c r="Q5">
        <v>594.1617</v>
      </c>
      <c r="R5">
        <v>594.1617</v>
      </c>
      <c r="S5">
        <v>594.1617</v>
      </c>
      <c r="T5">
        <v>594.1617</v>
      </c>
      <c r="U5">
        <v>594.1617</v>
      </c>
      <c r="V5">
        <v>594.1617</v>
      </c>
      <c r="W5">
        <v>594.1617</v>
      </c>
      <c r="X5">
        <v>594.1617</v>
      </c>
      <c r="Y5">
        <v>594.1617</v>
      </c>
      <c r="Z5">
        <v>594.1617</v>
      </c>
      <c r="AA5">
        <v>594.1617</v>
      </c>
      <c r="AB5">
        <v>594.1617</v>
      </c>
      <c r="AC5">
        <v>594.1617</v>
      </c>
      <c r="AD5">
        <v>594.1617</v>
      </c>
      <c r="AE5">
        <v>594.1617</v>
      </c>
      <c r="AF5">
        <v>594.1617</v>
      </c>
      <c r="AG5">
        <v>594.1617</v>
      </c>
      <c r="AH5">
        <v>594.1617</v>
      </c>
      <c r="AI5">
        <v>594.1617</v>
      </c>
      <c r="AJ5">
        <v>594.1617</v>
      </c>
      <c r="AK5">
        <v>594.1617</v>
      </c>
    </row>
    <row r="6" spans="2:37">
      <c r="E6" t="s">
        <v>74</v>
      </c>
      <c r="F6">
        <v>1434.2856</v>
      </c>
      <c r="G6">
        <v>1363.28423421537</v>
      </c>
      <c r="H6">
        <v>1249.567</v>
      </c>
      <c r="I6">
        <v>1146.8358</v>
      </c>
      <c r="J6">
        <v>1044.1046</v>
      </c>
      <c r="K6">
        <v>941.3734</v>
      </c>
      <c r="L6">
        <v>838.6422</v>
      </c>
      <c r="M6">
        <v>785.301</v>
      </c>
      <c r="N6">
        <v>727.0208</v>
      </c>
      <c r="O6">
        <v>673.6796</v>
      </c>
      <c r="P6">
        <v>620.3384</v>
      </c>
      <c r="Q6">
        <v>566.0094</v>
      </c>
      <c r="R6">
        <v>556.1314</v>
      </c>
      <c r="S6">
        <v>546.2534</v>
      </c>
      <c r="T6">
        <v>532.4242</v>
      </c>
      <c r="U6">
        <v>522.5462</v>
      </c>
      <c r="V6">
        <v>511.6804</v>
      </c>
      <c r="W6">
        <v>497.8512</v>
      </c>
      <c r="X6">
        <v>487.9732</v>
      </c>
      <c r="Y6">
        <v>478.0952</v>
      </c>
      <c r="Z6">
        <v>468.2172</v>
      </c>
      <c r="AA6">
        <v>454.388</v>
      </c>
      <c r="AB6">
        <v>444.51</v>
      </c>
      <c r="AC6">
        <v>433.6442</v>
      </c>
      <c r="AD6">
        <v>423.7662</v>
      </c>
      <c r="AE6">
        <v>409.937</v>
      </c>
      <c r="AF6">
        <v>400.059</v>
      </c>
      <c r="AG6">
        <v>390.181</v>
      </c>
      <c r="AH6">
        <v>380.303</v>
      </c>
      <c r="AI6">
        <v>366.4738</v>
      </c>
      <c r="AJ6">
        <v>356.5958</v>
      </c>
      <c r="AK6">
        <v>345.73</v>
      </c>
    </row>
    <row r="7" spans="2:37">
      <c r="E7" t="s">
        <v>75</v>
      </c>
      <c r="F7">
        <v>1434.2856</v>
      </c>
      <c r="G7">
        <v>1363.28423421537</v>
      </c>
      <c r="H7">
        <v>1281.81306483994</v>
      </c>
      <c r="I7">
        <v>1200.34189546452</v>
      </c>
      <c r="J7">
        <v>1118.8707260891</v>
      </c>
      <c r="K7">
        <v>1037.39955671368</v>
      </c>
      <c r="L7">
        <v>955.928387338264</v>
      </c>
      <c r="M7">
        <v>921.56147421097</v>
      </c>
      <c r="N7">
        <v>887.194561083675</v>
      </c>
      <c r="O7">
        <v>852.827647956381</v>
      </c>
      <c r="P7">
        <v>818.460734829086</v>
      </c>
      <c r="Q7">
        <v>784.093821701792</v>
      </c>
      <c r="R7">
        <v>774.292648930519</v>
      </c>
      <c r="S7">
        <v>764.491476159247</v>
      </c>
      <c r="T7">
        <v>754.690303387975</v>
      </c>
      <c r="U7">
        <v>744.889130616702</v>
      </c>
      <c r="V7">
        <v>735.08795784543</v>
      </c>
      <c r="W7">
        <v>725.286785074157</v>
      </c>
      <c r="X7">
        <v>715.485612302885</v>
      </c>
      <c r="Y7">
        <v>705.684439531612</v>
      </c>
      <c r="Z7">
        <v>695.88326676034</v>
      </c>
      <c r="AA7">
        <v>686.082093989067</v>
      </c>
      <c r="AB7">
        <v>676.280921217795</v>
      </c>
      <c r="AC7">
        <v>666.479748446523</v>
      </c>
      <c r="AD7">
        <v>656.67857567525</v>
      </c>
      <c r="AE7">
        <v>646.877402903978</v>
      </c>
      <c r="AF7">
        <v>637.076230132705</v>
      </c>
      <c r="AG7">
        <v>627.275057361433</v>
      </c>
      <c r="AH7">
        <v>617.47388459016</v>
      </c>
      <c r="AI7">
        <v>607.672711818888</v>
      </c>
      <c r="AJ7">
        <v>597.871539047616</v>
      </c>
      <c r="AK7">
        <v>588.070366276344</v>
      </c>
    </row>
    <row r="8" spans="2:37">
      <c r="E8" t="s">
        <v>76</v>
      </c>
      <c r="F8">
        <v>1434.2856</v>
      </c>
      <c r="G8">
        <v>1363.28423421537</v>
      </c>
      <c r="H8">
        <v>1317.7252</v>
      </c>
      <c r="I8">
        <v>1278.2132</v>
      </c>
      <c r="J8">
        <v>1243.6402</v>
      </c>
      <c r="K8">
        <v>1205.116</v>
      </c>
      <c r="L8">
        <v>1166.5918</v>
      </c>
      <c r="M8">
        <v>1129.45052</v>
      </c>
      <c r="N8">
        <v>1092.30924</v>
      </c>
      <c r="O8">
        <v>1055.16796</v>
      </c>
      <c r="P8">
        <v>1018.02668</v>
      </c>
      <c r="Q8">
        <v>980.8854</v>
      </c>
      <c r="R8">
        <v>980.8854</v>
      </c>
      <c r="S8">
        <v>980.8854</v>
      </c>
      <c r="T8">
        <v>980.8854</v>
      </c>
      <c r="U8">
        <v>980.8854</v>
      </c>
      <c r="V8">
        <v>980.8854</v>
      </c>
      <c r="W8">
        <v>980.8854</v>
      </c>
      <c r="X8">
        <v>980.8854</v>
      </c>
      <c r="Y8">
        <v>980.8854</v>
      </c>
      <c r="Z8">
        <v>980.8854</v>
      </c>
      <c r="AA8">
        <v>980.8854</v>
      </c>
      <c r="AB8">
        <v>980.8854</v>
      </c>
      <c r="AC8">
        <v>980.8854</v>
      </c>
      <c r="AD8">
        <v>980.8854</v>
      </c>
      <c r="AE8">
        <v>980.8854</v>
      </c>
      <c r="AF8">
        <v>980.8854</v>
      </c>
      <c r="AG8">
        <v>980.8854</v>
      </c>
      <c r="AH8">
        <v>980.8854</v>
      </c>
      <c r="AI8">
        <v>980.8854</v>
      </c>
      <c r="AJ8">
        <v>980.8854</v>
      </c>
      <c r="AK8">
        <v>980.8854</v>
      </c>
    </row>
    <row r="9" spans="2:37">
      <c r="E9" t="s">
        <v>77</v>
      </c>
      <c r="F9">
        <v>2015.112</v>
      </c>
      <c r="G9">
        <v>1916.53362432518</v>
      </c>
      <c r="H9">
        <v>1755.3206</v>
      </c>
      <c r="I9">
        <v>1611.1018</v>
      </c>
      <c r="J9">
        <v>1466.883</v>
      </c>
      <c r="K9">
        <v>1322.6642</v>
      </c>
      <c r="L9">
        <v>1178.4454</v>
      </c>
      <c r="M9">
        <v>1103.3726</v>
      </c>
      <c r="N9">
        <v>1021.3852</v>
      </c>
      <c r="O9">
        <v>946.3124</v>
      </c>
      <c r="P9">
        <v>871.2396</v>
      </c>
      <c r="Q9">
        <v>795.179</v>
      </c>
      <c r="R9">
        <v>781.3498</v>
      </c>
      <c r="S9">
        <v>767.5206</v>
      </c>
      <c r="T9">
        <v>747.7646</v>
      </c>
      <c r="U9">
        <v>733.9354</v>
      </c>
      <c r="V9">
        <v>719.1184</v>
      </c>
      <c r="W9">
        <v>699.3624</v>
      </c>
      <c r="X9">
        <v>685.5332</v>
      </c>
      <c r="Y9">
        <v>671.704</v>
      </c>
      <c r="Z9">
        <v>657.8748</v>
      </c>
      <c r="AA9">
        <v>638.1188</v>
      </c>
      <c r="AB9">
        <v>624.2896</v>
      </c>
      <c r="AC9">
        <v>609.4726</v>
      </c>
      <c r="AD9">
        <v>595.6434</v>
      </c>
      <c r="AE9">
        <v>575.8874</v>
      </c>
      <c r="AF9">
        <v>562.0582</v>
      </c>
      <c r="AG9">
        <v>548.229</v>
      </c>
      <c r="AH9">
        <v>534.3998</v>
      </c>
      <c r="AI9">
        <v>514.6438</v>
      </c>
      <c r="AJ9">
        <v>500.8146</v>
      </c>
      <c r="AK9">
        <v>485.9976</v>
      </c>
    </row>
    <row r="10" spans="2:37">
      <c r="E10" t="s">
        <v>78</v>
      </c>
      <c r="F10">
        <v>2015.112</v>
      </c>
      <c r="G10">
        <v>1916.53362432518</v>
      </c>
      <c r="H10">
        <v>1800.22976368912</v>
      </c>
      <c r="I10">
        <v>1683.92590305305</v>
      </c>
      <c r="J10">
        <v>1567.62204241699</v>
      </c>
      <c r="K10">
        <v>1451.31818178092</v>
      </c>
      <c r="L10">
        <v>1335.01432114486</v>
      </c>
      <c r="M10">
        <v>1283.54649641319</v>
      </c>
      <c r="N10">
        <v>1232.07867168153</v>
      </c>
      <c r="O10">
        <v>1180.61084694987</v>
      </c>
      <c r="P10">
        <v>1129.1430222182</v>
      </c>
      <c r="Q10">
        <v>1077.67519748654</v>
      </c>
      <c r="R10">
        <v>1063.35973566885</v>
      </c>
      <c r="S10">
        <v>1049.04427385116</v>
      </c>
      <c r="T10">
        <v>1034.72881203347</v>
      </c>
      <c r="U10">
        <v>1020.41335021578</v>
      </c>
      <c r="V10">
        <v>1006.09788839809</v>
      </c>
      <c r="W10">
        <v>991.782426580398</v>
      </c>
      <c r="X10">
        <v>977.466964762707</v>
      </c>
      <c r="Y10">
        <v>963.151502945016</v>
      </c>
      <c r="Z10">
        <v>948.836041127326</v>
      </c>
      <c r="AA10">
        <v>934.520579309635</v>
      </c>
      <c r="AB10">
        <v>920.205117491944</v>
      </c>
      <c r="AC10">
        <v>905.889655674254</v>
      </c>
      <c r="AD10">
        <v>891.574193856563</v>
      </c>
      <c r="AE10">
        <v>877.258732038872</v>
      </c>
      <c r="AF10">
        <v>862.943270221181</v>
      </c>
      <c r="AG10">
        <v>848.627808403491</v>
      </c>
      <c r="AH10">
        <v>834.3123465858</v>
      </c>
      <c r="AI10">
        <v>819.996884768109</v>
      </c>
      <c r="AJ10">
        <v>805.681422950419</v>
      </c>
      <c r="AK10">
        <v>791.365961132729</v>
      </c>
    </row>
    <row r="11" spans="2:37">
      <c r="E11" t="s">
        <v>79</v>
      </c>
      <c r="F11">
        <v>2015.112</v>
      </c>
      <c r="G11">
        <v>1916.53362432518</v>
      </c>
      <c r="H11">
        <v>1851.1372</v>
      </c>
      <c r="I11">
        <v>1795.8204</v>
      </c>
      <c r="J11">
        <v>1747.4182</v>
      </c>
      <c r="K11">
        <v>1693.0892</v>
      </c>
      <c r="L11">
        <v>1638.7602</v>
      </c>
      <c r="M11">
        <v>1584.52998</v>
      </c>
      <c r="N11">
        <v>1530.29976</v>
      </c>
      <c r="O11">
        <v>1476.06954</v>
      </c>
      <c r="P11">
        <v>1421.83932</v>
      </c>
      <c r="Q11">
        <v>1367.6091</v>
      </c>
      <c r="R11">
        <v>1367.6091</v>
      </c>
      <c r="S11">
        <v>1367.6091</v>
      </c>
      <c r="T11">
        <v>1367.6091</v>
      </c>
      <c r="U11">
        <v>1367.6091</v>
      </c>
      <c r="V11">
        <v>1367.6091</v>
      </c>
      <c r="W11">
        <v>1367.6091</v>
      </c>
      <c r="X11">
        <v>1367.6091</v>
      </c>
      <c r="Y11">
        <v>1367.6091</v>
      </c>
      <c r="Z11">
        <v>1367.6091</v>
      </c>
      <c r="AA11">
        <v>1367.6091</v>
      </c>
      <c r="AB11">
        <v>1367.6091</v>
      </c>
      <c r="AC11">
        <v>1367.6091</v>
      </c>
      <c r="AD11">
        <v>1367.6091</v>
      </c>
      <c r="AE11">
        <v>1367.6091</v>
      </c>
      <c r="AF11">
        <v>1367.6091</v>
      </c>
      <c r="AG11">
        <v>1367.6091</v>
      </c>
      <c r="AH11">
        <v>1367.6091</v>
      </c>
      <c r="AI11">
        <v>1367.6091</v>
      </c>
      <c r="AJ11">
        <v>1367.6091</v>
      </c>
      <c r="AK11">
        <v>1367.6091</v>
      </c>
    </row>
    <row r="12" spans="2:37">
      <c r="E12" t="s">
        <v>80</v>
      </c>
      <c r="F12">
        <v>2595.9384</v>
      </c>
      <c r="G12">
        <v>2469.783014435</v>
      </c>
      <c r="H12">
        <v>2261.0742</v>
      </c>
      <c r="I12">
        <v>2075.3678</v>
      </c>
      <c r="J12">
        <v>1889.6614</v>
      </c>
      <c r="K12">
        <v>1703.955</v>
      </c>
      <c r="L12">
        <v>1518.2486</v>
      </c>
      <c r="M12">
        <v>1421.4442</v>
      </c>
      <c r="N12">
        <v>1315.7496</v>
      </c>
      <c r="O12">
        <v>1218.9452</v>
      </c>
      <c r="P12">
        <v>1122.1408</v>
      </c>
      <c r="Q12">
        <v>1024.3486</v>
      </c>
      <c r="R12">
        <v>1006.5682</v>
      </c>
      <c r="S12">
        <v>988.7878</v>
      </c>
      <c r="T12">
        <v>963.105</v>
      </c>
      <c r="U12">
        <v>945.3246</v>
      </c>
      <c r="V12">
        <v>926.5564</v>
      </c>
      <c r="W12">
        <v>900.8736</v>
      </c>
      <c r="X12">
        <v>883.0932</v>
      </c>
      <c r="Y12">
        <v>865.3128</v>
      </c>
      <c r="Z12">
        <v>847.5324</v>
      </c>
      <c r="AA12">
        <v>821.8496</v>
      </c>
      <c r="AB12">
        <v>804.0692</v>
      </c>
      <c r="AC12">
        <v>785.301</v>
      </c>
      <c r="AD12">
        <v>767.5206</v>
      </c>
      <c r="AE12">
        <v>741.8378</v>
      </c>
      <c r="AF12">
        <v>724.0574</v>
      </c>
      <c r="AG12">
        <v>706.277</v>
      </c>
      <c r="AH12">
        <v>688.4966</v>
      </c>
      <c r="AI12">
        <v>662.8138</v>
      </c>
      <c r="AJ12">
        <v>645.0334</v>
      </c>
      <c r="AK12">
        <v>626.2652</v>
      </c>
    </row>
    <row r="13" spans="2:37">
      <c r="E13" t="s">
        <v>81</v>
      </c>
      <c r="F13">
        <v>2595.9384</v>
      </c>
      <c r="G13">
        <v>2469.783014435</v>
      </c>
      <c r="H13">
        <v>2318.64646253829</v>
      </c>
      <c r="I13">
        <v>2167.50991064158</v>
      </c>
      <c r="J13">
        <v>2016.37335874487</v>
      </c>
      <c r="K13">
        <v>1865.23680684816</v>
      </c>
      <c r="L13">
        <v>1714.10025495145</v>
      </c>
      <c r="M13">
        <v>1645.53151861542</v>
      </c>
      <c r="N13">
        <v>1576.96278227938</v>
      </c>
      <c r="O13">
        <v>1508.39404594335</v>
      </c>
      <c r="P13">
        <v>1439.82530960732</v>
      </c>
      <c r="Q13">
        <v>1371.25657327129</v>
      </c>
      <c r="R13">
        <v>1352.42682240718</v>
      </c>
      <c r="S13">
        <v>1333.59707154307</v>
      </c>
      <c r="T13">
        <v>1314.76732067897</v>
      </c>
      <c r="U13">
        <v>1295.93756981486</v>
      </c>
      <c r="V13">
        <v>1277.10781895075</v>
      </c>
      <c r="W13">
        <v>1258.27806808664</v>
      </c>
      <c r="X13">
        <v>1239.44831722253</v>
      </c>
      <c r="Y13">
        <v>1220.61856635842</v>
      </c>
      <c r="Z13">
        <v>1201.78881549431</v>
      </c>
      <c r="AA13">
        <v>1182.9590646302</v>
      </c>
      <c r="AB13">
        <v>1164.12931376609</v>
      </c>
      <c r="AC13">
        <v>1145.29956290198</v>
      </c>
      <c r="AD13">
        <v>1126.46981203788</v>
      </c>
      <c r="AE13">
        <v>1107.64006117377</v>
      </c>
      <c r="AF13">
        <v>1088.81031030966</v>
      </c>
      <c r="AG13">
        <v>1069.98055944555</v>
      </c>
      <c r="AH13">
        <v>1051.15080858144</v>
      </c>
      <c r="AI13">
        <v>1032.32105771733</v>
      </c>
      <c r="AJ13">
        <v>1013.49130685322</v>
      </c>
      <c r="AK13">
        <v>994.661555989114</v>
      </c>
    </row>
    <row r="14" spans="2:37">
      <c r="E14" t="s">
        <v>82</v>
      </c>
      <c r="F14">
        <v>2595.9384</v>
      </c>
      <c r="G14">
        <v>2469.783014435</v>
      </c>
      <c r="H14">
        <v>2384.5492</v>
      </c>
      <c r="I14">
        <v>2313.4276</v>
      </c>
      <c r="J14">
        <v>2251.1962</v>
      </c>
      <c r="K14">
        <v>2181.0624</v>
      </c>
      <c r="L14">
        <v>2110.9286</v>
      </c>
      <c r="M14">
        <v>2039.60944</v>
      </c>
      <c r="N14">
        <v>1968.29028</v>
      </c>
      <c r="O14">
        <v>1896.97112</v>
      </c>
      <c r="P14">
        <v>1825.65196</v>
      </c>
      <c r="Q14">
        <v>1754.3328</v>
      </c>
      <c r="R14">
        <v>1754.3328</v>
      </c>
      <c r="S14">
        <v>1754.3328</v>
      </c>
      <c r="T14">
        <v>1754.3328</v>
      </c>
      <c r="U14">
        <v>1754.3328</v>
      </c>
      <c r="V14">
        <v>1754.3328</v>
      </c>
      <c r="W14">
        <v>1754.3328</v>
      </c>
      <c r="X14">
        <v>1754.3328</v>
      </c>
      <c r="Y14">
        <v>1754.3328</v>
      </c>
      <c r="Z14">
        <v>1754.3328</v>
      </c>
      <c r="AA14">
        <v>1754.3328</v>
      </c>
      <c r="AB14">
        <v>1754.3328</v>
      </c>
      <c r="AC14">
        <v>1754.3328</v>
      </c>
      <c r="AD14">
        <v>1754.3328</v>
      </c>
      <c r="AE14">
        <v>1754.3328</v>
      </c>
      <c r="AF14">
        <v>1754.3328</v>
      </c>
      <c r="AG14">
        <v>1754.3328</v>
      </c>
      <c r="AH14">
        <v>1754.3328</v>
      </c>
      <c r="AI14">
        <v>1754.3328</v>
      </c>
      <c r="AJ14">
        <v>1754.3328</v>
      </c>
      <c r="AK14">
        <v>1754.3328</v>
      </c>
    </row>
    <row r="15" spans="2:37">
      <c r="E15" t="s">
        <v>83</v>
      </c>
      <c r="F15">
        <v>3176.7648</v>
      </c>
      <c r="G15">
        <v>3023.03240454482</v>
      </c>
      <c r="H15">
        <v>2766.8278</v>
      </c>
      <c r="I15">
        <v>2539.6338</v>
      </c>
      <c r="J15">
        <v>2312.4398</v>
      </c>
      <c r="K15">
        <v>2085.2458</v>
      </c>
      <c r="L15">
        <v>1858.0518</v>
      </c>
      <c r="M15">
        <v>1739.5158</v>
      </c>
      <c r="N15">
        <v>1610.114</v>
      </c>
      <c r="O15">
        <v>1491.578</v>
      </c>
      <c r="P15">
        <v>1373.042</v>
      </c>
      <c r="Q15">
        <v>1253.5182</v>
      </c>
      <c r="R15">
        <v>1231.7866</v>
      </c>
      <c r="S15">
        <v>1210.055</v>
      </c>
      <c r="T15">
        <v>1178.4454</v>
      </c>
      <c r="U15">
        <v>1156.7138</v>
      </c>
      <c r="V15">
        <v>1133.9944</v>
      </c>
      <c r="W15">
        <v>1102.3848</v>
      </c>
      <c r="X15">
        <v>1080.6532</v>
      </c>
      <c r="Y15">
        <v>1058.9216</v>
      </c>
      <c r="Z15">
        <v>1037.19</v>
      </c>
      <c r="AA15">
        <v>1005.5804</v>
      </c>
      <c r="AB15">
        <v>983.8488</v>
      </c>
      <c r="AC15">
        <v>961.1294</v>
      </c>
      <c r="AD15">
        <v>939.3978</v>
      </c>
      <c r="AE15">
        <v>907.7882</v>
      </c>
      <c r="AF15">
        <v>886.0566</v>
      </c>
      <c r="AG15">
        <v>864.325</v>
      </c>
      <c r="AH15">
        <v>842.5934</v>
      </c>
      <c r="AI15">
        <v>810.9838</v>
      </c>
      <c r="AJ15">
        <v>789.2522</v>
      </c>
      <c r="AK15">
        <v>766.5328</v>
      </c>
    </row>
    <row r="16" spans="2:37">
      <c r="E16" t="s">
        <v>84</v>
      </c>
      <c r="F16">
        <v>3176.7648</v>
      </c>
      <c r="G16">
        <v>3023.03240454482</v>
      </c>
      <c r="H16">
        <v>2837.06316138747</v>
      </c>
      <c r="I16">
        <v>2651.09391823011</v>
      </c>
      <c r="J16">
        <v>2465.12467507275</v>
      </c>
      <c r="K16">
        <v>2279.15543191539</v>
      </c>
      <c r="L16">
        <v>2093.18618875804</v>
      </c>
      <c r="M16">
        <v>2007.51654081764</v>
      </c>
      <c r="N16">
        <v>1921.84689287724</v>
      </c>
      <c r="O16">
        <v>1836.17724493684</v>
      </c>
      <c r="P16">
        <v>1750.50759699644</v>
      </c>
      <c r="Q16">
        <v>1664.83794905604</v>
      </c>
      <c r="R16">
        <v>1641.49390914552</v>
      </c>
      <c r="S16">
        <v>1618.14986923499</v>
      </c>
      <c r="T16">
        <v>1594.80582932446</v>
      </c>
      <c r="U16">
        <v>1571.46178941393</v>
      </c>
      <c r="V16">
        <v>1548.11774950341</v>
      </c>
      <c r="W16">
        <v>1524.77370959288</v>
      </c>
      <c r="X16">
        <v>1501.42966968235</v>
      </c>
      <c r="Y16">
        <v>1478.08562977182</v>
      </c>
      <c r="Z16">
        <v>1454.7415898613</v>
      </c>
      <c r="AA16">
        <v>1431.39754995077</v>
      </c>
      <c r="AB16">
        <v>1408.05351004024</v>
      </c>
      <c r="AC16">
        <v>1384.70947012972</v>
      </c>
      <c r="AD16">
        <v>1361.36543021919</v>
      </c>
      <c r="AE16">
        <v>1338.02139030866</v>
      </c>
      <c r="AF16">
        <v>1314.67735039813</v>
      </c>
      <c r="AG16">
        <v>1291.33331048761</v>
      </c>
      <c r="AH16">
        <v>1267.98927057708</v>
      </c>
      <c r="AI16">
        <v>1244.64523066655</v>
      </c>
      <c r="AJ16">
        <v>1221.30119075603</v>
      </c>
      <c r="AK16">
        <v>1197.9571508455</v>
      </c>
    </row>
    <row r="17" spans="5:37">
      <c r="E17" t="s">
        <v>85</v>
      </c>
      <c r="F17">
        <v>3176.7648</v>
      </c>
      <c r="G17">
        <v>3023.03240454482</v>
      </c>
      <c r="H17">
        <v>2917.9612</v>
      </c>
      <c r="I17">
        <v>2831.0348</v>
      </c>
      <c r="J17">
        <v>2754.9742</v>
      </c>
      <c r="K17">
        <v>2669.0356</v>
      </c>
      <c r="L17">
        <v>2583.097</v>
      </c>
      <c r="M17">
        <v>2494.6889</v>
      </c>
      <c r="N17">
        <v>2406.2808</v>
      </c>
      <c r="O17">
        <v>2317.8727</v>
      </c>
      <c r="P17">
        <v>2229.4646</v>
      </c>
      <c r="Q17">
        <v>2141.0565</v>
      </c>
      <c r="R17">
        <v>2141.0565</v>
      </c>
      <c r="S17">
        <v>2141.0565</v>
      </c>
      <c r="T17">
        <v>2141.0565</v>
      </c>
      <c r="U17">
        <v>2141.0565</v>
      </c>
      <c r="V17">
        <v>2141.0565</v>
      </c>
      <c r="W17">
        <v>2141.0565</v>
      </c>
      <c r="X17">
        <v>2141.0565</v>
      </c>
      <c r="Y17">
        <v>2141.0565</v>
      </c>
      <c r="Z17">
        <v>2141.0565</v>
      </c>
      <c r="AA17">
        <v>2141.0565</v>
      </c>
      <c r="AB17">
        <v>2141.0565</v>
      </c>
      <c r="AC17">
        <v>2141.0565</v>
      </c>
      <c r="AD17">
        <v>2141.0565</v>
      </c>
      <c r="AE17">
        <v>2141.0565</v>
      </c>
      <c r="AF17">
        <v>2141.0565</v>
      </c>
      <c r="AG17">
        <v>2141.0565</v>
      </c>
      <c r="AH17">
        <v>2141.0565</v>
      </c>
      <c r="AI17">
        <v>2141.0565</v>
      </c>
      <c r="AJ17">
        <v>2141.0565</v>
      </c>
      <c r="AK17">
        <v>2141.0565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"/>
  <sheetViews>
    <sheetView workbookViewId="0">
      <selection activeCell="O8" sqref="O8"/>
    </sheetView>
  </sheetViews>
  <sheetFormatPr defaultColWidth="9" defaultRowHeight="13.5"/>
  <cols>
    <col min="1" max="16" width="9" style="41"/>
    <col min="17" max="17" width="11.6283185840708" style="41" customWidth="1"/>
    <col min="18" max="16384" width="9" style="41"/>
  </cols>
  <sheetData>
    <row r="1" spans="1:20">
      <c r="B1" s="41">
        <v>2021</v>
      </c>
      <c r="C1" s="49" t="s">
        <v>86</v>
      </c>
      <c r="D1" s="49"/>
      <c r="E1" s="49"/>
      <c r="F1" s="49"/>
      <c r="G1" s="49"/>
      <c r="H1" s="49"/>
      <c r="I1" s="49" t="s">
        <v>87</v>
      </c>
      <c r="J1" s="49"/>
      <c r="K1" s="49"/>
      <c r="L1" s="49"/>
      <c r="M1" s="49"/>
      <c r="N1" s="49"/>
      <c r="O1" s="41" t="s">
        <v>88</v>
      </c>
      <c r="R1" s="41" t="s">
        <v>89</v>
      </c>
    </row>
    <row r="2" ht="15.75" customHeight="1" spans="1:20">
      <c r="B2" s="41" t="s">
        <v>90</v>
      </c>
      <c r="D2" s="41" t="s">
        <v>91</v>
      </c>
      <c r="G2" s="41" t="s">
        <v>92</v>
      </c>
      <c r="J2" s="41" t="s">
        <v>91</v>
      </c>
      <c r="M2" s="41" t="s">
        <v>92</v>
      </c>
      <c r="R2" s="79">
        <f>AVERAGE(P4:P6)</f>
        <v>0.303333333333333</v>
      </c>
      <c r="S2" s="41" t="s">
        <v>93</v>
      </c>
    </row>
    <row r="3" spans="1:20">
      <c r="R3" s="41" t="s">
        <v>94</v>
      </c>
    </row>
    <row r="4" spans="1:20">
      <c r="A4" s="41" t="s">
        <v>95</v>
      </c>
      <c r="C4" s="41">
        <v>1.38</v>
      </c>
      <c r="D4" s="41">
        <v>1.82</v>
      </c>
      <c r="E4" s="41">
        <v>2.11</v>
      </c>
      <c r="F4" s="41">
        <v>1.71</v>
      </c>
      <c r="G4" s="41">
        <v>2.65</v>
      </c>
      <c r="H4" s="41">
        <v>3.47</v>
      </c>
      <c r="J4" s="41">
        <v>1.54</v>
      </c>
      <c r="M4" s="41">
        <v>1.92</v>
      </c>
      <c r="O4" s="80">
        <f>G4-D4</f>
        <v>0.83</v>
      </c>
      <c r="P4" s="80">
        <f>M4-J4</f>
        <v>0.38</v>
      </c>
      <c r="R4" s="80">
        <f>R2/SUM('China Battery Cost Breakdown'!E6:E8)*SUM('China Battery Cost Breakdown'!E4:E8)</f>
        <v>0.539259259259259</v>
      </c>
      <c r="S4" s="41" t="s">
        <v>93</v>
      </c>
    </row>
    <row r="5" spans="1:20">
      <c r="A5" s="41" t="s">
        <v>96</v>
      </c>
      <c r="C5" s="41">
        <v>1.3</v>
      </c>
      <c r="D5" s="41">
        <v>1.57</v>
      </c>
      <c r="E5" s="41">
        <v>2.26</v>
      </c>
      <c r="F5" s="41">
        <v>1.47</v>
      </c>
      <c r="G5" s="41">
        <v>1.81</v>
      </c>
      <c r="H5" s="41">
        <v>2.59</v>
      </c>
      <c r="J5" s="41">
        <v>1.24</v>
      </c>
      <c r="M5" s="41">
        <v>1.61</v>
      </c>
      <c r="O5" s="80">
        <f>G5-D5</f>
        <v>0.24</v>
      </c>
      <c r="P5" s="80">
        <f>M5-J5</f>
        <v>0.37</v>
      </c>
      <c r="R5" s="81">
        <f>R4*2*10^6*'Exchange Rate'!B24</f>
        <v>138440.028989085</v>
      </c>
      <c r="S5" s="41" t="s">
        <v>97</v>
      </c>
    </row>
    <row r="6" spans="1:20">
      <c r="A6" s="41" t="s">
        <v>98</v>
      </c>
      <c r="C6" s="41">
        <v>1.32</v>
      </c>
      <c r="D6" s="41">
        <v>1.48</v>
      </c>
      <c r="E6" s="41">
        <v>1.85</v>
      </c>
      <c r="F6" s="41">
        <v>1.39</v>
      </c>
      <c r="G6" s="41">
        <v>1.69</v>
      </c>
      <c r="H6" s="41">
        <v>2.25</v>
      </c>
      <c r="J6" s="41">
        <v>1.18</v>
      </c>
      <c r="M6" s="41">
        <v>1.34</v>
      </c>
      <c r="O6" s="80">
        <f>G6-D6</f>
        <v>0.21</v>
      </c>
      <c r="P6" s="80">
        <f>M6-J6</f>
        <v>0.16</v>
      </c>
    </row>
    <row r="7" spans="1:20">
      <c r="A7" s="41" t="s">
        <v>99</v>
      </c>
      <c r="B7" s="41">
        <v>1.475</v>
      </c>
      <c r="P7" s="80"/>
      <c r="R7" s="41" t="s">
        <v>100</v>
      </c>
    </row>
    <row r="8" spans="1:20">
      <c r="R8" s="41">
        <v>2021</v>
      </c>
      <c r="S8" s="41">
        <v>2022</v>
      </c>
      <c r="T8" s="41">
        <v>2023</v>
      </c>
    </row>
    <row r="9" spans="1:20">
      <c r="A9" s="82" t="s">
        <v>101</v>
      </c>
      <c r="B9" s="83">
        <f>AVERAGE(C9:M9)</f>
        <v>1.19450082003939</v>
      </c>
      <c r="C9" s="83">
        <f t="shared" ref="C9:H9" si="0">C4/C5</f>
        <v>1.06153846153846</v>
      </c>
      <c r="D9" s="83">
        <f t="shared" si="0"/>
        <v>1.15923566878981</v>
      </c>
      <c r="E9" s="83">
        <f t="shared" si="0"/>
        <v>0.933628318584071</v>
      </c>
      <c r="F9" s="83">
        <f t="shared" si="0"/>
        <v>1.16326530612245</v>
      </c>
      <c r="G9" s="83">
        <f t="shared" si="0"/>
        <v>1.46408839779006</v>
      </c>
      <c r="H9" s="83">
        <f t="shared" si="0"/>
        <v>1.33976833976834</v>
      </c>
      <c r="I9" s="83"/>
      <c r="J9" s="83">
        <f>J4/J5</f>
        <v>1.24193548387097</v>
      </c>
      <c r="K9" s="83"/>
      <c r="L9" s="83"/>
      <c r="M9" s="83">
        <f>M4/M5</f>
        <v>1.19254658385093</v>
      </c>
      <c r="Q9" s="41" t="s">
        <v>93</v>
      </c>
      <c r="R9" s="41">
        <f>B7</f>
        <v>1.475</v>
      </c>
      <c r="S9" s="41">
        <f>D5</f>
        <v>1.57</v>
      </c>
      <c r="T9" s="41">
        <f>J5</f>
        <v>1.24</v>
      </c>
    </row>
    <row r="10" spans="1:20">
      <c r="A10" s="82"/>
      <c r="B10" s="83">
        <f>AVERAGE(C10:M10)</f>
        <v>1</v>
      </c>
      <c r="C10" s="83">
        <f t="shared" ref="C10:H10" si="1">1</f>
        <v>1</v>
      </c>
      <c r="D10" s="83">
        <f t="shared" si="1"/>
        <v>1</v>
      </c>
      <c r="E10" s="83">
        <f t="shared" si="1"/>
        <v>1</v>
      </c>
      <c r="F10" s="83">
        <f t="shared" si="1"/>
        <v>1</v>
      </c>
      <c r="G10" s="83">
        <f t="shared" si="1"/>
        <v>1</v>
      </c>
      <c r="H10" s="83">
        <f t="shared" si="1"/>
        <v>1</v>
      </c>
      <c r="I10" s="83"/>
      <c r="J10" s="83">
        <f>1</f>
        <v>1</v>
      </c>
      <c r="K10" s="83"/>
      <c r="L10" s="83"/>
      <c r="M10" s="83">
        <f>1</f>
        <v>1</v>
      </c>
      <c r="Q10" s="41" t="s">
        <v>97</v>
      </c>
      <c r="R10" s="81">
        <f>R9*2*10^6*'Exchange Rate'!$B$23</f>
        <v>389025.256599774</v>
      </c>
      <c r="S10" s="81">
        <f>S9*2*10^6*'Exchange Rate'!$B$24</f>
        <v>403054.452530723</v>
      </c>
      <c r="T10" s="81">
        <f>T9*2*10^6*'Exchange Rate'!$B$24*0.978</f>
        <v>311332.608708954</v>
      </c>
    </row>
    <row r="11" spans="1:20">
      <c r="A11" s="82"/>
      <c r="B11" s="84">
        <f>AVERAGE(C11:M11)</f>
        <v>0.913570080345683</v>
      </c>
      <c r="C11" s="83">
        <f t="shared" ref="C11:H11" si="2">C6/C5</f>
        <v>1.01538461538462</v>
      </c>
      <c r="D11" s="83">
        <f t="shared" si="2"/>
        <v>0.942675159235669</v>
      </c>
      <c r="E11" s="83">
        <f t="shared" si="2"/>
        <v>0.81858407079646</v>
      </c>
      <c r="F11" s="83">
        <f t="shared" si="2"/>
        <v>0.945578231292517</v>
      </c>
      <c r="G11" s="83">
        <f t="shared" si="2"/>
        <v>0.933701657458563</v>
      </c>
      <c r="H11" s="83">
        <f t="shared" si="2"/>
        <v>0.868725868725869</v>
      </c>
      <c r="I11" s="83"/>
      <c r="J11" s="83">
        <f>J6/J5</f>
        <v>0.951612903225806</v>
      </c>
      <c r="K11" s="83"/>
      <c r="L11" s="83"/>
      <c r="M11" s="83">
        <f>M6/M5</f>
        <v>0.832298136645963</v>
      </c>
    </row>
  </sheetData>
  <mergeCells count="3">
    <mergeCell ref="C1:H1"/>
    <mergeCell ref="I1:N1"/>
    <mergeCell ref="A9:A11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0"/>
  <sheetViews>
    <sheetView workbookViewId="0">
      <selection activeCell="J30" sqref="J30"/>
    </sheetView>
  </sheetViews>
  <sheetFormatPr defaultColWidth="9" defaultRowHeight="13.5"/>
  <sheetData>
    <row r="1" ht="40.5" spans="2:10">
      <c r="B1" s="51" t="s">
        <v>102</v>
      </c>
      <c r="C1" s="52"/>
      <c r="D1" s="53" t="s">
        <v>103</v>
      </c>
      <c r="E1" s="53" t="s">
        <v>104</v>
      </c>
      <c r="F1" s="54" t="s">
        <v>105</v>
      </c>
      <c r="G1" s="55" t="s">
        <v>106</v>
      </c>
      <c r="H1" s="53" t="s">
        <v>107</v>
      </c>
      <c r="I1" s="53" t="s">
        <v>108</v>
      </c>
      <c r="J1" s="53" t="s">
        <v>109</v>
      </c>
    </row>
    <row r="2" spans="2:10">
      <c r="B2" s="56" t="s">
        <v>110</v>
      </c>
      <c r="C2" s="57">
        <v>2020</v>
      </c>
      <c r="D2" s="58">
        <v>257</v>
      </c>
      <c r="E2" s="59">
        <v>277</v>
      </c>
      <c r="F2" s="60">
        <v>1.4</v>
      </c>
      <c r="G2" s="61">
        <v>6.8</v>
      </c>
      <c r="H2" s="62">
        <v>0.92</v>
      </c>
      <c r="I2" s="63">
        <v>0.92</v>
      </c>
      <c r="J2" s="64">
        <v>1.5</v>
      </c>
    </row>
    <row r="3" spans="2:10">
      <c r="B3" s="65" t="s">
        <v>111</v>
      </c>
      <c r="C3" s="65" t="s">
        <v>112</v>
      </c>
      <c r="D3" s="66">
        <v>32</v>
      </c>
      <c r="E3" s="67">
        <v>70.9</v>
      </c>
      <c r="F3" s="68">
        <v>0.3</v>
      </c>
      <c r="G3" s="69">
        <v>1.4</v>
      </c>
      <c r="H3" s="70">
        <v>0.92</v>
      </c>
      <c r="I3" s="71">
        <v>0.92</v>
      </c>
      <c r="J3" s="72">
        <v>1.5</v>
      </c>
    </row>
    <row r="4" spans="2:10">
      <c r="B4" s="65" t="s">
        <v>111</v>
      </c>
      <c r="C4" s="65" t="s">
        <v>113</v>
      </c>
      <c r="D4" s="66">
        <v>110</v>
      </c>
      <c r="E4" s="67">
        <v>125.8</v>
      </c>
      <c r="F4" s="68">
        <v>0.8</v>
      </c>
      <c r="G4" s="69">
        <v>2.2</v>
      </c>
      <c r="H4" s="70">
        <v>0.92</v>
      </c>
      <c r="I4" s="71">
        <v>0.92</v>
      </c>
      <c r="J4" s="72">
        <v>1.5</v>
      </c>
    </row>
    <row r="5" spans="2:10">
      <c r="B5" s="65" t="s">
        <v>111</v>
      </c>
      <c r="C5" s="65" t="s">
        <v>114</v>
      </c>
      <c r="D5" s="66">
        <v>154</v>
      </c>
      <c r="E5" s="67">
        <v>177</v>
      </c>
      <c r="F5" s="68">
        <v>1.4</v>
      </c>
      <c r="G5" s="69">
        <v>3.2</v>
      </c>
      <c r="H5" s="70">
        <v>0.92</v>
      </c>
      <c r="I5" s="71">
        <v>0.92</v>
      </c>
      <c r="J5" s="72">
        <v>1.5</v>
      </c>
    </row>
    <row r="6" spans="2:10">
      <c r="B6" s="56" t="s">
        <v>115</v>
      </c>
      <c r="C6" s="57">
        <v>2020</v>
      </c>
      <c r="D6" s="73" t="s">
        <v>116</v>
      </c>
      <c r="E6" s="59">
        <v>171</v>
      </c>
      <c r="F6" s="60">
        <v>4.1</v>
      </c>
      <c r="G6" s="61">
        <v>0</v>
      </c>
      <c r="H6" s="62">
        <v>0.92</v>
      </c>
      <c r="I6" s="63">
        <v>0.88</v>
      </c>
      <c r="J6" s="64">
        <v>0</v>
      </c>
    </row>
    <row r="7" spans="2:10">
      <c r="B7" s="65" t="s">
        <v>117</v>
      </c>
      <c r="C7" s="65" t="s">
        <v>112</v>
      </c>
      <c r="D7" s="66">
        <v>297</v>
      </c>
      <c r="E7" s="67">
        <v>15.5</v>
      </c>
      <c r="F7" s="68">
        <v>4.1</v>
      </c>
      <c r="G7" s="69">
        <v>0</v>
      </c>
      <c r="H7" s="70">
        <v>0.92</v>
      </c>
      <c r="I7" s="71">
        <v>0.88</v>
      </c>
      <c r="J7" s="72">
        <v>0</v>
      </c>
    </row>
    <row r="8" spans="2:10">
      <c r="B8" s="65" t="s">
        <v>117</v>
      </c>
      <c r="C8" s="65" t="s">
        <v>113</v>
      </c>
      <c r="D8" s="66">
        <v>396</v>
      </c>
      <c r="E8" s="67">
        <v>48</v>
      </c>
      <c r="F8" s="68">
        <v>4.1</v>
      </c>
      <c r="G8" s="69">
        <v>0</v>
      </c>
      <c r="H8" s="70">
        <v>0.92</v>
      </c>
      <c r="I8" s="71">
        <v>0.88</v>
      </c>
      <c r="J8" s="72">
        <v>0</v>
      </c>
    </row>
    <row r="9" spans="2:10">
      <c r="B9" s="65" t="s">
        <v>117</v>
      </c>
      <c r="C9" s="65" t="s">
        <v>114</v>
      </c>
      <c r="D9" s="66">
        <v>530</v>
      </c>
      <c r="E9" s="67">
        <v>102.2</v>
      </c>
      <c r="F9" s="68">
        <v>4.1</v>
      </c>
      <c r="G9" s="69">
        <v>0</v>
      </c>
      <c r="H9" s="70">
        <v>0.92</v>
      </c>
      <c r="I9" s="71">
        <v>0.88</v>
      </c>
      <c r="J9" s="72">
        <v>0</v>
      </c>
    </row>
    <row r="10" ht="23.25" spans="2:10">
      <c r="B10" s="56" t="s">
        <v>118</v>
      </c>
      <c r="C10" s="57">
        <v>2020</v>
      </c>
      <c r="D10" s="73" t="s">
        <v>119</v>
      </c>
      <c r="E10" s="64">
        <v>3.7</v>
      </c>
      <c r="F10" s="74" t="s">
        <v>120</v>
      </c>
      <c r="G10" s="61">
        <v>0.1</v>
      </c>
      <c r="H10" s="62">
        <v>0.72</v>
      </c>
      <c r="I10" s="63">
        <v>0.6</v>
      </c>
      <c r="J10" s="64">
        <v>7.3</v>
      </c>
    </row>
    <row r="11" spans="2:10">
      <c r="B11" s="65" t="s">
        <v>121</v>
      </c>
      <c r="C11" s="65" t="s">
        <v>112</v>
      </c>
      <c r="D11" s="66">
        <v>595</v>
      </c>
      <c r="E11" s="72">
        <v>0.1</v>
      </c>
      <c r="F11" s="68">
        <v>14.9</v>
      </c>
      <c r="G11" s="69">
        <v>0</v>
      </c>
      <c r="H11" s="70">
        <v>0.7</v>
      </c>
      <c r="I11" s="71">
        <v>0.59</v>
      </c>
      <c r="J11" s="72">
        <v>1.5</v>
      </c>
    </row>
    <row r="12" spans="2:10">
      <c r="B12" s="65" t="s">
        <v>121</v>
      </c>
      <c r="C12" s="65" t="s">
        <v>113</v>
      </c>
      <c r="D12" s="66">
        <v>643</v>
      </c>
      <c r="E12" s="72">
        <v>2.4</v>
      </c>
      <c r="F12" s="68">
        <v>16.1</v>
      </c>
      <c r="G12" s="69">
        <v>0.1</v>
      </c>
      <c r="H12" s="70">
        <v>0.73</v>
      </c>
      <c r="I12" s="71">
        <v>0.63</v>
      </c>
      <c r="J12" s="72">
        <v>1.5</v>
      </c>
    </row>
    <row r="13" spans="2:10">
      <c r="B13" s="65" t="s">
        <v>121</v>
      </c>
      <c r="C13" s="65" t="s">
        <v>114</v>
      </c>
      <c r="D13" s="66">
        <v>950</v>
      </c>
      <c r="E13" s="72">
        <v>3.6</v>
      </c>
      <c r="F13" s="68">
        <v>23.7</v>
      </c>
      <c r="G13" s="69">
        <v>0.1</v>
      </c>
      <c r="H13" s="70">
        <v>0.72</v>
      </c>
      <c r="I13" s="71">
        <v>0.6</v>
      </c>
      <c r="J13" s="72">
        <v>1.5</v>
      </c>
    </row>
    <row r="15" spans="2:10">
      <c r="B15" s="75" t="s">
        <v>122</v>
      </c>
    </row>
    <row r="16" ht="30.4" spans="2:10">
      <c r="B16" s="51" t="s">
        <v>102</v>
      </c>
      <c r="C16" s="52"/>
      <c r="D16" s="53" t="s">
        <v>103</v>
      </c>
      <c r="E16" s="53" t="s">
        <v>104</v>
      </c>
      <c r="F16" s="54" t="s">
        <v>105</v>
      </c>
    </row>
    <row r="17" spans="2:6">
      <c r="B17" s="56" t="s">
        <v>110</v>
      </c>
      <c r="C17" s="57">
        <v>2020</v>
      </c>
      <c r="D17" s="76">
        <f>D2*'Exchange Rate'!$D$23</f>
        <v>217.75716130937</v>
      </c>
      <c r="E17" s="76">
        <f>E2*'Exchange Rate'!$D$23</f>
        <v>234.703243901539</v>
      </c>
      <c r="F17" s="77">
        <f>F2*'Exchange Rate'!$D$23</f>
        <v>1.18622578145182</v>
      </c>
    </row>
    <row r="18" spans="2:6">
      <c r="B18" s="65" t="s">
        <v>111</v>
      </c>
      <c r="C18" s="65" t="s">
        <v>112</v>
      </c>
      <c r="D18" s="78">
        <f>D3*'Exchange Rate'!$D$23</f>
        <v>27.1137321474702</v>
      </c>
      <c r="E18" s="78">
        <f>E3*'Exchange Rate'!$D$23</f>
        <v>60.0738627892387</v>
      </c>
      <c r="F18" s="78">
        <f>F3*'Exchange Rate'!$D$23</f>
        <v>0.254191238882533</v>
      </c>
    </row>
    <row r="19" spans="2:6">
      <c r="B19" s="65" t="s">
        <v>111</v>
      </c>
      <c r="C19" s="65" t="s">
        <v>113</v>
      </c>
      <c r="D19" s="78">
        <f>D4*'Exchange Rate'!$D$23</f>
        <v>93.2034542569288</v>
      </c>
      <c r="E19" s="78">
        <f>E4*'Exchange Rate'!$D$23</f>
        <v>106.590859504742</v>
      </c>
      <c r="F19" s="78">
        <f>F4*'Exchange Rate'!$D$23</f>
        <v>0.677843303686755</v>
      </c>
    </row>
    <row r="20" spans="2:6">
      <c r="B20" s="65" t="s">
        <v>111</v>
      </c>
      <c r="C20" s="65" t="s">
        <v>114</v>
      </c>
      <c r="D20" s="78">
        <f>D5*'Exchange Rate'!$D$23</f>
        <v>130.4848359597</v>
      </c>
      <c r="E20" s="78">
        <f>E5*'Exchange Rate'!$D$23</f>
        <v>149.972830940695</v>
      </c>
      <c r="F20" s="78">
        <f>F5*'Exchange Rate'!$D$23</f>
        <v>1.18622578145182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E12" sqref="E12"/>
    </sheetView>
  </sheetViews>
  <sheetFormatPr defaultColWidth="9" defaultRowHeight="13.5" outlineLevelCol="7"/>
  <cols>
    <col min="1" max="1" width="13" style="41" customWidth="1"/>
    <col min="2" max="2" width="32.5044247787611" style="41" customWidth="1"/>
    <col min="3" max="3" width="10.5044247787611" style="41" customWidth="1"/>
    <col min="4" max="6" width="9" style="41"/>
    <col min="7" max="7" width="14" style="41" customWidth="1"/>
    <col min="8" max="16384" width="9" style="41"/>
  </cols>
  <sheetData>
    <row r="1" spans="1:8">
      <c r="C1" s="41" t="s">
        <v>25</v>
      </c>
      <c r="D1" s="41" t="s">
        <v>33</v>
      </c>
      <c r="H1" s="41" t="s">
        <v>29</v>
      </c>
    </row>
    <row r="2" spans="1:8">
      <c r="A2" s="41" t="s">
        <v>123</v>
      </c>
      <c r="B2" s="41" t="s">
        <v>124</v>
      </c>
      <c r="C2" s="48">
        <v>0.7</v>
      </c>
      <c r="D2" s="48">
        <v>0.67</v>
      </c>
      <c r="E2" s="48">
        <f>AVERAGE(C2:D2)</f>
        <v>0.685</v>
      </c>
      <c r="F2" s="49" t="s">
        <v>125</v>
      </c>
      <c r="G2" s="41" t="s">
        <v>126</v>
      </c>
      <c r="H2" s="48">
        <v>0.5</v>
      </c>
    </row>
    <row r="3" spans="1:8">
      <c r="A3" s="41" t="s">
        <v>127</v>
      </c>
      <c r="B3" s="41" t="s">
        <v>128</v>
      </c>
      <c r="C3" s="48">
        <v>0.06</v>
      </c>
      <c r="D3" s="48">
        <v>0.09</v>
      </c>
      <c r="E3" s="48">
        <f t="shared" ref="E3:E8" si="0">AVERAGE(C3:D3)</f>
        <v>0.075</v>
      </c>
      <c r="F3" s="49"/>
      <c r="G3" s="41" t="s">
        <v>129</v>
      </c>
      <c r="H3" s="48">
        <v>0.16</v>
      </c>
    </row>
    <row r="4" spans="1:8">
      <c r="A4" s="41" t="s">
        <v>130</v>
      </c>
      <c r="B4" s="41" t="s">
        <v>131</v>
      </c>
      <c r="C4" s="48">
        <v>0.06</v>
      </c>
      <c r="D4" s="48">
        <v>0.1</v>
      </c>
      <c r="E4" s="48">
        <f t="shared" si="0"/>
        <v>0.08</v>
      </c>
      <c r="F4" s="49"/>
      <c r="G4" s="41" t="s">
        <v>132</v>
      </c>
      <c r="H4" s="48">
        <v>0.17</v>
      </c>
    </row>
    <row r="5" spans="1:8">
      <c r="A5" s="41" t="s">
        <v>133</v>
      </c>
      <c r="B5" s="41" t="s">
        <v>134</v>
      </c>
      <c r="C5" s="48">
        <v>0.03</v>
      </c>
      <c r="D5" s="48">
        <v>0.02</v>
      </c>
      <c r="E5" s="48">
        <f t="shared" si="0"/>
        <v>0.025</v>
      </c>
      <c r="G5" s="41" t="s">
        <v>135</v>
      </c>
      <c r="H5" s="48">
        <v>0.05</v>
      </c>
    </row>
    <row r="6" spans="1:8">
      <c r="A6" s="41" t="s">
        <v>136</v>
      </c>
      <c r="B6" s="41" t="s">
        <v>137</v>
      </c>
      <c r="C6" s="48">
        <v>0.08</v>
      </c>
      <c r="D6" s="48">
        <v>0.03</v>
      </c>
      <c r="E6" s="48">
        <f t="shared" si="0"/>
        <v>0.055</v>
      </c>
      <c r="G6" s="41" t="s">
        <v>138</v>
      </c>
      <c r="H6" s="48">
        <v>0.12</v>
      </c>
    </row>
    <row r="7" spans="1:8">
      <c r="A7" s="41" t="s">
        <v>139</v>
      </c>
      <c r="B7" s="41" t="s">
        <v>140</v>
      </c>
      <c r="C7" s="48">
        <v>0.03</v>
      </c>
      <c r="D7" s="48">
        <v>0.06</v>
      </c>
      <c r="E7" s="48">
        <f t="shared" si="0"/>
        <v>0.045</v>
      </c>
    </row>
    <row r="8" spans="1:8">
      <c r="A8" s="41" t="s">
        <v>141</v>
      </c>
      <c r="B8" s="41" t="s">
        <v>132</v>
      </c>
      <c r="C8" s="48">
        <v>0.04</v>
      </c>
      <c r="D8" s="48">
        <v>0.03</v>
      </c>
      <c r="E8" s="48">
        <f t="shared" si="0"/>
        <v>0.035</v>
      </c>
    </row>
    <row r="11" spans="1:8">
      <c r="A11" s="41" t="s">
        <v>25</v>
      </c>
      <c r="B11" s="50" t="s">
        <v>26</v>
      </c>
    </row>
    <row r="12" spans="1:8">
      <c r="A12" s="41" t="s">
        <v>29</v>
      </c>
      <c r="B12" s="50" t="s">
        <v>31</v>
      </c>
    </row>
    <row r="13" spans="1:8">
      <c r="A13" s="41" t="s">
        <v>33</v>
      </c>
      <c r="B13" s="50" t="s">
        <v>34</v>
      </c>
    </row>
  </sheetData>
  <mergeCells count="1">
    <mergeCell ref="F2:F4"/>
  </mergeCells>
  <hyperlinks>
    <hyperlink ref="B11" r:id="rId1" location=":~:text=%E6%88%90%E6%9C%AC%E6%9E%84%E6%88%90%20%E9%94%82%E7%94%B5%E5%82%A8%E8%83%BD%E7%B3%BB%E7%BB%9F%E5%B7%A5%E7%A8%8B%E5%BB%BA%E8%AE%BE%E6%88%90%E6%9C%AC%E5%A4%A7%E8%87%B4%E4%B8%BA%E7%BA%A6%201.5-2%20%E5%85%83%2FWh%EF%BC%8C%E5%85%B6%E4%B8%AD%E5%82%A8%E8%83%BD%E7%B3%BB%E7%BB%9F%E5%8D%A0,90%25%E4%BB%A5%E4%B8%8A%E3%80%82%20%E5%82%A8%E8%83%BD%E7%B3%BB%E7%BB%9F%E4%B8%AD%E5%8F%88%E4%BB%A5%E7%94%B5%E6%B1%A0%E5%8D%A0%E6%AF%94%E6%9C%80%E9%AB%98%EF%BC%8C%E5%A4%A7%E8%87%B4%E4%B8%BA%2050%25-70%25%EF%BC%88%E8%80%83%E8%99%91%E7%94%B5%E8%8A%AF%E6%B6%A8%E4%BB%B7%E5%90%8E%EF%BC%8C%E5%8D%A0%E6%AF%94%E6%8F%90%E5%8D%87%EF%BC%89%EF%BC%8C%E5%85%B6%E4%BB%96%E7%B3%BB%E7%BB%9F%E7%BB%84%E4%BB%B6%E3%80%81%E7%AE%A1%E7%90%86%E7%B3%BB%E7%BB%9F%E5%88%86%E5%88%AB%E5%8D%A0%2020%25%E3%80%8115%25%E3%80%82" display="大储 ~ P2：成本测算"/>
    <hyperlink ref="B12" r:id="rId2" display="新型储能系统成本分析"/>
    <hyperlink ref="B13" r:id="rId3" display="韦伯咨询：2023年中国储能行业专题调研与深度分析报告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115" zoomScaleNormal="115" workbookViewId="0">
      <selection activeCell="E12" sqref="E12"/>
    </sheetView>
  </sheetViews>
  <sheetFormatPr defaultColWidth="9" defaultRowHeight="13.5" outlineLevelCol="7"/>
  <cols>
    <col min="1" max="1" width="10.2477876106195" style="41" customWidth="1"/>
    <col min="2" max="8" width="19.5044247787611" style="42" customWidth="1"/>
    <col min="9" max="9" width="19.5044247787611" style="41" customWidth="1"/>
    <col min="10" max="16384" width="9" style="41"/>
  </cols>
  <sheetData>
    <row r="1" spans="1:8">
      <c r="B1" s="42" t="s">
        <v>142</v>
      </c>
      <c r="C1" s="42" t="s">
        <v>143</v>
      </c>
      <c r="D1" s="42" t="s">
        <v>144</v>
      </c>
      <c r="E1" s="42" t="s">
        <v>142</v>
      </c>
      <c r="F1" s="42" t="s">
        <v>145</v>
      </c>
      <c r="G1" s="42" t="s">
        <v>143</v>
      </c>
      <c r="H1" s="42" t="s">
        <v>144</v>
      </c>
    </row>
    <row r="2" spans="1:8">
      <c r="A2" s="41" t="s">
        <v>64</v>
      </c>
      <c r="B2" s="42" t="s">
        <v>146</v>
      </c>
      <c r="C2" s="42" t="s">
        <v>147</v>
      </c>
      <c r="D2" s="42" t="s">
        <v>148</v>
      </c>
      <c r="E2" s="42" t="s">
        <v>149</v>
      </c>
      <c r="F2" s="42" t="s">
        <v>149</v>
      </c>
      <c r="G2" s="42" t="s">
        <v>149</v>
      </c>
      <c r="H2" s="42" t="s">
        <v>149</v>
      </c>
    </row>
    <row r="3" spans="1:8">
      <c r="A3" s="41">
        <v>2017</v>
      </c>
      <c r="D3" s="42">
        <v>558</v>
      </c>
      <c r="H3" s="42">
        <f>D3*'Exchange Rate'!D$24</f>
        <v>439.700005019006</v>
      </c>
    </row>
    <row r="4" spans="1:8">
      <c r="A4" s="41">
        <v>2018</v>
      </c>
      <c r="D4" s="42">
        <v>387</v>
      </c>
      <c r="H4" s="42">
        <f>D4*'Exchange Rate'!D$24</f>
        <v>304.953229287375</v>
      </c>
    </row>
    <row r="5" spans="1:8">
      <c r="A5" s="41">
        <v>2019</v>
      </c>
      <c r="B5" s="43">
        <f>(1.6+2.3)/2</f>
        <v>1.95</v>
      </c>
      <c r="C5" s="42">
        <v>333.708708708708</v>
      </c>
      <c r="D5" s="42">
        <v>341</v>
      </c>
      <c r="E5" s="43">
        <f>'BNEF Outlook'!B5*1000*'Exchange Rate'!B$22</f>
        <v>268.418822077057</v>
      </c>
      <c r="G5" s="42">
        <f>C5*'Exchange Rate'!D$22</f>
        <v>296.036556665934</v>
      </c>
      <c r="H5" s="42">
        <f>D5*'Exchange Rate'!D$24</f>
        <v>268.705558622726</v>
      </c>
    </row>
    <row r="6" spans="1:8">
      <c r="A6" s="41">
        <v>2020</v>
      </c>
      <c r="B6" s="42">
        <v>1.5</v>
      </c>
      <c r="C6" s="42">
        <v>299.239011739011</v>
      </c>
      <c r="D6" s="42">
        <v>267</v>
      </c>
      <c r="E6" s="42">
        <f>'BNEF Outlook'!B6*1000*'Exchange Rate'!B$22</f>
        <v>206.476016982351</v>
      </c>
      <c r="F6" s="44">
        <f>E6*'China Historical Battery Cost'!$B$11</f>
        <v>188.630311424023</v>
      </c>
      <c r="G6" s="42">
        <f>C6*'Exchange Rate'!D$22</f>
        <v>265.458120640956</v>
      </c>
      <c r="H6" s="42">
        <f>D6*'Exchange Rate'!D$24</f>
        <v>210.394088423073</v>
      </c>
    </row>
    <row r="7" spans="1:8">
      <c r="A7" s="41">
        <v>2021</v>
      </c>
      <c r="B7" s="42">
        <v>1.3</v>
      </c>
      <c r="C7" s="42">
        <v>278.910728910728</v>
      </c>
      <c r="D7" s="42">
        <v>256</v>
      </c>
      <c r="E7" s="42">
        <f>'BNEF Outlook'!B7*1000*'Exchange Rate'!B$22</f>
        <v>178.945881384705</v>
      </c>
      <c r="F7" s="45">
        <f>E7*'China Historical Battery Cost'!$B$11</f>
        <v>163.479603234154</v>
      </c>
      <c r="G7" s="42">
        <f>C7*'Exchange Rate'!D$22</f>
        <v>247.424684010841</v>
      </c>
      <c r="H7" s="42">
        <f>D7*'Exchange Rate'!D$24</f>
        <v>201.726167177178</v>
      </c>
    </row>
    <row r="8" spans="1:8">
      <c r="A8" s="41">
        <v>2022</v>
      </c>
      <c r="B8" s="42">
        <v>1.2</v>
      </c>
      <c r="C8" s="42">
        <v>259.466284466284</v>
      </c>
      <c r="D8" s="42">
        <v>324</v>
      </c>
      <c r="E8" s="42">
        <f>'BNEF Outlook'!B8*1000*'Exchange Rate'!B$22</f>
        <v>165.180813585881</v>
      </c>
      <c r="F8" s="46">
        <f>E8*'China Historical Battery Cost'!$B$11</f>
        <v>150.904249139219</v>
      </c>
      <c r="G8" s="42">
        <f>C8*'Exchange Rate'!D$22</f>
        <v>230.175309842905</v>
      </c>
      <c r="H8" s="42">
        <f>D8*'Exchange Rate'!D$24</f>
        <v>255.309680333616</v>
      </c>
    </row>
    <row r="9" spans="1:8">
      <c r="A9" s="41">
        <v>2023</v>
      </c>
      <c r="B9" s="42">
        <v>1.1</v>
      </c>
      <c r="C9" s="42">
        <v>239.138001638001</v>
      </c>
      <c r="E9" s="42">
        <f>'BNEF Outlook'!B9*1000*'Exchange Rate'!B$22</f>
        <v>151.415745787058</v>
      </c>
      <c r="F9" s="42">
        <f>E9*'China Historical Battery Cost'!$B$11</f>
        <v>138.328895044284</v>
      </c>
      <c r="G9" s="42">
        <f>C9*'Exchange Rate'!D$22</f>
        <v>212.141873212789</v>
      </c>
    </row>
    <row r="10" spans="1:8">
      <c r="A10" s="41">
        <v>2024</v>
      </c>
      <c r="B10" s="42">
        <v>1</v>
      </c>
      <c r="C10" s="42">
        <v>221.461233961233</v>
      </c>
      <c r="E10" s="42">
        <f>'BNEF Outlook'!B10*1000*'Exchange Rate'!B$22</f>
        <v>137.650677988234</v>
      </c>
      <c r="F10" s="42">
        <f>E10*'China Historical Battery Cost'!$B$11</f>
        <v>125.753540949349</v>
      </c>
      <c r="G10" s="42">
        <f>C10*'Exchange Rate'!D$22</f>
        <v>196.460623969211</v>
      </c>
    </row>
    <row r="11" spans="1:8">
      <c r="A11" s="41">
        <v>2025</v>
      </c>
      <c r="B11" s="42">
        <v>0.9</v>
      </c>
      <c r="C11" s="42">
        <v>209.087496587496</v>
      </c>
      <c r="E11" s="42">
        <f>'BNEF Outlook'!B11*1000*'Exchange Rate'!B$22</f>
        <v>123.885610189411</v>
      </c>
      <c r="F11" s="42">
        <f>E11*'China Historical Battery Cost'!$B$11</f>
        <v>113.178186854414</v>
      </c>
      <c r="G11" s="44">
        <f>C11*'Exchange Rate'!D$22</f>
        <v>185.483749498706</v>
      </c>
    </row>
    <row r="12" spans="1:8">
      <c r="A12" s="41">
        <v>2026</v>
      </c>
      <c r="C12" s="42">
        <v>199.365274365274</v>
      </c>
      <c r="G12" s="42">
        <f>C12*'Exchange Rate'!D$22</f>
        <v>176.859062414738</v>
      </c>
    </row>
    <row r="13" spans="1:8">
      <c r="A13" s="41">
        <v>2027</v>
      </c>
      <c r="C13" s="42">
        <v>188.759213759213</v>
      </c>
      <c r="G13" s="45">
        <f>C13*'Exchange Rate'!D$22</f>
        <v>167.45031286859</v>
      </c>
    </row>
    <row r="14" spans="1:8">
      <c r="A14" s="41">
        <v>2028</v>
      </c>
      <c r="C14" s="42">
        <v>180.804668304668</v>
      </c>
      <c r="G14" s="42">
        <f>C14*'Exchange Rate'!D$22</f>
        <v>160.39375070898</v>
      </c>
    </row>
    <row r="15" spans="1:8">
      <c r="A15" s="41">
        <v>2029</v>
      </c>
      <c r="C15" s="42">
        <v>174.617799617799</v>
      </c>
      <c r="G15" s="42">
        <f>C15*'Exchange Rate'!D$22</f>
        <v>154.905313473728</v>
      </c>
    </row>
    <row r="16" spans="1:8">
      <c r="A16" s="41">
        <v>2030</v>
      </c>
      <c r="C16" s="42">
        <v>167.547092547092</v>
      </c>
      <c r="G16" s="46">
        <f>C16*'Exchange Rate'!D$22</f>
        <v>148.632813776296</v>
      </c>
    </row>
    <row r="18" spans="2:3">
      <c r="B18" s="42" t="s">
        <v>29</v>
      </c>
      <c r="C18" s="47" t="s">
        <v>34</v>
      </c>
    </row>
    <row r="19" spans="2:3">
      <c r="B19" s="42" t="s">
        <v>41</v>
      </c>
      <c r="C19" s="47" t="s">
        <v>43</v>
      </c>
    </row>
  </sheetData>
  <hyperlinks>
    <hyperlink ref="C18" r:id="rId2" display="韦伯咨询：2023年中国储能行业专题调研与深度分析报告"/>
    <hyperlink ref="C19" r:id="rId3" display="2022年储能系统成本调查_电力网 (chinapower.com.cn)"/>
  </hyperlinks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D35" sqref="D35"/>
    </sheetView>
  </sheetViews>
  <sheetFormatPr defaultColWidth="9.12389380530973" defaultRowHeight="13.5"/>
  <cols>
    <col min="1" max="1" width="32.5044247787611" customWidth="1"/>
    <col min="2" max="13" width="11.2477876106195" customWidth="1"/>
  </cols>
  <sheetData>
    <row r="1" spans="1:13">
      <c r="A1" s="9" t="s">
        <v>150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>
      <c r="A2" s="11"/>
      <c r="B2" s="12" t="s">
        <v>151</v>
      </c>
      <c r="C2" s="13"/>
      <c r="D2" s="14"/>
      <c r="E2" s="12" t="s">
        <v>152</v>
      </c>
      <c r="F2" s="13"/>
      <c r="G2" s="14"/>
      <c r="H2" s="12" t="s">
        <v>153</v>
      </c>
      <c r="I2" s="13"/>
      <c r="J2" s="14"/>
      <c r="K2" s="12" t="s">
        <v>154</v>
      </c>
      <c r="L2" s="13"/>
      <c r="M2" s="14"/>
    </row>
    <row r="3" spans="1:13">
      <c r="A3" s="15" t="s">
        <v>155</v>
      </c>
      <c r="B3" s="16" t="s">
        <v>156</v>
      </c>
      <c r="C3" s="17" t="s">
        <v>157</v>
      </c>
      <c r="D3" s="15" t="s">
        <v>158</v>
      </c>
      <c r="E3" s="18" t="s">
        <v>159</v>
      </c>
      <c r="F3" s="17" t="s">
        <v>157</v>
      </c>
      <c r="G3" s="15" t="s">
        <v>158</v>
      </c>
      <c r="H3" s="18" t="s">
        <v>159</v>
      </c>
      <c r="I3" s="17" t="s">
        <v>157</v>
      </c>
      <c r="J3" s="15" t="s">
        <v>158</v>
      </c>
      <c r="K3" s="18" t="s">
        <v>159</v>
      </c>
      <c r="L3" s="17" t="s">
        <v>157</v>
      </c>
      <c r="M3" s="15" t="s">
        <v>158</v>
      </c>
    </row>
    <row r="4" spans="1:13">
      <c r="A4" s="19" t="s">
        <v>160</v>
      </c>
      <c r="B4" s="20">
        <v>50160000</v>
      </c>
      <c r="C4" s="21">
        <v>209</v>
      </c>
      <c r="D4" s="22">
        <v>0.84</v>
      </c>
      <c r="E4" s="23">
        <v>25080000</v>
      </c>
      <c r="F4" s="21">
        <v>209</v>
      </c>
      <c r="G4" s="22">
        <v>0.42</v>
      </c>
      <c r="H4" s="23">
        <v>12540000</v>
      </c>
      <c r="I4" s="21">
        <v>209</v>
      </c>
      <c r="J4" s="22">
        <v>0.21</v>
      </c>
      <c r="K4" s="23">
        <v>6270000</v>
      </c>
      <c r="L4" s="21">
        <v>209</v>
      </c>
      <c r="M4" s="22">
        <v>0.1</v>
      </c>
    </row>
    <row r="5" spans="1:13">
      <c r="A5" s="19" t="s">
        <v>161</v>
      </c>
      <c r="B5" s="20">
        <v>4200000</v>
      </c>
      <c r="C5" s="21">
        <v>18</v>
      </c>
      <c r="D5" s="22">
        <v>0.07</v>
      </c>
      <c r="E5" s="23">
        <v>4200000</v>
      </c>
      <c r="F5" s="21">
        <v>35</v>
      </c>
      <c r="G5" s="22">
        <v>0.07</v>
      </c>
      <c r="H5" s="23">
        <v>4200000</v>
      </c>
      <c r="I5" s="21">
        <v>70</v>
      </c>
      <c r="J5" s="22">
        <v>0.07</v>
      </c>
      <c r="K5" s="23">
        <v>4200000</v>
      </c>
      <c r="L5" s="21">
        <v>140</v>
      </c>
      <c r="M5" s="22">
        <v>0.07</v>
      </c>
    </row>
    <row r="6" spans="1:13">
      <c r="A6" s="19" t="s">
        <v>162</v>
      </c>
      <c r="B6" s="20">
        <v>3121131</v>
      </c>
      <c r="C6" s="21">
        <v>13</v>
      </c>
      <c r="D6" s="22">
        <v>0.05</v>
      </c>
      <c r="E6" s="23">
        <v>1813452</v>
      </c>
      <c r="F6" s="21">
        <v>15</v>
      </c>
      <c r="G6" s="22">
        <v>0.03</v>
      </c>
      <c r="H6" s="23">
        <v>1159612</v>
      </c>
      <c r="I6" s="21">
        <v>19</v>
      </c>
      <c r="J6" s="22">
        <v>0.02</v>
      </c>
      <c r="K6" s="23">
        <v>832692</v>
      </c>
      <c r="L6" s="21">
        <v>28</v>
      </c>
      <c r="M6" s="22">
        <v>0.01</v>
      </c>
    </row>
    <row r="7" spans="1:13">
      <c r="A7" s="19" t="s">
        <v>163</v>
      </c>
      <c r="B7" s="20">
        <v>8602825</v>
      </c>
      <c r="C7" s="21">
        <v>36</v>
      </c>
      <c r="D7" s="22">
        <v>0.14</v>
      </c>
      <c r="E7" s="23">
        <v>6119167</v>
      </c>
      <c r="F7" s="21">
        <v>51</v>
      </c>
      <c r="G7" s="22">
        <v>0.1</v>
      </c>
      <c r="H7" s="23">
        <v>4877337</v>
      </c>
      <c r="I7" s="21">
        <v>81</v>
      </c>
      <c r="J7" s="22">
        <v>0.08</v>
      </c>
      <c r="K7" s="23">
        <v>4256423</v>
      </c>
      <c r="L7" s="21">
        <v>142</v>
      </c>
      <c r="M7" s="22">
        <v>0.07</v>
      </c>
    </row>
    <row r="8" spans="1:13">
      <c r="A8" s="19" t="s">
        <v>164</v>
      </c>
      <c r="B8" s="20">
        <v>5479149</v>
      </c>
      <c r="C8" s="21">
        <v>23</v>
      </c>
      <c r="D8" s="22">
        <v>0.09</v>
      </c>
      <c r="E8" s="23">
        <v>4322275</v>
      </c>
      <c r="F8" s="21">
        <v>36</v>
      </c>
      <c r="G8" s="22">
        <v>0.07</v>
      </c>
      <c r="H8" s="23">
        <v>3743838</v>
      </c>
      <c r="I8" s="21">
        <v>62</v>
      </c>
      <c r="J8" s="22">
        <v>0.06</v>
      </c>
      <c r="K8" s="23">
        <v>3454619</v>
      </c>
      <c r="L8" s="21">
        <v>115</v>
      </c>
      <c r="M8" s="22">
        <v>0.06</v>
      </c>
    </row>
    <row r="9" spans="1:13">
      <c r="A9" s="19" t="s">
        <v>165</v>
      </c>
      <c r="B9" s="20">
        <v>2775545</v>
      </c>
      <c r="C9" s="21">
        <v>12</v>
      </c>
      <c r="D9" s="22">
        <v>0.05</v>
      </c>
      <c r="E9" s="23">
        <v>1948565</v>
      </c>
      <c r="F9" s="21">
        <v>16</v>
      </c>
      <c r="G9" s="22">
        <v>0.03</v>
      </c>
      <c r="H9" s="23">
        <v>1535075</v>
      </c>
      <c r="I9" s="21">
        <v>26</v>
      </c>
      <c r="J9" s="22">
        <v>0.03</v>
      </c>
      <c r="K9" s="23">
        <v>1328330</v>
      </c>
      <c r="L9" s="21">
        <v>44</v>
      </c>
      <c r="M9" s="22">
        <v>0.02</v>
      </c>
    </row>
    <row r="10" spans="1:13">
      <c r="A10" s="19" t="s">
        <v>166</v>
      </c>
      <c r="B10" s="20">
        <v>5293460</v>
      </c>
      <c r="C10" s="21">
        <v>22</v>
      </c>
      <c r="D10" s="22">
        <v>0.09</v>
      </c>
      <c r="E10" s="23">
        <v>3083292</v>
      </c>
      <c r="F10" s="21">
        <v>26</v>
      </c>
      <c r="G10" s="22">
        <v>0.05</v>
      </c>
      <c r="H10" s="23">
        <v>1978209</v>
      </c>
      <c r="I10" s="21">
        <v>33</v>
      </c>
      <c r="J10" s="22">
        <v>0.03</v>
      </c>
      <c r="K10" s="23">
        <v>1425667</v>
      </c>
      <c r="L10" s="21">
        <v>48</v>
      </c>
      <c r="M10" s="22">
        <v>0.02</v>
      </c>
    </row>
    <row r="11" spans="1:13">
      <c r="A11" s="24" t="s">
        <v>167</v>
      </c>
      <c r="B11" s="25">
        <v>79632110</v>
      </c>
      <c r="C11" s="26">
        <v>332</v>
      </c>
      <c r="D11" s="27">
        <v>1.33</v>
      </c>
      <c r="E11" s="28">
        <v>46566751</v>
      </c>
      <c r="F11" s="26">
        <v>388</v>
      </c>
      <c r="G11" s="27">
        <v>0.78</v>
      </c>
      <c r="H11" s="28">
        <v>30034071</v>
      </c>
      <c r="I11" s="26">
        <v>501</v>
      </c>
      <c r="J11" s="27">
        <v>0.5</v>
      </c>
      <c r="K11" s="28">
        <v>21767732</v>
      </c>
      <c r="L11" s="26">
        <v>726</v>
      </c>
      <c r="M11" s="27">
        <v>0.36</v>
      </c>
    </row>
    <row r="12" spans="1:13">
      <c r="A12" s="29" t="s">
        <v>168</v>
      </c>
      <c r="B12" s="30">
        <v>250000</v>
      </c>
      <c r="C12" s="31">
        <v>1</v>
      </c>
      <c r="D12" s="32">
        <v>0</v>
      </c>
      <c r="E12" s="33">
        <v>250000</v>
      </c>
      <c r="F12" s="31">
        <v>2</v>
      </c>
      <c r="G12" s="32">
        <v>0</v>
      </c>
      <c r="H12" s="33">
        <v>250000</v>
      </c>
      <c r="I12" s="31">
        <v>4</v>
      </c>
      <c r="J12" s="32">
        <v>0</v>
      </c>
      <c r="K12" s="33">
        <v>250000</v>
      </c>
      <c r="L12" s="31">
        <v>8</v>
      </c>
      <c r="M12" s="32">
        <v>0</v>
      </c>
    </row>
    <row r="13" spans="1:13">
      <c r="A13" s="19" t="s">
        <v>169</v>
      </c>
      <c r="B13" s="20">
        <v>295289</v>
      </c>
      <c r="C13" s="21">
        <v>1</v>
      </c>
      <c r="D13" s="22">
        <v>0</v>
      </c>
      <c r="E13" s="23">
        <v>295289</v>
      </c>
      <c r="F13" s="21">
        <v>2</v>
      </c>
      <c r="G13" s="22">
        <v>0</v>
      </c>
      <c r="H13" s="23">
        <v>295289</v>
      </c>
      <c r="I13" s="21">
        <v>5</v>
      </c>
      <c r="J13" s="22">
        <v>0</v>
      </c>
      <c r="K13" s="23">
        <v>295289</v>
      </c>
      <c r="L13" s="21">
        <v>10</v>
      </c>
      <c r="M13" s="22">
        <v>0</v>
      </c>
    </row>
    <row r="14" spans="1:13">
      <c r="A14" s="19" t="s">
        <v>170</v>
      </c>
      <c r="B14" s="20">
        <v>1802363</v>
      </c>
      <c r="C14" s="21">
        <v>8</v>
      </c>
      <c r="D14" s="22">
        <v>0.03</v>
      </c>
      <c r="E14" s="23">
        <v>1802363</v>
      </c>
      <c r="F14" s="21">
        <v>15</v>
      </c>
      <c r="G14" s="22">
        <v>0.03</v>
      </c>
      <c r="H14" s="23">
        <v>1802363</v>
      </c>
      <c r="I14" s="21">
        <v>30</v>
      </c>
      <c r="J14" s="22">
        <v>0.03</v>
      </c>
      <c r="K14" s="23">
        <v>1802363</v>
      </c>
      <c r="L14" s="21">
        <v>60</v>
      </c>
      <c r="M14" s="22">
        <v>0.03</v>
      </c>
    </row>
    <row r="15" spans="1:13">
      <c r="A15" s="19" t="s">
        <v>171</v>
      </c>
      <c r="B15" s="20">
        <v>2477135</v>
      </c>
      <c r="C15" s="21">
        <v>10</v>
      </c>
      <c r="D15" s="22">
        <v>0.04</v>
      </c>
      <c r="E15" s="23">
        <v>1476303</v>
      </c>
      <c r="F15" s="21">
        <v>12</v>
      </c>
      <c r="G15" s="22">
        <v>0.02</v>
      </c>
      <c r="H15" s="23">
        <v>975887</v>
      </c>
      <c r="I15" s="21">
        <v>16</v>
      </c>
      <c r="J15" s="22">
        <v>0.02</v>
      </c>
      <c r="K15" s="23">
        <v>725679</v>
      </c>
      <c r="L15" s="21">
        <v>24</v>
      </c>
      <c r="M15" s="22">
        <v>0.01</v>
      </c>
    </row>
    <row r="16" spans="1:13">
      <c r="A16" s="19" t="s">
        <v>172</v>
      </c>
      <c r="B16" s="20">
        <v>2477135</v>
      </c>
      <c r="C16" s="21">
        <v>10</v>
      </c>
      <c r="D16" s="22">
        <v>0.04</v>
      </c>
      <c r="E16" s="23">
        <v>1476303</v>
      </c>
      <c r="F16" s="21">
        <v>12</v>
      </c>
      <c r="G16" s="22">
        <v>0.02</v>
      </c>
      <c r="H16" s="23">
        <v>975887</v>
      </c>
      <c r="I16" s="21">
        <v>16</v>
      </c>
      <c r="J16" s="22">
        <v>0.02</v>
      </c>
      <c r="K16" s="23">
        <v>725679</v>
      </c>
      <c r="L16" s="21">
        <v>24</v>
      </c>
      <c r="M16" s="22">
        <v>0.01</v>
      </c>
    </row>
    <row r="17" spans="1:15">
      <c r="A17" s="19" t="s">
        <v>173</v>
      </c>
      <c r="B17" s="20">
        <v>4346702</v>
      </c>
      <c r="C17" s="21">
        <v>18</v>
      </c>
      <c r="D17" s="22">
        <v>0.07</v>
      </c>
      <c r="E17" s="23">
        <v>2593350</v>
      </c>
      <c r="F17" s="21">
        <v>22</v>
      </c>
      <c r="G17" s="22">
        <v>0.04</v>
      </c>
      <c r="H17" s="23">
        <v>1716675</v>
      </c>
      <c r="I17" s="21">
        <v>29</v>
      </c>
      <c r="J17" s="22">
        <v>0.03</v>
      </c>
      <c r="K17" s="23">
        <v>1278337</v>
      </c>
      <c r="L17" s="21">
        <v>43</v>
      </c>
      <c r="M17" s="22">
        <v>0.02</v>
      </c>
    </row>
    <row r="18" spans="1:15">
      <c r="A18" s="34" t="s">
        <v>174</v>
      </c>
      <c r="B18" s="35">
        <v>11648623</v>
      </c>
      <c r="C18" s="36">
        <v>49</v>
      </c>
      <c r="D18" s="37">
        <v>0.19</v>
      </c>
      <c r="E18" s="38">
        <v>7893608</v>
      </c>
      <c r="F18" s="36">
        <v>66</v>
      </c>
      <c r="G18" s="37">
        <v>0.13</v>
      </c>
      <c r="H18" s="38">
        <v>6016101</v>
      </c>
      <c r="I18" s="36">
        <v>100</v>
      </c>
      <c r="J18" s="37">
        <v>0.1</v>
      </c>
      <c r="K18" s="38">
        <v>5077347</v>
      </c>
      <c r="L18" s="36">
        <v>169</v>
      </c>
      <c r="M18" s="37">
        <v>0.08</v>
      </c>
    </row>
    <row r="20" spans="1:15">
      <c r="A20" s="39" t="s">
        <v>175</v>
      </c>
    </row>
    <row r="22" spans="1:15">
      <c r="A22" t="s">
        <v>176</v>
      </c>
      <c r="D22" s="5">
        <f>SUM(D5:D9,D12:D17)</f>
        <v>0.58</v>
      </c>
      <c r="E22" s="6" t="s">
        <v>177</v>
      </c>
      <c r="G22" s="5">
        <f>SUM(G5:G9,G12:G17)</f>
        <v>0.41</v>
      </c>
      <c r="J22" s="5">
        <f>SUM(J5:J9,J12:J17)</f>
        <v>0.36</v>
      </c>
      <c r="M22" s="5">
        <f>SUM(M5:M9,M12:M17)</f>
        <v>0.3</v>
      </c>
    </row>
    <row r="23" spans="1:15">
      <c r="A23" t="s">
        <v>178</v>
      </c>
      <c r="D23" s="40">
        <f>D10*SUM(D5:D7)/SUM(D4:D7)</f>
        <v>0.0212727272727273</v>
      </c>
      <c r="E23" s="6" t="s">
        <v>177</v>
      </c>
      <c r="G23" s="40">
        <f>G10*SUM(G5:G7)/SUM(G4:G7)</f>
        <v>0.0161290322580645</v>
      </c>
      <c r="J23" s="40">
        <f>J10*SUM(J5:J7)/SUM(J4:J7)</f>
        <v>0.0134210526315789</v>
      </c>
      <c r="M23" s="40">
        <f>M10*SUM(M5:M7)/SUM(M4:M7)</f>
        <v>0.012</v>
      </c>
    </row>
    <row r="24" spans="1:15">
      <c r="A24" t="s">
        <v>46</v>
      </c>
      <c r="D24" s="5">
        <f>SUM(D22:D23)</f>
        <v>0.601272727272727</v>
      </c>
      <c r="E24" s="6" t="s">
        <v>177</v>
      </c>
      <c r="G24" s="5">
        <f>SUM(G22:G23)</f>
        <v>0.426129032258065</v>
      </c>
      <c r="J24" s="5">
        <f>SUM(J22:J23)</f>
        <v>0.373421052631579</v>
      </c>
      <c r="M24" s="5">
        <f>SUM(M22:M23)</f>
        <v>0.312</v>
      </c>
    </row>
    <row r="25" spans="1:15">
      <c r="A25" t="s">
        <v>46</v>
      </c>
      <c r="D25" s="1">
        <f>D24*10^6</f>
        <v>601272.727272727</v>
      </c>
      <c r="E25" s="6" t="s">
        <v>179</v>
      </c>
      <c r="G25" s="1">
        <f>G24*10^6</f>
        <v>426129.032258065</v>
      </c>
      <c r="J25" s="1">
        <f>J24*10^6</f>
        <v>373421.052631579</v>
      </c>
      <c r="M25" s="1">
        <f>M24*10^6</f>
        <v>312000</v>
      </c>
    </row>
    <row r="26" spans="1:15">
      <c r="A26" t="s">
        <v>46</v>
      </c>
      <c r="D26" s="1">
        <f>D25*About!$A$49</f>
        <v>549760.104439361</v>
      </c>
      <c r="E26" s="6" t="s">
        <v>180</v>
      </c>
      <c r="G26" s="1">
        <f>G25*About!$A$49</f>
        <v>389621.432426249</v>
      </c>
      <c r="J26" s="1">
        <f>J25*About!$A$49</f>
        <v>341429.084644772</v>
      </c>
      <c r="M26" s="1">
        <f>M25*About!$A$49</f>
        <v>285270.135838507</v>
      </c>
    </row>
    <row r="28" spans="1:15">
      <c r="A28" t="s">
        <v>181</v>
      </c>
    </row>
    <row r="30" spans="1:15">
      <c r="A30" t="s">
        <v>182</v>
      </c>
      <c r="B30" s="6" t="s">
        <v>177</v>
      </c>
      <c r="D30" s="8">
        <f>D24-D31</f>
        <v>0.411272727272727</v>
      </c>
      <c r="G30" s="8">
        <f>G24-G31</f>
        <v>0.296129032258065</v>
      </c>
      <c r="J30" s="8">
        <f>J24-J31</f>
        <v>0.273421052631579</v>
      </c>
      <c r="M30" s="8">
        <f>M24-M31</f>
        <v>0.232</v>
      </c>
      <c r="O30" s="8">
        <f>AVERAGE(D30:M30)</f>
        <v>0.303205703040593</v>
      </c>
    </row>
    <row r="31" spans="1:15">
      <c r="A31" t="s">
        <v>183</v>
      </c>
      <c r="B31" s="6" t="s">
        <v>177</v>
      </c>
      <c r="D31" s="8">
        <f>D18</f>
        <v>0.19</v>
      </c>
      <c r="G31" s="8">
        <f>G18</f>
        <v>0.13</v>
      </c>
      <c r="J31" s="8">
        <f>J18</f>
        <v>0.1</v>
      </c>
      <c r="M31" s="8">
        <f>M18</f>
        <v>0.08</v>
      </c>
      <c r="O31" s="8">
        <f>AVERAGE(D31:M31)</f>
        <v>0.125</v>
      </c>
    </row>
    <row r="35" spans="1:4">
      <c r="A35" t="s">
        <v>184</v>
      </c>
      <c r="B35" s="6" t="s">
        <v>180</v>
      </c>
      <c r="D35" s="3">
        <f>'China Historical Battery Cost'!R5</f>
        <v>138440.028989085</v>
      </c>
    </row>
    <row r="36" spans="1:4">
      <c r="A36" t="s">
        <v>185</v>
      </c>
      <c r="B36" s="6" t="s">
        <v>180</v>
      </c>
      <c r="D36" s="3">
        <f>D35/O30*(O30+O31)</f>
        <v>195513.505675369</v>
      </c>
    </row>
  </sheetData>
  <mergeCells count="4">
    <mergeCell ref="B2:D2"/>
    <mergeCell ref="E2:G2"/>
    <mergeCell ref="H2:J2"/>
    <mergeCell ref="K2:M2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3"/>
  <sheetViews>
    <sheetView workbookViewId="0">
      <selection activeCell="L15" sqref="L15"/>
    </sheetView>
  </sheetViews>
  <sheetFormatPr defaultColWidth="9.12389380530973" defaultRowHeight="13.5"/>
  <cols>
    <col min="1" max="1" width="36.1238938053097" customWidth="1"/>
    <col min="2" max="2" width="9.76106194690266" customWidth="1"/>
    <col min="3" max="4" width="6.50442477876106" customWidth="1"/>
    <col min="5" max="43" width="5.24778761061947" customWidth="1"/>
  </cols>
  <sheetData>
    <row r="1" spans="1:43">
      <c r="D1" s="5"/>
      <c r="E1" s="6"/>
      <c r="G1" s="5"/>
      <c r="J1" s="5"/>
      <c r="M1" s="5"/>
    </row>
    <row r="2" spans="1:43">
      <c r="B2">
        <v>2019</v>
      </c>
      <c r="C2">
        <v>2020</v>
      </c>
      <c r="D2" s="1">
        <v>2021</v>
      </c>
      <c r="E2">
        <v>2022</v>
      </c>
      <c r="F2">
        <v>2023</v>
      </c>
      <c r="G2" s="1">
        <v>2024</v>
      </c>
      <c r="H2">
        <v>2025</v>
      </c>
      <c r="I2">
        <v>2026</v>
      </c>
      <c r="J2" s="1">
        <v>2027</v>
      </c>
      <c r="K2">
        <v>2028</v>
      </c>
      <c r="L2">
        <v>2029</v>
      </c>
      <c r="M2" s="1">
        <v>2030</v>
      </c>
      <c r="N2">
        <v>2031</v>
      </c>
      <c r="O2">
        <v>2032</v>
      </c>
      <c r="P2" s="1">
        <v>2033</v>
      </c>
      <c r="Q2">
        <v>2034</v>
      </c>
      <c r="R2">
        <v>2035</v>
      </c>
      <c r="S2" s="1">
        <v>2036</v>
      </c>
      <c r="T2">
        <v>2037</v>
      </c>
      <c r="U2">
        <v>2038</v>
      </c>
      <c r="V2" s="1">
        <v>2039</v>
      </c>
      <c r="W2">
        <v>2040</v>
      </c>
      <c r="X2">
        <v>2041</v>
      </c>
      <c r="Y2" s="1">
        <v>2042</v>
      </c>
      <c r="Z2">
        <v>2043</v>
      </c>
      <c r="AA2">
        <v>2044</v>
      </c>
      <c r="AB2" s="1">
        <v>2045</v>
      </c>
      <c r="AC2">
        <v>2046</v>
      </c>
      <c r="AD2">
        <v>2047</v>
      </c>
      <c r="AE2" s="1">
        <v>2048</v>
      </c>
      <c r="AF2">
        <v>2049</v>
      </c>
      <c r="AG2">
        <v>2050</v>
      </c>
      <c r="AH2" s="1">
        <v>2051</v>
      </c>
      <c r="AI2">
        <v>2052</v>
      </c>
      <c r="AJ2">
        <v>2053</v>
      </c>
      <c r="AK2" s="1">
        <v>2054</v>
      </c>
      <c r="AL2">
        <v>2055</v>
      </c>
      <c r="AM2">
        <v>2056</v>
      </c>
      <c r="AN2" s="1">
        <v>2057</v>
      </c>
      <c r="AO2">
        <v>2058</v>
      </c>
      <c r="AP2">
        <v>2059</v>
      </c>
      <c r="AQ2" s="1">
        <v>2060</v>
      </c>
    </row>
    <row r="3" spans="1:43">
      <c r="A3" t="s">
        <v>186</v>
      </c>
      <c r="B3" cm="1">
        <f t="array" ref="B3:H3">TRANSPOSE('BNEF Outlook'!E5:E11)</f>
        <v>268.418822077057</v>
      </c>
      <c r="C3" s="4">
        <v>206.476016982351</v>
      </c>
      <c r="D3" s="4">
        <v>178.945881384705</v>
      </c>
      <c r="E3" s="7">
        <v>165.180813585881</v>
      </c>
      <c r="F3" s="4">
        <v>151.415745787058</v>
      </c>
      <c r="G3" s="4">
        <v>137.650677988234</v>
      </c>
      <c r="H3" s="4">
        <v>123.885610189411</v>
      </c>
      <c r="J3" s="1"/>
      <c r="M3" s="1"/>
    </row>
    <row r="4" spans="1:43">
      <c r="A4" t="s">
        <v>187</v>
      </c>
      <c r="AG4">
        <f>'MIT Cost Projection'!E18</f>
        <v>60.0738627892387</v>
      </c>
    </row>
    <row r="5" s="4" customFormat="1" spans="1:43">
      <c r="A5" s="4" t="s">
        <v>188</v>
      </c>
      <c r="B5" s="4">
        <f>B3</f>
        <v>268.418822077057</v>
      </c>
      <c r="C5" s="4">
        <f>C3</f>
        <v>206.476016982351</v>
      </c>
      <c r="D5" s="4">
        <f t="shared" ref="D5:H5" si="0">D3</f>
        <v>178.945881384705</v>
      </c>
      <c r="E5" s="4">
        <f t="shared" si="0"/>
        <v>165.180813585881</v>
      </c>
      <c r="F5" s="4">
        <f t="shared" si="0"/>
        <v>151.415745787058</v>
      </c>
      <c r="G5" s="4">
        <f t="shared" si="0"/>
        <v>137.650677988234</v>
      </c>
      <c r="H5" s="4">
        <f t="shared" si="0"/>
        <v>123.885610189411</v>
      </c>
      <c r="I5" s="4">
        <f>($AG$4/$H$3)^(1/25)*H5</f>
        <v>120.350376160391</v>
      </c>
      <c r="J5" s="4">
        <f t="shared" ref="J5:AQ5" si="1">($AG$4/$H$3)^(1/25)*I5</f>
        <v>116.916024547181</v>
      </c>
      <c r="K5" s="4">
        <f t="shared" si="1"/>
        <v>113.579676541267</v>
      </c>
      <c r="L5" s="4">
        <f t="shared" si="1"/>
        <v>110.338535484611</v>
      </c>
      <c r="M5" s="4">
        <f t="shared" si="1"/>
        <v>107.189884525384</v>
      </c>
      <c r="N5" s="4">
        <f t="shared" si="1"/>
        <v>104.131084340588</v>
      </c>
      <c r="O5" s="4">
        <f t="shared" si="1"/>
        <v>101.159570923681</v>
      </c>
      <c r="P5" s="4">
        <f t="shared" si="1"/>
        <v>98.2728534353171</v>
      </c>
      <c r="Q5" s="4">
        <f t="shared" si="1"/>
        <v>95.4685121154316</v>
      </c>
      <c r="R5" s="4">
        <f t="shared" si="1"/>
        <v>92.7441962549024</v>
      </c>
      <c r="S5" s="4">
        <f t="shared" si="1"/>
        <v>90.0976222250928</v>
      </c>
      <c r="T5" s="4">
        <f t="shared" si="1"/>
        <v>87.5265715636243</v>
      </c>
      <c r="U5" s="4">
        <f t="shared" si="1"/>
        <v>85.0288891147744</v>
      </c>
      <c r="V5" s="4">
        <f t="shared" si="1"/>
        <v>82.6024812229401</v>
      </c>
      <c r="W5" s="4">
        <f t="shared" si="1"/>
        <v>80.2453139776537</v>
      </c>
      <c r="X5" s="4">
        <f t="shared" si="1"/>
        <v>77.955411508679</v>
      </c>
      <c r="Y5" s="4">
        <f t="shared" si="1"/>
        <v>75.7308543297592</v>
      </c>
      <c r="Z5" s="4">
        <f t="shared" si="1"/>
        <v>73.5697777296281</v>
      </c>
      <c r="AA5" s="4">
        <f t="shared" si="1"/>
        <v>71.4703702089359</v>
      </c>
      <c r="AB5" s="4">
        <f t="shared" si="1"/>
        <v>69.430871961779</v>
      </c>
      <c r="AC5" s="4">
        <f t="shared" si="1"/>
        <v>67.4495734005618</v>
      </c>
      <c r="AD5" s="4">
        <f t="shared" si="1"/>
        <v>65.5248137229532</v>
      </c>
      <c r="AE5" s="4">
        <f t="shared" si="1"/>
        <v>63.6549795197362</v>
      </c>
      <c r="AF5" s="4">
        <f t="shared" si="1"/>
        <v>61.8385034223859</v>
      </c>
      <c r="AG5" s="4">
        <f t="shared" si="1"/>
        <v>60.0738627892387</v>
      </c>
      <c r="AH5" s="4">
        <f t="shared" si="1"/>
        <v>58.3595784291547</v>
      </c>
      <c r="AI5" s="4">
        <f t="shared" si="1"/>
        <v>56.6942133616012</v>
      </c>
      <c r="AJ5" s="4">
        <f t="shared" si="1"/>
        <v>55.0763716121196</v>
      </c>
      <c r="AK5" s="4">
        <f t="shared" si="1"/>
        <v>53.5046970421642</v>
      </c>
      <c r="AL5" s="4">
        <f t="shared" si="1"/>
        <v>51.9778722123341</v>
      </c>
      <c r="AM5" s="4">
        <f t="shared" si="1"/>
        <v>50.4946172780432</v>
      </c>
      <c r="AN5" s="4">
        <f t="shared" si="1"/>
        <v>49.0536889167046</v>
      </c>
      <c r="AO5" s="4">
        <f t="shared" si="1"/>
        <v>47.6538792855284</v>
      </c>
      <c r="AP5" s="4">
        <f t="shared" si="1"/>
        <v>46.2940150090606</v>
      </c>
      <c r="AQ5" s="4">
        <f t="shared" si="1"/>
        <v>44.9729561956136</v>
      </c>
    </row>
    <row r="6" spans="1:43">
      <c r="A6" t="s">
        <v>189</v>
      </c>
      <c r="B6">
        <f>B5*1000*2</f>
        <v>536837.644154114</v>
      </c>
      <c r="C6">
        <f>C5*1000*2</f>
        <v>412952.033964703</v>
      </c>
      <c r="D6">
        <f t="shared" ref="D6:AQ6" si="2">D5*1000*2</f>
        <v>357891.762769409</v>
      </c>
      <c r="E6">
        <f t="shared" si="2"/>
        <v>330361.627171762</v>
      </c>
      <c r="F6">
        <f t="shared" si="2"/>
        <v>302831.491574115</v>
      </c>
      <c r="G6">
        <f t="shared" si="2"/>
        <v>275301.355976468</v>
      </c>
      <c r="H6">
        <f t="shared" si="2"/>
        <v>247771.220378822</v>
      </c>
      <c r="I6">
        <f t="shared" si="2"/>
        <v>240700.752320782</v>
      </c>
      <c r="J6">
        <f t="shared" si="2"/>
        <v>233832.049094362</v>
      </c>
      <c r="K6">
        <f t="shared" si="2"/>
        <v>227159.353082534</v>
      </c>
      <c r="L6">
        <f t="shared" si="2"/>
        <v>220677.070969222</v>
      </c>
      <c r="M6">
        <f t="shared" si="2"/>
        <v>214379.769050767</v>
      </c>
      <c r="N6">
        <f t="shared" si="2"/>
        <v>208262.168681177</v>
      </c>
      <c r="O6">
        <f t="shared" si="2"/>
        <v>202319.141847362</v>
      </c>
      <c r="P6">
        <f t="shared" si="2"/>
        <v>196545.706870634</v>
      </c>
      <c r="Q6">
        <f t="shared" si="2"/>
        <v>190937.024230863</v>
      </c>
      <c r="R6">
        <f t="shared" si="2"/>
        <v>185488.392509805</v>
      </c>
      <c r="S6">
        <f t="shared" si="2"/>
        <v>180195.244450186</v>
      </c>
      <c r="T6">
        <f t="shared" si="2"/>
        <v>175053.143127249</v>
      </c>
      <c r="U6">
        <f t="shared" si="2"/>
        <v>170057.778229549</v>
      </c>
      <c r="V6">
        <f t="shared" si="2"/>
        <v>165204.96244588</v>
      </c>
      <c r="W6">
        <f t="shared" si="2"/>
        <v>160490.627955307</v>
      </c>
      <c r="X6">
        <f t="shared" si="2"/>
        <v>155910.823017358</v>
      </c>
      <c r="Y6">
        <f t="shared" si="2"/>
        <v>151461.708659518</v>
      </c>
      <c r="Z6">
        <f t="shared" si="2"/>
        <v>147139.555459256</v>
      </c>
      <c r="AA6">
        <f t="shared" si="2"/>
        <v>142940.740417872</v>
      </c>
      <c r="AB6">
        <f t="shared" si="2"/>
        <v>138861.743923558</v>
      </c>
      <c r="AC6">
        <f t="shared" si="2"/>
        <v>134899.146801124</v>
      </c>
      <c r="AD6">
        <f t="shared" si="2"/>
        <v>131049.627445906</v>
      </c>
      <c r="AE6">
        <f t="shared" si="2"/>
        <v>127309.959039472</v>
      </c>
      <c r="AF6">
        <f t="shared" si="2"/>
        <v>123677.006844772</v>
      </c>
      <c r="AG6">
        <f t="shared" si="2"/>
        <v>120147.725578477</v>
      </c>
      <c r="AH6">
        <f t="shared" si="2"/>
        <v>116719.156858309</v>
      </c>
      <c r="AI6">
        <f t="shared" si="2"/>
        <v>113388.426723202</v>
      </c>
      <c r="AJ6">
        <f t="shared" si="2"/>
        <v>110152.743224239</v>
      </c>
      <c r="AK6">
        <f t="shared" si="2"/>
        <v>107009.394084328</v>
      </c>
      <c r="AL6">
        <f t="shared" si="2"/>
        <v>103955.744424668</v>
      </c>
      <c r="AM6">
        <f t="shared" si="2"/>
        <v>100989.234556086</v>
      </c>
      <c r="AN6">
        <f t="shared" si="2"/>
        <v>98107.3778334092</v>
      </c>
      <c r="AO6">
        <f t="shared" si="2"/>
        <v>95307.7585710568</v>
      </c>
      <c r="AP6">
        <f t="shared" si="2"/>
        <v>92588.0300181211</v>
      </c>
      <c r="AQ6">
        <f t="shared" si="2"/>
        <v>89945.9123912272</v>
      </c>
    </row>
    <row r="7" spans="1:43">
      <c r="B7" s="6"/>
      <c r="D7" s="8"/>
      <c r="G7" s="8"/>
      <c r="J7" s="8"/>
      <c r="M7" s="8"/>
      <c r="O7" s="8"/>
    </row>
    <row r="8" spans="1:43">
      <c r="B8" s="6"/>
      <c r="D8" s="8"/>
      <c r="G8" s="8"/>
      <c r="J8" s="8"/>
      <c r="M8" s="8"/>
      <c r="O8" s="8"/>
    </row>
    <row r="12" spans="1:43">
      <c r="B12" s="6"/>
      <c r="D12" s="3"/>
    </row>
    <row r="13" spans="1:43">
      <c r="B13" s="6"/>
      <c r="D13" s="3"/>
    </row>
  </sheetData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3399"/>
  </sheetPr>
  <dimension ref="A1:F43"/>
  <sheetViews>
    <sheetView tabSelected="1" workbookViewId="0">
      <selection activeCell="L12" sqref="L12"/>
    </sheetView>
  </sheetViews>
  <sheetFormatPr defaultColWidth="9" defaultRowHeight="13.5" outlineLevelCol="5"/>
  <cols>
    <col min="1" max="1" width="11.1238938053097" customWidth="1"/>
    <col min="2" max="2" width="12.7964601769912"/>
  </cols>
  <sheetData>
    <row r="1" spans="1:6">
      <c r="A1" s="2" t="s">
        <v>64</v>
      </c>
      <c r="B1" s="2" t="s">
        <v>190</v>
      </c>
    </row>
    <row r="2" spans="1:6">
      <c r="A2">
        <v>2019</v>
      </c>
      <c r="B2" s="3" cm="1">
        <f t="array" ref="B2:B43">TRANSPOSE('Cost per Unit Capacity Calc'!B6:AQ6)</f>
        <v>536837.644154114</v>
      </c>
    </row>
    <row r="3" spans="1:6">
      <c r="A3">
        <v>2020</v>
      </c>
      <c r="B3">
        <v>412952.033964703</v>
      </c>
      <c r="D3" s="1"/>
    </row>
    <row r="4" spans="1:6">
      <c r="A4">
        <v>2021</v>
      </c>
      <c r="B4" s="3">
        <v>357891.762769409</v>
      </c>
      <c r="F4" s="1"/>
    </row>
    <row r="5" spans="1:6">
      <c r="A5">
        <v>2022</v>
      </c>
      <c r="B5" s="3">
        <v>330361.627171762</v>
      </c>
    </row>
    <row r="6" spans="1:6">
      <c r="A6">
        <v>2023</v>
      </c>
      <c r="B6" s="3">
        <v>302831.491574115</v>
      </c>
    </row>
    <row r="7" spans="1:6">
      <c r="A7">
        <v>2024</v>
      </c>
      <c r="B7" s="3">
        <v>275301.355976468</v>
      </c>
    </row>
    <row r="8" spans="1:6">
      <c r="A8">
        <v>2025</v>
      </c>
      <c r="B8" s="3">
        <v>247771.220378822</v>
      </c>
    </row>
    <row r="9" spans="1:6">
      <c r="A9">
        <v>2026</v>
      </c>
      <c r="B9" s="3">
        <v>240700.752320782</v>
      </c>
    </row>
    <row r="10" spans="1:6">
      <c r="A10">
        <v>2027</v>
      </c>
      <c r="B10" s="3">
        <v>233832.049094362</v>
      </c>
    </row>
    <row r="11" spans="1:6">
      <c r="A11">
        <v>2028</v>
      </c>
      <c r="B11" s="3">
        <v>227159.353082534</v>
      </c>
    </row>
    <row r="12" spans="1:6">
      <c r="A12">
        <v>2029</v>
      </c>
      <c r="B12" s="3">
        <v>220677.070969222</v>
      </c>
    </row>
    <row r="13" spans="1:6">
      <c r="A13">
        <v>2030</v>
      </c>
      <c r="B13" s="3">
        <v>214379.769050767</v>
      </c>
    </row>
    <row r="14" spans="1:6">
      <c r="A14">
        <v>2031</v>
      </c>
      <c r="B14" s="3">
        <v>208262.168681177</v>
      </c>
    </row>
    <row r="15" spans="1:6">
      <c r="A15">
        <v>2032</v>
      </c>
      <c r="B15" s="3">
        <v>202319.141847362</v>
      </c>
    </row>
    <row r="16" spans="1:6">
      <c r="A16">
        <v>2033</v>
      </c>
      <c r="B16" s="3">
        <v>196545.706870634</v>
      </c>
    </row>
    <row r="17" spans="1:2">
      <c r="A17">
        <v>2034</v>
      </c>
      <c r="B17" s="3">
        <v>190937.024230863</v>
      </c>
    </row>
    <row r="18" spans="1:2">
      <c r="A18">
        <v>2035</v>
      </c>
      <c r="B18" s="3">
        <v>185488.392509805</v>
      </c>
    </row>
    <row r="19" spans="1:2">
      <c r="A19">
        <v>2036</v>
      </c>
      <c r="B19" s="3">
        <v>180195.244450186</v>
      </c>
    </row>
    <row r="20" spans="1:2">
      <c r="A20">
        <v>2037</v>
      </c>
      <c r="B20" s="3">
        <v>175053.143127249</v>
      </c>
    </row>
    <row r="21" spans="1:2">
      <c r="A21">
        <v>2038</v>
      </c>
      <c r="B21" s="3">
        <v>170057.778229549</v>
      </c>
    </row>
    <row r="22" spans="1:2">
      <c r="A22">
        <v>2039</v>
      </c>
      <c r="B22" s="3">
        <v>165204.96244588</v>
      </c>
    </row>
    <row r="23" spans="1:2">
      <c r="A23">
        <v>2040</v>
      </c>
      <c r="B23" s="3">
        <v>160490.627955307</v>
      </c>
    </row>
    <row r="24" spans="1:2">
      <c r="A24">
        <v>2041</v>
      </c>
      <c r="B24" s="3">
        <v>155910.823017358</v>
      </c>
    </row>
    <row r="25" spans="1:2">
      <c r="A25">
        <v>2042</v>
      </c>
      <c r="B25" s="3">
        <v>151461.708659518</v>
      </c>
    </row>
    <row r="26" spans="1:2">
      <c r="A26">
        <v>2043</v>
      </c>
      <c r="B26" s="3">
        <v>147139.555459256</v>
      </c>
    </row>
    <row r="27" spans="1:2">
      <c r="A27">
        <v>2044</v>
      </c>
      <c r="B27" s="3">
        <v>142940.740417872</v>
      </c>
    </row>
    <row r="28" spans="1:2">
      <c r="A28">
        <v>2045</v>
      </c>
      <c r="B28" s="3">
        <v>138861.743923558</v>
      </c>
    </row>
    <row r="29" spans="1:2">
      <c r="A29">
        <v>2046</v>
      </c>
      <c r="B29" s="3">
        <v>134899.146801124</v>
      </c>
    </row>
    <row r="30" spans="1:2">
      <c r="A30">
        <v>2047</v>
      </c>
      <c r="B30" s="3">
        <v>131049.627445906</v>
      </c>
    </row>
    <row r="31" spans="1:2">
      <c r="A31">
        <v>2048</v>
      </c>
      <c r="B31" s="3">
        <v>127309.959039472</v>
      </c>
    </row>
    <row r="32" spans="1:2">
      <c r="A32">
        <v>2049</v>
      </c>
      <c r="B32" s="3">
        <v>123677.006844772</v>
      </c>
    </row>
    <row r="33" spans="1:2">
      <c r="A33">
        <v>2050</v>
      </c>
      <c r="B33" s="3">
        <v>120147.725578477</v>
      </c>
    </row>
    <row r="34" spans="1:2">
      <c r="A34">
        <v>2051</v>
      </c>
      <c r="B34" s="3">
        <v>116719.156858309</v>
      </c>
    </row>
    <row r="35" spans="1:2">
      <c r="A35">
        <v>2052</v>
      </c>
      <c r="B35" s="3">
        <v>113388.426723202</v>
      </c>
    </row>
    <row r="36" spans="1:2">
      <c r="A36">
        <v>2053</v>
      </c>
      <c r="B36" s="3">
        <v>110152.743224239</v>
      </c>
    </row>
    <row r="37" spans="1:2">
      <c r="A37">
        <v>2054</v>
      </c>
      <c r="B37" s="3">
        <v>107009.394084328</v>
      </c>
    </row>
    <row r="38" spans="1:2">
      <c r="A38">
        <v>2055</v>
      </c>
      <c r="B38" s="3">
        <v>103955.744424668</v>
      </c>
    </row>
    <row r="39" spans="1:2">
      <c r="A39">
        <v>2056</v>
      </c>
      <c r="B39" s="3">
        <v>100989.234556086</v>
      </c>
    </row>
    <row r="40" spans="1:2">
      <c r="A40">
        <v>2057</v>
      </c>
      <c r="B40" s="3">
        <v>98107.3778334092</v>
      </c>
    </row>
    <row r="41" spans="1:2">
      <c r="A41">
        <v>2058</v>
      </c>
      <c r="B41" s="3">
        <v>95307.7585710568</v>
      </c>
    </row>
    <row r="42" spans="1:2">
      <c r="A42">
        <v>2059</v>
      </c>
      <c r="B42" s="3">
        <v>92588.0300181211</v>
      </c>
    </row>
    <row r="43" spans="1:2">
      <c r="A43">
        <v>2060</v>
      </c>
      <c r="B43" s="3">
        <v>89945.9123912272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3399"/>
  </sheetPr>
  <dimension ref="A1:AQ2"/>
  <sheetViews>
    <sheetView workbookViewId="0">
      <selection activeCell="I11" sqref="I11"/>
    </sheetView>
  </sheetViews>
  <sheetFormatPr defaultColWidth="9" defaultRowHeight="13.5" outlineLevelRow="1"/>
  <cols>
    <col min="1" max="2" width="19.8761061946903" customWidth="1"/>
  </cols>
  <sheetData>
    <row r="1" spans="1:43">
      <c r="A1" t="s">
        <v>191</v>
      </c>
      <c r="B1">
        <v>2019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>
        <v>2060</v>
      </c>
    </row>
    <row r="2" spans="1:43">
      <c r="A2" t="s">
        <v>46</v>
      </c>
      <c r="B2" s="1">
        <f>$C2</f>
        <v>195513.505675369</v>
      </c>
      <c r="C2" s="1">
        <f>'Balance of System Calculations'!D36</f>
        <v>195513.505675369</v>
      </c>
      <c r="D2" s="1">
        <f>$C2</f>
        <v>195513.505675369</v>
      </c>
      <c r="E2" s="1">
        <f t="shared" ref="E2:AQ2" si="0">$C2</f>
        <v>195513.505675369</v>
      </c>
      <c r="F2" s="1">
        <f t="shared" si="0"/>
        <v>195513.505675369</v>
      </c>
      <c r="G2" s="1">
        <f t="shared" si="0"/>
        <v>195513.505675369</v>
      </c>
      <c r="H2" s="1">
        <f t="shared" si="0"/>
        <v>195513.505675369</v>
      </c>
      <c r="I2" s="1">
        <f t="shared" si="0"/>
        <v>195513.505675369</v>
      </c>
      <c r="J2" s="1">
        <f t="shared" si="0"/>
        <v>195513.505675369</v>
      </c>
      <c r="K2" s="1">
        <f t="shared" si="0"/>
        <v>195513.505675369</v>
      </c>
      <c r="L2" s="1">
        <f t="shared" si="0"/>
        <v>195513.505675369</v>
      </c>
      <c r="M2" s="1">
        <f t="shared" si="0"/>
        <v>195513.505675369</v>
      </c>
      <c r="N2" s="1">
        <f t="shared" si="0"/>
        <v>195513.505675369</v>
      </c>
      <c r="O2" s="1">
        <f t="shared" si="0"/>
        <v>195513.505675369</v>
      </c>
      <c r="P2" s="1">
        <f t="shared" si="0"/>
        <v>195513.505675369</v>
      </c>
      <c r="Q2" s="1">
        <f t="shared" si="0"/>
        <v>195513.505675369</v>
      </c>
      <c r="R2" s="1">
        <f t="shared" si="0"/>
        <v>195513.505675369</v>
      </c>
      <c r="S2" s="1">
        <f t="shared" si="0"/>
        <v>195513.505675369</v>
      </c>
      <c r="T2" s="1">
        <f t="shared" si="0"/>
        <v>195513.505675369</v>
      </c>
      <c r="U2" s="1">
        <f t="shared" si="0"/>
        <v>195513.505675369</v>
      </c>
      <c r="V2" s="1">
        <f t="shared" si="0"/>
        <v>195513.505675369</v>
      </c>
      <c r="W2" s="1">
        <f t="shared" si="0"/>
        <v>195513.505675369</v>
      </c>
      <c r="X2" s="1">
        <f t="shared" si="0"/>
        <v>195513.505675369</v>
      </c>
      <c r="Y2" s="1">
        <f t="shared" si="0"/>
        <v>195513.505675369</v>
      </c>
      <c r="Z2" s="1">
        <f t="shared" si="0"/>
        <v>195513.505675369</v>
      </c>
      <c r="AA2" s="1">
        <f t="shared" si="0"/>
        <v>195513.505675369</v>
      </c>
      <c r="AB2" s="1">
        <f t="shared" si="0"/>
        <v>195513.505675369</v>
      </c>
      <c r="AC2" s="1">
        <f t="shared" si="0"/>
        <v>195513.505675369</v>
      </c>
      <c r="AD2" s="1">
        <f t="shared" si="0"/>
        <v>195513.505675369</v>
      </c>
      <c r="AE2" s="1">
        <f t="shared" si="0"/>
        <v>195513.505675369</v>
      </c>
      <c r="AF2" s="1">
        <f t="shared" si="0"/>
        <v>195513.505675369</v>
      </c>
      <c r="AG2" s="1">
        <f t="shared" si="0"/>
        <v>195513.505675369</v>
      </c>
      <c r="AH2" s="1">
        <f t="shared" si="0"/>
        <v>195513.505675369</v>
      </c>
      <c r="AI2" s="1">
        <f t="shared" si="0"/>
        <v>195513.505675369</v>
      </c>
      <c r="AJ2" s="1">
        <f t="shared" si="0"/>
        <v>195513.505675369</v>
      </c>
      <c r="AK2" s="1">
        <f t="shared" si="0"/>
        <v>195513.505675369</v>
      </c>
      <c r="AL2" s="1">
        <f t="shared" si="0"/>
        <v>195513.505675369</v>
      </c>
      <c r="AM2" s="1">
        <f t="shared" si="0"/>
        <v>195513.505675369</v>
      </c>
      <c r="AN2" s="1">
        <f t="shared" si="0"/>
        <v>195513.505675369</v>
      </c>
      <c r="AO2" s="1">
        <f t="shared" si="0"/>
        <v>195513.505675369</v>
      </c>
      <c r="AP2" s="1">
        <f t="shared" si="0"/>
        <v>195513.505675369</v>
      </c>
      <c r="AQ2" s="1">
        <f t="shared" si="0"/>
        <v>195513.505675369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About</vt:lpstr>
      <vt:lpstr>Exchange Rate</vt:lpstr>
      <vt:lpstr>NREL ATB</vt:lpstr>
      <vt:lpstr>China Historical Battery Cost</vt:lpstr>
      <vt:lpstr>MIT Cost Projection</vt:lpstr>
      <vt:lpstr>China Battery Cost Breakdown</vt:lpstr>
      <vt:lpstr>BNEF Outlook</vt:lpstr>
      <vt:lpstr>Balance of System Calculations</vt:lpstr>
      <vt:lpstr>Cost per Unit Capacity Calc</vt:lpstr>
      <vt:lpstr>BCpUC</vt:lpstr>
      <vt:lpstr>BBoSCpUC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仰望星空✨✨</cp:lastModifiedBy>
  <dcterms:created xsi:type="dcterms:W3CDTF">2015-05-01T22:00:00Z</dcterms:created>
  <dcterms:modified xsi:type="dcterms:W3CDTF">2026-03-24T08:32:11Z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E92A89AAA1AC43DDBBFFE0A73340B30A_12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